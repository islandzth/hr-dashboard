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ọc\thực hành\file\"/>
    </mc:Choice>
  </mc:AlternateContent>
  <bookViews>
    <workbookView xWindow="0" yWindow="0" windowWidth="28800" windowHeight="12180"/>
  </bookViews>
  <sheets>
    <sheet name="MP" sheetId="1" r:id="rId1"/>
    <sheet name="LK CÔNG" sheetId="4" state="hidden" r:id="rId2"/>
  </sheets>
  <definedNames>
    <definedName name="_xlnm._FilterDatabase" localSheetId="1" hidden="1">'LK CÔNG'!$A$1:$Z$1117</definedName>
    <definedName name="_xlnm._FilterDatabase" localSheetId="0" hidden="1">MP!$A$1:$R$1573</definedName>
  </definedNames>
  <calcPr calcId="162913"/>
</workbook>
</file>

<file path=xl/calcChain.xml><?xml version="1.0" encoding="utf-8"?>
<calcChain xmlns="http://schemas.openxmlformats.org/spreadsheetml/2006/main">
  <c r="F1510" i="4" l="1"/>
  <c r="G1505" i="4"/>
  <c r="F1500" i="4"/>
  <c r="F1495" i="4"/>
  <c r="G1490" i="4"/>
  <c r="H1485" i="4"/>
  <c r="I1480" i="4"/>
  <c r="K1475" i="4"/>
  <c r="M1470" i="4"/>
  <c r="C1466" i="4"/>
  <c r="F1461" i="4"/>
  <c r="H1456" i="4"/>
  <c r="K1451" i="4"/>
  <c r="M1446" i="4"/>
  <c r="D1442" i="4"/>
  <c r="G1437" i="4"/>
  <c r="J1509" i="4"/>
  <c r="K1504" i="4"/>
  <c r="J1499" i="4"/>
  <c r="J1494" i="4"/>
  <c r="K1489" i="4"/>
  <c r="L1484" i="4"/>
  <c r="N1479" i="4"/>
  <c r="A1475" i="4"/>
  <c r="D1470" i="4"/>
  <c r="H1465" i="4"/>
  <c r="J1460" i="4"/>
  <c r="L1455" i="4"/>
  <c r="A1451" i="4"/>
  <c r="D1446" i="4"/>
  <c r="I1441" i="4"/>
  <c r="H1506" i="4"/>
  <c r="I1501" i="4"/>
  <c r="G1496" i="4"/>
  <c r="H1491" i="4"/>
  <c r="I1486" i="4"/>
  <c r="J1481" i="4"/>
  <c r="L1476" i="4"/>
  <c r="N1471" i="4"/>
  <c r="D1467" i="4"/>
  <c r="F1462" i="4"/>
  <c r="I1457" i="4"/>
  <c r="L1452" i="4"/>
  <c r="N1447" i="4"/>
  <c r="D1443" i="4"/>
  <c r="H1438" i="4"/>
  <c r="E1508" i="4"/>
  <c r="F1503" i="4"/>
  <c r="D1498" i="4"/>
  <c r="E1493" i="4"/>
  <c r="F1488" i="4"/>
  <c r="G1483" i="4"/>
  <c r="I1478" i="4"/>
  <c r="J1473" i="4"/>
  <c r="N1468" i="4"/>
  <c r="C1464" i="4"/>
  <c r="E1459" i="4"/>
  <c r="H1454" i="4"/>
  <c r="J1449" i="4"/>
  <c r="M1444" i="4"/>
  <c r="E1440" i="4"/>
  <c r="E1435" i="4"/>
  <c r="F1506" i="4"/>
  <c r="F1501" i="4"/>
  <c r="E1496" i="4"/>
  <c r="E1491" i="4"/>
  <c r="G1486" i="4"/>
  <c r="H1481" i="4"/>
  <c r="J1476" i="4"/>
  <c r="L1471" i="4"/>
  <c r="A1467" i="4"/>
  <c r="D1462" i="4"/>
  <c r="G1457" i="4"/>
  <c r="J1452" i="4"/>
  <c r="L1447" i="4"/>
  <c r="B1443" i="4"/>
  <c r="F1438" i="4"/>
  <c r="F1509" i="4"/>
  <c r="G1504" i="4"/>
  <c r="F1499" i="4"/>
  <c r="F1494" i="4"/>
  <c r="G1489" i="4"/>
  <c r="H1484" i="4"/>
  <c r="J1479" i="4"/>
  <c r="K1474" i="4"/>
  <c r="N1469" i="4"/>
  <c r="D1465" i="4"/>
  <c r="F1460" i="4"/>
  <c r="H1455" i="4"/>
  <c r="K1450" i="4"/>
  <c r="N1445" i="4"/>
  <c r="E1441" i="4"/>
  <c r="G1436" i="4"/>
  <c r="A1493" i="4"/>
  <c r="G1473" i="4"/>
  <c r="E1454" i="4"/>
  <c r="F1437" i="4"/>
  <c r="C1431" i="4"/>
  <c r="F1426" i="4"/>
  <c r="I1421" i="4"/>
  <c r="K1416" i="4"/>
  <c r="M1411" i="4"/>
  <c r="D1407" i="4"/>
  <c r="G1402" i="4"/>
  <c r="K1397" i="4"/>
  <c r="N1392" i="4"/>
  <c r="E1388" i="4"/>
  <c r="I1383" i="4"/>
  <c r="H1510" i="4"/>
  <c r="H1490" i="4"/>
  <c r="N1470" i="4"/>
  <c r="L1451" i="4"/>
  <c r="K1435" i="4"/>
  <c r="H1430" i="4"/>
  <c r="K1425" i="4"/>
  <c r="M1420" i="4"/>
  <c r="A1416" i="4"/>
  <c r="D1411" i="4"/>
  <c r="I1406" i="4"/>
  <c r="L1401" i="4"/>
  <c r="B1397" i="4"/>
  <c r="E1392" i="4"/>
  <c r="J1387" i="4"/>
  <c r="M1382" i="4"/>
  <c r="H1502" i="4"/>
  <c r="I1482" i="4"/>
  <c r="K1509" i="4"/>
  <c r="L1504" i="4"/>
  <c r="K1499" i="4"/>
  <c r="K1494" i="4"/>
  <c r="L1489" i="4"/>
  <c r="M1484" i="4"/>
  <c r="A1480" i="4"/>
  <c r="C1475" i="4"/>
  <c r="E1470" i="4"/>
  <c r="I1465" i="4"/>
  <c r="K1460" i="4"/>
  <c r="M1455" i="4"/>
  <c r="C1451" i="4"/>
  <c r="E1446" i="4"/>
  <c r="J1441" i="4"/>
  <c r="L1436" i="4"/>
  <c r="A1509" i="4"/>
  <c r="C1504" i="4"/>
  <c r="A1499" i="4"/>
  <c r="A1494" i="4"/>
  <c r="C1489" i="4"/>
  <c r="D1484" i="4"/>
  <c r="F1479" i="4"/>
  <c r="G1474" i="4"/>
  <c r="J1469" i="4"/>
  <c r="M1464" i="4"/>
  <c r="A1460" i="4"/>
  <c r="D1455" i="4"/>
  <c r="G1450" i="4"/>
  <c r="J1445" i="4"/>
  <c r="M1510" i="4"/>
  <c r="M1505" i="4"/>
  <c r="M1500" i="4"/>
  <c r="L1495" i="4"/>
  <c r="M1490" i="4"/>
  <c r="N1485" i="4"/>
  <c r="A1481" i="4"/>
  <c r="D1476" i="4"/>
  <c r="F1471" i="4"/>
  <c r="I1466" i="4"/>
  <c r="L1461" i="4"/>
  <c r="N1456" i="4"/>
  <c r="D1452" i="4"/>
  <c r="F1447" i="4"/>
  <c r="J1442" i="4"/>
  <c r="M1437" i="4"/>
  <c r="J1507" i="4"/>
  <c r="K1502" i="4"/>
  <c r="I1497" i="4"/>
  <c r="J1492" i="4"/>
  <c r="K1487" i="4"/>
  <c r="L1482" i="4"/>
  <c r="N1477" i="4"/>
  <c r="B1473" i="4"/>
  <c r="F1468" i="4"/>
  <c r="H1463" i="4"/>
  <c r="J1458" i="4"/>
  <c r="N1453" i="4"/>
  <c r="A1449" i="4"/>
  <c r="E1444" i="4"/>
  <c r="J1439" i="4"/>
  <c r="K1510" i="4"/>
  <c r="K1505" i="4"/>
  <c r="K1500" i="4"/>
  <c r="J1495" i="4"/>
  <c r="K1490" i="4"/>
  <c r="L1485" i="4"/>
  <c r="M1480" i="4"/>
  <c r="A1476" i="4"/>
  <c r="D1471" i="4"/>
  <c r="G1466" i="4"/>
  <c r="J1461" i="4"/>
  <c r="L1456" i="4"/>
  <c r="A1452" i="4"/>
  <c r="D1447" i="4"/>
  <c r="H1442" i="4"/>
  <c r="K1437" i="4"/>
  <c r="K1508" i="4"/>
  <c r="L1503" i="4"/>
  <c r="K1498" i="4"/>
  <c r="K1493" i="4"/>
  <c r="L1488" i="4"/>
  <c r="M1483" i="4"/>
  <c r="A1479" i="4"/>
  <c r="C1474" i="4"/>
  <c r="F1469" i="4"/>
  <c r="I1464" i="4"/>
  <c r="K1459" i="4"/>
  <c r="N1454" i="4"/>
  <c r="C1450" i="4"/>
  <c r="F1445" i="4"/>
  <c r="K1440" i="4"/>
  <c r="I1510" i="4"/>
  <c r="I1490" i="4"/>
  <c r="A1471" i="4"/>
  <c r="M1451" i="4"/>
  <c r="L1435" i="4"/>
  <c r="I1430" i="4"/>
  <c r="L1425" i="4"/>
  <c r="N1420" i="4"/>
  <c r="C1416" i="4"/>
  <c r="E1411" i="4"/>
  <c r="J1406" i="4"/>
  <c r="M1401" i="4"/>
  <c r="C1397" i="4"/>
  <c r="F1392" i="4"/>
  <c r="K1387" i="4"/>
  <c r="N1382" i="4"/>
  <c r="N1507" i="4"/>
  <c r="A1488" i="4"/>
  <c r="J1468" i="4"/>
  <c r="F1449" i="4"/>
  <c r="L1434" i="4"/>
  <c r="M1429" i="4"/>
  <c r="C1425" i="4"/>
  <c r="E1420" i="4"/>
  <c r="G1415" i="4"/>
  <c r="I1410" i="4"/>
  <c r="N1405" i="4"/>
  <c r="D1401" i="4"/>
  <c r="H1396" i="4"/>
  <c r="K1391" i="4"/>
  <c r="B1387" i="4"/>
  <c r="E1382" i="4"/>
  <c r="M1499" i="4"/>
  <c r="C1480" i="4"/>
  <c r="M1460" i="4"/>
  <c r="C1509" i="4"/>
  <c r="D1504" i="4"/>
  <c r="C1499" i="4"/>
  <c r="C1494" i="4"/>
  <c r="D1489" i="4"/>
  <c r="E1484" i="4"/>
  <c r="G1479" i="4"/>
  <c r="H1474" i="4"/>
  <c r="K1469" i="4"/>
  <c r="N1464" i="4"/>
  <c r="C1460" i="4"/>
  <c r="E1455" i="4"/>
  <c r="H1450" i="4"/>
  <c r="K1445" i="4"/>
  <c r="B1441" i="4"/>
  <c r="D1436" i="4"/>
  <c r="G1508" i="4"/>
  <c r="H1503" i="4"/>
  <c r="F1498" i="4"/>
  <c r="G1493" i="4"/>
  <c r="H1488" i="4"/>
  <c r="I1483" i="4"/>
  <c r="K1478" i="4"/>
  <c r="L1473" i="4"/>
  <c r="B1469" i="4"/>
  <c r="E1464" i="4"/>
  <c r="G1459" i="4"/>
  <c r="J1454" i="4"/>
  <c r="L1449" i="4"/>
  <c r="A1445" i="4"/>
  <c r="D1510" i="4"/>
  <c r="E1505" i="4"/>
  <c r="D1500" i="4"/>
  <c r="D1495" i="4"/>
  <c r="E1490" i="4"/>
  <c r="E1485" i="4"/>
  <c r="G1480" i="4"/>
  <c r="I1475" i="4"/>
  <c r="K1470" i="4"/>
  <c r="A1466" i="4"/>
  <c r="D1461" i="4"/>
  <c r="F1456" i="4"/>
  <c r="I1451" i="4"/>
  <c r="K1446" i="4"/>
  <c r="B1442" i="4"/>
  <c r="E1437" i="4"/>
  <c r="A1507" i="4"/>
  <c r="C1502" i="4"/>
  <c r="N1496" i="4"/>
  <c r="A1492" i="4"/>
  <c r="C1487" i="4"/>
  <c r="D1482" i="4"/>
  <c r="F1477" i="4"/>
  <c r="H1472" i="4"/>
  <c r="K1467" i="4"/>
  <c r="M1462" i="4"/>
  <c r="B1458" i="4"/>
  <c r="F1453" i="4"/>
  <c r="G1448" i="4"/>
  <c r="K1443" i="4"/>
  <c r="A1439" i="4"/>
  <c r="A1510" i="4"/>
  <c r="C1505" i="4"/>
  <c r="A1500" i="4"/>
  <c r="A1495" i="4"/>
  <c r="C1490" i="4"/>
  <c r="C1485" i="4"/>
  <c r="E1480" i="4"/>
  <c r="G1475" i="4"/>
  <c r="I1470" i="4"/>
  <c r="M1465" i="4"/>
  <c r="A1461" i="4"/>
  <c r="D1456" i="4"/>
  <c r="G1451" i="4"/>
  <c r="I1446" i="4"/>
  <c r="N1441" i="4"/>
  <c r="C1437" i="4"/>
  <c r="C1508" i="4"/>
  <c r="D1503" i="4"/>
  <c r="A1498" i="4"/>
  <c r="C1493" i="4"/>
  <c r="D1488" i="4"/>
  <c r="E1483" i="4"/>
  <c r="G1478" i="4"/>
  <c r="H1473" i="4"/>
  <c r="L1468" i="4"/>
  <c r="N1463" i="4"/>
  <c r="C1459" i="4"/>
  <c r="F1454" i="4"/>
  <c r="H1449" i="4"/>
  <c r="K1444" i="4"/>
  <c r="C1440" i="4"/>
  <c r="A1508" i="4"/>
  <c r="C1488" i="4"/>
  <c r="K1468" i="4"/>
  <c r="G1449" i="4"/>
  <c r="M1434" i="4"/>
  <c r="N1429" i="4"/>
  <c r="D1425" i="4"/>
  <c r="F1420" i="4"/>
  <c r="H1415" i="4"/>
  <c r="J1410" i="4"/>
  <c r="A1406" i="4"/>
  <c r="E1401" i="4"/>
  <c r="I1396" i="4"/>
  <c r="L1391" i="4"/>
  <c r="C1387" i="4"/>
  <c r="F1382" i="4"/>
  <c r="H1505" i="4"/>
  <c r="I1485" i="4"/>
  <c r="D1466" i="4"/>
  <c r="N1446" i="4"/>
  <c r="C1434" i="4"/>
  <c r="D1429" i="4"/>
  <c r="H1424" i="4"/>
  <c r="J1419" i="4"/>
  <c r="L1414" i="4"/>
  <c r="A1410" i="4"/>
  <c r="F1405" i="4"/>
  <c r="I1400" i="4"/>
  <c r="M1395" i="4"/>
  <c r="C1391" i="4"/>
  <c r="H1386" i="4"/>
  <c r="J1381" i="4"/>
  <c r="F1497" i="4"/>
  <c r="H1508" i="4"/>
  <c r="I1503" i="4"/>
  <c r="H1498" i="4"/>
  <c r="H1493" i="4"/>
  <c r="I1488" i="4"/>
  <c r="J1483" i="4"/>
  <c r="L1478" i="4"/>
  <c r="M1473" i="4"/>
  <c r="C1469" i="4"/>
  <c r="F1464" i="4"/>
  <c r="H1459" i="4"/>
  <c r="K1454" i="4"/>
  <c r="M1449" i="4"/>
  <c r="C1445" i="4"/>
  <c r="H1440" i="4"/>
  <c r="I1435" i="4"/>
  <c r="L1507" i="4"/>
  <c r="M1502" i="4"/>
  <c r="K1497" i="4"/>
  <c r="L1492" i="4"/>
  <c r="M1487" i="4"/>
  <c r="N1482" i="4"/>
  <c r="C1478" i="4"/>
  <c r="D1473" i="4"/>
  <c r="H1468" i="4"/>
  <c r="J1463" i="4"/>
  <c r="L1458" i="4"/>
  <c r="B1454" i="4"/>
  <c r="D1449" i="4"/>
  <c r="G1444" i="4"/>
  <c r="I1509" i="4"/>
  <c r="J1504" i="4"/>
  <c r="I1499" i="4"/>
  <c r="I1494" i="4"/>
  <c r="J1489" i="4"/>
  <c r="K1484" i="4"/>
  <c r="M1479" i="4"/>
  <c r="N1474" i="4"/>
  <c r="C1470" i="4"/>
  <c r="G1465" i="4"/>
  <c r="I1460" i="4"/>
  <c r="K1455" i="4"/>
  <c r="N1450" i="4"/>
  <c r="C1446" i="4"/>
  <c r="H1441" i="4"/>
  <c r="J1436" i="4"/>
  <c r="G1506" i="4"/>
  <c r="H1501" i="4"/>
  <c r="F1496" i="4"/>
  <c r="F1491" i="4"/>
  <c r="H1486" i="4"/>
  <c r="I1481" i="4"/>
  <c r="K1476" i="4"/>
  <c r="M1471" i="4"/>
  <c r="C1467" i="4"/>
  <c r="E1462" i="4"/>
  <c r="H1457" i="4"/>
  <c r="K1452" i="4"/>
  <c r="M1447" i="4"/>
  <c r="C1443" i="4"/>
  <c r="G1438" i="4"/>
  <c r="G1509" i="4"/>
  <c r="H1504" i="4"/>
  <c r="G1499" i="4"/>
  <c r="G1494" i="4"/>
  <c r="H1489" i="4"/>
  <c r="I1484" i="4"/>
  <c r="K1479" i="4"/>
  <c r="L1474" i="4"/>
  <c r="A1470" i="4"/>
  <c r="E1465" i="4"/>
  <c r="G1460" i="4"/>
  <c r="I1455" i="4"/>
  <c r="L1450" i="4"/>
  <c r="A1446" i="4"/>
  <c r="F1441" i="4"/>
  <c r="H1436" i="4"/>
  <c r="H1507" i="4"/>
  <c r="I1502" i="4"/>
  <c r="G1497" i="4"/>
  <c r="H1492" i="4"/>
  <c r="I1487" i="4"/>
  <c r="J1482" i="4"/>
  <c r="L1477" i="4"/>
  <c r="N1472" i="4"/>
  <c r="D1468" i="4"/>
  <c r="F1463" i="4"/>
  <c r="H1458" i="4"/>
  <c r="L1453" i="4"/>
  <c r="M1448" i="4"/>
  <c r="C1444" i="4"/>
  <c r="H1439" i="4"/>
  <c r="I1505" i="4"/>
  <c r="J1485" i="4"/>
  <c r="E1466" i="4"/>
  <c r="A1447" i="4"/>
  <c r="D1434" i="4"/>
  <c r="E1429" i="4"/>
  <c r="I1424" i="4"/>
  <c r="K1419" i="4"/>
  <c r="M1414" i="4"/>
  <c r="B1410" i="4"/>
  <c r="G1405" i="4"/>
  <c r="J1400" i="4"/>
  <c r="N1395" i="4"/>
  <c r="D1391" i="4"/>
  <c r="I1386" i="4"/>
  <c r="K1381" i="4"/>
  <c r="A1503" i="4"/>
  <c r="C1483" i="4"/>
  <c r="L1463" i="4"/>
  <c r="I1444" i="4"/>
  <c r="H1433" i="4"/>
  <c r="J1428" i="4"/>
  <c r="M1423" i="4"/>
  <c r="A1419" i="4"/>
  <c r="D1414" i="4"/>
  <c r="G1409" i="4"/>
  <c r="K1404" i="4"/>
  <c r="A1400" i="4"/>
  <c r="E1395" i="4"/>
  <c r="H1390" i="4"/>
  <c r="M1385" i="4"/>
  <c r="A1381" i="4"/>
  <c r="M1507" i="4"/>
  <c r="N1502" i="4"/>
  <c r="L1497" i="4"/>
  <c r="M1492" i="4"/>
  <c r="N1487" i="4"/>
  <c r="A1483" i="4"/>
  <c r="D1478" i="4"/>
  <c r="E1473" i="4"/>
  <c r="I1468" i="4"/>
  <c r="K1463" i="4"/>
  <c r="M1458" i="4"/>
  <c r="C1454" i="4"/>
  <c r="E1449" i="4"/>
  <c r="H1444" i="4"/>
  <c r="M1439" i="4"/>
  <c r="N1434" i="4"/>
  <c r="D1507" i="4"/>
  <c r="E1502" i="4"/>
  <c r="C1497" i="4"/>
  <c r="D1492" i="4"/>
  <c r="E1487" i="4"/>
  <c r="F1482" i="4"/>
  <c r="H1477" i="4"/>
  <c r="J1472" i="4"/>
  <c r="M1467" i="4"/>
  <c r="A1463" i="4"/>
  <c r="D1458" i="4"/>
  <c r="H1453" i="4"/>
  <c r="I1448" i="4"/>
  <c r="M1443" i="4"/>
  <c r="N1508" i="4"/>
  <c r="A1504" i="4"/>
  <c r="N1498" i="4"/>
  <c r="N1493" i="4"/>
  <c r="A1489" i="4"/>
  <c r="C1484" i="4"/>
  <c r="E1479" i="4"/>
  <c r="F1474" i="4"/>
  <c r="I1469" i="4"/>
  <c r="L1464" i="4"/>
  <c r="N1459" i="4"/>
  <c r="C1455" i="4"/>
  <c r="F1450" i="4"/>
  <c r="I1445" i="4"/>
  <c r="N1440" i="4"/>
  <c r="L1510" i="4"/>
  <c r="L1505" i="4"/>
  <c r="L1500" i="4"/>
  <c r="K1495" i="4"/>
  <c r="L1490" i="4"/>
  <c r="M1485" i="4"/>
  <c r="N1480" i="4"/>
  <c r="C1476" i="4"/>
  <c r="E1471" i="4"/>
  <c r="H1466" i="4"/>
  <c r="K1461" i="4"/>
  <c r="M1456" i="4"/>
  <c r="C1452" i="4"/>
  <c r="E1447" i="4"/>
  <c r="I1442" i="4"/>
  <c r="L1437" i="4"/>
  <c r="L1508" i="4"/>
  <c r="M1503" i="4"/>
  <c r="L1498" i="4"/>
  <c r="L1493" i="4"/>
  <c r="M1488" i="4"/>
  <c r="N1483" i="4"/>
  <c r="C1479" i="4"/>
  <c r="D1474" i="4"/>
  <c r="G1469" i="4"/>
  <c r="J1464" i="4"/>
  <c r="L1459" i="4"/>
  <c r="A1455" i="4"/>
  <c r="D1450" i="4"/>
  <c r="G1445" i="4"/>
  <c r="L1440" i="4"/>
  <c r="M1435" i="4"/>
  <c r="M1506" i="4"/>
  <c r="N1501" i="4"/>
  <c r="L1496" i="4"/>
  <c r="M1491" i="4"/>
  <c r="N1486" i="4"/>
  <c r="A1482" i="4"/>
  <c r="D1477" i="4"/>
  <c r="F1472" i="4"/>
  <c r="I1467" i="4"/>
  <c r="K1462" i="4"/>
  <c r="N1457" i="4"/>
  <c r="D1453" i="4"/>
  <c r="E1448" i="4"/>
  <c r="I1443" i="4"/>
  <c r="M1438" i="4"/>
  <c r="C1503" i="4"/>
  <c r="D1483" i="4"/>
  <c r="M1463" i="4"/>
  <c r="J1444" i="4"/>
  <c r="I1433" i="4"/>
  <c r="K1428" i="4"/>
  <c r="N1423" i="4"/>
  <c r="C1419" i="4"/>
  <c r="E1414" i="4"/>
  <c r="H1409" i="4"/>
  <c r="L1404" i="4"/>
  <c r="B1400" i="4"/>
  <c r="F1395" i="4"/>
  <c r="I1390" i="4"/>
  <c r="N1385" i="4"/>
  <c r="C1381" i="4"/>
  <c r="H1500" i="4"/>
  <c r="J1480" i="4"/>
  <c r="G1461" i="4"/>
  <c r="E1442" i="4"/>
  <c r="M1432" i="4"/>
  <c r="B1428" i="4"/>
  <c r="D1423" i="4"/>
  <c r="F1418" i="4"/>
  <c r="J1413" i="4"/>
  <c r="M1408" i="4"/>
  <c r="C1404" i="4"/>
  <c r="G1399" i="4"/>
  <c r="K1394" i="4"/>
  <c r="N1389" i="4"/>
  <c r="D1385" i="4"/>
  <c r="G1380" i="4"/>
  <c r="G1492" i="4"/>
  <c r="M1472" i="4"/>
  <c r="K1453" i="4"/>
  <c r="E1507" i="4"/>
  <c r="F1502" i="4"/>
  <c r="D1497" i="4"/>
  <c r="E1492" i="4"/>
  <c r="F1487" i="4"/>
  <c r="G1482" i="4"/>
  <c r="I1477" i="4"/>
  <c r="K1472" i="4"/>
  <c r="N1467" i="4"/>
  <c r="C1463" i="4"/>
  <c r="E1458" i="4"/>
  <c r="I1453" i="4"/>
  <c r="J1448" i="4"/>
  <c r="N1443" i="4"/>
  <c r="E1439" i="4"/>
  <c r="F1434" i="4"/>
  <c r="I1506" i="4"/>
  <c r="J1501" i="4"/>
  <c r="H1496" i="4"/>
  <c r="I1491" i="4"/>
  <c r="J1486" i="4"/>
  <c r="K1481" i="4"/>
  <c r="M1476" i="4"/>
  <c r="A1472" i="4"/>
  <c r="E1467" i="4"/>
  <c r="G1462" i="4"/>
  <c r="J1457" i="4"/>
  <c r="M1452" i="4"/>
  <c r="A1448" i="4"/>
  <c r="E1443" i="4"/>
  <c r="F1508" i="4"/>
  <c r="G1503" i="4"/>
  <c r="E1498" i="4"/>
  <c r="F1493" i="4"/>
  <c r="G1488" i="4"/>
  <c r="H1483" i="4"/>
  <c r="J1478" i="4"/>
  <c r="K1473" i="4"/>
  <c r="A1469" i="4"/>
  <c r="D1464" i="4"/>
  <c r="F1459" i="4"/>
  <c r="I1454" i="4"/>
  <c r="K1449" i="4"/>
  <c r="N1444" i="4"/>
  <c r="F1440" i="4"/>
  <c r="C1510" i="4"/>
  <c r="D1505" i="4"/>
  <c r="C1500" i="4"/>
  <c r="C1495" i="4"/>
  <c r="D1490" i="4"/>
  <c r="D1485" i="4"/>
  <c r="F1480" i="4"/>
  <c r="H1475" i="4"/>
  <c r="J1470" i="4"/>
  <c r="N1465" i="4"/>
  <c r="C1461" i="4"/>
  <c r="E1456" i="4"/>
  <c r="H1451" i="4"/>
  <c r="J1446" i="4"/>
  <c r="A1442" i="4"/>
  <c r="D1437" i="4"/>
  <c r="D1508" i="4"/>
  <c r="E1503" i="4"/>
  <c r="C1498" i="4"/>
  <c r="D1493" i="4"/>
  <c r="E1488" i="4"/>
  <c r="F1483" i="4"/>
  <c r="H1478" i="4"/>
  <c r="I1473" i="4"/>
  <c r="M1468" i="4"/>
  <c r="A1464" i="4"/>
  <c r="D1459" i="4"/>
  <c r="G1454" i="4"/>
  <c r="I1449" i="4"/>
  <c r="L1444" i="4"/>
  <c r="D1440" i="4"/>
  <c r="D1435" i="4"/>
  <c r="E1506" i="4"/>
  <c r="E1501" i="4"/>
  <c r="D1496" i="4"/>
  <c r="D1491" i="4"/>
  <c r="F1486" i="4"/>
  <c r="G1481" i="4"/>
  <c r="I1476" i="4"/>
  <c r="K1471" i="4"/>
  <c r="N1466" i="4"/>
  <c r="C1462" i="4"/>
  <c r="F1457" i="4"/>
  <c r="I1452" i="4"/>
  <c r="K1447" i="4"/>
  <c r="A1443" i="4"/>
  <c r="E1438" i="4"/>
  <c r="I1500" i="4"/>
  <c r="K1480" i="4"/>
  <c r="H1461" i="4"/>
  <c r="F1442" i="4"/>
  <c r="N1432" i="4"/>
  <c r="C1428" i="4"/>
  <c r="E1423" i="4"/>
  <c r="H1418" i="4"/>
  <c r="K1413" i="4"/>
  <c r="N1408" i="4"/>
  <c r="D1404" i="4"/>
  <c r="H1399" i="4"/>
  <c r="L1394" i="4"/>
  <c r="A1390" i="4"/>
  <c r="E1385" i="4"/>
  <c r="H1380" i="4"/>
  <c r="M1497" i="4"/>
  <c r="E1478" i="4"/>
  <c r="N1458" i="4"/>
  <c r="G1440" i="4"/>
  <c r="E1432" i="4"/>
  <c r="H1427" i="4"/>
  <c r="J1422" i="4"/>
  <c r="L1417" i="4"/>
  <c r="A1413" i="4"/>
  <c r="E1408" i="4"/>
  <c r="I1403" i="4"/>
  <c r="M1398" i="4"/>
  <c r="B1394" i="4"/>
  <c r="F1389" i="4"/>
  <c r="J1384" i="4"/>
  <c r="M1509" i="4"/>
  <c r="N1489" i="4"/>
  <c r="G1470" i="4"/>
  <c r="E1451" i="4"/>
  <c r="J1506" i="4"/>
  <c r="K1501" i="4"/>
  <c r="I1496" i="4"/>
  <c r="J1491" i="4"/>
  <c r="K1486" i="4"/>
  <c r="L1481" i="4"/>
  <c r="N1476" i="4"/>
  <c r="C1472" i="4"/>
  <c r="F1467" i="4"/>
  <c r="H1462" i="4"/>
  <c r="K1457" i="4"/>
  <c r="N1452" i="4"/>
  <c r="B1448" i="4"/>
  <c r="F1443" i="4"/>
  <c r="J1438" i="4"/>
  <c r="N1510" i="4"/>
  <c r="N1505" i="4"/>
  <c r="N1500" i="4"/>
  <c r="M1495" i="4"/>
  <c r="N1490" i="4"/>
  <c r="A1486" i="4"/>
  <c r="C1481" i="4"/>
  <c r="E1476" i="4"/>
  <c r="G1471" i="4"/>
  <c r="J1466" i="4"/>
  <c r="M1461" i="4"/>
  <c r="A1457" i="4"/>
  <c r="E1452" i="4"/>
  <c r="G1447" i="4"/>
  <c r="K1442" i="4"/>
  <c r="K1507" i="4"/>
  <c r="L1502" i="4"/>
  <c r="J1497" i="4"/>
  <c r="K1492" i="4"/>
  <c r="L1487" i="4"/>
  <c r="M1482" i="4"/>
  <c r="A1478" i="4"/>
  <c r="C1473" i="4"/>
  <c r="G1468" i="4"/>
  <c r="I1463" i="4"/>
  <c r="K1458" i="4"/>
  <c r="A1454" i="4"/>
  <c r="C1449" i="4"/>
  <c r="F1444" i="4"/>
  <c r="K1439" i="4"/>
  <c r="H1509" i="4"/>
  <c r="I1504" i="4"/>
  <c r="H1499" i="4"/>
  <c r="H1494" i="4"/>
  <c r="I1489" i="4"/>
  <c r="J1484" i="4"/>
  <c r="L1479" i="4"/>
  <c r="M1474" i="4"/>
  <c r="B1470" i="4"/>
  <c r="F1465" i="4"/>
  <c r="H1460" i="4"/>
  <c r="J1455" i="4"/>
  <c r="M1450" i="4"/>
  <c r="B1446" i="4"/>
  <c r="G1441" i="4"/>
  <c r="I1436" i="4"/>
  <c r="I1507" i="4"/>
  <c r="J1502" i="4"/>
  <c r="H1497" i="4"/>
  <c r="I1492" i="4"/>
  <c r="J1487" i="4"/>
  <c r="K1482" i="4"/>
  <c r="M1477" i="4"/>
  <c r="A1473" i="4"/>
  <c r="E1468" i="4"/>
  <c r="G1463" i="4"/>
  <c r="I1458" i="4"/>
  <c r="M1453" i="4"/>
  <c r="N1448" i="4"/>
  <c r="D1444" i="4"/>
  <c r="I1439" i="4"/>
  <c r="J1510" i="4"/>
  <c r="J1505" i="4"/>
  <c r="J1500" i="4"/>
  <c r="I1495" i="4"/>
  <c r="J1490" i="4"/>
  <c r="K1485" i="4"/>
  <c r="L1480" i="4"/>
  <c r="N1475" i="4"/>
  <c r="C1471" i="4"/>
  <c r="F1466" i="4"/>
  <c r="I1461" i="4"/>
  <c r="K1456" i="4"/>
  <c r="N1451" i="4"/>
  <c r="C1447" i="4"/>
  <c r="G1442" i="4"/>
  <c r="J1437" i="4"/>
  <c r="N1497" i="4"/>
  <c r="F1478" i="4"/>
  <c r="A1459" i="4"/>
  <c r="I1440" i="4"/>
  <c r="F1432" i="4"/>
  <c r="I1427" i="4"/>
  <c r="K1422" i="4"/>
  <c r="M1417" i="4"/>
  <c r="C1413" i="4"/>
  <c r="F1408" i="4"/>
  <c r="J1403" i="4"/>
  <c r="N1398" i="4"/>
  <c r="C1394" i="4"/>
  <c r="G1389" i="4"/>
  <c r="K1384" i="4"/>
  <c r="M1379" i="4"/>
  <c r="G1495" i="4"/>
  <c r="L1475" i="4"/>
  <c r="I1456" i="4"/>
  <c r="K1438" i="4"/>
  <c r="J1431" i="4"/>
  <c r="M1426" i="4"/>
  <c r="B1422" i="4"/>
  <c r="D1417" i="4"/>
  <c r="G1412" i="4"/>
  <c r="K1407" i="4"/>
  <c r="N1402" i="4"/>
  <c r="E1398" i="4"/>
  <c r="H1393" i="4"/>
  <c r="L1388" i="4"/>
  <c r="B1384" i="4"/>
  <c r="G1507" i="4"/>
  <c r="H1487" i="4"/>
  <c r="C1468" i="4"/>
  <c r="A1506" i="4"/>
  <c r="A1501" i="4"/>
  <c r="N1495" i="4"/>
  <c r="A1491" i="4"/>
  <c r="C1486" i="4"/>
  <c r="D1481" i="4"/>
  <c r="F1476" i="4"/>
  <c r="H1471" i="4"/>
  <c r="K1466" i="4"/>
  <c r="N1461" i="4"/>
  <c r="C1457" i="4"/>
  <c r="F1452" i="4"/>
  <c r="H1447" i="4"/>
  <c r="L1442" i="4"/>
  <c r="A1438" i="4"/>
  <c r="E1510" i="4"/>
  <c r="F1505" i="4"/>
  <c r="E1500" i="4"/>
  <c r="E1495" i="4"/>
  <c r="F1490" i="4"/>
  <c r="F1485" i="4"/>
  <c r="H1480" i="4"/>
  <c r="J1475" i="4"/>
  <c r="L1470" i="4"/>
  <c r="B1466" i="4"/>
  <c r="E1461" i="4"/>
  <c r="G1456" i="4"/>
  <c r="J1451" i="4"/>
  <c r="L1446" i="4"/>
  <c r="C1442" i="4"/>
  <c r="C1507" i="4"/>
  <c r="D1502" i="4"/>
  <c r="A1497" i="4"/>
  <c r="C1492" i="4"/>
  <c r="D1487" i="4"/>
  <c r="E1482" i="4"/>
  <c r="G1477" i="4"/>
  <c r="I1472" i="4"/>
  <c r="L1467" i="4"/>
  <c r="N1462" i="4"/>
  <c r="C1458" i="4"/>
  <c r="G1453" i="4"/>
  <c r="H1448" i="4"/>
  <c r="L1443" i="4"/>
  <c r="C1439" i="4"/>
  <c r="M1508" i="4"/>
  <c r="N1503" i="4"/>
  <c r="M1498" i="4"/>
  <c r="M1493" i="4"/>
  <c r="N1488" i="4"/>
  <c r="A1484" i="4"/>
  <c r="D1479" i="4"/>
  <c r="E1474" i="4"/>
  <c r="H1469" i="4"/>
  <c r="K1464" i="4"/>
  <c r="M1459" i="4"/>
  <c r="B1455" i="4"/>
  <c r="E1450" i="4"/>
  <c r="H1445" i="4"/>
  <c r="M1440" i="4"/>
  <c r="N1435" i="4"/>
  <c r="N1506" i="4"/>
  <c r="A1502" i="4"/>
  <c r="M1496" i="4"/>
  <c r="N1491" i="4"/>
  <c r="A1487" i="4"/>
  <c r="C1482" i="4"/>
  <c r="E1477" i="4"/>
  <c r="G1472" i="4"/>
  <c r="J1467" i="4"/>
  <c r="L1462" i="4"/>
  <c r="A1458" i="4"/>
  <c r="E1453" i="4"/>
  <c r="F1448" i="4"/>
  <c r="J1443" i="4"/>
  <c r="N1438" i="4"/>
  <c r="N1509" i="4"/>
  <c r="A1505" i="4"/>
  <c r="N1499" i="4"/>
  <c r="N1494" i="4"/>
  <c r="A1490" i="4"/>
  <c r="B1485" i="4"/>
  <c r="D1480" i="4"/>
  <c r="F1475" i="4"/>
  <c r="H1470" i="4"/>
  <c r="L1465" i="4"/>
  <c r="N1460" i="4"/>
  <c r="C1456" i="4"/>
  <c r="F1451" i="4"/>
  <c r="H1446" i="4"/>
  <c r="M1441" i="4"/>
  <c r="A1437" i="4"/>
  <c r="H1495" i="4"/>
  <c r="M1475" i="4"/>
  <c r="J1456" i="4"/>
  <c r="L1438" i="4"/>
  <c r="K1431" i="4"/>
  <c r="N1426" i="4"/>
  <c r="C1422" i="4"/>
  <c r="E1417" i="4"/>
  <c r="H1412" i="4"/>
  <c r="L1407" i="4"/>
  <c r="A1403" i="4"/>
  <c r="F1398" i="4"/>
  <c r="I1393" i="4"/>
  <c r="M1388" i="4"/>
  <c r="C1384" i="4"/>
  <c r="E1379" i="4"/>
  <c r="N1492" i="4"/>
  <c r="F1473" i="4"/>
  <c r="D1454" i="4"/>
  <c r="N1436" i="4"/>
  <c r="B1431" i="4"/>
  <c r="E1426" i="4"/>
  <c r="H1421" i="4"/>
  <c r="J1416" i="4"/>
  <c r="L1411" i="4"/>
  <c r="C1407" i="4"/>
  <c r="F1402" i="4"/>
  <c r="J1397" i="4"/>
  <c r="M1392" i="4"/>
  <c r="D1388" i="4"/>
  <c r="H1383" i="4"/>
  <c r="N1504" i="4"/>
  <c r="M1494" i="4"/>
  <c r="L1448" i="4"/>
  <c r="K1434" i="4"/>
  <c r="L1429" i="4"/>
  <c r="A1425" i="4"/>
  <c r="D1420" i="4"/>
  <c r="F1415" i="4"/>
  <c r="H1410" i="4"/>
  <c r="M1405" i="4"/>
  <c r="C1401" i="4"/>
  <c r="G1396" i="4"/>
  <c r="J1391" i="4"/>
  <c r="A1387" i="4"/>
  <c r="D1382" i="4"/>
  <c r="E1497" i="4"/>
  <c r="J1477" i="4"/>
  <c r="M1501" i="4"/>
  <c r="N1481" i="4"/>
  <c r="J1462" i="4"/>
  <c r="H1443" i="4"/>
  <c r="E1433" i="4"/>
  <c r="G1428" i="4"/>
  <c r="J1423" i="4"/>
  <c r="L1418" i="4"/>
  <c r="A1414" i="4"/>
  <c r="D1409" i="4"/>
  <c r="H1404" i="4"/>
  <c r="L1399" i="4"/>
  <c r="B1395" i="4"/>
  <c r="E1390" i="4"/>
  <c r="J1385" i="4"/>
  <c r="L1380" i="4"/>
  <c r="D1499" i="4"/>
  <c r="H1479" i="4"/>
  <c r="D1460" i="4"/>
  <c r="C1441" i="4"/>
  <c r="I1432" i="4"/>
  <c r="L1427" i="4"/>
  <c r="N1422" i="4"/>
  <c r="B1418" i="4"/>
  <c r="F1413" i="4"/>
  <c r="I1408" i="4"/>
  <c r="M1403" i="4"/>
  <c r="B1462" i="4"/>
  <c r="A1430" i="4"/>
  <c r="B1417" i="4"/>
  <c r="F1404" i="4"/>
  <c r="F1394" i="4"/>
  <c r="N1384" i="4"/>
  <c r="H1377" i="4"/>
  <c r="J1372" i="4"/>
  <c r="L1367" i="4"/>
  <c r="A1363" i="4"/>
  <c r="E1358" i="4"/>
  <c r="J1353" i="4"/>
  <c r="B1349" i="4"/>
  <c r="H1344" i="4"/>
  <c r="L1339" i="4"/>
  <c r="C1335" i="4"/>
  <c r="K1448" i="4"/>
  <c r="H1426" i="4"/>
  <c r="L1413" i="4"/>
  <c r="G1401" i="4"/>
  <c r="N1391" i="4"/>
  <c r="H1382" i="4"/>
  <c r="D1376" i="4"/>
  <c r="F1371" i="4"/>
  <c r="H1366" i="4"/>
  <c r="L1361" i="4"/>
  <c r="A1357" i="4"/>
  <c r="G1352" i="4"/>
  <c r="M1347" i="4"/>
  <c r="E1343" i="4"/>
  <c r="I1338" i="4"/>
  <c r="D1506" i="4"/>
  <c r="K1441" i="4"/>
  <c r="K1424" i="4"/>
  <c r="N1411" i="4"/>
  <c r="C1400" i="4"/>
  <c r="J1390" i="4"/>
  <c r="D1381" i="4"/>
  <c r="H1375" i="4"/>
  <c r="J1370" i="4"/>
  <c r="L1365" i="4"/>
  <c r="C1361" i="4"/>
  <c r="F1356" i="4"/>
  <c r="L1351" i="4"/>
  <c r="D1347" i="4"/>
  <c r="J1342" i="4"/>
  <c r="N1337" i="4"/>
  <c r="A1496" i="4"/>
  <c r="K1436" i="4"/>
  <c r="M1422" i="4"/>
  <c r="C1410" i="4"/>
  <c r="K1398" i="4"/>
  <c r="D1389" i="4"/>
  <c r="N1379" i="4"/>
  <c r="M1374" i="4"/>
  <c r="A1370" i="4"/>
  <c r="C1365" i="4"/>
  <c r="G1360" i="4"/>
  <c r="K1355" i="4"/>
  <c r="C1351" i="4"/>
  <c r="I1346" i="4"/>
  <c r="N1341" i="4"/>
  <c r="E1337" i="4"/>
  <c r="L1483" i="4"/>
  <c r="N1433" i="4"/>
  <c r="C1421" i="4"/>
  <c r="G1408" i="4"/>
  <c r="F1397" i="4"/>
  <c r="N1387" i="4"/>
  <c r="B1379" i="4"/>
  <c r="D1374" i="4"/>
  <c r="F1369" i="4"/>
  <c r="G1364" i="4"/>
  <c r="K1359" i="4"/>
  <c r="B1355" i="4"/>
  <c r="H1350" i="4"/>
  <c r="N1345" i="4"/>
  <c r="D1341" i="4"/>
  <c r="J1503" i="4"/>
  <c r="N1439" i="4"/>
  <c r="C1424" i="4"/>
  <c r="F1411" i="4"/>
  <c r="J1399" i="4"/>
  <c r="C1390" i="4"/>
  <c r="A1485" i="4"/>
  <c r="G1446" i="4"/>
  <c r="A1434" i="4"/>
  <c r="C1429" i="4"/>
  <c r="G1424" i="4"/>
  <c r="I1419" i="4"/>
  <c r="K1414" i="4"/>
  <c r="N1409" i="4"/>
  <c r="E1405" i="4"/>
  <c r="H1400" i="4"/>
  <c r="L1395" i="4"/>
  <c r="A1391" i="4"/>
  <c r="G1386" i="4"/>
  <c r="I1381" i="4"/>
  <c r="L1494" i="4"/>
  <c r="D1475" i="4"/>
  <c r="E1499" i="4"/>
  <c r="I1479" i="4"/>
  <c r="E1460" i="4"/>
  <c r="D1441" i="4"/>
  <c r="J1432" i="4"/>
  <c r="M1427" i="4"/>
  <c r="A1423" i="4"/>
  <c r="C1418" i="4"/>
  <c r="G1413" i="4"/>
  <c r="J1408" i="4"/>
  <c r="N1403" i="4"/>
  <c r="D1399" i="4"/>
  <c r="H1394" i="4"/>
  <c r="K1389" i="4"/>
  <c r="A1385" i="4"/>
  <c r="D1380" i="4"/>
  <c r="J1496" i="4"/>
  <c r="A1477" i="4"/>
  <c r="L1457" i="4"/>
  <c r="G1439" i="4"/>
  <c r="N1431" i="4"/>
  <c r="D1427" i="4"/>
  <c r="F1422" i="4"/>
  <c r="H1417" i="4"/>
  <c r="K1412" i="4"/>
  <c r="A1408" i="4"/>
  <c r="E1403" i="4"/>
  <c r="N1455" i="4"/>
  <c r="E1428" i="4"/>
  <c r="I1415" i="4"/>
  <c r="L1402" i="4"/>
  <c r="D1393" i="4"/>
  <c r="L1383" i="4"/>
  <c r="M1376" i="4"/>
  <c r="A1372" i="4"/>
  <c r="C1367" i="4"/>
  <c r="G1362" i="4"/>
  <c r="K1357" i="4"/>
  <c r="B1353" i="4"/>
  <c r="H1348" i="4"/>
  <c r="N1343" i="4"/>
  <c r="D1339" i="4"/>
  <c r="I1508" i="4"/>
  <c r="M1442" i="4"/>
  <c r="N1424" i="4"/>
  <c r="A1412" i="4"/>
  <c r="D1400" i="4"/>
  <c r="K1390" i="4"/>
  <c r="E1381" i="4"/>
  <c r="I1375" i="4"/>
  <c r="K1370" i="4"/>
  <c r="M1365" i="4"/>
  <c r="D1361" i="4"/>
  <c r="G1356" i="4"/>
  <c r="M1351" i="4"/>
  <c r="E1347" i="4"/>
  <c r="K1342" i="4"/>
  <c r="A1338" i="4"/>
  <c r="C1496" i="4"/>
  <c r="K1477" i="4"/>
  <c r="B1444" i="4"/>
  <c r="G1433" i="4"/>
  <c r="I1428" i="4"/>
  <c r="L1423" i="4"/>
  <c r="N1418" i="4"/>
  <c r="C1414" i="4"/>
  <c r="F1409" i="4"/>
  <c r="J1404" i="4"/>
  <c r="N1399" i="4"/>
  <c r="D1395" i="4"/>
  <c r="G1390" i="4"/>
  <c r="L1385" i="4"/>
  <c r="N1380" i="4"/>
  <c r="F1492" i="4"/>
  <c r="L1472" i="4"/>
  <c r="K1496" i="4"/>
  <c r="C1477" i="4"/>
  <c r="M1457" i="4"/>
  <c r="L1439" i="4"/>
  <c r="A1432" i="4"/>
  <c r="E1427" i="4"/>
  <c r="G1422" i="4"/>
  <c r="I1417" i="4"/>
  <c r="L1412" i="4"/>
  <c r="B1408" i="4"/>
  <c r="F1403" i="4"/>
  <c r="J1398" i="4"/>
  <c r="M1393" i="4"/>
  <c r="C1389" i="4"/>
  <c r="G1384" i="4"/>
  <c r="I1379" i="4"/>
  <c r="D1494" i="4"/>
  <c r="I1474" i="4"/>
  <c r="F1455" i="4"/>
  <c r="N1437" i="4"/>
  <c r="F1431" i="4"/>
  <c r="I1426" i="4"/>
  <c r="L1421" i="4"/>
  <c r="N1416" i="4"/>
  <c r="C1412" i="4"/>
  <c r="G1407" i="4"/>
  <c r="J1402" i="4"/>
  <c r="N1449" i="4"/>
  <c r="K1426" i="4"/>
  <c r="M1413" i="4"/>
  <c r="H1401" i="4"/>
  <c r="A1392" i="4"/>
  <c r="I1382" i="4"/>
  <c r="E1376" i="4"/>
  <c r="G1371" i="4"/>
  <c r="I1366" i="4"/>
  <c r="M1361" i="4"/>
  <c r="C1357" i="4"/>
  <c r="H1352" i="4"/>
  <c r="N1347" i="4"/>
  <c r="F1343" i="4"/>
  <c r="J1338" i="4"/>
  <c r="I1498" i="4"/>
  <c r="I1437" i="4"/>
  <c r="F1423" i="4"/>
  <c r="G1410" i="4"/>
  <c r="B1399" i="4"/>
  <c r="I1389" i="4"/>
  <c r="C1380" i="4"/>
  <c r="A1375" i="4"/>
  <c r="C1370" i="4"/>
  <c r="E1365" i="4"/>
  <c r="I1360" i="4"/>
  <c r="M1355" i="4"/>
  <c r="E1351" i="4"/>
  <c r="K1346" i="4"/>
  <c r="C1342" i="4"/>
  <c r="G1337" i="4"/>
  <c r="E1486" i="4"/>
  <c r="G1434" i="4"/>
  <c r="J1421" i="4"/>
  <c r="K1408" i="4"/>
  <c r="L1397" i="4"/>
  <c r="F1388" i="4"/>
  <c r="D1379" i="4"/>
  <c r="F1374" i="4"/>
  <c r="H1369" i="4"/>
  <c r="I1364" i="4"/>
  <c r="M1359" i="4"/>
  <c r="D1355" i="4"/>
  <c r="J1350" i="4"/>
  <c r="B1346" i="4"/>
  <c r="F1341" i="4"/>
  <c r="K1336" i="4"/>
  <c r="G1476" i="4"/>
  <c r="H1432" i="4"/>
  <c r="L1419" i="4"/>
  <c r="A1407" i="4"/>
  <c r="F1396" i="4"/>
  <c r="N1386" i="4"/>
  <c r="H1378" i="4"/>
  <c r="J1373" i="4"/>
  <c r="L1368" i="4"/>
  <c r="N1363" i="4"/>
  <c r="D1359" i="4"/>
  <c r="I1354" i="4"/>
  <c r="A1350" i="4"/>
  <c r="G1345" i="4"/>
  <c r="K1340" i="4"/>
  <c r="B1336" i="4"/>
  <c r="J1465" i="4"/>
  <c r="K1430" i="4"/>
  <c r="N1417" i="4"/>
  <c r="D1405" i="4"/>
  <c r="A1395" i="4"/>
  <c r="I1385" i="4"/>
  <c r="L1377" i="4"/>
  <c r="N1372" i="4"/>
  <c r="C1368" i="4"/>
  <c r="E1363" i="4"/>
  <c r="E1475" i="4"/>
  <c r="L1441" i="4"/>
  <c r="L1432" i="4"/>
  <c r="A1428" i="4"/>
  <c r="C1423" i="4"/>
  <c r="E1418" i="4"/>
  <c r="I1413" i="4"/>
  <c r="L1408" i="4"/>
  <c r="B1404" i="4"/>
  <c r="F1399" i="4"/>
  <c r="J1394" i="4"/>
  <c r="M1389" i="4"/>
  <c r="C1385" i="4"/>
  <c r="L1509" i="4"/>
  <c r="M1489" i="4"/>
  <c r="F1470" i="4"/>
  <c r="E1494" i="4"/>
  <c r="J1474" i="4"/>
  <c r="G1455" i="4"/>
  <c r="C1438" i="4"/>
  <c r="G1431" i="4"/>
  <c r="J1426" i="4"/>
  <c r="M1421" i="4"/>
  <c r="A1417" i="4"/>
  <c r="D1412" i="4"/>
  <c r="H1407" i="4"/>
  <c r="K1402" i="4"/>
  <c r="A1398" i="4"/>
  <c r="E1393" i="4"/>
  <c r="I1388" i="4"/>
  <c r="M1383" i="4"/>
  <c r="A1379" i="4"/>
  <c r="K1491" i="4"/>
  <c r="D1472" i="4"/>
  <c r="A1453" i="4"/>
  <c r="E1436" i="4"/>
  <c r="L1430" i="4"/>
  <c r="A1426" i="4"/>
  <c r="D1421" i="4"/>
  <c r="F1416" i="4"/>
  <c r="H1411" i="4"/>
  <c r="M1406" i="4"/>
  <c r="J1508" i="4"/>
  <c r="N1442" i="4"/>
  <c r="E1425" i="4"/>
  <c r="E1412" i="4"/>
  <c r="E1400" i="4"/>
  <c r="L1390" i="4"/>
  <c r="F1381" i="4"/>
  <c r="J1375" i="4"/>
  <c r="L1370" i="4"/>
  <c r="N1365" i="4"/>
  <c r="E1361" i="4"/>
  <c r="H1356" i="4"/>
  <c r="N1351" i="4"/>
  <c r="F1347" i="4"/>
  <c r="L1342" i="4"/>
  <c r="B1338" i="4"/>
  <c r="J1488" i="4"/>
  <c r="J1434" i="4"/>
  <c r="K1421" i="4"/>
  <c r="A1409" i="4"/>
  <c r="M1397" i="4"/>
  <c r="G1388" i="4"/>
  <c r="F1379" i="4"/>
  <c r="G1374" i="4"/>
  <c r="I1369" i="4"/>
  <c r="J1364" i="4"/>
  <c r="N1359" i="4"/>
  <c r="E1355" i="4"/>
  <c r="K1350" i="4"/>
  <c r="C1346" i="4"/>
  <c r="H1341" i="4"/>
  <c r="L1336" i="4"/>
  <c r="H1476" i="4"/>
  <c r="K1432" i="4"/>
  <c r="M1419" i="4"/>
  <c r="E1407" i="4"/>
  <c r="J1396" i="4"/>
  <c r="D1387" i="4"/>
  <c r="I1378" i="4"/>
  <c r="K1373" i="4"/>
  <c r="M1368" i="4"/>
  <c r="A1364" i="4"/>
  <c r="E1359" i="4"/>
  <c r="J1354" i="4"/>
  <c r="B1350" i="4"/>
  <c r="H1345" i="4"/>
  <c r="L1340" i="4"/>
  <c r="C1336" i="4"/>
  <c r="L1466" i="4"/>
  <c r="N1430" i="4"/>
  <c r="A1418" i="4"/>
  <c r="H1405" i="4"/>
  <c r="C1395" i="4"/>
  <c r="K1385" i="4"/>
  <c r="M1377" i="4"/>
  <c r="A1373" i="4"/>
  <c r="D1368" i="4"/>
  <c r="F1363" i="4"/>
  <c r="J1358" i="4"/>
  <c r="A1354" i="4"/>
  <c r="G1349" i="4"/>
  <c r="M1344" i="4"/>
  <c r="C1340" i="4"/>
  <c r="H1335" i="4"/>
  <c r="I1459" i="4"/>
  <c r="B1429" i="4"/>
  <c r="E1416" i="4"/>
  <c r="K1403" i="4"/>
  <c r="L1393" i="4"/>
  <c r="F1384" i="4"/>
  <c r="D1377" i="4"/>
  <c r="F1372" i="4"/>
  <c r="K1465" i="4"/>
  <c r="A1440" i="4"/>
  <c r="D1432" i="4"/>
  <c r="G1427" i="4"/>
  <c r="I1422" i="4"/>
  <c r="K1417" i="4"/>
  <c r="N1412" i="4"/>
  <c r="D1408" i="4"/>
  <c r="H1403" i="4"/>
  <c r="L1398" i="4"/>
  <c r="A1394" i="4"/>
  <c r="E1389" i="4"/>
  <c r="I1384" i="4"/>
  <c r="F1507" i="4"/>
  <c r="G1487" i="4"/>
  <c r="A1468" i="4"/>
  <c r="L1491" i="4"/>
  <c r="E1472" i="4"/>
  <c r="C1453" i="4"/>
  <c r="F1436" i="4"/>
  <c r="M1430" i="4"/>
  <c r="B1426" i="4"/>
  <c r="E1421" i="4"/>
  <c r="G1416" i="4"/>
  <c r="I1411" i="4"/>
  <c r="N1406" i="4"/>
  <c r="C1402" i="4"/>
  <c r="G1397" i="4"/>
  <c r="J1392" i="4"/>
  <c r="A1388" i="4"/>
  <c r="E1383" i="4"/>
  <c r="D1509" i="4"/>
  <c r="E1489" i="4"/>
  <c r="L1469" i="4"/>
  <c r="I1450" i="4"/>
  <c r="C1435" i="4"/>
  <c r="D1430" i="4"/>
  <c r="G1425" i="4"/>
  <c r="I1420" i="4"/>
  <c r="K1415" i="4"/>
  <c r="M1410" i="4"/>
  <c r="E1406" i="4"/>
  <c r="J1498" i="4"/>
  <c r="D1438" i="4"/>
  <c r="H1423" i="4"/>
  <c r="K1410" i="4"/>
  <c r="C1399" i="4"/>
  <c r="J1389" i="4"/>
  <c r="E1380" i="4"/>
  <c r="B1375" i="4"/>
  <c r="D1370" i="4"/>
  <c r="F1365" i="4"/>
  <c r="J1360" i="4"/>
  <c r="N1355" i="4"/>
  <c r="F1351" i="4"/>
  <c r="L1346" i="4"/>
  <c r="D1342" i="4"/>
  <c r="H1337" i="4"/>
  <c r="M1478" i="4"/>
  <c r="A1433" i="4"/>
  <c r="C1420" i="4"/>
  <c r="F1407" i="4"/>
  <c r="K1396" i="4"/>
  <c r="E1387" i="4"/>
  <c r="J1378" i="4"/>
  <c r="L1373" i="4"/>
  <c r="N1368" i="4"/>
  <c r="B1364" i="4"/>
  <c r="F1359" i="4"/>
  <c r="K1354" i="4"/>
  <c r="C1350" i="4"/>
  <c r="I1345" i="4"/>
  <c r="M1340" i="4"/>
  <c r="D1336" i="4"/>
  <c r="M1466" i="4"/>
  <c r="D1431" i="4"/>
  <c r="D1418" i="4"/>
  <c r="I1405" i="4"/>
  <c r="G1395" i="4"/>
  <c r="A1386" i="4"/>
  <c r="N1377" i="4"/>
  <c r="B1373" i="4"/>
  <c r="E1368" i="4"/>
  <c r="G1363" i="4"/>
  <c r="K1358" i="4"/>
  <c r="B1354" i="4"/>
  <c r="H1349" i="4"/>
  <c r="N1344" i="4"/>
  <c r="D1340" i="4"/>
  <c r="I1335" i="4"/>
  <c r="J1459" i="4"/>
  <c r="F1429" i="4"/>
  <c r="H1416" i="4"/>
  <c r="L1403" i="4"/>
  <c r="N1393" i="4"/>
  <c r="H1384" i="4"/>
  <c r="E1377" i="4"/>
  <c r="G1372" i="4"/>
  <c r="I1367" i="4"/>
  <c r="L1362" i="4"/>
  <c r="B1358" i="4"/>
  <c r="G1353" i="4"/>
  <c r="M1348" i="4"/>
  <c r="E1344" i="4"/>
  <c r="I1339" i="4"/>
  <c r="M1334" i="4"/>
  <c r="H1452" i="4"/>
  <c r="J1427" i="4"/>
  <c r="J1414" i="4"/>
  <c r="B1402" i="4"/>
  <c r="I1392" i="4"/>
  <c r="D1383" i="4"/>
  <c r="E1463" i="4"/>
  <c r="I1438" i="4"/>
  <c r="I1431" i="4"/>
  <c r="L1426" i="4"/>
  <c r="A1422" i="4"/>
  <c r="C1417" i="4"/>
  <c r="F1412" i="4"/>
  <c r="J1407" i="4"/>
  <c r="M1402" i="4"/>
  <c r="D1398" i="4"/>
  <c r="G1393" i="4"/>
  <c r="K1388" i="4"/>
  <c r="A1384" i="4"/>
  <c r="M1504" i="4"/>
  <c r="N1484" i="4"/>
  <c r="E1509" i="4"/>
  <c r="F1489" i="4"/>
  <c r="M1469" i="4"/>
  <c r="J1450" i="4"/>
  <c r="F1435" i="4"/>
  <c r="E1430" i="4"/>
  <c r="H1425" i="4"/>
  <c r="J1420" i="4"/>
  <c r="L1415" i="4"/>
  <c r="N1410" i="4"/>
  <c r="F1406" i="4"/>
  <c r="I1401" i="4"/>
  <c r="M1396" i="4"/>
  <c r="B1392" i="4"/>
  <c r="G1387" i="4"/>
  <c r="J1382" i="4"/>
  <c r="K1506" i="4"/>
  <c r="L1486" i="4"/>
  <c r="G1467" i="4"/>
  <c r="C1448" i="4"/>
  <c r="H1434" i="4"/>
  <c r="I1429" i="4"/>
  <c r="L1424" i="4"/>
  <c r="N1419" i="4"/>
  <c r="C1415" i="4"/>
  <c r="E1410" i="4"/>
  <c r="J1405" i="4"/>
  <c r="K1488" i="4"/>
  <c r="A1435" i="4"/>
  <c r="N1421" i="4"/>
  <c r="B1409" i="4"/>
  <c r="N1397" i="4"/>
  <c r="H1388" i="4"/>
  <c r="G1379" i="4"/>
  <c r="H1374" i="4"/>
  <c r="J1369" i="4"/>
  <c r="K1364" i="4"/>
  <c r="A1360" i="4"/>
  <c r="F1355" i="4"/>
  <c r="L1350" i="4"/>
  <c r="D1346" i="4"/>
  <c r="I1341" i="4"/>
  <c r="M1336" i="4"/>
  <c r="D1469" i="4"/>
  <c r="E1431" i="4"/>
  <c r="I1418" i="4"/>
  <c r="L1405" i="4"/>
  <c r="H1395" i="4"/>
  <c r="C1386" i="4"/>
  <c r="A1378" i="4"/>
  <c r="C1373" i="4"/>
  <c r="F1368" i="4"/>
  <c r="H1363" i="4"/>
  <c r="L1358" i="4"/>
  <c r="C1354" i="4"/>
  <c r="I1349" i="4"/>
  <c r="A1345" i="4"/>
  <c r="E1340" i="4"/>
  <c r="J1335" i="4"/>
  <c r="L1460" i="4"/>
  <c r="H1429" i="4"/>
  <c r="L1416" i="4"/>
  <c r="A1404" i="4"/>
  <c r="D1394" i="4"/>
  <c r="L1384" i="4"/>
  <c r="F1377" i="4"/>
  <c r="H1372" i="4"/>
  <c r="J1367" i="4"/>
  <c r="M1362" i="4"/>
  <c r="C1358" i="4"/>
  <c r="H1353" i="4"/>
  <c r="N1348" i="4"/>
  <c r="F1344" i="4"/>
  <c r="J1339" i="4"/>
  <c r="N1334" i="4"/>
  <c r="J1453" i="4"/>
  <c r="K1427" i="4"/>
  <c r="N1414" i="4"/>
  <c r="D1402" i="4"/>
  <c r="K1392" i="4"/>
  <c r="F1383" i="4"/>
  <c r="J1376" i="4"/>
  <c r="L1371" i="4"/>
  <c r="N1366" i="4"/>
  <c r="D1362" i="4"/>
  <c r="H1357" i="4"/>
  <c r="M1352" i="4"/>
  <c r="E1348" i="4"/>
  <c r="K1343" i="4"/>
  <c r="A1339" i="4"/>
  <c r="E1334" i="4"/>
  <c r="F1446" i="4"/>
  <c r="N1425" i="4"/>
  <c r="D1413" i="4"/>
  <c r="M1400" i="4"/>
  <c r="G1391" i="4"/>
  <c r="N1381" i="4"/>
  <c r="N1375" i="4"/>
  <c r="C1371" i="4"/>
  <c r="E1366" i="4"/>
  <c r="I1361" i="4"/>
  <c r="G1458" i="4"/>
  <c r="M1436" i="4"/>
  <c r="A1431" i="4"/>
  <c r="D1426" i="4"/>
  <c r="G1421" i="4"/>
  <c r="I1416" i="4"/>
  <c r="K1411" i="4"/>
  <c r="B1407" i="4"/>
  <c r="E1402" i="4"/>
  <c r="I1397" i="4"/>
  <c r="L1392" i="4"/>
  <c r="C1388" i="4"/>
  <c r="G1383" i="4"/>
  <c r="G1502" i="4"/>
  <c r="H1482" i="4"/>
  <c r="L1506" i="4"/>
  <c r="M1486" i="4"/>
  <c r="H1467" i="4"/>
  <c r="D1448" i="4"/>
  <c r="I1434" i="4"/>
  <c r="J1429" i="4"/>
  <c r="M1424" i="4"/>
  <c r="A1420" i="4"/>
  <c r="D1415" i="4"/>
  <c r="F1410" i="4"/>
  <c r="K1405" i="4"/>
  <c r="N1400" i="4"/>
  <c r="E1396" i="4"/>
  <c r="H1391" i="4"/>
  <c r="M1386" i="4"/>
  <c r="A1382" i="4"/>
  <c r="E1504" i="4"/>
  <c r="F1484" i="4"/>
  <c r="A1465" i="4"/>
  <c r="L1445" i="4"/>
  <c r="L1433" i="4"/>
  <c r="N1428" i="4"/>
  <c r="D1424" i="4"/>
  <c r="F1419" i="4"/>
  <c r="H1414" i="4"/>
  <c r="K1409" i="4"/>
  <c r="A1405" i="4"/>
  <c r="N1478" i="4"/>
  <c r="C1433" i="4"/>
  <c r="G1420" i="4"/>
  <c r="I1407" i="4"/>
  <c r="L1396" i="4"/>
  <c r="F1387" i="4"/>
  <c r="K1378" i="4"/>
  <c r="M1373" i="4"/>
  <c r="A1369" i="4"/>
  <c r="C1364" i="4"/>
  <c r="G1359" i="4"/>
  <c r="L1354" i="4"/>
  <c r="D1350" i="4"/>
  <c r="J1345" i="4"/>
  <c r="N1340" i="4"/>
  <c r="E1336" i="4"/>
  <c r="A1462" i="4"/>
  <c r="K1429" i="4"/>
  <c r="M1416" i="4"/>
  <c r="E1404" i="4"/>
  <c r="E1394" i="4"/>
  <c r="M1384" i="4"/>
  <c r="G1377" i="4"/>
  <c r="I1372" i="4"/>
  <c r="K1367" i="4"/>
  <c r="N1362" i="4"/>
  <c r="D1358" i="4"/>
  <c r="I1353" i="4"/>
  <c r="A1349" i="4"/>
  <c r="G1344" i="4"/>
  <c r="K1339" i="4"/>
  <c r="A1335" i="4"/>
  <c r="L1454" i="4"/>
  <c r="N1427" i="4"/>
  <c r="A1415" i="4"/>
  <c r="H1402" i="4"/>
  <c r="A1393" i="4"/>
  <c r="J1383" i="4"/>
  <c r="K1376" i="4"/>
  <c r="M1371" i="4"/>
  <c r="A1367" i="4"/>
  <c r="E1362" i="4"/>
  <c r="I1357" i="4"/>
  <c r="N1352" i="4"/>
  <c r="F1348" i="4"/>
  <c r="L1343" i="4"/>
  <c r="B1339" i="4"/>
  <c r="F1334" i="4"/>
  <c r="I1447" i="4"/>
  <c r="C1426" i="4"/>
  <c r="E1413" i="4"/>
  <c r="A1401" i="4"/>
  <c r="I1391" i="4"/>
  <c r="C1382" i="4"/>
  <c r="A1376" i="4"/>
  <c r="D1371" i="4"/>
  <c r="F1366" i="4"/>
  <c r="J1361" i="4"/>
  <c r="M1356" i="4"/>
  <c r="E1352" i="4"/>
  <c r="K1347" i="4"/>
  <c r="C1343" i="4"/>
  <c r="G1338" i="4"/>
  <c r="K1503" i="4"/>
  <c r="J1440" i="4"/>
  <c r="F1424" i="4"/>
  <c r="G1411" i="4"/>
  <c r="K1399" i="4"/>
  <c r="D1390" i="4"/>
  <c r="K1380" i="4"/>
  <c r="A1456" i="4"/>
  <c r="K1401" i="4"/>
  <c r="G1484" i="4"/>
  <c r="L1409" i="4"/>
  <c r="M1481" i="4"/>
  <c r="C1409" i="4"/>
  <c r="C1378" i="4"/>
  <c r="F1340" i="4"/>
  <c r="L1376" i="4"/>
  <c r="C1339" i="4"/>
  <c r="F1401" i="4"/>
  <c r="E1371" i="4"/>
  <c r="F1352" i="4"/>
  <c r="C1506" i="4"/>
  <c r="M1399" i="4"/>
  <c r="I1370" i="4"/>
  <c r="K1351" i="4"/>
  <c r="J1493" i="4"/>
  <c r="I1398" i="4"/>
  <c r="L1374" i="4"/>
  <c r="J1365" i="4"/>
  <c r="I1358" i="4"/>
  <c r="F1353" i="4"/>
  <c r="D1348" i="4"/>
  <c r="B1343" i="4"/>
  <c r="L1337" i="4"/>
  <c r="E1445" i="4"/>
  <c r="H1422" i="4"/>
  <c r="C1408" i="4"/>
  <c r="C1396" i="4"/>
  <c r="H1385" i="4"/>
  <c r="K1377" i="4"/>
  <c r="M1372" i="4"/>
  <c r="A1368" i="4"/>
  <c r="D1363" i="4"/>
  <c r="H1358" i="4"/>
  <c r="M1353" i="4"/>
  <c r="E1349" i="4"/>
  <c r="K1344" i="4"/>
  <c r="E1481" i="4"/>
  <c r="F1433" i="4"/>
  <c r="H1420" i="4"/>
  <c r="M1407" i="4"/>
  <c r="N1396" i="4"/>
  <c r="H1387" i="4"/>
  <c r="L1378" i="4"/>
  <c r="N1373" i="4"/>
  <c r="C1369" i="4"/>
  <c r="D1364" i="4"/>
  <c r="H1359" i="4"/>
  <c r="M1354" i="4"/>
  <c r="E1350" i="4"/>
  <c r="K1345" i="4"/>
  <c r="A1341" i="4"/>
  <c r="I1380" i="4"/>
  <c r="F1342" i="4"/>
  <c r="I1332" i="4"/>
  <c r="M1327" i="4"/>
  <c r="D1323" i="4"/>
  <c r="J1318" i="4"/>
  <c r="M1313" i="4"/>
  <c r="E1309" i="4"/>
  <c r="J1304" i="4"/>
  <c r="N1299" i="4"/>
  <c r="J1374" i="4"/>
  <c r="G1339" i="4"/>
  <c r="M1331" i="4"/>
  <c r="D1327" i="4"/>
  <c r="I1322" i="4"/>
  <c r="N1317" i="4"/>
  <c r="D1313" i="4"/>
  <c r="J1308" i="4"/>
  <c r="A1304" i="4"/>
  <c r="E1299" i="4"/>
  <c r="C1293" i="4"/>
  <c r="H1288" i="4"/>
  <c r="N1283" i="4"/>
  <c r="F1279" i="4"/>
  <c r="K1274" i="4"/>
  <c r="F1481" i="4"/>
  <c r="D1369" i="4"/>
  <c r="K1337" i="4"/>
  <c r="C1331" i="4"/>
  <c r="I1326" i="4"/>
  <c r="N1321" i="4"/>
  <c r="E1317" i="4"/>
  <c r="I1312" i="4"/>
  <c r="A1308" i="4"/>
  <c r="F1303" i="4"/>
  <c r="J1298" i="4"/>
  <c r="H1292" i="4"/>
  <c r="M1287" i="4"/>
  <c r="E1283" i="4"/>
  <c r="J1278" i="4"/>
  <c r="B1274" i="4"/>
  <c r="A1396" i="4"/>
  <c r="L1349" i="4"/>
  <c r="H1333" i="4"/>
  <c r="L1328" i="4"/>
  <c r="C1324" i="4"/>
  <c r="I1319" i="4"/>
  <c r="M1314" i="4"/>
  <c r="D1310" i="4"/>
  <c r="J1305" i="4"/>
  <c r="N1300" i="4"/>
  <c r="E1295" i="4"/>
  <c r="C1290" i="4"/>
  <c r="H1285" i="4"/>
  <c r="N1280" i="4"/>
  <c r="E1276" i="4"/>
  <c r="K1271" i="4"/>
  <c r="F1385" i="4"/>
  <c r="J1344" i="4"/>
  <c r="M1332" i="4"/>
  <c r="C1328" i="4"/>
  <c r="H1323" i="4"/>
  <c r="N1318" i="4"/>
  <c r="D1314" i="4"/>
  <c r="I1309" i="4"/>
  <c r="N1304" i="4"/>
  <c r="E1300" i="4"/>
  <c r="C1294" i="4"/>
  <c r="H1289" i="4"/>
  <c r="M1284" i="4"/>
  <c r="E1280" i="4"/>
  <c r="J1275" i="4"/>
  <c r="J1435" i="4"/>
  <c r="A1397" i="4"/>
  <c r="C1465" i="4"/>
  <c r="C1405" i="4"/>
  <c r="I1462" i="4"/>
  <c r="G1404" i="4"/>
  <c r="D1373" i="4"/>
  <c r="K1335" i="4"/>
  <c r="N1371" i="4"/>
  <c r="G1334" i="4"/>
  <c r="A1399" i="4"/>
  <c r="B1370" i="4"/>
  <c r="D1351" i="4"/>
  <c r="D1486" i="4"/>
  <c r="H1397" i="4"/>
  <c r="G1369" i="4"/>
  <c r="I1350" i="4"/>
  <c r="A1474" i="4"/>
  <c r="D1396" i="4"/>
  <c r="I1373" i="4"/>
  <c r="A1365" i="4"/>
  <c r="A1358" i="4"/>
  <c r="L1352" i="4"/>
  <c r="J1347" i="4"/>
  <c r="H1342" i="4"/>
  <c r="D1337" i="4"/>
  <c r="A1436" i="4"/>
  <c r="A1421" i="4"/>
  <c r="K1406" i="4"/>
  <c r="N1394" i="4"/>
  <c r="E1384" i="4"/>
  <c r="C1377" i="4"/>
  <c r="E1372" i="4"/>
  <c r="F1367" i="4"/>
  <c r="J1362" i="4"/>
  <c r="N1357" i="4"/>
  <c r="E1353" i="4"/>
  <c r="K1348" i="4"/>
  <c r="C1344" i="4"/>
  <c r="I1471" i="4"/>
  <c r="L1431" i="4"/>
  <c r="M1418" i="4"/>
  <c r="D1406" i="4"/>
  <c r="K1395" i="4"/>
  <c r="F1386" i="4"/>
  <c r="D1378" i="4"/>
  <c r="E1373" i="4"/>
  <c r="H1368" i="4"/>
  <c r="J1363" i="4"/>
  <c r="N1358" i="4"/>
  <c r="E1354" i="4"/>
  <c r="K1349" i="4"/>
  <c r="C1345" i="4"/>
  <c r="G1340" i="4"/>
  <c r="D1375" i="4"/>
  <c r="M1339" i="4"/>
  <c r="N1331" i="4"/>
  <c r="E1327" i="4"/>
  <c r="J1322" i="4"/>
  <c r="A1318" i="4"/>
  <c r="E1313" i="4"/>
  <c r="K1308" i="4"/>
  <c r="B1304" i="4"/>
  <c r="C1491" i="4"/>
  <c r="L1369" i="4"/>
  <c r="C1338" i="4"/>
  <c r="D1331" i="4"/>
  <c r="J1326" i="4"/>
  <c r="A1322" i="4"/>
  <c r="F1317" i="4"/>
  <c r="J1312" i="4"/>
  <c r="B1308" i="4"/>
  <c r="G1303" i="4"/>
  <c r="K1298" i="4"/>
  <c r="I1292" i="4"/>
  <c r="N1287" i="4"/>
  <c r="F1283" i="4"/>
  <c r="K1278" i="4"/>
  <c r="C1274" i="4"/>
  <c r="J1433" i="4"/>
  <c r="E1364" i="4"/>
  <c r="G1336" i="4"/>
  <c r="I1330" i="4"/>
  <c r="A1326" i="4"/>
  <c r="F1321" i="4"/>
  <c r="K1316" i="4"/>
  <c r="A1312" i="4"/>
  <c r="G1307" i="4"/>
  <c r="K1302" i="4"/>
  <c r="B1298" i="4"/>
  <c r="N1291" i="4"/>
  <c r="E1287" i="4"/>
  <c r="K1282" i="4"/>
  <c r="B1278" i="4"/>
  <c r="H1273" i="4"/>
  <c r="J1386" i="4"/>
  <c r="D1345" i="4"/>
  <c r="N1332" i="4"/>
  <c r="D1328" i="4"/>
  <c r="I1323" i="4"/>
  <c r="A1319" i="4"/>
  <c r="E1314" i="4"/>
  <c r="J1309" i="4"/>
  <c r="A1305" i="4"/>
  <c r="F1300" i="4"/>
  <c r="D1294" i="4"/>
  <c r="I1289" i="4"/>
  <c r="N1284" i="4"/>
  <c r="F1280" i="4"/>
  <c r="K1275" i="4"/>
  <c r="C1271" i="4"/>
  <c r="J1377" i="4"/>
  <c r="I1340" i="4"/>
  <c r="E1332" i="4"/>
  <c r="I1327" i="4"/>
  <c r="N1322" i="4"/>
  <c r="F1318" i="4"/>
  <c r="I1313" i="4"/>
  <c r="A1309" i="4"/>
  <c r="F1304" i="4"/>
  <c r="J1299" i="4"/>
  <c r="H1293" i="4"/>
  <c r="M1288" i="4"/>
  <c r="E1284" i="4"/>
  <c r="K1279" i="4"/>
  <c r="B1275" i="4"/>
  <c r="H1270" i="4"/>
  <c r="G1430" i="4"/>
  <c r="D1392" i="4"/>
  <c r="M1445" i="4"/>
  <c r="F1400" i="4"/>
  <c r="G1443" i="4"/>
  <c r="E1469" i="4"/>
  <c r="G1368" i="4"/>
  <c r="M1454" i="4"/>
  <c r="B1367" i="4"/>
  <c r="J1447" i="4"/>
  <c r="M1391" i="4"/>
  <c r="G1366" i="4"/>
  <c r="L1347" i="4"/>
  <c r="A1441" i="4"/>
  <c r="F1390" i="4"/>
  <c r="K1365" i="4"/>
  <c r="C1347" i="4"/>
  <c r="C1436" i="4"/>
  <c r="B1389" i="4"/>
  <c r="K1371" i="4"/>
  <c r="M1363" i="4"/>
  <c r="G1357" i="4"/>
  <c r="D1352" i="4"/>
  <c r="B1347" i="4"/>
  <c r="M1341" i="4"/>
  <c r="I1493" i="4"/>
  <c r="K1433" i="4"/>
  <c r="E1419" i="4"/>
  <c r="N1404" i="4"/>
  <c r="K1393" i="4"/>
  <c r="C1383" i="4"/>
  <c r="H1376" i="4"/>
  <c r="J1371" i="4"/>
  <c r="L1366" i="4"/>
  <c r="B1362" i="4"/>
  <c r="F1357" i="4"/>
  <c r="K1352" i="4"/>
  <c r="C1348" i="4"/>
  <c r="I1343" i="4"/>
  <c r="D1463" i="4"/>
  <c r="C1430" i="4"/>
  <c r="F1417" i="4"/>
  <c r="I1404" i="4"/>
  <c r="I1394" i="4"/>
  <c r="B1385" i="4"/>
  <c r="I1377" i="4"/>
  <c r="K1372" i="4"/>
  <c r="M1367" i="4"/>
  <c r="B1363" i="4"/>
  <c r="F1358" i="4"/>
  <c r="K1353" i="4"/>
  <c r="C1349" i="4"/>
  <c r="I1344" i="4"/>
  <c r="D1501" i="4"/>
  <c r="F1370" i="4"/>
  <c r="D1338" i="4"/>
  <c r="E1331" i="4"/>
  <c r="K1326" i="4"/>
  <c r="B1322" i="4"/>
  <c r="G1317" i="4"/>
  <c r="K1312" i="4"/>
  <c r="C1308" i="4"/>
  <c r="H1303" i="4"/>
  <c r="H1435" i="4"/>
  <c r="M1364" i="4"/>
  <c r="H1336" i="4"/>
  <c r="J1330" i="4"/>
  <c r="B1326" i="4"/>
  <c r="G1321" i="4"/>
  <c r="L1316" i="4"/>
  <c r="B1312" i="4"/>
  <c r="H1307" i="4"/>
  <c r="L1302" i="4"/>
  <c r="C1298" i="4"/>
  <c r="A1292" i="4"/>
  <c r="F1287" i="4"/>
  <c r="L1282" i="4"/>
  <c r="C1278" i="4"/>
  <c r="I1273" i="4"/>
  <c r="K1420" i="4"/>
  <c r="I1359" i="4"/>
  <c r="E1335" i="4"/>
  <c r="A1330" i="4"/>
  <c r="G1325" i="4"/>
  <c r="L1320" i="4"/>
  <c r="C1316" i="4"/>
  <c r="G1311" i="4"/>
  <c r="M1306" i="4"/>
  <c r="C1302" i="4"/>
  <c r="H1297" i="4"/>
  <c r="F1291" i="4"/>
  <c r="K1286" i="4"/>
  <c r="C1282" i="4"/>
  <c r="H1277" i="4"/>
  <c r="N1272" i="4"/>
  <c r="E1378" i="4"/>
  <c r="B1341" i="4"/>
  <c r="F1332" i="4"/>
  <c r="J1327" i="4"/>
  <c r="A1323" i="4"/>
  <c r="G1318" i="4"/>
  <c r="J1313" i="4"/>
  <c r="B1309" i="4"/>
  <c r="G1304" i="4"/>
  <c r="K1299" i="4"/>
  <c r="I1293" i="4"/>
  <c r="N1288" i="4"/>
  <c r="F1284" i="4"/>
  <c r="L1279" i="4"/>
  <c r="C1275" i="4"/>
  <c r="I1270" i="4"/>
  <c r="L1372" i="4"/>
  <c r="M1338" i="4"/>
  <c r="J1331" i="4"/>
  <c r="A1327" i="4"/>
  <c r="F1322" i="4"/>
  <c r="K1317" i="4"/>
  <c r="A1313" i="4"/>
  <c r="G1308" i="4"/>
  <c r="L1303" i="4"/>
  <c r="J1425" i="4"/>
  <c r="I1387" i="4"/>
  <c r="M1433" i="4"/>
  <c r="J1395" i="4"/>
  <c r="D1433" i="4"/>
  <c r="H1431" i="4"/>
  <c r="I1363" i="4"/>
  <c r="D1428" i="4"/>
  <c r="F1362" i="4"/>
  <c r="H1437" i="4"/>
  <c r="H1389" i="4"/>
  <c r="D1365" i="4"/>
  <c r="J1346" i="4"/>
  <c r="E1434" i="4"/>
  <c r="B1388" i="4"/>
  <c r="H1364" i="4"/>
  <c r="A1346" i="4"/>
  <c r="G1432" i="4"/>
  <c r="L1386" i="4"/>
  <c r="H1370" i="4"/>
  <c r="K1362" i="4"/>
  <c r="L1356" i="4"/>
  <c r="J1351" i="4"/>
  <c r="H1346" i="4"/>
  <c r="J1340" i="4"/>
  <c r="K1483" i="4"/>
  <c r="C1432" i="4"/>
  <c r="J1417" i="4"/>
  <c r="G1403" i="4"/>
  <c r="H1392" i="4"/>
  <c r="M1381" i="4"/>
  <c r="M1375" i="4"/>
  <c r="A1371" i="4"/>
  <c r="D1366" i="4"/>
  <c r="H1361" i="4"/>
  <c r="K1356" i="4"/>
  <c r="C1352" i="4"/>
  <c r="I1347" i="4"/>
  <c r="A1343" i="4"/>
  <c r="D1457" i="4"/>
  <c r="H1428" i="4"/>
  <c r="J1415" i="4"/>
  <c r="C1403" i="4"/>
  <c r="F1393" i="4"/>
  <c r="N1383" i="4"/>
  <c r="N1376" i="4"/>
  <c r="C1372" i="4"/>
  <c r="D1367" i="4"/>
  <c r="H1362" i="4"/>
  <c r="L1357" i="4"/>
  <c r="C1353" i="4"/>
  <c r="I1348" i="4"/>
  <c r="A1344" i="4"/>
  <c r="F1439" i="4"/>
  <c r="H1365" i="4"/>
  <c r="I1336" i="4"/>
  <c r="K1330" i="4"/>
  <c r="C1326" i="4"/>
  <c r="H1321" i="4"/>
  <c r="M1316" i="4"/>
  <c r="C1312" i="4"/>
  <c r="I1307" i="4"/>
  <c r="M1302" i="4"/>
  <c r="E1422" i="4"/>
  <c r="D1360" i="4"/>
  <c r="F1335" i="4"/>
  <c r="B1330" i="4"/>
  <c r="H1325" i="4"/>
  <c r="M1320" i="4"/>
  <c r="D1316" i="4"/>
  <c r="H1311" i="4"/>
  <c r="N1306" i="4"/>
  <c r="D1302" i="4"/>
  <c r="I1297" i="4"/>
  <c r="G1291" i="4"/>
  <c r="L1286" i="4"/>
  <c r="D1282" i="4"/>
  <c r="I1277" i="4"/>
  <c r="A1273" i="4"/>
  <c r="N1407" i="4"/>
  <c r="N1354" i="4"/>
  <c r="C1334" i="4"/>
  <c r="G1329" i="4"/>
  <c r="L1324" i="4"/>
  <c r="D1320" i="4"/>
  <c r="I1315" i="4"/>
  <c r="M1310" i="4"/>
  <c r="E1306" i="4"/>
  <c r="I1301" i="4"/>
  <c r="M1296" i="4"/>
  <c r="L1290" i="4"/>
  <c r="C1286" i="4"/>
  <c r="I1281" i="4"/>
  <c r="N1276" i="4"/>
  <c r="F1272" i="4"/>
  <c r="F1373" i="4"/>
  <c r="E1339" i="4"/>
  <c r="K1331" i="4"/>
  <c r="B1327" i="4"/>
  <c r="G1322" i="4"/>
  <c r="L1317" i="4"/>
  <c r="B1313" i="4"/>
  <c r="H1308" i="4"/>
  <c r="M1303" i="4"/>
  <c r="C1299" i="4"/>
  <c r="A1293" i="4"/>
  <c r="F1288" i="4"/>
  <c r="L1283" i="4"/>
  <c r="D1279" i="4"/>
  <c r="L1420" i="4"/>
  <c r="L1382" i="4"/>
  <c r="A1429" i="4"/>
  <c r="M1390" i="4"/>
  <c r="F1428" i="4"/>
  <c r="J1418" i="4"/>
  <c r="M1358" i="4"/>
  <c r="E1415" i="4"/>
  <c r="J1357" i="4"/>
  <c r="G1426" i="4"/>
  <c r="G1382" i="4"/>
  <c r="K1361" i="4"/>
  <c r="D1343" i="4"/>
  <c r="J1424" i="4"/>
  <c r="M1380" i="4"/>
  <c r="A1361" i="4"/>
  <c r="I1342" i="4"/>
  <c r="L1422" i="4"/>
  <c r="L1379" i="4"/>
  <c r="N1369" i="4"/>
  <c r="C1362" i="4"/>
  <c r="D1356" i="4"/>
  <c r="B1351" i="4"/>
  <c r="F1345" i="4"/>
  <c r="B1340" i="4"/>
  <c r="N1473" i="4"/>
  <c r="J1430" i="4"/>
  <c r="D1416" i="4"/>
  <c r="A1402" i="4"/>
  <c r="F1391" i="4"/>
  <c r="J1380" i="4"/>
  <c r="E1375" i="4"/>
  <c r="G1370" i="4"/>
  <c r="I1365" i="4"/>
  <c r="M1360" i="4"/>
  <c r="C1356" i="4"/>
  <c r="I1351" i="4"/>
  <c r="A1347" i="4"/>
  <c r="G1342" i="4"/>
  <c r="A1450" i="4"/>
  <c r="A1427" i="4"/>
  <c r="B1414" i="4"/>
  <c r="J1401" i="4"/>
  <c r="C1392" i="4"/>
  <c r="K1382" i="4"/>
  <c r="F1376" i="4"/>
  <c r="H1371" i="4"/>
  <c r="J1366" i="4"/>
  <c r="N1361" i="4"/>
  <c r="D1357" i="4"/>
  <c r="I1352" i="4"/>
  <c r="A1348" i="4"/>
  <c r="G1343" i="4"/>
  <c r="A1424" i="4"/>
  <c r="L1360" i="4"/>
  <c r="G1335" i="4"/>
  <c r="C1330" i="4"/>
  <c r="I1325" i="4"/>
  <c r="N1320" i="4"/>
  <c r="E1316" i="4"/>
  <c r="I1311" i="4"/>
  <c r="A1307" i="4"/>
  <c r="E1302" i="4"/>
  <c r="I1409" i="4"/>
  <c r="H1355" i="4"/>
  <c r="D1334" i="4"/>
  <c r="H1329" i="4"/>
  <c r="M1324" i="4"/>
  <c r="E1320" i="4"/>
  <c r="J1315" i="4"/>
  <c r="N1310" i="4"/>
  <c r="F1306" i="4"/>
  <c r="J1301" i="4"/>
  <c r="A1297" i="4"/>
  <c r="M1290" i="4"/>
  <c r="D1286" i="4"/>
  <c r="J1281" i="4"/>
  <c r="A1277" i="4"/>
  <c r="G1272" i="4"/>
  <c r="D1397" i="4"/>
  <c r="F1350" i="4"/>
  <c r="I1333" i="4"/>
  <c r="M1328" i="4"/>
  <c r="D1324" i="4"/>
  <c r="J1319" i="4"/>
  <c r="N1314" i="4"/>
  <c r="E1310" i="4"/>
  <c r="K1305" i="4"/>
  <c r="A1301" i="4"/>
  <c r="F1295" i="4"/>
  <c r="D1290" i="4"/>
  <c r="I1285" i="4"/>
  <c r="A1281" i="4"/>
  <c r="F1276" i="4"/>
  <c r="J1471" i="4"/>
  <c r="I1368" i="4"/>
  <c r="J1337" i="4"/>
  <c r="B1331" i="4"/>
  <c r="H1326" i="4"/>
  <c r="M1321" i="4"/>
  <c r="D1317" i="4"/>
  <c r="H1312" i="4"/>
  <c r="N1307" i="4"/>
  <c r="E1303" i="4"/>
  <c r="I1298" i="4"/>
  <c r="G1292" i="4"/>
  <c r="L1287" i="4"/>
  <c r="D1283" i="4"/>
  <c r="I1278" i="4"/>
  <c r="A1274" i="4"/>
  <c r="F1430" i="4"/>
  <c r="C1363" i="4"/>
  <c r="A1336" i="4"/>
  <c r="G1330" i="4"/>
  <c r="M1325" i="4"/>
  <c r="D1321" i="4"/>
  <c r="I1316" i="4"/>
  <c r="N1415" i="4"/>
  <c r="L1499" i="4"/>
  <c r="E1424" i="4"/>
  <c r="E1386" i="4"/>
  <c r="I1423" i="4"/>
  <c r="C1406" i="4"/>
  <c r="D1354" i="4"/>
  <c r="I1402" i="4"/>
  <c r="A1353" i="4"/>
  <c r="B1423" i="4"/>
  <c r="A1380" i="4"/>
  <c r="H1360" i="4"/>
  <c r="A1342" i="4"/>
  <c r="F1421" i="4"/>
  <c r="C1379" i="4"/>
  <c r="L1359" i="4"/>
  <c r="E1341" i="4"/>
  <c r="H1419" i="4"/>
  <c r="G1378" i="4"/>
  <c r="K1368" i="4"/>
  <c r="N1360" i="4"/>
  <c r="J1355" i="4"/>
  <c r="N1349" i="4"/>
  <c r="L1344" i="4"/>
  <c r="H1339" i="4"/>
  <c r="H1464" i="4"/>
  <c r="M1428" i="4"/>
  <c r="G1414" i="4"/>
  <c r="L1400" i="4"/>
  <c r="A1389" i="4"/>
  <c r="K1379" i="4"/>
  <c r="K1374" i="4"/>
  <c r="M1369" i="4"/>
  <c r="N1364" i="4"/>
  <c r="E1360" i="4"/>
  <c r="I1355" i="4"/>
  <c r="A1351" i="4"/>
  <c r="G1346" i="4"/>
  <c r="L1341" i="4"/>
  <c r="A1444" i="4"/>
  <c r="F1425" i="4"/>
  <c r="I1412" i="4"/>
  <c r="G1400" i="4"/>
  <c r="N1390" i="4"/>
  <c r="H1381" i="4"/>
  <c r="K1375" i="4"/>
  <c r="M1370" i="4"/>
  <c r="A1366" i="4"/>
  <c r="F1361" i="4"/>
  <c r="I1356" i="4"/>
  <c r="A1352" i="4"/>
  <c r="G1347" i="4"/>
  <c r="M1342" i="4"/>
  <c r="A1411" i="4"/>
  <c r="B1356" i="4"/>
  <c r="H1334" i="4"/>
  <c r="I1329" i="4"/>
  <c r="N1324" i="4"/>
  <c r="F1320" i="4"/>
  <c r="K1315" i="4"/>
  <c r="A1311" i="4"/>
  <c r="G1306" i="4"/>
  <c r="K1301" i="4"/>
  <c r="G1398" i="4"/>
  <c r="N1350" i="4"/>
  <c r="J1333" i="4"/>
  <c r="N1328" i="4"/>
  <c r="E1324" i="4"/>
  <c r="K1319" i="4"/>
  <c r="A1315" i="4"/>
  <c r="F1310" i="4"/>
  <c r="L1305" i="4"/>
  <c r="B1301" i="4"/>
  <c r="G1295" i="4"/>
  <c r="E1290" i="4"/>
  <c r="J1285" i="4"/>
  <c r="B1281" i="4"/>
  <c r="G1276" i="4"/>
  <c r="M1271" i="4"/>
  <c r="L1387" i="4"/>
  <c r="L1345" i="4"/>
  <c r="A1333" i="4"/>
  <c r="E1328" i="4"/>
  <c r="J1323" i="4"/>
  <c r="B1319" i="4"/>
  <c r="F1314" i="4"/>
  <c r="K1309" i="4"/>
  <c r="B1305" i="4"/>
  <c r="G1300" i="4"/>
  <c r="E1294" i="4"/>
  <c r="J1289" i="4"/>
  <c r="A1285" i="4"/>
  <c r="G1280" i="4"/>
  <c r="L1275" i="4"/>
  <c r="M1431" i="4"/>
  <c r="K1363" i="4"/>
  <c r="F1336" i="4"/>
  <c r="H1330" i="4"/>
  <c r="N1325" i="4"/>
  <c r="E1321" i="4"/>
  <c r="J1316" i="4"/>
  <c r="N1311" i="4"/>
  <c r="F1307" i="4"/>
  <c r="J1302" i="4"/>
  <c r="A1298" i="4"/>
  <c r="M1291" i="4"/>
  <c r="D1287" i="4"/>
  <c r="J1282" i="4"/>
  <c r="A1278" i="4"/>
  <c r="G1273" i="4"/>
  <c r="G1417" i="4"/>
  <c r="G1358" i="4"/>
  <c r="L1334" i="4"/>
  <c r="M1329" i="4"/>
  <c r="E1325" i="4"/>
  <c r="J1320" i="4"/>
  <c r="A1316" i="4"/>
  <c r="E1311" i="4"/>
  <c r="K1306" i="4"/>
  <c r="A1302" i="4"/>
  <c r="C1411" i="4"/>
  <c r="B1480" i="4"/>
  <c r="G1419" i="4"/>
  <c r="G1381" i="4"/>
  <c r="K1418" i="4"/>
  <c r="I1395" i="4"/>
  <c r="J1349" i="4"/>
  <c r="C1393" i="4"/>
  <c r="G1348" i="4"/>
  <c r="H1413" i="4"/>
  <c r="C1376" i="4"/>
  <c r="N1356" i="4"/>
  <c r="H1338" i="4"/>
  <c r="J1411" i="4"/>
  <c r="G1375" i="4"/>
  <c r="E1356" i="4"/>
  <c r="M1337" i="4"/>
  <c r="M1409" i="4"/>
  <c r="I1376" i="4"/>
  <c r="H1367" i="4"/>
  <c r="F1360" i="4"/>
  <c r="H1354" i="4"/>
  <c r="F1349" i="4"/>
  <c r="D1344" i="4"/>
  <c r="N1338" i="4"/>
  <c r="F1458" i="4"/>
  <c r="F1427" i="4"/>
  <c r="M1412" i="4"/>
  <c r="H1398" i="4"/>
  <c r="M1387" i="4"/>
  <c r="N1378" i="4"/>
  <c r="C1374" i="4"/>
  <c r="E1369" i="4"/>
  <c r="F1364" i="4"/>
  <c r="J1359" i="4"/>
  <c r="A1355" i="4"/>
  <c r="G1350" i="4"/>
  <c r="M1345" i="4"/>
  <c r="C1501" i="4"/>
  <c r="D1439" i="4"/>
  <c r="K1423" i="4"/>
  <c r="L1410" i="4"/>
  <c r="E1399" i="4"/>
  <c r="L1389" i="4"/>
  <c r="F1380" i="4"/>
  <c r="C1375" i="4"/>
  <c r="E1370" i="4"/>
  <c r="G1365" i="4"/>
  <c r="K1360" i="4"/>
  <c r="A1356" i="4"/>
  <c r="G1351" i="4"/>
  <c r="M1346" i="4"/>
  <c r="E1342" i="4"/>
  <c r="I1399" i="4"/>
  <c r="H1351" i="4"/>
  <c r="K1333" i="4"/>
  <c r="A1329" i="4"/>
  <c r="F1324" i="4"/>
  <c r="L1319" i="4"/>
  <c r="C1315" i="4"/>
  <c r="G1310" i="4"/>
  <c r="M1305" i="4"/>
  <c r="C1301" i="4"/>
  <c r="N1388" i="4"/>
  <c r="F1346" i="4"/>
  <c r="B1333" i="4"/>
  <c r="F1328" i="4"/>
  <c r="K1323" i="4"/>
  <c r="C1319" i="4"/>
  <c r="G1314" i="4"/>
  <c r="L1309" i="4"/>
  <c r="C1305" i="4"/>
  <c r="H1300" i="4"/>
  <c r="F1294" i="4"/>
  <c r="K1289" i="4"/>
  <c r="B1285" i="4"/>
  <c r="H1280" i="4"/>
  <c r="M1275" i="4"/>
  <c r="E1271" i="4"/>
  <c r="M1378" i="4"/>
  <c r="C1341" i="4"/>
  <c r="G1332" i="4"/>
  <c r="K1327" i="4"/>
  <c r="B1323" i="4"/>
  <c r="H1318" i="4"/>
  <c r="K1313" i="4"/>
  <c r="C1309" i="4"/>
  <c r="H1304" i="4"/>
  <c r="L1299" i="4"/>
  <c r="J1293" i="4"/>
  <c r="A1289" i="4"/>
  <c r="G1284" i="4"/>
  <c r="M1279" i="4"/>
  <c r="D1275" i="4"/>
  <c r="D1419" i="4"/>
  <c r="A1359" i="4"/>
  <c r="D1335" i="4"/>
  <c r="N1329" i="4"/>
  <c r="F1325" i="4"/>
  <c r="K1320" i="4"/>
  <c r="B1316" i="4"/>
  <c r="F1311" i="4"/>
  <c r="L1306" i="4"/>
  <c r="B1302" i="4"/>
  <c r="G1297" i="4"/>
  <c r="E1291" i="4"/>
  <c r="J1286" i="4"/>
  <c r="B1282" i="4"/>
  <c r="G1277" i="4"/>
  <c r="M1272" i="4"/>
  <c r="M1404" i="4"/>
  <c r="L1353" i="4"/>
  <c r="A1334" i="4"/>
  <c r="E1329" i="4"/>
  <c r="J1324" i="4"/>
  <c r="B1320" i="4"/>
  <c r="G1315" i="4"/>
  <c r="K1310" i="4"/>
  <c r="C1306" i="4"/>
  <c r="G1301" i="4"/>
  <c r="E1296" i="4"/>
  <c r="J1290" i="4"/>
  <c r="A1286" i="4"/>
  <c r="G1281" i="4"/>
  <c r="L1276" i="4"/>
  <c r="D1272" i="4"/>
  <c r="M1415" i="4"/>
  <c r="H1406" i="4"/>
  <c r="M1343" i="4"/>
  <c r="J1336" i="4"/>
  <c r="F1338" i="4"/>
  <c r="J1368" i="4"/>
  <c r="D1422" i="4"/>
  <c r="C1360" i="4"/>
  <c r="G1328" i="4"/>
  <c r="K1341" i="4"/>
  <c r="M1299" i="4"/>
  <c r="F1339" i="4"/>
  <c r="D1299" i="4"/>
  <c r="B1334" i="4"/>
  <c r="F1296" i="4"/>
  <c r="M1394" i="4"/>
  <c r="B1324" i="4"/>
  <c r="M1307" i="4"/>
  <c r="N1297" i="4"/>
  <c r="E1288" i="4"/>
  <c r="A1282" i="4"/>
  <c r="N1273" i="4"/>
  <c r="L1428" i="4"/>
  <c r="M1357" i="4"/>
  <c r="K1334" i="4"/>
  <c r="L1329" i="4"/>
  <c r="D1325" i="4"/>
  <c r="I1320" i="4"/>
  <c r="N1315" i="4"/>
  <c r="D1311" i="4"/>
  <c r="J1306" i="4"/>
  <c r="N1301" i="4"/>
  <c r="E1297" i="4"/>
  <c r="C1291" i="4"/>
  <c r="H1286" i="4"/>
  <c r="N1281" i="4"/>
  <c r="D1445" i="4"/>
  <c r="C1366" i="4"/>
  <c r="N1336" i="4"/>
  <c r="L1330" i="4"/>
  <c r="D1326" i="4"/>
  <c r="I1321" i="4"/>
  <c r="N1316" i="4"/>
  <c r="D1312" i="4"/>
  <c r="J1307" i="4"/>
  <c r="N1302" i="4"/>
  <c r="E1298" i="4"/>
  <c r="C1292" i="4"/>
  <c r="H1287" i="4"/>
  <c r="N1282" i="4"/>
  <c r="E1278" i="4"/>
  <c r="K1273" i="4"/>
  <c r="M1330" i="4"/>
  <c r="C1296" i="4"/>
  <c r="B1277" i="4"/>
  <c r="F1268" i="4"/>
  <c r="L1263" i="4"/>
  <c r="D1259" i="4"/>
  <c r="I1254" i="4"/>
  <c r="M1249" i="4"/>
  <c r="D1245" i="4"/>
  <c r="G1240" i="4"/>
  <c r="M1235" i="4"/>
  <c r="E1231" i="4"/>
  <c r="I1226" i="4"/>
  <c r="M1221" i="4"/>
  <c r="D1217" i="4"/>
  <c r="H1212" i="4"/>
  <c r="K1325" i="4"/>
  <c r="J1292" i="4"/>
  <c r="F1275" i="4"/>
  <c r="K1267" i="4"/>
  <c r="C1263" i="4"/>
  <c r="I1258" i="4"/>
  <c r="M1253" i="4"/>
  <c r="D1249" i="4"/>
  <c r="H1244" i="4"/>
  <c r="L1239" i="4"/>
  <c r="D1235" i="4"/>
  <c r="J1230" i="4"/>
  <c r="M1225" i="4"/>
  <c r="D1221" i="4"/>
  <c r="H1216" i="4"/>
  <c r="L1211" i="4"/>
  <c r="M1315" i="4"/>
  <c r="I1287" i="4"/>
  <c r="B1272" i="4"/>
  <c r="H1266" i="4"/>
  <c r="N1261" i="4"/>
  <c r="F1257" i="4"/>
  <c r="I1252" i="4"/>
  <c r="A1248" i="4"/>
  <c r="E1243" i="4"/>
  <c r="I1238" i="4"/>
  <c r="A1234" i="4"/>
  <c r="G1229" i="4"/>
  <c r="I1224" i="4"/>
  <c r="A1220" i="4"/>
  <c r="D1215" i="4"/>
  <c r="H1210" i="4"/>
  <c r="I1310" i="4"/>
  <c r="C1285" i="4"/>
  <c r="M1270" i="4"/>
  <c r="M1265" i="4"/>
  <c r="E1261" i="4"/>
  <c r="K1256" i="4"/>
  <c r="N1251" i="4"/>
  <c r="F1247" i="4"/>
  <c r="I1242" i="4"/>
  <c r="N1237" i="4"/>
  <c r="F1233" i="4"/>
  <c r="K1228" i="4"/>
  <c r="N1223" i="4"/>
  <c r="F1219" i="4"/>
  <c r="I1214" i="4"/>
  <c r="G1392" i="4"/>
  <c r="F1305" i="4"/>
  <c r="G1282" i="4"/>
  <c r="A1270" i="4"/>
  <c r="D1265" i="4"/>
  <c r="J1260" i="4"/>
  <c r="A1256" i="4"/>
  <c r="E1251" i="4"/>
  <c r="K1246" i="4"/>
  <c r="L1318" i="4"/>
  <c r="D1289" i="4"/>
  <c r="B1273" i="4"/>
  <c r="M1266" i="4"/>
  <c r="E1262" i="4"/>
  <c r="K1257" i="4"/>
  <c r="F1504" i="4"/>
  <c r="D1410" i="4"/>
  <c r="L1406" i="4"/>
  <c r="G1452" i="4"/>
  <c r="L1363" i="4"/>
  <c r="E1409" i="4"/>
  <c r="G1355" i="4"/>
  <c r="L1323" i="4"/>
  <c r="H1332" i="4"/>
  <c r="K1293" i="4"/>
  <c r="L1331" i="4"/>
  <c r="B1293" i="4"/>
  <c r="F1329" i="4"/>
  <c r="K1290" i="4"/>
  <c r="N1367" i="4"/>
  <c r="L1321" i="4"/>
  <c r="E1307" i="4"/>
  <c r="F1297" i="4"/>
  <c r="K1287" i="4"/>
  <c r="M1280" i="4"/>
  <c r="F1273" i="4"/>
  <c r="D1403" i="4"/>
  <c r="D1353" i="4"/>
  <c r="N1333" i="4"/>
  <c r="D1329" i="4"/>
  <c r="I1324" i="4"/>
  <c r="A1320" i="4"/>
  <c r="F1315" i="4"/>
  <c r="J1310" i="4"/>
  <c r="B1306" i="4"/>
  <c r="F1301" i="4"/>
  <c r="D1296" i="4"/>
  <c r="I1290" i="4"/>
  <c r="N1285" i="4"/>
  <c r="F1281" i="4"/>
  <c r="I1425" i="4"/>
  <c r="G1361" i="4"/>
  <c r="L1335" i="4"/>
  <c r="D1330" i="4"/>
  <c r="J1325" i="4"/>
  <c r="A1321" i="4"/>
  <c r="F1316" i="4"/>
  <c r="J1311" i="4"/>
  <c r="B1307" i="4"/>
  <c r="F1302" i="4"/>
  <c r="K1297" i="4"/>
  <c r="I1291" i="4"/>
  <c r="N1286" i="4"/>
  <c r="F1282" i="4"/>
  <c r="K1277" i="4"/>
  <c r="C1273" i="4"/>
  <c r="E1326" i="4"/>
  <c r="L1292" i="4"/>
  <c r="H1275" i="4"/>
  <c r="L1267" i="4"/>
  <c r="D1263" i="4"/>
  <c r="J1258" i="4"/>
  <c r="N1253" i="4"/>
  <c r="E1249" i="4"/>
  <c r="I1244" i="4"/>
  <c r="M1239" i="4"/>
  <c r="E1235" i="4"/>
  <c r="K1230" i="4"/>
  <c r="N1225" i="4"/>
  <c r="E1221" i="4"/>
  <c r="I1216" i="4"/>
  <c r="M1211" i="4"/>
  <c r="B1321" i="4"/>
  <c r="F1290" i="4"/>
  <c r="L1273" i="4"/>
  <c r="C1267" i="4"/>
  <c r="I1262" i="4"/>
  <c r="A1258" i="4"/>
  <c r="E1253" i="4"/>
  <c r="J1248" i="4"/>
  <c r="N1243" i="4"/>
  <c r="D1239" i="4"/>
  <c r="J1234" i="4"/>
  <c r="B1230" i="4"/>
  <c r="E1225" i="4"/>
  <c r="J1220" i="4"/>
  <c r="M1215" i="4"/>
  <c r="D1211" i="4"/>
  <c r="C1311" i="4"/>
  <c r="E1285" i="4"/>
  <c r="N1270" i="4"/>
  <c r="N1265" i="4"/>
  <c r="F1261" i="4"/>
  <c r="L1256" i="4"/>
  <c r="A1252" i="4"/>
  <c r="G1247" i="4"/>
  <c r="J1242" i="4"/>
  <c r="A1238" i="4"/>
  <c r="G1233" i="4"/>
  <c r="L1228" i="4"/>
  <c r="A1224" i="4"/>
  <c r="G1219" i="4"/>
  <c r="J1214" i="4"/>
  <c r="N1401" i="4"/>
  <c r="A1306" i="4"/>
  <c r="M1282" i="4"/>
  <c r="B1270" i="4"/>
  <c r="E1265" i="4"/>
  <c r="K1260" i="4"/>
  <c r="C1256" i="4"/>
  <c r="F1251" i="4"/>
  <c r="L1246" i="4"/>
  <c r="A1242" i="4"/>
  <c r="F1237" i="4"/>
  <c r="L1232" i="4"/>
  <c r="C1228" i="4"/>
  <c r="F1223" i="4"/>
  <c r="K1218" i="4"/>
  <c r="A1214" i="4"/>
  <c r="B1348" i="4"/>
  <c r="K1300" i="4"/>
  <c r="C1280" i="4"/>
  <c r="E1269" i="4"/>
  <c r="J1264" i="4"/>
  <c r="B1260" i="4"/>
  <c r="G1255" i="4"/>
  <c r="K1250" i="4"/>
  <c r="C1246" i="4"/>
  <c r="A1314" i="4"/>
  <c r="M1286" i="4"/>
  <c r="I1271" i="4"/>
  <c r="E1266" i="4"/>
  <c r="K1261" i="4"/>
  <c r="I1414" i="4"/>
  <c r="N1374" i="4"/>
  <c r="F1375" i="4"/>
  <c r="M1425" i="4"/>
  <c r="B1359" i="4"/>
  <c r="C1398" i="4"/>
  <c r="M1350" i="4"/>
  <c r="D1319" i="4"/>
  <c r="L1327" i="4"/>
  <c r="C1289" i="4"/>
  <c r="C1327" i="4"/>
  <c r="G1288" i="4"/>
  <c r="K1324" i="4"/>
  <c r="B1286" i="4"/>
  <c r="D1349" i="4"/>
  <c r="H1319" i="4"/>
  <c r="I1305" i="4"/>
  <c r="D1295" i="4"/>
  <c r="C1287" i="4"/>
  <c r="C1279" i="4"/>
  <c r="L1272" i="4"/>
  <c r="J1393" i="4"/>
  <c r="J1348" i="4"/>
  <c r="F1333" i="4"/>
  <c r="J1328" i="4"/>
  <c r="A1324" i="4"/>
  <c r="G1319" i="4"/>
  <c r="K1314" i="4"/>
  <c r="B1310" i="4"/>
  <c r="H1305" i="4"/>
  <c r="L1300" i="4"/>
  <c r="C1295" i="4"/>
  <c r="A1290" i="4"/>
  <c r="F1285" i="4"/>
  <c r="L1280" i="4"/>
  <c r="J1412" i="4"/>
  <c r="J1356" i="4"/>
  <c r="I1334" i="4"/>
  <c r="J1329" i="4"/>
  <c r="A1325" i="4"/>
  <c r="G1320" i="4"/>
  <c r="L1315" i="4"/>
  <c r="B1311" i="4"/>
  <c r="H1306" i="4"/>
  <c r="L1301" i="4"/>
  <c r="C1297" i="4"/>
  <c r="A1291" i="4"/>
  <c r="F1286" i="4"/>
  <c r="L1281" i="4"/>
  <c r="C1277" i="4"/>
  <c r="I1272" i="4"/>
  <c r="J1321" i="4"/>
  <c r="H1290" i="4"/>
  <c r="M1273" i="4"/>
  <c r="D1267" i="4"/>
  <c r="J1262" i="4"/>
  <c r="B1258" i="4"/>
  <c r="F1253" i="4"/>
  <c r="K1248" i="4"/>
  <c r="A1244" i="4"/>
  <c r="E1239" i="4"/>
  <c r="K1234" i="4"/>
  <c r="C1230" i="4"/>
  <c r="F1225" i="4"/>
  <c r="K1220" i="4"/>
  <c r="N1215" i="4"/>
  <c r="E1211" i="4"/>
  <c r="G1316" i="4"/>
  <c r="A1288" i="4"/>
  <c r="C1272" i="4"/>
  <c r="I1266" i="4"/>
  <c r="A1262" i="4"/>
  <c r="G1257" i="4"/>
  <c r="J1252" i="4"/>
  <c r="B1248" i="4"/>
  <c r="F1243" i="4"/>
  <c r="J1238" i="4"/>
  <c r="B1234" i="4"/>
  <c r="H1229" i="4"/>
  <c r="J1224" i="4"/>
  <c r="B1220" i="4"/>
  <c r="E1215" i="4"/>
  <c r="F1414" i="4"/>
  <c r="I1306" i="4"/>
  <c r="A1283" i="4"/>
  <c r="C1270" i="4"/>
  <c r="F1265" i="4"/>
  <c r="L1260" i="4"/>
  <c r="D1256" i="4"/>
  <c r="G1251" i="4"/>
  <c r="M1246" i="4"/>
  <c r="B1242" i="4"/>
  <c r="G1237" i="4"/>
  <c r="M1232" i="4"/>
  <c r="D1228" i="4"/>
  <c r="G1223" i="4"/>
  <c r="L1218" i="4"/>
  <c r="B1214" i="4"/>
  <c r="J1352" i="4"/>
  <c r="E1301" i="4"/>
  <c r="I1280" i="4"/>
  <c r="G1269" i="4"/>
  <c r="K1264" i="4"/>
  <c r="C1260" i="4"/>
  <c r="H1255" i="4"/>
  <c r="L1250" i="4"/>
  <c r="D1246" i="4"/>
  <c r="G1241" i="4"/>
  <c r="L1236" i="4"/>
  <c r="D1232" i="4"/>
  <c r="H1227" i="4"/>
  <c r="L1222" i="4"/>
  <c r="C1218" i="4"/>
  <c r="G1213" i="4"/>
  <c r="E1333" i="4"/>
  <c r="L1297" i="4"/>
  <c r="L1277" i="4"/>
  <c r="J1268" i="4"/>
  <c r="B1264" i="4"/>
  <c r="L1501" i="4"/>
  <c r="L1355" i="4"/>
  <c r="M1366" i="4"/>
  <c r="J1409" i="4"/>
  <c r="G1354" i="4"/>
  <c r="J1388" i="4"/>
  <c r="E1346" i="4"/>
  <c r="H1314" i="4"/>
  <c r="C1323" i="4"/>
  <c r="H1284" i="4"/>
  <c r="H1322" i="4"/>
  <c r="M1283" i="4"/>
  <c r="C1320" i="4"/>
  <c r="H1281" i="4"/>
  <c r="I1337" i="4"/>
  <c r="C1317" i="4"/>
  <c r="D1303" i="4"/>
  <c r="N1292" i="4"/>
  <c r="I1286" i="4"/>
  <c r="H1278" i="4"/>
  <c r="J1271" i="4"/>
  <c r="D1384" i="4"/>
  <c r="B1344" i="4"/>
  <c r="L1332" i="4"/>
  <c r="B1328" i="4"/>
  <c r="G1323" i="4"/>
  <c r="M1318" i="4"/>
  <c r="C1314" i="4"/>
  <c r="H1309" i="4"/>
  <c r="M1304" i="4"/>
  <c r="D1300" i="4"/>
  <c r="B1294" i="4"/>
  <c r="G1289" i="4"/>
  <c r="L1284" i="4"/>
  <c r="D1280" i="4"/>
  <c r="K1400" i="4"/>
  <c r="B1352" i="4"/>
  <c r="L1333" i="4"/>
  <c r="B1329" i="4"/>
  <c r="G1324" i="4"/>
  <c r="M1319" i="4"/>
  <c r="D1315" i="4"/>
  <c r="H1310" i="4"/>
  <c r="N1305" i="4"/>
  <c r="D1301" i="4"/>
  <c r="B1296" i="4"/>
  <c r="G1290" i="4"/>
  <c r="L1285" i="4"/>
  <c r="D1281" i="4"/>
  <c r="I1276" i="4"/>
  <c r="A1272" i="4"/>
  <c r="A1317" i="4"/>
  <c r="C1288" i="4"/>
  <c r="H1272" i="4"/>
  <c r="J1266" i="4"/>
  <c r="B1262" i="4"/>
  <c r="H1257" i="4"/>
  <c r="K1252" i="4"/>
  <c r="C1248" i="4"/>
  <c r="G1243" i="4"/>
  <c r="K1238" i="4"/>
  <c r="C1234" i="4"/>
  <c r="I1229" i="4"/>
  <c r="K1224" i="4"/>
  <c r="C1220" i="4"/>
  <c r="F1215" i="4"/>
  <c r="J1210" i="4"/>
  <c r="K1311" i="4"/>
  <c r="K1285" i="4"/>
  <c r="A1271" i="4"/>
  <c r="A1266" i="4"/>
  <c r="G1261" i="4"/>
  <c r="M1256" i="4"/>
  <c r="B1252" i="4"/>
  <c r="H1247" i="4"/>
  <c r="K1242" i="4"/>
  <c r="B1238" i="4"/>
  <c r="H1233" i="4"/>
  <c r="M1228" i="4"/>
  <c r="B1224" i="4"/>
  <c r="H1219" i="4"/>
  <c r="K1214" i="4"/>
  <c r="E1357" i="4"/>
  <c r="M1301" i="4"/>
  <c r="K1280" i="4"/>
  <c r="H1269" i="4"/>
  <c r="L1264" i="4"/>
  <c r="D1260" i="4"/>
  <c r="I1255" i="4"/>
  <c r="M1250" i="4"/>
  <c r="E1246" i="4"/>
  <c r="H1241" i="4"/>
  <c r="M1236" i="4"/>
  <c r="E1232" i="4"/>
  <c r="I1227" i="4"/>
  <c r="M1222" i="4"/>
  <c r="D1218" i="4"/>
  <c r="H1213" i="4"/>
  <c r="M1333" i="4"/>
  <c r="D1298" i="4"/>
  <c r="D1278" i="4"/>
  <c r="K1268" i="4"/>
  <c r="C1264" i="4"/>
  <c r="I1259" i="4"/>
  <c r="N1254" i="4"/>
  <c r="D1250" i="4"/>
  <c r="I1245" i="4"/>
  <c r="L1240" i="4"/>
  <c r="D1236" i="4"/>
  <c r="N1413" i="4"/>
  <c r="F1337" i="4"/>
  <c r="C1359" i="4"/>
  <c r="E1397" i="4"/>
  <c r="M1349" i="4"/>
  <c r="H1379" i="4"/>
  <c r="J1341" i="4"/>
  <c r="M1309" i="4"/>
  <c r="I1318" i="4"/>
  <c r="N1279" i="4"/>
  <c r="M1317" i="4"/>
  <c r="E1279" i="4"/>
  <c r="H1315" i="4"/>
  <c r="M1276" i="4"/>
  <c r="G1333" i="4"/>
  <c r="L1314" i="4"/>
  <c r="I1302" i="4"/>
  <c r="F1292" i="4"/>
  <c r="G1285" i="4"/>
  <c r="N1277" i="4"/>
  <c r="B1271" i="4"/>
  <c r="A1377" i="4"/>
  <c r="H1340" i="4"/>
  <c r="D1332" i="4"/>
  <c r="H1327" i="4"/>
  <c r="M1322" i="4"/>
  <c r="E1318" i="4"/>
  <c r="H1313" i="4"/>
  <c r="N1308" i="4"/>
  <c r="E1304" i="4"/>
  <c r="I1299" i="4"/>
  <c r="G1293" i="4"/>
  <c r="L1288" i="4"/>
  <c r="D1284" i="4"/>
  <c r="J1279" i="4"/>
  <c r="E1391" i="4"/>
  <c r="H1347" i="4"/>
  <c r="D1333" i="4"/>
  <c r="H1328" i="4"/>
  <c r="M1323" i="4"/>
  <c r="E1319" i="4"/>
  <c r="I1314" i="4"/>
  <c r="N1309" i="4"/>
  <c r="E1305" i="4"/>
  <c r="J1300" i="4"/>
  <c r="M1294" i="4"/>
  <c r="M1289" i="4"/>
  <c r="D1285" i="4"/>
  <c r="J1280" i="4"/>
  <c r="A1276" i="4"/>
  <c r="G1271" i="4"/>
  <c r="E1312" i="4"/>
  <c r="M1285" i="4"/>
  <c r="D1271" i="4"/>
  <c r="B1266" i="4"/>
  <c r="H1261" i="4"/>
  <c r="N1256" i="4"/>
  <c r="C1252" i="4"/>
  <c r="I1247" i="4"/>
  <c r="L1242" i="4"/>
  <c r="C1238" i="4"/>
  <c r="I1233" i="4"/>
  <c r="N1228" i="4"/>
  <c r="C1224" i="4"/>
  <c r="I1219" i="4"/>
  <c r="L1214" i="4"/>
  <c r="C1427" i="4"/>
  <c r="C1307" i="4"/>
  <c r="G1283" i="4"/>
  <c r="D1270" i="4"/>
  <c r="G1265" i="4"/>
  <c r="M1260" i="4"/>
  <c r="E1256" i="4"/>
  <c r="H1251" i="4"/>
  <c r="N1246" i="4"/>
  <c r="C1242" i="4"/>
  <c r="H1237" i="4"/>
  <c r="N1232" i="4"/>
  <c r="E1228" i="4"/>
  <c r="H1223" i="4"/>
  <c r="M1218" i="4"/>
  <c r="C1214" i="4"/>
  <c r="J1334" i="4"/>
  <c r="F1298" i="4"/>
  <c r="F1278" i="4"/>
  <c r="L1268" i="4"/>
  <c r="D1264" i="4"/>
  <c r="J1259" i="4"/>
  <c r="A1255" i="4"/>
  <c r="E1250" i="4"/>
  <c r="J1245" i="4"/>
  <c r="M1240" i="4"/>
  <c r="E1236" i="4"/>
  <c r="K1231" i="4"/>
  <c r="A1227" i="4"/>
  <c r="E1222" i="4"/>
  <c r="J1217" i="4"/>
  <c r="N1212" i="4"/>
  <c r="C1329" i="4"/>
  <c r="G1294" i="4"/>
  <c r="H1276" i="4"/>
  <c r="C1268" i="4"/>
  <c r="I1263" i="4"/>
  <c r="A1259" i="4"/>
  <c r="F1254" i="4"/>
  <c r="J1249" i="4"/>
  <c r="N1244" i="4"/>
  <c r="D1240" i="4"/>
  <c r="J1235" i="4"/>
  <c r="B1231" i="4"/>
  <c r="F1226" i="4"/>
  <c r="J1221" i="4"/>
  <c r="D1386" i="4"/>
  <c r="H1408" i="4"/>
  <c r="N1353" i="4"/>
  <c r="K1386" i="4"/>
  <c r="E1345" i="4"/>
  <c r="I1374" i="4"/>
  <c r="B1390" i="4"/>
  <c r="D1305" i="4"/>
  <c r="L1313" i="4"/>
  <c r="E1275" i="4"/>
  <c r="C1313" i="4"/>
  <c r="J1274" i="4"/>
  <c r="L1310" i="4"/>
  <c r="I1274" i="4"/>
  <c r="A1331" i="4"/>
  <c r="G1312" i="4"/>
  <c r="M1300" i="4"/>
  <c r="L1291" i="4"/>
  <c r="K1283" i="4"/>
  <c r="F1277" i="4"/>
  <c r="N1269" i="4"/>
  <c r="D1372" i="4"/>
  <c r="L1338" i="4"/>
  <c r="I1331" i="4"/>
  <c r="N1326" i="4"/>
  <c r="E1322" i="4"/>
  <c r="J1317" i="4"/>
  <c r="N1312" i="4"/>
  <c r="F1308" i="4"/>
  <c r="K1303" i="4"/>
  <c r="A1299" i="4"/>
  <c r="M1292" i="4"/>
  <c r="D1288" i="4"/>
  <c r="J1283" i="4"/>
  <c r="A1279" i="4"/>
  <c r="L1381" i="4"/>
  <c r="N1342" i="4"/>
  <c r="J1332" i="4"/>
  <c r="N1327" i="4"/>
  <c r="E1323" i="4"/>
  <c r="K1318" i="4"/>
  <c r="N1313" i="4"/>
  <c r="F1309" i="4"/>
  <c r="K1304" i="4"/>
  <c r="A1300" i="4"/>
  <c r="M1293" i="4"/>
  <c r="E1289" i="4"/>
  <c r="J1284" i="4"/>
  <c r="B1280" i="4"/>
  <c r="G1275" i="4"/>
  <c r="D1451" i="4"/>
  <c r="K1307" i="4"/>
  <c r="I1283" i="4"/>
  <c r="E1270" i="4"/>
  <c r="H1265" i="4"/>
  <c r="N1260" i="4"/>
  <c r="F1256" i="4"/>
  <c r="I1251" i="4"/>
  <c r="A1247" i="4"/>
  <c r="D1242" i="4"/>
  <c r="I1237" i="4"/>
  <c r="A1233" i="4"/>
  <c r="F1228" i="4"/>
  <c r="I1223" i="4"/>
  <c r="N1218" i="4"/>
  <c r="D1214" i="4"/>
  <c r="A1362" i="4"/>
  <c r="G1302" i="4"/>
  <c r="C1281" i="4"/>
  <c r="I1269" i="4"/>
  <c r="M1264" i="4"/>
  <c r="E1260" i="4"/>
  <c r="J1255" i="4"/>
  <c r="N1250" i="4"/>
  <c r="F1246" i="4"/>
  <c r="I1241" i="4"/>
  <c r="N1236" i="4"/>
  <c r="F1232" i="4"/>
  <c r="J1227" i="4"/>
  <c r="N1222" i="4"/>
  <c r="E1218" i="4"/>
  <c r="I1213" i="4"/>
  <c r="K1329" i="4"/>
  <c r="B1295" i="4"/>
  <c r="J1276" i="4"/>
  <c r="D1268" i="4"/>
  <c r="J1263" i="4"/>
  <c r="B1259" i="4"/>
  <c r="G1254" i="4"/>
  <c r="K1249" i="4"/>
  <c r="A1245" i="4"/>
  <c r="E1240" i="4"/>
  <c r="K1235" i="4"/>
  <c r="C1231" i="4"/>
  <c r="G1226" i="4"/>
  <c r="K1221" i="4"/>
  <c r="A1217" i="4"/>
  <c r="F1212" i="4"/>
  <c r="H1324" i="4"/>
  <c r="B1292" i="4"/>
  <c r="N1274" i="4"/>
  <c r="I1267" i="4"/>
  <c r="A1263" i="4"/>
  <c r="G1258" i="4"/>
  <c r="K1253" i="4"/>
  <c r="B1249" i="4"/>
  <c r="F1244" i="4"/>
  <c r="J1239" i="4"/>
  <c r="B1235" i="4"/>
  <c r="H1230" i="4"/>
  <c r="K1225" i="4"/>
  <c r="B1221" i="4"/>
  <c r="F1216" i="4"/>
  <c r="J1211" i="4"/>
  <c r="F1319" i="4"/>
  <c r="F1289" i="4"/>
  <c r="D1273" i="4"/>
  <c r="N1266" i="4"/>
  <c r="F1262" i="4"/>
  <c r="B1345" i="4"/>
  <c r="E1374" i="4"/>
  <c r="L1348" i="4"/>
  <c r="F1378" i="4"/>
  <c r="B1491" i="4"/>
  <c r="K1369" i="4"/>
  <c r="N1346" i="4"/>
  <c r="I1300" i="4"/>
  <c r="D1309" i="4"/>
  <c r="K1270" i="4"/>
  <c r="I1308" i="4"/>
  <c r="G1406" i="4"/>
  <c r="D1306" i="4"/>
  <c r="E1272" i="4"/>
  <c r="K1328" i="4"/>
  <c r="M1311" i="4"/>
  <c r="B1299" i="4"/>
  <c r="D1291" i="4"/>
  <c r="C1283" i="4"/>
  <c r="D1276" i="4"/>
  <c r="F1269" i="4"/>
  <c r="E1367" i="4"/>
  <c r="C1337" i="4"/>
  <c r="N1330" i="4"/>
  <c r="F1326" i="4"/>
  <c r="K1321" i="4"/>
  <c r="B1317" i="4"/>
  <c r="F1312" i="4"/>
  <c r="L1307" i="4"/>
  <c r="C1303" i="4"/>
  <c r="G1298" i="4"/>
  <c r="E1292" i="4"/>
  <c r="J1287" i="4"/>
  <c r="B1283" i="4"/>
  <c r="G1278" i="4"/>
  <c r="L1375" i="4"/>
  <c r="N1339" i="4"/>
  <c r="A1332" i="4"/>
  <c r="F1327" i="4"/>
  <c r="K1322" i="4"/>
  <c r="C1318" i="4"/>
  <c r="F1313" i="4"/>
  <c r="L1308" i="4"/>
  <c r="C1304" i="4"/>
  <c r="G1299" i="4"/>
  <c r="E1293" i="4"/>
  <c r="J1288" i="4"/>
  <c r="B1284" i="4"/>
  <c r="H1279" i="4"/>
  <c r="M1274" i="4"/>
  <c r="K1366" i="4"/>
  <c r="A1303" i="4"/>
  <c r="E1281" i="4"/>
  <c r="J1269" i="4"/>
  <c r="N1264" i="4"/>
  <c r="F1260" i="4"/>
  <c r="K1255" i="4"/>
  <c r="A1251" i="4"/>
  <c r="G1246" i="4"/>
  <c r="J1241" i="4"/>
  <c r="A1237" i="4"/>
  <c r="G1232" i="4"/>
  <c r="K1227" i="4"/>
  <c r="A1223" i="4"/>
  <c r="F1218" i="4"/>
  <c r="J1213" i="4"/>
  <c r="M1335" i="4"/>
  <c r="L1298" i="4"/>
  <c r="L1278" i="4"/>
  <c r="M1268" i="4"/>
  <c r="E1264" i="4"/>
  <c r="K1259" i="4"/>
  <c r="B1255" i="4"/>
  <c r="F1250" i="4"/>
  <c r="K1245" i="4"/>
  <c r="N1240" i="4"/>
  <c r="F1236" i="4"/>
  <c r="L1231" i="4"/>
  <c r="B1227" i="4"/>
  <c r="F1222" i="4"/>
  <c r="K1217" i="4"/>
  <c r="A1213" i="4"/>
  <c r="C1325" i="4"/>
  <c r="D1292" i="4"/>
  <c r="A1275" i="4"/>
  <c r="J1267" i="4"/>
  <c r="B1263" i="4"/>
  <c r="H1258" i="4"/>
  <c r="L1253" i="4"/>
  <c r="C1249" i="4"/>
  <c r="G1244" i="4"/>
  <c r="K1239" i="4"/>
  <c r="C1235" i="4"/>
  <c r="I1230" i="4"/>
  <c r="L1225" i="4"/>
  <c r="C1221" i="4"/>
  <c r="G1216" i="4"/>
  <c r="K1211" i="4"/>
  <c r="N1319" i="4"/>
  <c r="L1289" i="4"/>
  <c r="E1273" i="4"/>
  <c r="A1267" i="4"/>
  <c r="G1262" i="4"/>
  <c r="M1257" i="4"/>
  <c r="C1253" i="4"/>
  <c r="H1248" i="4"/>
  <c r="L1243" i="4"/>
  <c r="B1239" i="4"/>
  <c r="H1234" i="4"/>
  <c r="N1229" i="4"/>
  <c r="C1225" i="4"/>
  <c r="H1220" i="4"/>
  <c r="K1215" i="4"/>
  <c r="A1211" i="4"/>
  <c r="J1314" i="4"/>
  <c r="A1287" i="4"/>
  <c r="L1271" i="4"/>
  <c r="F1266" i="4"/>
  <c r="L1261" i="4"/>
  <c r="D1257" i="4"/>
  <c r="G1252" i="4"/>
  <c r="M1247" i="4"/>
  <c r="A1328" i="4"/>
  <c r="L1293" i="4"/>
  <c r="B1276" i="4"/>
  <c r="A1268" i="4"/>
  <c r="G1263" i="4"/>
  <c r="K1383" i="4"/>
  <c r="I1304" i="4"/>
  <c r="H1298" i="4"/>
  <c r="L1325" i="4"/>
  <c r="B1287" i="4"/>
  <c r="H1317" i="4"/>
  <c r="M1278" i="4"/>
  <c r="C1255" i="4"/>
  <c r="L1217" i="4"/>
  <c r="H1254" i="4"/>
  <c r="C1217" i="4"/>
  <c r="D1253" i="4"/>
  <c r="L1215" i="4"/>
  <c r="H1252" i="4"/>
  <c r="H1224" i="4"/>
  <c r="G1210" i="4"/>
  <c r="L1274" i="4"/>
  <c r="H1259" i="4"/>
  <c r="A1253" i="4"/>
  <c r="A1383" i="4"/>
  <c r="H1291" i="4"/>
  <c r="D1269" i="4"/>
  <c r="C1261" i="4"/>
  <c r="N1255" i="4"/>
  <c r="D1251" i="4"/>
  <c r="J1246" i="4"/>
  <c r="M1241" i="4"/>
  <c r="D1237" i="4"/>
  <c r="J1232" i="4"/>
  <c r="N1227" i="4"/>
  <c r="D1223" i="4"/>
  <c r="I1218" i="4"/>
  <c r="M1213" i="4"/>
  <c r="K1338" i="4"/>
  <c r="F1299" i="4"/>
  <c r="G1279" i="4"/>
  <c r="A1269" i="4"/>
  <c r="G1264" i="4"/>
  <c r="M1259" i="4"/>
  <c r="D1255" i="4"/>
  <c r="H1250" i="4"/>
  <c r="M1245" i="4"/>
  <c r="C1241" i="4"/>
  <c r="H1236" i="4"/>
  <c r="N1231" i="4"/>
  <c r="D1227" i="4"/>
  <c r="H1222" i="4"/>
  <c r="M1217" i="4"/>
  <c r="C1213" i="4"/>
  <c r="M1281" i="4"/>
  <c r="D1241" i="4"/>
  <c r="I1222" i="4"/>
  <c r="J1208" i="4"/>
  <c r="B1204" i="4"/>
  <c r="F1199" i="4"/>
  <c r="I1194" i="4"/>
  <c r="L1189" i="4"/>
  <c r="B1185" i="4"/>
  <c r="E1180" i="4"/>
  <c r="H1175" i="4"/>
  <c r="L1170" i="4"/>
  <c r="C1166" i="4"/>
  <c r="I1161" i="4"/>
  <c r="A1157" i="4"/>
  <c r="E1152" i="4"/>
  <c r="H1299" i="4"/>
  <c r="C1243" i="4"/>
  <c r="G1224" i="4"/>
  <c r="C1209" i="4"/>
  <c r="I1204" i="4"/>
  <c r="M1199" i="4"/>
  <c r="B1195" i="4"/>
  <c r="E1190" i="4"/>
  <c r="I1185" i="4"/>
  <c r="L1180" i="4"/>
  <c r="A1176" i="4"/>
  <c r="F1171" i="4"/>
  <c r="J1166" i="4"/>
  <c r="B1162" i="4"/>
  <c r="H1157" i="4"/>
  <c r="L1152" i="4"/>
  <c r="D1148" i="4"/>
  <c r="A1250" i="4"/>
  <c r="C1229" i="4"/>
  <c r="F1210" i="4"/>
  <c r="J1205" i="4"/>
  <c r="N1200" i="4"/>
  <c r="C1196" i="4"/>
  <c r="H1191" i="4"/>
  <c r="J1186" i="4"/>
  <c r="N1181" i="4"/>
  <c r="C1177" i="4"/>
  <c r="H1172" i="4"/>
  <c r="K1167" i="4"/>
  <c r="C1163" i="4"/>
  <c r="I1158" i="4"/>
  <c r="M1153" i="4"/>
  <c r="E1149" i="4"/>
  <c r="G1249" i="4"/>
  <c r="J1228" i="4"/>
  <c r="D1210" i="4"/>
  <c r="I1205" i="4"/>
  <c r="M1200" i="4"/>
  <c r="B1196" i="4"/>
  <c r="G1191" i="4"/>
  <c r="I1186" i="4"/>
  <c r="M1181" i="4"/>
  <c r="A1177" i="4"/>
  <c r="G1172" i="4"/>
  <c r="J1167" i="4"/>
  <c r="B1163" i="4"/>
  <c r="H1158" i="4"/>
  <c r="L1153" i="4"/>
  <c r="D1149" i="4"/>
  <c r="M1248" i="4"/>
  <c r="H1228" i="4"/>
  <c r="B1210" i="4"/>
  <c r="H1205" i="4"/>
  <c r="L1200" i="4"/>
  <c r="A1196" i="4"/>
  <c r="F1191" i="4"/>
  <c r="H1186" i="4"/>
  <c r="L1181" i="4"/>
  <c r="N1176" i="4"/>
  <c r="F1172" i="4"/>
  <c r="I1167" i="4"/>
  <c r="A1163" i="4"/>
  <c r="G1158" i="4"/>
  <c r="K1153" i="4"/>
  <c r="C1149" i="4"/>
  <c r="E1248" i="4"/>
  <c r="A1228" i="4"/>
  <c r="A1210" i="4"/>
  <c r="G1205" i="4"/>
  <c r="K1200" i="4"/>
  <c r="N1195" i="4"/>
  <c r="C1355" i="4"/>
  <c r="A1374" i="4"/>
  <c r="B1290" i="4"/>
  <c r="C1321" i="4"/>
  <c r="H1282" i="4"/>
  <c r="L1312" i="4"/>
  <c r="E1274" i="4"/>
  <c r="G1250" i="4"/>
  <c r="B1213" i="4"/>
  <c r="L1249" i="4"/>
  <c r="G1212" i="4"/>
  <c r="I1248" i="4"/>
  <c r="C1211" i="4"/>
  <c r="N1247" i="4"/>
  <c r="D1222" i="4"/>
  <c r="I1328" i="4"/>
  <c r="L1270" i="4"/>
  <c r="N1258" i="4"/>
  <c r="M1251" i="4"/>
  <c r="H1343" i="4"/>
  <c r="I1284" i="4"/>
  <c r="I1268" i="4"/>
  <c r="I1260" i="4"/>
  <c r="F1255" i="4"/>
  <c r="J1250" i="4"/>
  <c r="A1246" i="4"/>
  <c r="E1241" i="4"/>
  <c r="J1236" i="4"/>
  <c r="B1232" i="4"/>
  <c r="F1227" i="4"/>
  <c r="J1222" i="4"/>
  <c r="A1218" i="4"/>
  <c r="E1213" i="4"/>
  <c r="H1331" i="4"/>
  <c r="B1297" i="4"/>
  <c r="D1277" i="4"/>
  <c r="G1268" i="4"/>
  <c r="M1263" i="4"/>
  <c r="E1259" i="4"/>
  <c r="J1254" i="4"/>
  <c r="N1249" i="4"/>
  <c r="E1245" i="4"/>
  <c r="H1240" i="4"/>
  <c r="N1235" i="4"/>
  <c r="F1231" i="4"/>
  <c r="J1226" i="4"/>
  <c r="N1221" i="4"/>
  <c r="E1217" i="4"/>
  <c r="I1212" i="4"/>
  <c r="L1269" i="4"/>
  <c r="M1238" i="4"/>
  <c r="E1220" i="4"/>
  <c r="B1208" i="4"/>
  <c r="H1203" i="4"/>
  <c r="K1198" i="4"/>
  <c r="A1194" i="4"/>
  <c r="D1189" i="4"/>
  <c r="H1184" i="4"/>
  <c r="J1179" i="4"/>
  <c r="N1174" i="4"/>
  <c r="D1170" i="4"/>
  <c r="I1165" i="4"/>
  <c r="A1161" i="4"/>
  <c r="G1156" i="4"/>
  <c r="K1151" i="4"/>
  <c r="I1279" i="4"/>
  <c r="K1240" i="4"/>
  <c r="C1222" i="4"/>
  <c r="I1208" i="4"/>
  <c r="A1204" i="4"/>
  <c r="E1199" i="4"/>
  <c r="H1194" i="4"/>
  <c r="K1189" i="4"/>
  <c r="A1185" i="4"/>
  <c r="D1180" i="4"/>
  <c r="G1175" i="4"/>
  <c r="K1170" i="4"/>
  <c r="B1166" i="4"/>
  <c r="H1161" i="4"/>
  <c r="N1156" i="4"/>
  <c r="D1152" i="4"/>
  <c r="C1332" i="4"/>
  <c r="F1245" i="4"/>
  <c r="K1226" i="4"/>
  <c r="J1209" i="4"/>
  <c r="B1205" i="4"/>
  <c r="F1200" i="4"/>
  <c r="I1195" i="4"/>
  <c r="M1190" i="4"/>
  <c r="B1186" i="4"/>
  <c r="F1181" i="4"/>
  <c r="H1176" i="4"/>
  <c r="M1171" i="4"/>
  <c r="C1167" i="4"/>
  <c r="I1162" i="4"/>
  <c r="A1158" i="4"/>
  <c r="E1153" i="4"/>
  <c r="G1327" i="4"/>
  <c r="M1244" i="4"/>
  <c r="E1226" i="4"/>
  <c r="I1209" i="4"/>
  <c r="A1205" i="4"/>
  <c r="E1200" i="4"/>
  <c r="H1195" i="4"/>
  <c r="L1190" i="4"/>
  <c r="A1186" i="4"/>
  <c r="E1181" i="4"/>
  <c r="G1176" i="4"/>
  <c r="L1171" i="4"/>
  <c r="B1167" i="4"/>
  <c r="H1162" i="4"/>
  <c r="N1157" i="4"/>
  <c r="D1153" i="4"/>
  <c r="L1322" i="4"/>
  <c r="K1244" i="4"/>
  <c r="C1226" i="4"/>
  <c r="H1209" i="4"/>
  <c r="N1204" i="4"/>
  <c r="D1200" i="4"/>
  <c r="G1195" i="4"/>
  <c r="K1190" i="4"/>
  <c r="N1185" i="4"/>
  <c r="D1181" i="4"/>
  <c r="F1176" i="4"/>
  <c r="K1171" i="4"/>
  <c r="A1167" i="4"/>
  <c r="G1162" i="4"/>
  <c r="M1157" i="4"/>
  <c r="C1153" i="4"/>
  <c r="D1318" i="4"/>
  <c r="E1244" i="4"/>
  <c r="J1225" i="4"/>
  <c r="G1209" i="4"/>
  <c r="M1204" i="4"/>
  <c r="C1200" i="4"/>
  <c r="F1195" i="4"/>
  <c r="J1190" i="4"/>
  <c r="J1343" i="4"/>
  <c r="N1303" i="4"/>
  <c r="I1282" i="4"/>
  <c r="H1316" i="4"/>
  <c r="M1277" i="4"/>
  <c r="D1308" i="4"/>
  <c r="A1337" i="4"/>
  <c r="L1245" i="4"/>
  <c r="E1330" i="4"/>
  <c r="C1245" i="4"/>
  <c r="H1320" i="4"/>
  <c r="M1243" i="4"/>
  <c r="E1315" i="4"/>
  <c r="D1243" i="4"/>
  <c r="N1219" i="4"/>
  <c r="N1323" i="4"/>
  <c r="B1268" i="4"/>
  <c r="F1258" i="4"/>
  <c r="C1250" i="4"/>
  <c r="K1332" i="4"/>
  <c r="E1282" i="4"/>
  <c r="G1267" i="4"/>
  <c r="A1260" i="4"/>
  <c r="L1254" i="4"/>
  <c r="B1250" i="4"/>
  <c r="G1245" i="4"/>
  <c r="J1240" i="4"/>
  <c r="B1236" i="4"/>
  <c r="H1231" i="4"/>
  <c r="L1226" i="4"/>
  <c r="B1222" i="4"/>
  <c r="G1217" i="4"/>
  <c r="K1212" i="4"/>
  <c r="M1326" i="4"/>
  <c r="D1293" i="4"/>
  <c r="I1275" i="4"/>
  <c r="M1267" i="4"/>
  <c r="E1263" i="4"/>
  <c r="K1258" i="4"/>
  <c r="A1254" i="4"/>
  <c r="F1249" i="4"/>
  <c r="J1244" i="4"/>
  <c r="N1239" i="4"/>
  <c r="F1235" i="4"/>
  <c r="L1230" i="4"/>
  <c r="A1226" i="4"/>
  <c r="F1221" i="4"/>
  <c r="J1216" i="4"/>
  <c r="N1211" i="4"/>
  <c r="B1265" i="4"/>
  <c r="I1236" i="4"/>
  <c r="N1217" i="4"/>
  <c r="H1207" i="4"/>
  <c r="N1202" i="4"/>
  <c r="C1198" i="4"/>
  <c r="G1193" i="4"/>
  <c r="J1188" i="4"/>
  <c r="M1183" i="4"/>
  <c r="B1179" i="4"/>
  <c r="F1174" i="4"/>
  <c r="J1169" i="4"/>
  <c r="A1165" i="4"/>
  <c r="G1160" i="4"/>
  <c r="L1155" i="4"/>
  <c r="C1151" i="4"/>
  <c r="C1269" i="4"/>
  <c r="G1238" i="4"/>
  <c r="M1219" i="4"/>
  <c r="A1208" i="4"/>
  <c r="G1203" i="4"/>
  <c r="J1198" i="4"/>
  <c r="N1193" i="4"/>
  <c r="C1189" i="4"/>
  <c r="G1184" i="4"/>
  <c r="I1179" i="4"/>
  <c r="M1174" i="4"/>
  <c r="C1170" i="4"/>
  <c r="H1165" i="4"/>
  <c r="N1160" i="4"/>
  <c r="F1156" i="4"/>
  <c r="J1151" i="4"/>
  <c r="D1297" i="4"/>
  <c r="N1242" i="4"/>
  <c r="E1224" i="4"/>
  <c r="B1209" i="4"/>
  <c r="H1204" i="4"/>
  <c r="L1199" i="4"/>
  <c r="A1195" i="4"/>
  <c r="D1190" i="4"/>
  <c r="H1185" i="4"/>
  <c r="K1180" i="4"/>
  <c r="N1175" i="4"/>
  <c r="E1171" i="4"/>
  <c r="I1166" i="4"/>
  <c r="A1162" i="4"/>
  <c r="G1157" i="4"/>
  <c r="K1152" i="4"/>
  <c r="F1293" i="4"/>
  <c r="H1242" i="4"/>
  <c r="M1223" i="4"/>
  <c r="A1209" i="4"/>
  <c r="G1204" i="4"/>
  <c r="K1199" i="4"/>
  <c r="N1194" i="4"/>
  <c r="C1190" i="4"/>
  <c r="G1185" i="4"/>
  <c r="J1180" i="4"/>
  <c r="M1175" i="4"/>
  <c r="D1171" i="4"/>
  <c r="H1166" i="4"/>
  <c r="N1161" i="4"/>
  <c r="F1157" i="4"/>
  <c r="J1152" i="4"/>
  <c r="B1291" i="4"/>
  <c r="F1242" i="4"/>
  <c r="K1223" i="4"/>
  <c r="N1208" i="4"/>
  <c r="F1204" i="4"/>
  <c r="J1199" i="4"/>
  <c r="M1194" i="4"/>
  <c r="B1190" i="4"/>
  <c r="F1185" i="4"/>
  <c r="I1180" i="4"/>
  <c r="L1175" i="4"/>
  <c r="C1171" i="4"/>
  <c r="G1166" i="4"/>
  <c r="M1161" i="4"/>
  <c r="H1373" i="4"/>
  <c r="F1354" i="4"/>
  <c r="H1274" i="4"/>
  <c r="L1311" i="4"/>
  <c r="N1370" i="4"/>
  <c r="I1303" i="4"/>
  <c r="N1298" i="4"/>
  <c r="A1241" i="4"/>
  <c r="M1295" i="4"/>
  <c r="F1240" i="4"/>
  <c r="N1289" i="4"/>
  <c r="C1239" i="4"/>
  <c r="G1287" i="4"/>
  <c r="H1238" i="4"/>
  <c r="I1217" i="4"/>
  <c r="A1310" i="4"/>
  <c r="H1267" i="4"/>
  <c r="L1257" i="4"/>
  <c r="I1249" i="4"/>
  <c r="F1323" i="4"/>
  <c r="A1280" i="4"/>
  <c r="K1265" i="4"/>
  <c r="G1259" i="4"/>
  <c r="D1254" i="4"/>
  <c r="H1249" i="4"/>
  <c r="L1244" i="4"/>
  <c r="B1240" i="4"/>
  <c r="H1235" i="4"/>
  <c r="N1230" i="4"/>
  <c r="D1226" i="4"/>
  <c r="H1221" i="4"/>
  <c r="L1216" i="4"/>
  <c r="C1212" i="4"/>
  <c r="D1322" i="4"/>
  <c r="N1290" i="4"/>
  <c r="D1274" i="4"/>
  <c r="E1267" i="4"/>
  <c r="K1262" i="4"/>
  <c r="C1258" i="4"/>
  <c r="G1253" i="4"/>
  <c r="L1248" i="4"/>
  <c r="B1244" i="4"/>
  <c r="F1239" i="4"/>
  <c r="L1234" i="4"/>
  <c r="D1230" i="4"/>
  <c r="G1225" i="4"/>
  <c r="L1220" i="4"/>
  <c r="A1216" i="4"/>
  <c r="F1211" i="4"/>
  <c r="H1260" i="4"/>
  <c r="E1234" i="4"/>
  <c r="H1215" i="4"/>
  <c r="N1206" i="4"/>
  <c r="F1202" i="4"/>
  <c r="H1197" i="4"/>
  <c r="M1192" i="4"/>
  <c r="A1188" i="4"/>
  <c r="E1183" i="4"/>
  <c r="H1178" i="4"/>
  <c r="L1173" i="4"/>
  <c r="A1169" i="4"/>
  <c r="G1164" i="4"/>
  <c r="M1159" i="4"/>
  <c r="D1155" i="4"/>
  <c r="I1150" i="4"/>
  <c r="H1264" i="4"/>
  <c r="C1236" i="4"/>
  <c r="H1217" i="4"/>
  <c r="G1207" i="4"/>
  <c r="M1202" i="4"/>
  <c r="A1198" i="4"/>
  <c r="F1193" i="4"/>
  <c r="I1188" i="4"/>
  <c r="L1183" i="4"/>
  <c r="A1179" i="4"/>
  <c r="E1174" i="4"/>
  <c r="I1169" i="4"/>
  <c r="N1164" i="4"/>
  <c r="F1160" i="4"/>
  <c r="K1155" i="4"/>
  <c r="B1151" i="4"/>
  <c r="E1277" i="4"/>
  <c r="I1240" i="4"/>
  <c r="A1222" i="4"/>
  <c r="H1208" i="4"/>
  <c r="N1203" i="4"/>
  <c r="D1199" i="4"/>
  <c r="G1194" i="4"/>
  <c r="J1189" i="4"/>
  <c r="N1184" i="4"/>
  <c r="C1180" i="4"/>
  <c r="F1175" i="4"/>
  <c r="J1170" i="4"/>
  <c r="A1166" i="4"/>
  <c r="G1161" i="4"/>
  <c r="M1156" i="4"/>
  <c r="C1152" i="4"/>
  <c r="N1275" i="4"/>
  <c r="C1240" i="4"/>
  <c r="I1221" i="4"/>
  <c r="G1208" i="4"/>
  <c r="M1203" i="4"/>
  <c r="C1199" i="4"/>
  <c r="F1194" i="4"/>
  <c r="I1189" i="4"/>
  <c r="M1184" i="4"/>
  <c r="A1180" i="4"/>
  <c r="E1175" i="4"/>
  <c r="I1170" i="4"/>
  <c r="N1165" i="4"/>
  <c r="F1161" i="4"/>
  <c r="L1156" i="4"/>
  <c r="B1152" i="4"/>
  <c r="F1274" i="4"/>
  <c r="A1240" i="4"/>
  <c r="G1221" i="4"/>
  <c r="F1208" i="4"/>
  <c r="L1203" i="4"/>
  <c r="A1199" i="4"/>
  <c r="E1194" i="4"/>
  <c r="H1189" i="4"/>
  <c r="B1435" i="4"/>
  <c r="H1301" i="4"/>
  <c r="E1457" i="4"/>
  <c r="D1307" i="4"/>
  <c r="E1338" i="4"/>
  <c r="M1298" i="4"/>
  <c r="N1278" i="4"/>
  <c r="G1236" i="4"/>
  <c r="K1276" i="4"/>
  <c r="L1235" i="4"/>
  <c r="J1273" i="4"/>
  <c r="I1234" i="4"/>
  <c r="N1271" i="4"/>
  <c r="N1233" i="4"/>
  <c r="N1216" i="4"/>
  <c r="N1293" i="4"/>
  <c r="L1265" i="4"/>
  <c r="J1256" i="4"/>
  <c r="A1249" i="4"/>
  <c r="G1309" i="4"/>
  <c r="J1277" i="4"/>
  <c r="C1265" i="4"/>
  <c r="M1258" i="4"/>
  <c r="I1253" i="4"/>
  <c r="N1248" i="4"/>
  <c r="D1244" i="4"/>
  <c r="H1239" i="4"/>
  <c r="N1234" i="4"/>
  <c r="F1230" i="4"/>
  <c r="I1225" i="4"/>
  <c r="N1220" i="4"/>
  <c r="D1216" i="4"/>
  <c r="H1211" i="4"/>
  <c r="I1317" i="4"/>
  <c r="I1288" i="4"/>
  <c r="J1272" i="4"/>
  <c r="K1266" i="4"/>
  <c r="C1262" i="4"/>
  <c r="I1257" i="4"/>
  <c r="L1252" i="4"/>
  <c r="D1248" i="4"/>
  <c r="H1243" i="4"/>
  <c r="L1238" i="4"/>
  <c r="D1234" i="4"/>
  <c r="J1229" i="4"/>
  <c r="L1224" i="4"/>
  <c r="D1220" i="4"/>
  <c r="G1215" i="4"/>
  <c r="K1210" i="4"/>
  <c r="M1255" i="4"/>
  <c r="A1232" i="4"/>
  <c r="D1213" i="4"/>
  <c r="F1206" i="4"/>
  <c r="K1201" i="4"/>
  <c r="M1196" i="4"/>
  <c r="E1192" i="4"/>
  <c r="G1187" i="4"/>
  <c r="J1182" i="4"/>
  <c r="M1177" i="4"/>
  <c r="D1173" i="4"/>
  <c r="G1168" i="4"/>
  <c r="M1163" i="4"/>
  <c r="E1159" i="4"/>
  <c r="I1154" i="4"/>
  <c r="A1150" i="4"/>
  <c r="N1259" i="4"/>
  <c r="M1233" i="4"/>
  <c r="B1215" i="4"/>
  <c r="M1206" i="4"/>
  <c r="E1202" i="4"/>
  <c r="G1197" i="4"/>
  <c r="L1192" i="4"/>
  <c r="N1187" i="4"/>
  <c r="D1183" i="4"/>
  <c r="G1178" i="4"/>
  <c r="K1173" i="4"/>
  <c r="N1168" i="4"/>
  <c r="F1164" i="4"/>
  <c r="L1159" i="4"/>
  <c r="C1155" i="4"/>
  <c r="H1150" i="4"/>
  <c r="H1268" i="4"/>
  <c r="E1238" i="4"/>
  <c r="K1219" i="4"/>
  <c r="N1207" i="4"/>
  <c r="F1203" i="4"/>
  <c r="I1198" i="4"/>
  <c r="M1193" i="4"/>
  <c r="B1189" i="4"/>
  <c r="F1184" i="4"/>
  <c r="H1179" i="4"/>
  <c r="L1174" i="4"/>
  <c r="B1170" i="4"/>
  <c r="G1165" i="4"/>
  <c r="M1160" i="4"/>
  <c r="E1156" i="4"/>
  <c r="I1151" i="4"/>
  <c r="N1267" i="4"/>
  <c r="M1237" i="4"/>
  <c r="E1219" i="4"/>
  <c r="M1207" i="4"/>
  <c r="E1203" i="4"/>
  <c r="H1198" i="4"/>
  <c r="L1193" i="4"/>
  <c r="A1189" i="4"/>
  <c r="E1184" i="4"/>
  <c r="G1179" i="4"/>
  <c r="K1174" i="4"/>
  <c r="A1170" i="4"/>
  <c r="F1165" i="4"/>
  <c r="L1160" i="4"/>
  <c r="D1156" i="4"/>
  <c r="H1151" i="4"/>
  <c r="F1267" i="4"/>
  <c r="K1237" i="4"/>
  <c r="C1219" i="4"/>
  <c r="L1207" i="4"/>
  <c r="D1203" i="4"/>
  <c r="G1198" i="4"/>
  <c r="K1193" i="4"/>
  <c r="N1188" i="4"/>
  <c r="D1184" i="4"/>
  <c r="F1179" i="4"/>
  <c r="J1174" i="4"/>
  <c r="N1169" i="4"/>
  <c r="E1165" i="4"/>
  <c r="L1364" i="4"/>
  <c r="G1464" i="4"/>
  <c r="I1362" i="4"/>
  <c r="H1302" i="4"/>
  <c r="F1331" i="4"/>
  <c r="K1292" i="4"/>
  <c r="N1268" i="4"/>
  <c r="M1231" i="4"/>
  <c r="E1268" i="4"/>
  <c r="D1231" i="4"/>
  <c r="B1267" i="4"/>
  <c r="A1230" i="4"/>
  <c r="G1266" i="4"/>
  <c r="J1231" i="4"/>
  <c r="C1215" i="4"/>
  <c r="J1291" i="4"/>
  <c r="H1263" i="4"/>
  <c r="M1254" i="4"/>
  <c r="G1248" i="4"/>
  <c r="L1304" i="4"/>
  <c r="G1274" i="4"/>
  <c r="I1264" i="4"/>
  <c r="E1258" i="4"/>
  <c r="N1252" i="4"/>
  <c r="F1248" i="4"/>
  <c r="J1243" i="4"/>
  <c r="N1238" i="4"/>
  <c r="F1234" i="4"/>
  <c r="L1229" i="4"/>
  <c r="N1224" i="4"/>
  <c r="F1220" i="4"/>
  <c r="I1215" i="4"/>
  <c r="M1210" i="4"/>
  <c r="M1312" i="4"/>
  <c r="E1286" i="4"/>
  <c r="F1271" i="4"/>
  <c r="C1266" i="4"/>
  <c r="I1261" i="4"/>
  <c r="A1257" i="4"/>
  <c r="D1252" i="4"/>
  <c r="J1247" i="4"/>
  <c r="M1242" i="4"/>
  <c r="D1238" i="4"/>
  <c r="J1233" i="4"/>
  <c r="A1229" i="4"/>
  <c r="D1224" i="4"/>
  <c r="J1219" i="4"/>
  <c r="M1214" i="4"/>
  <c r="C1210" i="4"/>
  <c r="C1251" i="4"/>
  <c r="K1229" i="4"/>
  <c r="L1210" i="4"/>
  <c r="L1205" i="4"/>
  <c r="B1201" i="4"/>
  <c r="E1196" i="4"/>
  <c r="J1191" i="4"/>
  <c r="L1186" i="4"/>
  <c r="B1182" i="4"/>
  <c r="E1177" i="4"/>
  <c r="J1172" i="4"/>
  <c r="M1167" i="4"/>
  <c r="E1163" i="4"/>
  <c r="K1158" i="4"/>
  <c r="A1154" i="4"/>
  <c r="G1149" i="4"/>
  <c r="E1255" i="4"/>
  <c r="I1231" i="4"/>
  <c r="L1212" i="4"/>
  <c r="E1206" i="4"/>
  <c r="J1201" i="4"/>
  <c r="L1196" i="4"/>
  <c r="D1192" i="4"/>
  <c r="F1187" i="4"/>
  <c r="I1182" i="4"/>
  <c r="L1177" i="4"/>
  <c r="C1173" i="4"/>
  <c r="F1168" i="4"/>
  <c r="L1163" i="4"/>
  <c r="D1159" i="4"/>
  <c r="H1154" i="4"/>
  <c r="N1149" i="4"/>
  <c r="N1263" i="4"/>
  <c r="A1236" i="4"/>
  <c r="F1217" i="4"/>
  <c r="F1207" i="4"/>
  <c r="L1202" i="4"/>
  <c r="N1197" i="4"/>
  <c r="E1193" i="4"/>
  <c r="H1188" i="4"/>
  <c r="K1183" i="4"/>
  <c r="N1178" i="4"/>
  <c r="D1174" i="4"/>
  <c r="H1169" i="4"/>
  <c r="M1164" i="4"/>
  <c r="E1160" i="4"/>
  <c r="J1155" i="4"/>
  <c r="A1151" i="4"/>
  <c r="F1263" i="4"/>
  <c r="I1235" i="4"/>
  <c r="M1216" i="4"/>
  <c r="E1207" i="4"/>
  <c r="K1202" i="4"/>
  <c r="M1197" i="4"/>
  <c r="D1193" i="4"/>
  <c r="G1188" i="4"/>
  <c r="J1183" i="4"/>
  <c r="M1178" i="4"/>
  <c r="C1174" i="4"/>
  <c r="G1169" i="4"/>
  <c r="L1164" i="4"/>
  <c r="D1160" i="4"/>
  <c r="I1155" i="4"/>
  <c r="N1150" i="4"/>
  <c r="L1262" i="4"/>
  <c r="G1235" i="4"/>
  <c r="C1333" i="4"/>
  <c r="G1326" i="4"/>
  <c r="N1335" i="4"/>
  <c r="M1297" i="4"/>
  <c r="L1326" i="4"/>
  <c r="B1288" i="4"/>
  <c r="F1264" i="4"/>
  <c r="C1227" i="4"/>
  <c r="K1263" i="4"/>
  <c r="H1226" i="4"/>
  <c r="H1262" i="4"/>
  <c r="D1225" i="4"/>
  <c r="M1261" i="4"/>
  <c r="F1229" i="4"/>
  <c r="M1212" i="4"/>
  <c r="K1284" i="4"/>
  <c r="N1262" i="4"/>
  <c r="E1254" i="4"/>
  <c r="E1247" i="4"/>
  <c r="C1300" i="4"/>
  <c r="J1270" i="4"/>
  <c r="A1264" i="4"/>
  <c r="C1257" i="4"/>
  <c r="F1252" i="4"/>
  <c r="L1247" i="4"/>
  <c r="A1243" i="4"/>
  <c r="F1238" i="4"/>
  <c r="L1233" i="4"/>
  <c r="D1229" i="4"/>
  <c r="F1224" i="4"/>
  <c r="L1219" i="4"/>
  <c r="A1215" i="4"/>
  <c r="E1210" i="4"/>
  <c r="E1308" i="4"/>
  <c r="A1284" i="4"/>
  <c r="F1270" i="4"/>
  <c r="I1265" i="4"/>
  <c r="A1261" i="4"/>
  <c r="G1256" i="4"/>
  <c r="J1251" i="4"/>
  <c r="B1247" i="4"/>
  <c r="E1242" i="4"/>
  <c r="J1237" i="4"/>
  <c r="B1233" i="4"/>
  <c r="G1228" i="4"/>
  <c r="J1223" i="4"/>
  <c r="A1219" i="4"/>
  <c r="E1214" i="4"/>
  <c r="G1376" i="4"/>
  <c r="I1246" i="4"/>
  <c r="E1227" i="4"/>
  <c r="L1209" i="4"/>
  <c r="D1205" i="4"/>
  <c r="H1200" i="4"/>
  <c r="K1195" i="4"/>
  <c r="A1191" i="4"/>
  <c r="D1186" i="4"/>
  <c r="H1181" i="4"/>
  <c r="J1176" i="4"/>
  <c r="A1172" i="4"/>
  <c r="E1167" i="4"/>
  <c r="K1162" i="4"/>
  <c r="C1158" i="4"/>
  <c r="G1153" i="4"/>
  <c r="M1148" i="4"/>
  <c r="I1250" i="4"/>
  <c r="E1229" i="4"/>
  <c r="I1210" i="4"/>
  <c r="K1205" i="4"/>
  <c r="A1201" i="4"/>
  <c r="D1196" i="4"/>
  <c r="I1191" i="4"/>
  <c r="K1186" i="4"/>
  <c r="A1182" i="4"/>
  <c r="D1177" i="4"/>
  <c r="I1172" i="4"/>
  <c r="L1167" i="4"/>
  <c r="D1163" i="4"/>
  <c r="J1158" i="4"/>
  <c r="N1153" i="4"/>
  <c r="F1149" i="4"/>
  <c r="F1259" i="4"/>
  <c r="K1233" i="4"/>
  <c r="N1214" i="4"/>
  <c r="L1206" i="4"/>
  <c r="D1202" i="4"/>
  <c r="F1197" i="4"/>
  <c r="K1192" i="4"/>
  <c r="M1187" i="4"/>
  <c r="C1183" i="4"/>
  <c r="F1178" i="4"/>
  <c r="J1173" i="4"/>
  <c r="M1168" i="4"/>
  <c r="E1164" i="4"/>
  <c r="K1159" i="4"/>
  <c r="A1155" i="4"/>
  <c r="G1150" i="4"/>
  <c r="L1258" i="4"/>
  <c r="E1233" i="4"/>
  <c r="H1214" i="4"/>
  <c r="K1206" i="4"/>
  <c r="C1202" i="4"/>
  <c r="E1197" i="4"/>
  <c r="J1192" i="4"/>
  <c r="L1187" i="4"/>
  <c r="A1183" i="4"/>
  <c r="E1178" i="4"/>
  <c r="I1173" i="4"/>
  <c r="L1168" i="4"/>
  <c r="D1164" i="4"/>
  <c r="J1159" i="4"/>
  <c r="N1154" i="4"/>
  <c r="F1150" i="4"/>
  <c r="D1258" i="4"/>
  <c r="C1233" i="4"/>
  <c r="F1214" i="4"/>
  <c r="J1206" i="4"/>
  <c r="A1202" i="4"/>
  <c r="D1197" i="4"/>
  <c r="I1192" i="4"/>
  <c r="K1187" i="4"/>
  <c r="N1182" i="4"/>
  <c r="D1178" i="4"/>
  <c r="H1173" i="4"/>
  <c r="K1168" i="4"/>
  <c r="C1164" i="4"/>
  <c r="I1159" i="4"/>
  <c r="M1154" i="4"/>
  <c r="E1150" i="4"/>
  <c r="J1257" i="4"/>
  <c r="K1232" i="4"/>
  <c r="N1213" i="4"/>
  <c r="I1206" i="4"/>
  <c r="N1201" i="4"/>
  <c r="C1197" i="4"/>
  <c r="H1192" i="4"/>
  <c r="J1379" i="4"/>
  <c r="C1259" i="4"/>
  <c r="D1261" i="4"/>
  <c r="D1247" i="4"/>
  <c r="I1371" i="4"/>
  <c r="H1246" i="4"/>
  <c r="D1304" i="4"/>
  <c r="J1185" i="4"/>
  <c r="A1340" i="4"/>
  <c r="C1186" i="4"/>
  <c r="L1148" i="4"/>
  <c r="E1187" i="4"/>
  <c r="M1149" i="4"/>
  <c r="D1187" i="4"/>
  <c r="L1149" i="4"/>
  <c r="F1201" i="4"/>
  <c r="I1183" i="4"/>
  <c r="H1170" i="4"/>
  <c r="C1160" i="4"/>
  <c r="A1152" i="4"/>
  <c r="M1252" i="4"/>
  <c r="J1218" i="4"/>
  <c r="E1204" i="4"/>
  <c r="K1197" i="4"/>
  <c r="A1190" i="4"/>
  <c r="E1185" i="4"/>
  <c r="H1180" i="4"/>
  <c r="K1175" i="4"/>
  <c r="A1171" i="4"/>
  <c r="F1166" i="4"/>
  <c r="L1161" i="4"/>
  <c r="D1157" i="4"/>
  <c r="H1152" i="4"/>
  <c r="G1270" i="4"/>
  <c r="A1239" i="4"/>
  <c r="G1220" i="4"/>
  <c r="C1208" i="4"/>
  <c r="I1203" i="4"/>
  <c r="L1198" i="4"/>
  <c r="B1194" i="4"/>
  <c r="E1189" i="4"/>
  <c r="I1184" i="4"/>
  <c r="K1179" i="4"/>
  <c r="A1175" i="4"/>
  <c r="E1170" i="4"/>
  <c r="J1165" i="4"/>
  <c r="B1161" i="4"/>
  <c r="H1156" i="4"/>
  <c r="L1151" i="4"/>
  <c r="F1209" i="4"/>
  <c r="I1171" i="4"/>
  <c r="B1147" i="4"/>
  <c r="F1142" i="4"/>
  <c r="J1137" i="4"/>
  <c r="B1133" i="4"/>
  <c r="H1128" i="4"/>
  <c r="M1123" i="4"/>
  <c r="C1119" i="4"/>
  <c r="I1114" i="4"/>
  <c r="N1109" i="4"/>
  <c r="E1105" i="4"/>
  <c r="K1100" i="4"/>
  <c r="C1096" i="4"/>
  <c r="H1091" i="4"/>
  <c r="M1086" i="4"/>
  <c r="C1223" i="4"/>
  <c r="J1175" i="4"/>
  <c r="I1147" i="4"/>
  <c r="M1142" i="4"/>
  <c r="C1138" i="4"/>
  <c r="I1133" i="4"/>
  <c r="A1129" i="4"/>
  <c r="F1124" i="4"/>
  <c r="K1119" i="4"/>
  <c r="B1115" i="4"/>
  <c r="G1110" i="4"/>
  <c r="L1105" i="4"/>
  <c r="D1101" i="4"/>
  <c r="J1096" i="4"/>
  <c r="A1092" i="4"/>
  <c r="F1087" i="4"/>
  <c r="D1208" i="4"/>
  <c r="F1170" i="4"/>
  <c r="N1146" i="4"/>
  <c r="D1142" i="4"/>
  <c r="H1137" i="4"/>
  <c r="N1132" i="4"/>
  <c r="F1128" i="4"/>
  <c r="K1123" i="4"/>
  <c r="A1119" i="4"/>
  <c r="G1114" i="4"/>
  <c r="L1109" i="4"/>
  <c r="C1105" i="4"/>
  <c r="I1100" i="4"/>
  <c r="A1096" i="4"/>
  <c r="F1091" i="4"/>
  <c r="K1086" i="4"/>
  <c r="E1198" i="4"/>
  <c r="I1160" i="4"/>
  <c r="K1145" i="4"/>
  <c r="A1141" i="4"/>
  <c r="E1136" i="4"/>
  <c r="K1131" i="4"/>
  <c r="C1127" i="4"/>
  <c r="H1122" i="4"/>
  <c r="L1117" i="4"/>
  <c r="C1113" i="4"/>
  <c r="I1108" i="4"/>
  <c r="N1103" i="4"/>
  <c r="F1099" i="4"/>
  <c r="L1094" i="4"/>
  <c r="C1090" i="4"/>
  <c r="J1261" i="4"/>
  <c r="G1183" i="4"/>
  <c r="I1148" i="4"/>
  <c r="M1143" i="4"/>
  <c r="C1139" i="4"/>
  <c r="H1134" i="4"/>
  <c r="N1129" i="4"/>
  <c r="E1125" i="4"/>
  <c r="J1120" i="4"/>
  <c r="A1116" i="4"/>
  <c r="F1111" i="4"/>
  <c r="L1106" i="4"/>
  <c r="C1102" i="4"/>
  <c r="I1097" i="4"/>
  <c r="N1092" i="4"/>
  <c r="E1088" i="4"/>
  <c r="I1232" i="4"/>
  <c r="A1178" i="4"/>
  <c r="M1147" i="4"/>
  <c r="C1143" i="4"/>
  <c r="H1138" i="4"/>
  <c r="M1133" i="4"/>
  <c r="E1129" i="4"/>
  <c r="J1124" i="4"/>
  <c r="A1120" i="4"/>
  <c r="F1115" i="4"/>
  <c r="K1110" i="4"/>
  <c r="C1106" i="4"/>
  <c r="H1101" i="4"/>
  <c r="C1310" i="4"/>
  <c r="L1221" i="4"/>
  <c r="J1253" i="4"/>
  <c r="G1242" i="4"/>
  <c r="J1303" i="4"/>
  <c r="K1241" i="4"/>
  <c r="I1243" i="4"/>
  <c r="M1180" i="4"/>
  <c r="N1245" i="4"/>
  <c r="G1181" i="4"/>
  <c r="K1254" i="4"/>
  <c r="H1182" i="4"/>
  <c r="C1254" i="4"/>
  <c r="G1182" i="4"/>
  <c r="H1253" i="4"/>
  <c r="L1197" i="4"/>
  <c r="F1182" i="4"/>
  <c r="F1169" i="4"/>
  <c r="A1159" i="4"/>
  <c r="G1151" i="4"/>
  <c r="N1241" i="4"/>
  <c r="E1216" i="4"/>
  <c r="K1203" i="4"/>
  <c r="H1196" i="4"/>
  <c r="G1189" i="4"/>
  <c r="K1184" i="4"/>
  <c r="M1179" i="4"/>
  <c r="C1175" i="4"/>
  <c r="G1170" i="4"/>
  <c r="L1165" i="4"/>
  <c r="D1161" i="4"/>
  <c r="J1156" i="4"/>
  <c r="N1151" i="4"/>
  <c r="J1265" i="4"/>
  <c r="K1236" i="4"/>
  <c r="B1218" i="4"/>
  <c r="I1207" i="4"/>
  <c r="A1203" i="4"/>
  <c r="D1198" i="4"/>
  <c r="H1193" i="4"/>
  <c r="K1188" i="4"/>
  <c r="N1183" i="4"/>
  <c r="C1179" i="4"/>
  <c r="G1174" i="4"/>
  <c r="K1169" i="4"/>
  <c r="B1165" i="4"/>
  <c r="H1160" i="4"/>
  <c r="M1155" i="4"/>
  <c r="D1151" i="4"/>
  <c r="L1204" i="4"/>
  <c r="M1166" i="4"/>
  <c r="H1146" i="4"/>
  <c r="L1141" i="4"/>
  <c r="B1137" i="4"/>
  <c r="H1132" i="4"/>
  <c r="N1127" i="4"/>
  <c r="E1123" i="4"/>
  <c r="I1118" i="4"/>
  <c r="N1113" i="4"/>
  <c r="F1109" i="4"/>
  <c r="K1104" i="4"/>
  <c r="C1100" i="4"/>
  <c r="I1095" i="4"/>
  <c r="N1090" i="4"/>
  <c r="E1086" i="4"/>
  <c r="L1208" i="4"/>
  <c r="N1170" i="4"/>
  <c r="A1147" i="4"/>
  <c r="E1142" i="4"/>
  <c r="I1137" i="4"/>
  <c r="A1133" i="4"/>
  <c r="G1128" i="4"/>
  <c r="L1123" i="4"/>
  <c r="B1119" i="4"/>
  <c r="H1114" i="4"/>
  <c r="M1109" i="4"/>
  <c r="D1105" i="4"/>
  <c r="J1100" i="4"/>
  <c r="B1096" i="4"/>
  <c r="G1091" i="4"/>
  <c r="L1086" i="4"/>
  <c r="J1203" i="4"/>
  <c r="K1165" i="4"/>
  <c r="F1146" i="4"/>
  <c r="J1141" i="4"/>
  <c r="N1136" i="4"/>
  <c r="F1132" i="4"/>
  <c r="L1127" i="4"/>
  <c r="C1123" i="4"/>
  <c r="G1118" i="4"/>
  <c r="L1113" i="4"/>
  <c r="D1109" i="4"/>
  <c r="I1104" i="4"/>
  <c r="A1100" i="4"/>
  <c r="G1095" i="4"/>
  <c r="L1090" i="4"/>
  <c r="C1086" i="4"/>
  <c r="I1193" i="4"/>
  <c r="N1155" i="4"/>
  <c r="C1145" i="4"/>
  <c r="F1140" i="4"/>
  <c r="K1135" i="4"/>
  <c r="C1131" i="4"/>
  <c r="I1126" i="4"/>
  <c r="N1121" i="4"/>
  <c r="D1117" i="4"/>
  <c r="I1112" i="4"/>
  <c r="A1108" i="4"/>
  <c r="F1103" i="4"/>
  <c r="L1098" i="4"/>
  <c r="D1094" i="4"/>
  <c r="I1089" i="4"/>
  <c r="M1234" i="4"/>
  <c r="J1178" i="4"/>
  <c r="N1147" i="4"/>
  <c r="D1143" i="4"/>
  <c r="I1138" i="4"/>
  <c r="N1133" i="4"/>
  <c r="F1129" i="4"/>
  <c r="K1124" i="4"/>
  <c r="B1120" i="4"/>
  <c r="G1115" i="4"/>
  <c r="L1110" i="4"/>
  <c r="D1106" i="4"/>
  <c r="I1101" i="4"/>
  <c r="A1097" i="4"/>
  <c r="F1092" i="4"/>
  <c r="K1087" i="4"/>
  <c r="L1213" i="4"/>
  <c r="F1173" i="4"/>
  <c r="E1147" i="4"/>
  <c r="I1142" i="4"/>
  <c r="M1137" i="4"/>
  <c r="E1133" i="4"/>
  <c r="K1128" i="4"/>
  <c r="B1124" i="4"/>
  <c r="F1119" i="4"/>
  <c r="L1114" i="4"/>
  <c r="C1110" i="4"/>
  <c r="H1105" i="4"/>
  <c r="N1100" i="4"/>
  <c r="F1096" i="4"/>
  <c r="K1091" i="4"/>
  <c r="B1087" i="4"/>
  <c r="F1205" i="4"/>
  <c r="G1167" i="4"/>
  <c r="I1146" i="4"/>
  <c r="M1141" i="4"/>
  <c r="F1330" i="4"/>
  <c r="N1257" i="4"/>
  <c r="H1245" i="4"/>
  <c r="L1237" i="4"/>
  <c r="K1281" i="4"/>
  <c r="B1237" i="4"/>
  <c r="M1224" i="4"/>
  <c r="B1176" i="4"/>
  <c r="M1226" i="4"/>
  <c r="I1176" i="4"/>
  <c r="G1231" i="4"/>
  <c r="K1177" i="4"/>
  <c r="A1231" i="4"/>
  <c r="J1177" i="4"/>
  <c r="M1230" i="4"/>
  <c r="I1196" i="4"/>
  <c r="N1179" i="4"/>
  <c r="C1168" i="4"/>
  <c r="E1157" i="4"/>
  <c r="M1150" i="4"/>
  <c r="I1239" i="4"/>
  <c r="I1211" i="4"/>
  <c r="C1203" i="4"/>
  <c r="L1194" i="4"/>
  <c r="M1188" i="4"/>
  <c r="C1184" i="4"/>
  <c r="E1179" i="4"/>
  <c r="I1174" i="4"/>
  <c r="M1169" i="4"/>
  <c r="D1165" i="4"/>
  <c r="J1160" i="4"/>
  <c r="A1156" i="4"/>
  <c r="F1151" i="4"/>
  <c r="B1261" i="4"/>
  <c r="G1234" i="4"/>
  <c r="J1215" i="4"/>
  <c r="A1207" i="4"/>
  <c r="G1202" i="4"/>
  <c r="I1197" i="4"/>
  <c r="N1192" i="4"/>
  <c r="C1188" i="4"/>
  <c r="F1183" i="4"/>
  <c r="I1178" i="4"/>
  <c r="M1173" i="4"/>
  <c r="C1169" i="4"/>
  <c r="H1164" i="4"/>
  <c r="N1159" i="4"/>
  <c r="E1155" i="4"/>
  <c r="J1150" i="4"/>
  <c r="B1200" i="4"/>
  <c r="E1162" i="4"/>
  <c r="N1145" i="4"/>
  <c r="D1141" i="4"/>
  <c r="H1136" i="4"/>
  <c r="N1131" i="4"/>
  <c r="F1127" i="4"/>
  <c r="K1122" i="4"/>
  <c r="A1118" i="4"/>
  <c r="F1113" i="4"/>
  <c r="L1108" i="4"/>
  <c r="C1104" i="4"/>
  <c r="I1099" i="4"/>
  <c r="A1095" i="4"/>
  <c r="F1090" i="4"/>
  <c r="K1085" i="4"/>
  <c r="D1204" i="4"/>
  <c r="E1166" i="4"/>
  <c r="G1146" i="4"/>
  <c r="K1141" i="4"/>
  <c r="A1137" i="4"/>
  <c r="G1132" i="4"/>
  <c r="M1127" i="4"/>
  <c r="D1123" i="4"/>
  <c r="H1118" i="4"/>
  <c r="M1113" i="4"/>
  <c r="E1109" i="4"/>
  <c r="J1104" i="4"/>
  <c r="B1100" i="4"/>
  <c r="H1095" i="4"/>
  <c r="M1090" i="4"/>
  <c r="D1086" i="4"/>
  <c r="M1198" i="4"/>
  <c r="C1161" i="4"/>
  <c r="L1145" i="4"/>
  <c r="B1141" i="4"/>
  <c r="F1136" i="4"/>
  <c r="L1131" i="4"/>
  <c r="D1127" i="4"/>
  <c r="I1122" i="4"/>
  <c r="M1117" i="4"/>
  <c r="D1113" i="4"/>
  <c r="J1108" i="4"/>
  <c r="A1104" i="4"/>
  <c r="G1099" i="4"/>
  <c r="M1094" i="4"/>
  <c r="D1090" i="4"/>
  <c r="I1085" i="4"/>
  <c r="L1188" i="4"/>
  <c r="E1151" i="4"/>
  <c r="H1144" i="4"/>
  <c r="L1139" i="4"/>
  <c r="C1135" i="4"/>
  <c r="I1130" i="4"/>
  <c r="N1125" i="4"/>
  <c r="E1121" i="4"/>
  <c r="J1116" i="4"/>
  <c r="A1112" i="4"/>
  <c r="G1107" i="4"/>
  <c r="L1102" i="4"/>
  <c r="D1098" i="4"/>
  <c r="J1093" i="4"/>
  <c r="A1089" i="4"/>
  <c r="C1216" i="4"/>
  <c r="N1173" i="4"/>
  <c r="F1147" i="4"/>
  <c r="J1142" i="4"/>
  <c r="N1137" i="4"/>
  <c r="F1133" i="4"/>
  <c r="L1128" i="4"/>
  <c r="C1124" i="4"/>
  <c r="H1119" i="4"/>
  <c r="M1114" i="4"/>
  <c r="D1110" i="4"/>
  <c r="I1105" i="4"/>
  <c r="K1291" i="4"/>
  <c r="I1220" i="4"/>
  <c r="J1297" i="4"/>
  <c r="D1233" i="4"/>
  <c r="K1269" i="4"/>
  <c r="H1232" i="4"/>
  <c r="D1209" i="4"/>
  <c r="G1171" i="4"/>
  <c r="K1209" i="4"/>
  <c r="N1171" i="4"/>
  <c r="J1212" i="4"/>
  <c r="B1173" i="4"/>
  <c r="D1212" i="4"/>
  <c r="A1173" i="4"/>
  <c r="K1216" i="4"/>
  <c r="C1193" i="4"/>
  <c r="L1178" i="4"/>
  <c r="M1165" i="4"/>
  <c r="K1156" i="4"/>
  <c r="K1149" i="4"/>
  <c r="E1237" i="4"/>
  <c r="M1208" i="4"/>
  <c r="I1202" i="4"/>
  <c r="D1194" i="4"/>
  <c r="E1188" i="4"/>
  <c r="H1183" i="4"/>
  <c r="K1178" i="4"/>
  <c r="A1174" i="4"/>
  <c r="E1169" i="4"/>
  <c r="J1164" i="4"/>
  <c r="B1160" i="4"/>
  <c r="G1155" i="4"/>
  <c r="L1150" i="4"/>
  <c r="H1256" i="4"/>
  <c r="C1232" i="4"/>
  <c r="F1213" i="4"/>
  <c r="G1206" i="4"/>
  <c r="L1201" i="4"/>
  <c r="N1196" i="4"/>
  <c r="F1192" i="4"/>
  <c r="H1187" i="4"/>
  <c r="K1182" i="4"/>
  <c r="N1177" i="4"/>
  <c r="E1173" i="4"/>
  <c r="H1168" i="4"/>
  <c r="N1163" i="4"/>
  <c r="F1159" i="4"/>
  <c r="J1154" i="4"/>
  <c r="B1150" i="4"/>
  <c r="E1195" i="4"/>
  <c r="K1157" i="4"/>
  <c r="F1145" i="4"/>
  <c r="J1140" i="4"/>
  <c r="N1135" i="4"/>
  <c r="F1131" i="4"/>
  <c r="L1126" i="4"/>
  <c r="C1122" i="4"/>
  <c r="G1117" i="4"/>
  <c r="L1112" i="4"/>
  <c r="D1108" i="4"/>
  <c r="I1103" i="4"/>
  <c r="A1099" i="4"/>
  <c r="G1094" i="4"/>
  <c r="L1089" i="4"/>
  <c r="C1085" i="4"/>
  <c r="H1199" i="4"/>
  <c r="K1161" i="4"/>
  <c r="M1145" i="4"/>
  <c r="C1141" i="4"/>
  <c r="G1136" i="4"/>
  <c r="M1131" i="4"/>
  <c r="E1127" i="4"/>
  <c r="J1122" i="4"/>
  <c r="N1117" i="4"/>
  <c r="E1113" i="4"/>
  <c r="K1108" i="4"/>
  <c r="B1104" i="4"/>
  <c r="H1099" i="4"/>
  <c r="N1094" i="4"/>
  <c r="E1090" i="4"/>
  <c r="J1085" i="4"/>
  <c r="C1194" i="4"/>
  <c r="I1156" i="4"/>
  <c r="D1145" i="4"/>
  <c r="H1140" i="4"/>
  <c r="L1135" i="4"/>
  <c r="D1131" i="4"/>
  <c r="J1126" i="4"/>
  <c r="A1122" i="4"/>
  <c r="E1117" i="4"/>
  <c r="J1112" i="4"/>
  <c r="B1108" i="4"/>
  <c r="G1103" i="4"/>
  <c r="M1098" i="4"/>
  <c r="E1094" i="4"/>
  <c r="J1089" i="4"/>
  <c r="D1266" i="4"/>
  <c r="A1184" i="4"/>
  <c r="J1148" i="4"/>
  <c r="N1143" i="4"/>
  <c r="D1139" i="4"/>
  <c r="I1134" i="4"/>
  <c r="A1130" i="4"/>
  <c r="F1125" i="4"/>
  <c r="K1120" i="4"/>
  <c r="B1116" i="4"/>
  <c r="G1111" i="4"/>
  <c r="M1106" i="4"/>
  <c r="D1102" i="4"/>
  <c r="J1097" i="4"/>
  <c r="A1093" i="4"/>
  <c r="F1088" i="4"/>
  <c r="B1207" i="4"/>
  <c r="D1169" i="4"/>
  <c r="L1146" i="4"/>
  <c r="B1142" i="4"/>
  <c r="F1137" i="4"/>
  <c r="L1132" i="4"/>
  <c r="D1128" i="4"/>
  <c r="I1123" i="4"/>
  <c r="M1118" i="4"/>
  <c r="E1114" i="4"/>
  <c r="J1109" i="4"/>
  <c r="C1322" i="4"/>
  <c r="E1257" i="4"/>
  <c r="M1269" i="4"/>
  <c r="I1228" i="4"/>
  <c r="A1265" i="4"/>
  <c r="L1227" i="4"/>
  <c r="J1204" i="4"/>
  <c r="K1166" i="4"/>
  <c r="C1205" i="4"/>
  <c r="D1167" i="4"/>
  <c r="D1206" i="4"/>
  <c r="E1168" i="4"/>
  <c r="C1206" i="4"/>
  <c r="D1168" i="4"/>
  <c r="A1212" i="4"/>
  <c r="N1191" i="4"/>
  <c r="I1177" i="4"/>
  <c r="K1164" i="4"/>
  <c r="C1156" i="4"/>
  <c r="K1288" i="4"/>
  <c r="A1235" i="4"/>
  <c r="E1208" i="4"/>
  <c r="E1201" i="4"/>
  <c r="J1193" i="4"/>
  <c r="J1187" i="4"/>
  <c r="M1182" i="4"/>
  <c r="C1178" i="4"/>
  <c r="G1173" i="4"/>
  <c r="J1168" i="4"/>
  <c r="B1164" i="4"/>
  <c r="H1159" i="4"/>
  <c r="L1154" i="4"/>
  <c r="D1150" i="4"/>
  <c r="K1251" i="4"/>
  <c r="M1229" i="4"/>
  <c r="N1210" i="4"/>
  <c r="M1205" i="4"/>
  <c r="C1201" i="4"/>
  <c r="F1196" i="4"/>
  <c r="K1191" i="4"/>
  <c r="M1186" i="4"/>
  <c r="C1182" i="4"/>
  <c r="F1177" i="4"/>
  <c r="K1172" i="4"/>
  <c r="N1167" i="4"/>
  <c r="F1163" i="4"/>
  <c r="L1158" i="4"/>
  <c r="B1154" i="4"/>
  <c r="H1149" i="4"/>
  <c r="I1190" i="4"/>
  <c r="A1153" i="4"/>
  <c r="K1144" i="4"/>
  <c r="A1140" i="4"/>
  <c r="F1135" i="4"/>
  <c r="L1130" i="4"/>
  <c r="C1126" i="4"/>
  <c r="I1121" i="4"/>
  <c r="M1116" i="4"/>
  <c r="D1112" i="4"/>
  <c r="J1107" i="4"/>
  <c r="A1103" i="4"/>
  <c r="G1098" i="4"/>
  <c r="M1093" i="4"/>
  <c r="D1089" i="4"/>
  <c r="I1084" i="4"/>
  <c r="K1194" i="4"/>
  <c r="C1157" i="4"/>
  <c r="E1145" i="4"/>
  <c r="I1140" i="4"/>
  <c r="M1135" i="4"/>
  <c r="E1131" i="4"/>
  <c r="K1126" i="4"/>
  <c r="B1122" i="4"/>
  <c r="F1117" i="4"/>
  <c r="K1112" i="4"/>
  <c r="C1108" i="4"/>
  <c r="H1103" i="4"/>
  <c r="N1098" i="4"/>
  <c r="F1094" i="4"/>
  <c r="K1089" i="4"/>
  <c r="B1085" i="4"/>
  <c r="F1189" i="4"/>
  <c r="M1151" i="4"/>
  <c r="I1144" i="4"/>
  <c r="M1139" i="4"/>
  <c r="D1135" i="4"/>
  <c r="J1130" i="4"/>
  <c r="A1126" i="4"/>
  <c r="F1121" i="4"/>
  <c r="K1116" i="4"/>
  <c r="B1112" i="4"/>
  <c r="H1107" i="4"/>
  <c r="M1102" i="4"/>
  <c r="E1098" i="4"/>
  <c r="K1093" i="4"/>
  <c r="B1089" i="4"/>
  <c r="C1237" i="4"/>
  <c r="D1179" i="4"/>
  <c r="A1148" i="4"/>
  <c r="E1143" i="4"/>
  <c r="J1138" i="4"/>
  <c r="A1134" i="4"/>
  <c r="G1129" i="4"/>
  <c r="L1124" i="4"/>
  <c r="C1120" i="4"/>
  <c r="H1115" i="4"/>
  <c r="M1110" i="4"/>
  <c r="E1106" i="4"/>
  <c r="J1101" i="4"/>
  <c r="B1097" i="4"/>
  <c r="G1092" i="4"/>
  <c r="L1087" i="4"/>
  <c r="H1202" i="4"/>
  <c r="I1164" i="4"/>
  <c r="D1146" i="4"/>
  <c r="H1141" i="4"/>
  <c r="L1136" i="4"/>
  <c r="D1132" i="4"/>
  <c r="J1127" i="4"/>
  <c r="A1123" i="4"/>
  <c r="E1118" i="4"/>
  <c r="J1113" i="4"/>
  <c r="B1109" i="4"/>
  <c r="G1104" i="4"/>
  <c r="M1099" i="4"/>
  <c r="E1095" i="4"/>
  <c r="J1090" i="4"/>
  <c r="H1283" i="4"/>
  <c r="N1226" i="4"/>
  <c r="M1262" i="4"/>
  <c r="L1223" i="4"/>
  <c r="G1260" i="4"/>
  <c r="B1223" i="4"/>
  <c r="N1199" i="4"/>
  <c r="C1162" i="4"/>
  <c r="G1200" i="4"/>
  <c r="J1162" i="4"/>
  <c r="I1201" i="4"/>
  <c r="K1163" i="4"/>
  <c r="H1201" i="4"/>
  <c r="J1163" i="4"/>
  <c r="D1207" i="4"/>
  <c r="F1188" i="4"/>
  <c r="D1175" i="4"/>
  <c r="I1163" i="4"/>
  <c r="H1155" i="4"/>
  <c r="K1272" i="4"/>
  <c r="G1230" i="4"/>
  <c r="K1207" i="4"/>
  <c r="I1199" i="4"/>
  <c r="B1193" i="4"/>
  <c r="A1187" i="4"/>
  <c r="E1182" i="4"/>
  <c r="H1177" i="4"/>
  <c r="M1172" i="4"/>
  <c r="B1168" i="4"/>
  <c r="H1163" i="4"/>
  <c r="N1158" i="4"/>
  <c r="D1154" i="4"/>
  <c r="J1149" i="4"/>
  <c r="C1247" i="4"/>
  <c r="G1227" i="4"/>
  <c r="M1209" i="4"/>
  <c r="E1205" i="4"/>
  <c r="I1200" i="4"/>
  <c r="L1195" i="4"/>
  <c r="C1191" i="4"/>
  <c r="E1186" i="4"/>
  <c r="I1181" i="4"/>
  <c r="K1176" i="4"/>
  <c r="C1172" i="4"/>
  <c r="F1167" i="4"/>
  <c r="L1162" i="4"/>
  <c r="D1158" i="4"/>
  <c r="H1153" i="4"/>
  <c r="G1313" i="4"/>
  <c r="L1185" i="4"/>
  <c r="A1149" i="4"/>
  <c r="C1144" i="4"/>
  <c r="G1139" i="4"/>
  <c r="L1134" i="4"/>
  <c r="D1130" i="4"/>
  <c r="I1125" i="4"/>
  <c r="N1120" i="4"/>
  <c r="E1116" i="4"/>
  <c r="J1111" i="4"/>
  <c r="B1107" i="4"/>
  <c r="G1102" i="4"/>
  <c r="M1097" i="4"/>
  <c r="E1093" i="4"/>
  <c r="J1088" i="4"/>
  <c r="A1084" i="4"/>
  <c r="N1189" i="4"/>
  <c r="G1152" i="4"/>
  <c r="J1144" i="4"/>
  <c r="N1139" i="4"/>
  <c r="E1135" i="4"/>
  <c r="K1130" i="4"/>
  <c r="B1126" i="4"/>
  <c r="H1121" i="4"/>
  <c r="L1116" i="4"/>
  <c r="C1112" i="4"/>
  <c r="I1107" i="4"/>
  <c r="N1102" i="4"/>
  <c r="F1098" i="4"/>
  <c r="L1093" i="4"/>
  <c r="C1089" i="4"/>
  <c r="H1271" i="4"/>
  <c r="J1184" i="4"/>
  <c r="K1148" i="4"/>
  <c r="A1144" i="4"/>
  <c r="E1139" i="4"/>
  <c r="J1134" i="4"/>
  <c r="B1130" i="4"/>
  <c r="G1125" i="4"/>
  <c r="L1120" i="4"/>
  <c r="C1116" i="4"/>
  <c r="H1111" i="4"/>
  <c r="N1106" i="4"/>
  <c r="E1102" i="4"/>
  <c r="K1097" i="4"/>
  <c r="C1093" i="4"/>
  <c r="H1088" i="4"/>
  <c r="H1218" i="4"/>
  <c r="H1174" i="4"/>
  <c r="G1147" i="4"/>
  <c r="K1142" i="4"/>
  <c r="A1138" i="4"/>
  <c r="G1133" i="4"/>
  <c r="M1128" i="4"/>
  <c r="D1124" i="4"/>
  <c r="I1119" i="4"/>
  <c r="N1114" i="4"/>
  <c r="E1110" i="4"/>
  <c r="J1105" i="4"/>
  <c r="B1101" i="4"/>
  <c r="H1096" i="4"/>
  <c r="M1091" i="4"/>
  <c r="D1087" i="4"/>
  <c r="J1197" i="4"/>
  <c r="A1160" i="4"/>
  <c r="J1145" i="4"/>
  <c r="N1140" i="4"/>
  <c r="D1136" i="4"/>
  <c r="J1131" i="4"/>
  <c r="B1127" i="4"/>
  <c r="G1122" i="4"/>
  <c r="K1117" i="4"/>
  <c r="B1113" i="4"/>
  <c r="H1108" i="4"/>
  <c r="M1103" i="4"/>
  <c r="E1099" i="4"/>
  <c r="K1094" i="4"/>
  <c r="B1090" i="4"/>
  <c r="G1085" i="4"/>
  <c r="G1192" i="4"/>
  <c r="K1154" i="4"/>
  <c r="N1144" i="4"/>
  <c r="D1140" i="4"/>
  <c r="I1135" i="4"/>
  <c r="A1131" i="4"/>
  <c r="F1126" i="4"/>
  <c r="L1121" i="4"/>
  <c r="B1117" i="4"/>
  <c r="G1112" i="4"/>
  <c r="M1107" i="4"/>
  <c r="D1103" i="4"/>
  <c r="J1098" i="4"/>
  <c r="B1094" i="4"/>
  <c r="G1089" i="4"/>
  <c r="L1084" i="4"/>
  <c r="F1186" i="4"/>
  <c r="B1149" i="4"/>
  <c r="D1144" i="4"/>
  <c r="L1259" i="4"/>
  <c r="E1212" i="4"/>
  <c r="I1256" i="4"/>
  <c r="D1219" i="4"/>
  <c r="L1255" i="4"/>
  <c r="G1218" i="4"/>
  <c r="C1195" i="4"/>
  <c r="I1157" i="4"/>
  <c r="J1195" i="4"/>
  <c r="B1158" i="4"/>
  <c r="K1196" i="4"/>
  <c r="C1159" i="4"/>
  <c r="J1196" i="4"/>
  <c r="B1159" i="4"/>
  <c r="B1206" i="4"/>
  <c r="C1187" i="4"/>
  <c r="B1174" i="4"/>
  <c r="E1161" i="4"/>
  <c r="E1154" i="4"/>
  <c r="L1266" i="4"/>
  <c r="E1223" i="4"/>
  <c r="C1207" i="4"/>
  <c r="N1198" i="4"/>
  <c r="M1191" i="4"/>
  <c r="G1186" i="4"/>
  <c r="K1181" i="4"/>
  <c r="M1176" i="4"/>
  <c r="E1172" i="4"/>
  <c r="H1167" i="4"/>
  <c r="N1162" i="4"/>
  <c r="F1158" i="4"/>
  <c r="J1153" i="4"/>
  <c r="M1308" i="4"/>
  <c r="K1243" i="4"/>
  <c r="A1225" i="4"/>
  <c r="E1209" i="4"/>
  <c r="K1204" i="4"/>
  <c r="A1200" i="4"/>
  <c r="D1195" i="4"/>
  <c r="H1190" i="4"/>
  <c r="K1185" i="4"/>
  <c r="N1180" i="4"/>
  <c r="C1176" i="4"/>
  <c r="H1171" i="4"/>
  <c r="L1166" i="4"/>
  <c r="D1162" i="4"/>
  <c r="J1157" i="4"/>
  <c r="N1152" i="4"/>
  <c r="C1244" i="4"/>
  <c r="A1181" i="4"/>
  <c r="E1148" i="4"/>
  <c r="I1143" i="4"/>
  <c r="M1138" i="4"/>
  <c r="D1134" i="4"/>
  <c r="J1129" i="4"/>
  <c r="A1125" i="4"/>
  <c r="F1120" i="4"/>
  <c r="K1115" i="4"/>
  <c r="B1111" i="4"/>
  <c r="H1106" i="4"/>
  <c r="M1101" i="4"/>
  <c r="E1097" i="4"/>
  <c r="J1092" i="4"/>
  <c r="A1088" i="4"/>
  <c r="G1286" i="4"/>
  <c r="D1185" i="4"/>
  <c r="N1148" i="4"/>
  <c r="B1144" i="4"/>
  <c r="F1139" i="4"/>
  <c r="K1134" i="4"/>
  <c r="C1130" i="4"/>
  <c r="H1125" i="4"/>
  <c r="M1120" i="4"/>
  <c r="D1116" i="4"/>
  <c r="I1111" i="4"/>
  <c r="A1107" i="4"/>
  <c r="F1102" i="4"/>
  <c r="L1097" i="4"/>
  <c r="D1093" i="4"/>
  <c r="I1088" i="4"/>
  <c r="G1239" i="4"/>
  <c r="L1179" i="4"/>
  <c r="B1148" i="4"/>
  <c r="F1143" i="4"/>
  <c r="K1138" i="4"/>
  <c r="B1134" i="4"/>
  <c r="H1129" i="4"/>
  <c r="M1124" i="4"/>
  <c r="D1120" i="4"/>
  <c r="I1115" i="4"/>
  <c r="N1110" i="4"/>
  <c r="F1106" i="4"/>
  <c r="K1101" i="4"/>
  <c r="C1097" i="4"/>
  <c r="H1092" i="4"/>
  <c r="M1087" i="4"/>
  <c r="J1207" i="4"/>
  <c r="L1169" i="4"/>
  <c r="M1146" i="4"/>
  <c r="C1142" i="4"/>
  <c r="G1137" i="4"/>
  <c r="M1132" i="4"/>
  <c r="E1128" i="4"/>
  <c r="J1123" i="4"/>
  <c r="N1118" i="4"/>
  <c r="F1114" i="4"/>
  <c r="K1109" i="4"/>
  <c r="B1105" i="4"/>
  <c r="H1100" i="4"/>
  <c r="N1095" i="4"/>
  <c r="E1091" i="4"/>
  <c r="J1086" i="4"/>
  <c r="A1193" i="4"/>
  <c r="F1155" i="4"/>
  <c r="A1145" i="4"/>
  <c r="E1140" i="4"/>
  <c r="J1135" i="4"/>
  <c r="B1131" i="4"/>
  <c r="H1126" i="4"/>
  <c r="M1121" i="4"/>
  <c r="C1117" i="4"/>
  <c r="H1112" i="4"/>
  <c r="N1107" i="4"/>
  <c r="E1103" i="4"/>
  <c r="G1222" i="4"/>
  <c r="N1190" i="4"/>
  <c r="N1172" i="4"/>
  <c r="M1185" i="4"/>
  <c r="C1284" i="4"/>
  <c r="C1185" i="4"/>
  <c r="H1225" i="4"/>
  <c r="L1119" i="4"/>
  <c r="L1241" i="4"/>
  <c r="E1120" i="4"/>
  <c r="M1220" i="4"/>
  <c r="J1119" i="4"/>
  <c r="B1203" i="4"/>
  <c r="F1118" i="4"/>
  <c r="D1188" i="4"/>
  <c r="I1116" i="4"/>
  <c r="C1098" i="4"/>
  <c r="N1088" i="4"/>
  <c r="A1197" i="4"/>
  <c r="K1146" i="4"/>
  <c r="J1139" i="4"/>
  <c r="C1132" i="4"/>
  <c r="D1125" i="4"/>
  <c r="J1117" i="4"/>
  <c r="I1109" i="4"/>
  <c r="J1102" i="4"/>
  <c r="L1095" i="4"/>
  <c r="A1090" i="4"/>
  <c r="M1227" i="4"/>
  <c r="M1162" i="4"/>
  <c r="L1144" i="4"/>
  <c r="N1138" i="4"/>
  <c r="E1134" i="4"/>
  <c r="K1129" i="4"/>
  <c r="B1125" i="4"/>
  <c r="G1120" i="4"/>
  <c r="L1115" i="4"/>
  <c r="C1111" i="4"/>
  <c r="I1106" i="4"/>
  <c r="N1101" i="4"/>
  <c r="F1097" i="4"/>
  <c r="K1092" i="4"/>
  <c r="B1088" i="4"/>
  <c r="D1182" i="4"/>
  <c r="M1115" i="4"/>
  <c r="B1084" i="4"/>
  <c r="G1079" i="4"/>
  <c r="M1074" i="4"/>
  <c r="E1070" i="4"/>
  <c r="K1065" i="4"/>
  <c r="B1061" i="4"/>
  <c r="G1056" i="4"/>
  <c r="J1051" i="4"/>
  <c r="M1046" i="4"/>
  <c r="D1042" i="4"/>
  <c r="H1037" i="4"/>
  <c r="M1032" i="4"/>
  <c r="D1028" i="4"/>
  <c r="H1023" i="4"/>
  <c r="L1018" i="4"/>
  <c r="C1014" i="4"/>
  <c r="F1009" i="4"/>
  <c r="I1004" i="4"/>
  <c r="M999" i="4"/>
  <c r="E995" i="4"/>
  <c r="J990" i="4"/>
  <c r="A986" i="4"/>
  <c r="F981" i="4"/>
  <c r="J976" i="4"/>
  <c r="A972" i="4"/>
  <c r="F967" i="4"/>
  <c r="K962" i="4"/>
  <c r="B958" i="4"/>
  <c r="G953" i="4"/>
  <c r="K948" i="4"/>
  <c r="L1147" i="4"/>
  <c r="J1110" i="4"/>
  <c r="F1083" i="4"/>
  <c r="L1078" i="4"/>
  <c r="D1074" i="4"/>
  <c r="J1069" i="4"/>
  <c r="B1065" i="4"/>
  <c r="G1060" i="4"/>
  <c r="L1055" i="4"/>
  <c r="A1051" i="4"/>
  <c r="D1046" i="4"/>
  <c r="I1041" i="4"/>
  <c r="L1036" i="4"/>
  <c r="D1032" i="4"/>
  <c r="I1027" i="4"/>
  <c r="M1022" i="4"/>
  <c r="C1018" i="4"/>
  <c r="H1013" i="4"/>
  <c r="K1008" i="4"/>
  <c r="N1003" i="4"/>
  <c r="D999" i="4"/>
  <c r="J994" i="4"/>
  <c r="A990" i="4"/>
  <c r="F985" i="4"/>
  <c r="J980" i="4"/>
  <c r="A976" i="4"/>
  <c r="F971" i="4"/>
  <c r="K966" i="4"/>
  <c r="B962" i="4"/>
  <c r="G957" i="4"/>
  <c r="L952" i="4"/>
  <c r="B948" i="4"/>
  <c r="H1142" i="4"/>
  <c r="G1105" i="4"/>
  <c r="K1082" i="4"/>
  <c r="C1078" i="4"/>
  <c r="I1073" i="4"/>
  <c r="A1069" i="4"/>
  <c r="F1064" i="4"/>
  <c r="L1059" i="4"/>
  <c r="C1055" i="4"/>
  <c r="E1050" i="4"/>
  <c r="I1045" i="4"/>
  <c r="N1040" i="4"/>
  <c r="C1036" i="4"/>
  <c r="I1031" i="4"/>
  <c r="N1026" i="4"/>
  <c r="D1022" i="4"/>
  <c r="G1017" i="4"/>
  <c r="L1012" i="4"/>
  <c r="A1008" i="4"/>
  <c r="E1003" i="4"/>
  <c r="I998" i="4"/>
  <c r="C1276" i="4"/>
  <c r="F1153" i="4"/>
  <c r="K1160" i="4"/>
  <c r="C1181" i="4"/>
  <c r="F1241" i="4"/>
  <c r="F1180" i="4"/>
  <c r="D1176" i="4"/>
  <c r="C1115" i="4"/>
  <c r="G1180" i="4"/>
  <c r="J1115" i="4"/>
  <c r="B1175" i="4"/>
  <c r="A1115" i="4"/>
  <c r="C1165" i="4"/>
  <c r="K1113" i="4"/>
  <c r="K1150" i="4"/>
  <c r="N1111" i="4"/>
  <c r="G1096" i="4"/>
  <c r="C1087" i="4"/>
  <c r="I1187" i="4"/>
  <c r="C1146" i="4"/>
  <c r="B1139" i="4"/>
  <c r="I1131" i="4"/>
  <c r="H1123" i="4"/>
  <c r="H1116" i="4"/>
  <c r="A1109" i="4"/>
  <c r="B1102" i="4"/>
  <c r="D1095" i="4"/>
  <c r="M1088" i="4"/>
  <c r="N1209" i="4"/>
  <c r="E1158" i="4"/>
  <c r="J1143" i="4"/>
  <c r="E1138" i="4"/>
  <c r="K1133" i="4"/>
  <c r="C1129" i="4"/>
  <c r="H1124" i="4"/>
  <c r="M1119" i="4"/>
  <c r="D1115" i="4"/>
  <c r="I1110" i="4"/>
  <c r="N1105" i="4"/>
  <c r="F1101" i="4"/>
  <c r="L1096" i="4"/>
  <c r="C1092" i="4"/>
  <c r="H1087" i="4"/>
  <c r="G1148" i="4"/>
  <c r="D1111" i="4"/>
  <c r="G1083" i="4"/>
  <c r="M1078" i="4"/>
  <c r="E1074" i="4"/>
  <c r="K1069" i="4"/>
  <c r="C1065" i="4"/>
  <c r="H1060" i="4"/>
  <c r="M1055" i="4"/>
  <c r="B1051" i="4"/>
  <c r="E1046" i="4"/>
  <c r="J1041" i="4"/>
  <c r="M1036" i="4"/>
  <c r="E1032" i="4"/>
  <c r="J1027" i="4"/>
  <c r="N1022" i="4"/>
  <c r="D1018" i="4"/>
  <c r="I1013" i="4"/>
  <c r="L1008" i="4"/>
  <c r="A1004" i="4"/>
  <c r="E999" i="4"/>
  <c r="K994" i="4"/>
  <c r="B990" i="4"/>
  <c r="G985" i="4"/>
  <c r="K980" i="4"/>
  <c r="B976" i="4"/>
  <c r="G971" i="4"/>
  <c r="L966" i="4"/>
  <c r="C962" i="4"/>
  <c r="H957" i="4"/>
  <c r="M952" i="4"/>
  <c r="C948" i="4"/>
  <c r="B1143" i="4"/>
  <c r="A1106" i="4"/>
  <c r="L1082" i="4"/>
  <c r="D1078" i="4"/>
  <c r="J1073" i="4"/>
  <c r="B1069" i="4"/>
  <c r="H1064" i="4"/>
  <c r="M1059" i="4"/>
  <c r="D1055" i="4"/>
  <c r="F1050" i="4"/>
  <c r="J1045" i="4"/>
  <c r="A1041" i="4"/>
  <c r="D1036" i="4"/>
  <c r="J1031" i="4"/>
  <c r="A1027" i="4"/>
  <c r="E1022" i="4"/>
  <c r="H1017" i="4"/>
  <c r="M1012" i="4"/>
  <c r="C1008" i="4"/>
  <c r="F1003" i="4"/>
  <c r="J998" i="4"/>
  <c r="B994" i="4"/>
  <c r="G989" i="4"/>
  <c r="L984" i="4"/>
  <c r="B980" i="4"/>
  <c r="G975" i="4"/>
  <c r="L970" i="4"/>
  <c r="C966" i="4"/>
  <c r="H961" i="4"/>
  <c r="M956" i="4"/>
  <c r="D952" i="4"/>
  <c r="H947" i="4"/>
  <c r="L1137" i="4"/>
  <c r="M1100" i="4"/>
  <c r="C1082" i="4"/>
  <c r="I1077" i="4"/>
  <c r="A1073" i="4"/>
  <c r="G1068" i="4"/>
  <c r="L1063" i="4"/>
  <c r="D1059" i="4"/>
  <c r="H1054" i="4"/>
  <c r="K1049" i="4"/>
  <c r="A1045" i="4"/>
  <c r="E1040" i="4"/>
  <c r="I1035" i="4"/>
  <c r="A1031" i="4"/>
  <c r="F1026" i="4"/>
  <c r="I1021" i="4"/>
  <c r="M1016" i="4"/>
  <c r="D1012" i="4"/>
  <c r="F1007" i="4"/>
  <c r="K1002" i="4"/>
  <c r="A998" i="4"/>
  <c r="L1251" i="4"/>
  <c r="C1192" i="4"/>
  <c r="I1152" i="4"/>
  <c r="E1176" i="4"/>
  <c r="K1222" i="4"/>
  <c r="I1175" i="4"/>
  <c r="J1147" i="4"/>
  <c r="H1110" i="4"/>
  <c r="C1148" i="4"/>
  <c r="A1111" i="4"/>
  <c r="H1147" i="4"/>
  <c r="F1110" i="4"/>
  <c r="E1146" i="4"/>
  <c r="C1109" i="4"/>
  <c r="G1144" i="4"/>
  <c r="F1107" i="4"/>
  <c r="M1095" i="4"/>
  <c r="I1086" i="4"/>
  <c r="L1182" i="4"/>
  <c r="I1145" i="4"/>
  <c r="E1137" i="4"/>
  <c r="G1130" i="4"/>
  <c r="N1122" i="4"/>
  <c r="N1115" i="4"/>
  <c r="G1108" i="4"/>
  <c r="F1100" i="4"/>
  <c r="J1094" i="4"/>
  <c r="D1088" i="4"/>
  <c r="J1200" i="4"/>
  <c r="I1153" i="4"/>
  <c r="A1143" i="4"/>
  <c r="K1137" i="4"/>
  <c r="C1133" i="4"/>
  <c r="I1128" i="4"/>
  <c r="N1123" i="4"/>
  <c r="D1119" i="4"/>
  <c r="J1114" i="4"/>
  <c r="A1110" i="4"/>
  <c r="F1105" i="4"/>
  <c r="L1100" i="4"/>
  <c r="D1096" i="4"/>
  <c r="I1091" i="4"/>
  <c r="N1086" i="4"/>
  <c r="K1143" i="4"/>
  <c r="J1106" i="4"/>
  <c r="M1082" i="4"/>
  <c r="E1078" i="4"/>
  <c r="K1073" i="4"/>
  <c r="C1069" i="4"/>
  <c r="I1064" i="4"/>
  <c r="N1059" i="4"/>
  <c r="E1055" i="4"/>
  <c r="H1050" i="4"/>
  <c r="K1045" i="4"/>
  <c r="B1041" i="4"/>
  <c r="E1036" i="4"/>
  <c r="K1031" i="4"/>
  <c r="B1027" i="4"/>
  <c r="F1022" i="4"/>
  <c r="I1017" i="4"/>
  <c r="N1012" i="4"/>
  <c r="D1008" i="4"/>
  <c r="G1003" i="4"/>
  <c r="K998" i="4"/>
  <c r="C994" i="4"/>
  <c r="H989" i="4"/>
  <c r="M984" i="4"/>
  <c r="C980" i="4"/>
  <c r="H975" i="4"/>
  <c r="M970" i="4"/>
  <c r="D966" i="4"/>
  <c r="I961" i="4"/>
  <c r="N956" i="4"/>
  <c r="E952" i="4"/>
  <c r="I947" i="4"/>
  <c r="F1138" i="4"/>
  <c r="G1101" i="4"/>
  <c r="D1082" i="4"/>
  <c r="J1077" i="4"/>
  <c r="B1073" i="4"/>
  <c r="H1068" i="4"/>
  <c r="M1063" i="4"/>
  <c r="E1059" i="4"/>
  <c r="I1054" i="4"/>
  <c r="L1049" i="4"/>
  <c r="B1045" i="4"/>
  <c r="F1040" i="4"/>
  <c r="J1035" i="4"/>
  <c r="B1031" i="4"/>
  <c r="G1026" i="4"/>
  <c r="J1021" i="4"/>
  <c r="N1016" i="4"/>
  <c r="E1012" i="4"/>
  <c r="H1007" i="4"/>
  <c r="L1002" i="4"/>
  <c r="B998" i="4"/>
  <c r="H993" i="4"/>
  <c r="M988" i="4"/>
  <c r="D984" i="4"/>
  <c r="H979" i="4"/>
  <c r="M974" i="4"/>
  <c r="D970" i="4"/>
  <c r="I965" i="4"/>
  <c r="N960" i="4"/>
  <c r="E956" i="4"/>
  <c r="I951" i="4"/>
  <c r="M946" i="4"/>
  <c r="D1133" i="4"/>
  <c r="E1096" i="4"/>
  <c r="I1081" i="4"/>
  <c r="A1077" i="4"/>
  <c r="G1072" i="4"/>
  <c r="M1067" i="4"/>
  <c r="D1063" i="4"/>
  <c r="J1058" i="4"/>
  <c r="M1053" i="4"/>
  <c r="C1049" i="4"/>
  <c r="G1044" i="4"/>
  <c r="K1039" i="4"/>
  <c r="A1035" i="4"/>
  <c r="G1030" i="4"/>
  <c r="L1025" i="4"/>
  <c r="A1021" i="4"/>
  <c r="E1016" i="4"/>
  <c r="J1011" i="4"/>
  <c r="L1006" i="4"/>
  <c r="C1002" i="4"/>
  <c r="G997" i="4"/>
  <c r="G1214" i="4"/>
  <c r="G1154" i="4"/>
  <c r="D1262" i="4"/>
  <c r="J1171" i="4"/>
  <c r="K1208" i="4"/>
  <c r="M1170" i="4"/>
  <c r="N1142" i="4"/>
  <c r="M1105" i="4"/>
  <c r="H1143" i="4"/>
  <c r="G1106" i="4"/>
  <c r="L1142" i="4"/>
  <c r="K1105" i="4"/>
  <c r="I1141" i="4"/>
  <c r="H1104" i="4"/>
  <c r="K1139" i="4"/>
  <c r="A1105" i="4"/>
  <c r="C1094" i="4"/>
  <c r="A1086" i="4"/>
  <c r="I1168" i="4"/>
  <c r="F1144" i="4"/>
  <c r="K1136" i="4"/>
  <c r="M1129" i="4"/>
  <c r="F1122" i="4"/>
  <c r="D1114" i="4"/>
  <c r="E1107" i="4"/>
  <c r="L1099" i="4"/>
  <c r="H1093" i="4"/>
  <c r="J1087" i="4"/>
  <c r="M1195" i="4"/>
  <c r="F1148" i="4"/>
  <c r="G1142" i="4"/>
  <c r="C1137" i="4"/>
  <c r="I1132" i="4"/>
  <c r="A1128" i="4"/>
  <c r="F1123" i="4"/>
  <c r="J1118" i="4"/>
  <c r="A1114" i="4"/>
  <c r="G1109" i="4"/>
  <c r="L1104" i="4"/>
  <c r="D1100" i="4"/>
  <c r="J1095" i="4"/>
  <c r="A1091" i="4"/>
  <c r="F1086" i="4"/>
  <c r="A1139" i="4"/>
  <c r="A1102" i="4"/>
  <c r="E1082" i="4"/>
  <c r="K1077" i="4"/>
  <c r="C1073" i="4"/>
  <c r="I1068" i="4"/>
  <c r="N1063" i="4"/>
  <c r="F1059" i="4"/>
  <c r="J1054" i="4"/>
  <c r="M1049" i="4"/>
  <c r="C1045" i="4"/>
  <c r="H1040" i="4"/>
  <c r="K1035" i="4"/>
  <c r="C1031" i="4"/>
  <c r="H1026" i="4"/>
  <c r="K1021" i="4"/>
  <c r="A1017" i="4"/>
  <c r="F1012" i="4"/>
  <c r="I1007" i="4"/>
  <c r="M1002" i="4"/>
  <c r="C998" i="4"/>
  <c r="I993" i="4"/>
  <c r="N988" i="4"/>
  <c r="E984" i="4"/>
  <c r="I979" i="4"/>
  <c r="N974" i="4"/>
  <c r="E970" i="4"/>
  <c r="J965" i="4"/>
  <c r="A961" i="4"/>
  <c r="F956" i="4"/>
  <c r="J951" i="4"/>
  <c r="N946" i="4"/>
  <c r="L1133" i="4"/>
  <c r="M1096" i="4"/>
  <c r="J1081" i="4"/>
  <c r="B1077" i="4"/>
  <c r="H1072" i="4"/>
  <c r="N1067" i="4"/>
  <c r="E1063" i="4"/>
  <c r="K1058" i="4"/>
  <c r="N1053" i="4"/>
  <c r="D1049" i="4"/>
  <c r="H1044" i="4"/>
  <c r="L1039" i="4"/>
  <c r="B1035" i="4"/>
  <c r="H1030" i="4"/>
  <c r="M1025" i="4"/>
  <c r="B1021" i="4"/>
  <c r="F1016" i="4"/>
  <c r="K1011" i="4"/>
  <c r="M1006" i="4"/>
  <c r="D1002" i="4"/>
  <c r="H997" i="4"/>
  <c r="N992" i="4"/>
  <c r="E988" i="4"/>
  <c r="J983" i="4"/>
  <c r="N978" i="4"/>
  <c r="E974" i="4"/>
  <c r="J969" i="4"/>
  <c r="N964" i="4"/>
  <c r="F960" i="4"/>
  <c r="K955" i="4"/>
  <c r="A951" i="4"/>
  <c r="E946" i="4"/>
  <c r="J1128" i="4"/>
  <c r="J1091" i="4"/>
  <c r="A1081" i="4"/>
  <c r="G1076" i="4"/>
  <c r="M1071" i="4"/>
  <c r="E1067" i="4"/>
  <c r="J1062" i="4"/>
  <c r="A1058" i="4"/>
  <c r="E1053" i="4"/>
  <c r="I1048" i="4"/>
  <c r="M1043" i="4"/>
  <c r="C1039" i="4"/>
  <c r="G1034" i="4"/>
  <c r="M1029" i="4"/>
  <c r="C1025" i="4"/>
  <c r="G1020" i="4"/>
  <c r="K1015" i="4"/>
  <c r="A1011" i="4"/>
  <c r="D1006" i="4"/>
  <c r="I1001" i="4"/>
  <c r="B1251" i="4"/>
  <c r="A1192" i="4"/>
  <c r="A1221" i="4"/>
  <c r="N1166" i="4"/>
  <c r="C1204" i="4"/>
  <c r="D1166" i="4"/>
  <c r="D1138" i="4"/>
  <c r="E1101" i="4"/>
  <c r="L1138" i="4"/>
  <c r="L1101" i="4"/>
  <c r="B1138" i="4"/>
  <c r="C1101" i="4"/>
  <c r="M1136" i="4"/>
  <c r="N1099" i="4"/>
  <c r="B1135" i="4"/>
  <c r="K1102" i="4"/>
  <c r="I1093" i="4"/>
  <c r="M1084" i="4"/>
  <c r="A1164" i="4"/>
  <c r="L1143" i="4"/>
  <c r="C1136" i="4"/>
  <c r="C1128" i="4"/>
  <c r="C1121" i="4"/>
  <c r="I1113" i="4"/>
  <c r="K1106" i="4"/>
  <c r="D1099" i="4"/>
  <c r="M1092" i="4"/>
  <c r="H1086" i="4"/>
  <c r="D1191" i="4"/>
  <c r="K1147" i="4"/>
  <c r="E1141" i="4"/>
  <c r="I1136" i="4"/>
  <c r="A1132" i="4"/>
  <c r="G1127" i="4"/>
  <c r="L1122" i="4"/>
  <c r="B1118" i="4"/>
  <c r="G1113" i="4"/>
  <c r="M1108" i="4"/>
  <c r="D1104" i="4"/>
  <c r="J1099" i="4"/>
  <c r="B1095" i="4"/>
  <c r="G1090" i="4"/>
  <c r="L1085" i="4"/>
  <c r="F1134" i="4"/>
  <c r="G1097" i="4"/>
  <c r="K1081" i="4"/>
  <c r="C1077" i="4"/>
  <c r="I1072" i="4"/>
  <c r="A1068" i="4"/>
  <c r="F1063" i="4"/>
  <c r="L1058" i="4"/>
  <c r="A1054" i="4"/>
  <c r="E1049" i="4"/>
  <c r="I1044" i="4"/>
  <c r="M1039" i="4"/>
  <c r="C1035" i="4"/>
  <c r="I1030" i="4"/>
  <c r="N1025" i="4"/>
  <c r="C1021" i="4"/>
  <c r="G1016" i="4"/>
  <c r="L1011" i="4"/>
  <c r="N1006" i="4"/>
  <c r="E1002" i="4"/>
  <c r="I997" i="4"/>
  <c r="A993" i="4"/>
  <c r="F988" i="4"/>
  <c r="K983" i="4"/>
  <c r="A979" i="4"/>
  <c r="F974" i="4"/>
  <c r="K969" i="4"/>
  <c r="A965" i="4"/>
  <c r="G960" i="4"/>
  <c r="L955" i="4"/>
  <c r="B951" i="4"/>
  <c r="F946" i="4"/>
  <c r="D1129" i="4"/>
  <c r="D1092" i="4"/>
  <c r="B1081" i="4"/>
  <c r="H1076" i="4"/>
  <c r="N1071" i="4"/>
  <c r="F1067" i="4"/>
  <c r="K1062" i="4"/>
  <c r="C1058" i="4"/>
  <c r="F1053" i="4"/>
  <c r="K1213" i="4"/>
  <c r="F1154" i="4"/>
  <c r="A1206" i="4"/>
  <c r="F1162" i="4"/>
  <c r="G1199" i="4"/>
  <c r="J1161" i="4"/>
  <c r="J1133" i="4"/>
  <c r="K1096" i="4"/>
  <c r="C1134" i="4"/>
  <c r="D1097" i="4"/>
  <c r="H1133" i="4"/>
  <c r="I1096" i="4"/>
  <c r="E1132" i="4"/>
  <c r="F1095" i="4"/>
  <c r="H1130" i="4"/>
  <c r="A1101" i="4"/>
  <c r="L1091" i="4"/>
  <c r="B1257" i="4"/>
  <c r="G1159" i="4"/>
  <c r="A1142" i="4"/>
  <c r="A1135" i="4"/>
  <c r="I1127" i="4"/>
  <c r="I1120" i="4"/>
  <c r="A1113" i="4"/>
  <c r="N1104" i="4"/>
  <c r="B1098" i="4"/>
  <c r="E1092" i="4"/>
  <c r="N1085" i="4"/>
  <c r="J1181" i="4"/>
  <c r="C1147" i="4"/>
  <c r="K1140" i="4"/>
  <c r="A1136" i="4"/>
  <c r="G1131" i="4"/>
  <c r="M1126" i="4"/>
  <c r="D1122" i="4"/>
  <c r="H1117" i="4"/>
  <c r="M1112" i="4"/>
  <c r="E1108" i="4"/>
  <c r="J1103" i="4"/>
  <c r="B1099" i="4"/>
  <c r="H1094" i="4"/>
  <c r="M1089" i="4"/>
  <c r="D1085" i="4"/>
  <c r="L1129" i="4"/>
  <c r="L1092" i="4"/>
  <c r="C1081" i="4"/>
  <c r="I1076" i="4"/>
  <c r="A1072" i="4"/>
  <c r="G1067" i="4"/>
  <c r="L1062" i="4"/>
  <c r="D1058" i="4"/>
  <c r="G1053" i="4"/>
  <c r="K1048" i="4"/>
  <c r="A1044" i="4"/>
  <c r="E1039" i="4"/>
  <c r="I1034" i="4"/>
  <c r="A1030" i="4"/>
  <c r="E1025" i="4"/>
  <c r="I1020" i="4"/>
  <c r="M1015" i="4"/>
  <c r="D1011" i="4"/>
  <c r="F1006" i="4"/>
  <c r="K1001" i="4"/>
  <c r="A997" i="4"/>
  <c r="G992" i="4"/>
  <c r="L987" i="4"/>
  <c r="C983" i="4"/>
  <c r="G978" i="4"/>
  <c r="L973" i="4"/>
  <c r="C969" i="4"/>
  <c r="G964" i="4"/>
  <c r="M959" i="4"/>
  <c r="D955" i="4"/>
  <c r="H950" i="4"/>
  <c r="K945" i="4"/>
  <c r="I1124" i="4"/>
  <c r="I1087" i="4"/>
  <c r="H1080" i="4"/>
  <c r="N1075" i="4"/>
  <c r="F1071" i="4"/>
  <c r="L1066" i="4"/>
  <c r="C1062" i="4"/>
  <c r="H1057" i="4"/>
  <c r="K1052" i="4"/>
  <c r="A1048" i="4"/>
  <c r="E1043" i="4"/>
  <c r="J1038" i="4"/>
  <c r="N1033" i="4"/>
  <c r="F1029" i="4"/>
  <c r="J1024" i="4"/>
  <c r="N1019" i="4"/>
  <c r="D1015" i="4"/>
  <c r="H1010" i="4"/>
  <c r="J1005" i="4"/>
  <c r="A1001" i="4"/>
  <c r="F996" i="4"/>
  <c r="L991" i="4"/>
  <c r="C987" i="4"/>
  <c r="G982" i="4"/>
  <c r="L977" i="4"/>
  <c r="C973" i="4"/>
  <c r="H968" i="4"/>
  <c r="L963" i="4"/>
  <c r="D959" i="4"/>
  <c r="H954" i="4"/>
  <c r="L949" i="4"/>
  <c r="G1211" i="4"/>
  <c r="E1119" i="4"/>
  <c r="H1084" i="4"/>
  <c r="M1079" i="4"/>
  <c r="E1075" i="4"/>
  <c r="K1070" i="4"/>
  <c r="C1066" i="4"/>
  <c r="H1061" i="4"/>
  <c r="M1056" i="4"/>
  <c r="B1052" i="4"/>
  <c r="F1047" i="4"/>
  <c r="J1042" i="4"/>
  <c r="N1037" i="4"/>
  <c r="E1033" i="4"/>
  <c r="J1028" i="4"/>
  <c r="N1023" i="4"/>
  <c r="E1019" i="4"/>
  <c r="I1014" i="4"/>
  <c r="M1009" i="4"/>
  <c r="A1005" i="4"/>
  <c r="F1000" i="4"/>
  <c r="K995" i="4"/>
  <c r="F1190" i="4"/>
  <c r="J1202" i="4"/>
  <c r="F1198" i="4"/>
  <c r="L1157" i="4"/>
  <c r="J1194" i="4"/>
  <c r="B1157" i="4"/>
  <c r="B1129" i="4"/>
  <c r="B1092" i="4"/>
  <c r="I1129" i="4"/>
  <c r="I1092" i="4"/>
  <c r="N1128" i="4"/>
  <c r="N1091" i="4"/>
  <c r="K1127" i="4"/>
  <c r="K1090" i="4"/>
  <c r="M1125" i="4"/>
  <c r="G1100" i="4"/>
  <c r="D1091" i="4"/>
  <c r="H1206" i="4"/>
  <c r="C1150" i="4"/>
  <c r="G1141" i="4"/>
  <c r="G1134" i="4"/>
  <c r="A1127" i="4"/>
  <c r="L1118" i="4"/>
  <c r="M1111" i="4"/>
  <c r="F1104" i="4"/>
  <c r="H1097" i="4"/>
  <c r="C1091" i="4"/>
  <c r="F1085" i="4"/>
  <c r="L1176" i="4"/>
  <c r="A1146" i="4"/>
  <c r="B1140" i="4"/>
  <c r="G1135" i="4"/>
  <c r="M1130" i="4"/>
  <c r="D1126" i="4"/>
  <c r="J1121" i="4"/>
  <c r="N1116" i="4"/>
  <c r="E1112" i="4"/>
  <c r="K1107" i="4"/>
  <c r="B1103" i="4"/>
  <c r="H1098" i="4"/>
  <c r="N1093" i="4"/>
  <c r="E1089" i="4"/>
  <c r="J1084" i="4"/>
  <c r="C1125" i="4"/>
  <c r="C1088" i="4"/>
  <c r="I1080" i="4"/>
  <c r="A1076" i="4"/>
  <c r="G1071" i="4"/>
  <c r="M1066" i="4"/>
  <c r="D1062" i="4"/>
  <c r="I1057" i="4"/>
  <c r="L1052" i="4"/>
  <c r="C1048" i="4"/>
  <c r="F1043" i="4"/>
  <c r="K1038" i="4"/>
  <c r="A1034" i="4"/>
  <c r="G1029" i="4"/>
  <c r="K1024" i="4"/>
  <c r="A1020" i="4"/>
  <c r="E1015" i="4"/>
  <c r="I1010" i="4"/>
  <c r="K1005" i="4"/>
  <c r="B1001" i="4"/>
  <c r="G996" i="4"/>
  <c r="M991" i="4"/>
  <c r="D987" i="4"/>
  <c r="H982" i="4"/>
  <c r="M977" i="4"/>
  <c r="D973" i="4"/>
  <c r="I968" i="4"/>
  <c r="M963" i="4"/>
  <c r="E959" i="4"/>
  <c r="I954" i="4"/>
  <c r="M949" i="4"/>
  <c r="E1230" i="4"/>
  <c r="N1119" i="4"/>
  <c r="K1084" i="4"/>
  <c r="N1079" i="4"/>
  <c r="F1075" i="4"/>
  <c r="L1070" i="4"/>
  <c r="D1066" i="4"/>
  <c r="I1061" i="4"/>
  <c r="N1056" i="4"/>
  <c r="C1052" i="4"/>
  <c r="G1047" i="4"/>
  <c r="K1042" i="4"/>
  <c r="A1038" i="4"/>
  <c r="F1033" i="4"/>
  <c r="K1028" i="4"/>
  <c r="A1024" i="4"/>
  <c r="F1019" i="4"/>
  <c r="J1014" i="4"/>
  <c r="N1009" i="4"/>
  <c r="B1005" i="4"/>
  <c r="G1000" i="4"/>
  <c r="L995" i="4"/>
  <c r="D991" i="4"/>
  <c r="H986" i="4"/>
  <c r="M981" i="4"/>
  <c r="D977" i="4"/>
  <c r="H972" i="4"/>
  <c r="M967" i="4"/>
  <c r="D963" i="4"/>
  <c r="I958" i="4"/>
  <c r="N953" i="4"/>
  <c r="D949" i="4"/>
  <c r="L1172" i="4"/>
  <c r="K1114" i="4"/>
  <c r="M1083" i="4"/>
  <c r="E1079" i="4"/>
  <c r="K1074" i="4"/>
  <c r="C1070" i="4"/>
  <c r="I1065" i="4"/>
  <c r="N1060" i="4"/>
  <c r="E1056" i="4"/>
  <c r="H1051" i="4"/>
  <c r="K1046" i="4"/>
  <c r="B1042" i="4"/>
  <c r="F1037" i="4"/>
  <c r="K1032" i="4"/>
  <c r="B1028" i="4"/>
  <c r="F1023" i="4"/>
  <c r="J1018" i="4"/>
  <c r="A1014" i="4"/>
  <c r="D1009" i="4"/>
  <c r="G1004" i="4"/>
  <c r="K999" i="4"/>
  <c r="M1152" i="4"/>
  <c r="N1124" i="4"/>
  <c r="H1089" i="4"/>
  <c r="L1103" i="4"/>
  <c r="E1130" i="4"/>
  <c r="F1093" i="4"/>
  <c r="E1066" i="4"/>
  <c r="L1028" i="4"/>
  <c r="E991" i="4"/>
  <c r="A954" i="4"/>
  <c r="J1065" i="4"/>
  <c r="D1039" i="4"/>
  <c r="H1020" i="4"/>
  <c r="J1001" i="4"/>
  <c r="A983" i="4"/>
  <c r="F964" i="4"/>
  <c r="J945" i="4"/>
  <c r="M1075" i="4"/>
  <c r="G1057" i="4"/>
  <c r="I1038" i="4"/>
  <c r="M1019" i="4"/>
  <c r="N1000" i="4"/>
  <c r="M992" i="4"/>
  <c r="D988" i="4"/>
  <c r="I983" i="4"/>
  <c r="M978" i="4"/>
  <c r="D974" i="4"/>
  <c r="I969" i="4"/>
  <c r="M964" i="4"/>
  <c r="E960" i="4"/>
  <c r="J955" i="4"/>
  <c r="G1123" i="4"/>
  <c r="G1086" i="4"/>
  <c r="F1080" i="4"/>
  <c r="L1075" i="4"/>
  <c r="D1071" i="4"/>
  <c r="J1066" i="4"/>
  <c r="A1062" i="4"/>
  <c r="F1057" i="4"/>
  <c r="I1052" i="4"/>
  <c r="M1047" i="4"/>
  <c r="C1043" i="4"/>
  <c r="H1038" i="4"/>
  <c r="L1033" i="4"/>
  <c r="D1029" i="4"/>
  <c r="H1024" i="4"/>
  <c r="L1019" i="4"/>
  <c r="B1015" i="4"/>
  <c r="F1010" i="4"/>
  <c r="H1005" i="4"/>
  <c r="M1000" i="4"/>
  <c r="D996" i="4"/>
  <c r="J991" i="4"/>
  <c r="N986" i="4"/>
  <c r="E982" i="4"/>
  <c r="J977" i="4"/>
  <c r="N972" i="4"/>
  <c r="E968" i="4"/>
  <c r="J963" i="4"/>
  <c r="A959" i="4"/>
  <c r="F954" i="4"/>
  <c r="J949" i="4"/>
  <c r="G1163" i="4"/>
  <c r="H1113" i="4"/>
  <c r="K1083" i="4"/>
  <c r="C1079" i="4"/>
  <c r="I1074" i="4"/>
  <c r="A1070" i="4"/>
  <c r="G1065" i="4"/>
  <c r="L1060" i="4"/>
  <c r="C1056" i="4"/>
  <c r="F1051" i="4"/>
  <c r="I1046" i="4"/>
  <c r="N1041" i="4"/>
  <c r="D1037" i="4"/>
  <c r="I1032" i="4"/>
  <c r="N1027" i="4"/>
  <c r="D1023" i="4"/>
  <c r="H1018" i="4"/>
  <c r="M1013" i="4"/>
  <c r="B1009" i="4"/>
  <c r="E1004" i="4"/>
  <c r="I999" i="4"/>
  <c r="A995" i="4"/>
  <c r="F990" i="4"/>
  <c r="K985" i="4"/>
  <c r="A981" i="4"/>
  <c r="F976" i="4"/>
  <c r="K971" i="4"/>
  <c r="B967" i="4"/>
  <c r="G962" i="4"/>
  <c r="L957" i="4"/>
  <c r="C953" i="4"/>
  <c r="G948" i="4"/>
  <c r="H1145" i="4"/>
  <c r="F1108" i="4"/>
  <c r="B1083" i="4"/>
  <c r="H1078" i="4"/>
  <c r="N1073" i="4"/>
  <c r="F1069" i="4"/>
  <c r="L1064" i="4"/>
  <c r="C1060" i="4"/>
  <c r="H1055" i="4"/>
  <c r="K1050" i="4"/>
  <c r="N1045" i="4"/>
  <c r="E1041" i="4"/>
  <c r="H1036" i="4"/>
  <c r="N1031" i="4"/>
  <c r="E1027" i="4"/>
  <c r="I1022" i="4"/>
  <c r="L1017" i="4"/>
  <c r="D1013" i="4"/>
  <c r="G1008" i="4"/>
  <c r="J1003" i="4"/>
  <c r="N998" i="4"/>
  <c r="F994" i="4"/>
  <c r="K989" i="4"/>
  <c r="B985" i="4"/>
  <c r="F980" i="4"/>
  <c r="K975" i="4"/>
  <c r="B971" i="4"/>
  <c r="G966" i="4"/>
  <c r="L961" i="4"/>
  <c r="C957" i="4"/>
  <c r="H952" i="4"/>
  <c r="N1186" i="4"/>
  <c r="G1116" i="4"/>
  <c r="C1084" i="4"/>
  <c r="H1079" i="4"/>
  <c r="N1074" i="4"/>
  <c r="F1070" i="4"/>
  <c r="L1065" i="4"/>
  <c r="C1061" i="4"/>
  <c r="H1056" i="4"/>
  <c r="K1051" i="4"/>
  <c r="N1046" i="4"/>
  <c r="E1042" i="4"/>
  <c r="I1037" i="4"/>
  <c r="N1032" i="4"/>
  <c r="E1028" i="4"/>
  <c r="I1023" i="4"/>
  <c r="M1018" i="4"/>
  <c r="D1014" i="4"/>
  <c r="H1009" i="4"/>
  <c r="J1004" i="4"/>
  <c r="N999" i="4"/>
  <c r="F995" i="4"/>
  <c r="K990" i="4"/>
  <c r="B986" i="4"/>
  <c r="G981" i="4"/>
  <c r="K976" i="4"/>
  <c r="B972" i="4"/>
  <c r="G967" i="4"/>
  <c r="L962" i="4"/>
  <c r="C958" i="4"/>
  <c r="H953" i="4"/>
  <c r="L948" i="4"/>
  <c r="D1084" i="4"/>
  <c r="A1047" i="4"/>
  <c r="I1009" i="4"/>
  <c r="C972" i="4"/>
  <c r="N945" i="4"/>
  <c r="N940" i="4"/>
  <c r="F936" i="4"/>
  <c r="K931" i="4"/>
  <c r="A927" i="4"/>
  <c r="F922" i="4"/>
  <c r="K917" i="4"/>
  <c r="B913" i="4"/>
  <c r="H908" i="4"/>
  <c r="M903" i="4"/>
  <c r="E899" i="4"/>
  <c r="I894" i="4"/>
  <c r="A890" i="4"/>
  <c r="G885" i="4"/>
  <c r="M880" i="4"/>
  <c r="D876" i="4"/>
  <c r="J871" i="4"/>
  <c r="B867" i="4"/>
  <c r="H862" i="4"/>
  <c r="N857" i="4"/>
  <c r="E853" i="4"/>
  <c r="I848" i="4"/>
  <c r="N843" i="4"/>
  <c r="F839" i="4"/>
  <c r="L834" i="4"/>
  <c r="C830" i="4"/>
  <c r="H825" i="4"/>
  <c r="M820" i="4"/>
  <c r="A1079" i="4"/>
  <c r="L1041" i="4"/>
  <c r="C1004" i="4"/>
  <c r="N966" i="4"/>
  <c r="A945" i="4"/>
  <c r="E940" i="4"/>
  <c r="K935" i="4"/>
  <c r="A931" i="4"/>
  <c r="F926" i="4"/>
  <c r="K921" i="4"/>
  <c r="B917" i="4"/>
  <c r="G912" i="4"/>
  <c r="M907" i="4"/>
  <c r="D903" i="4"/>
  <c r="I898" i="4"/>
  <c r="N893" i="4"/>
  <c r="F889" i="4"/>
  <c r="L884" i="4"/>
  <c r="D880" i="4"/>
  <c r="I875" i="4"/>
  <c r="A871" i="4"/>
  <c r="G866" i="4"/>
  <c r="M861" i="4"/>
  <c r="E857" i="4"/>
  <c r="J852" i="4"/>
  <c r="M847" i="4"/>
  <c r="E843" i="4"/>
  <c r="K838" i="4"/>
  <c r="C834" i="4"/>
  <c r="H829" i="4"/>
  <c r="M824" i="4"/>
  <c r="D820" i="4"/>
  <c r="M1073" i="4"/>
  <c r="G1036" i="4"/>
  <c r="M998" i="4"/>
  <c r="K961" i="4"/>
  <c r="F944" i="4"/>
  <c r="J939" i="4"/>
  <c r="B935" i="4"/>
  <c r="F930" i="4"/>
  <c r="K925" i="4"/>
  <c r="A921" i="4"/>
  <c r="G916" i="4"/>
  <c r="L911" i="4"/>
  <c r="D907" i="4"/>
  <c r="I902" i="4"/>
  <c r="M897" i="4"/>
  <c r="E893" i="4"/>
  <c r="K888" i="4"/>
  <c r="C884" i="4"/>
  <c r="I879" i="4"/>
  <c r="N874" i="4"/>
  <c r="F870" i="4"/>
  <c r="L865" i="4"/>
  <c r="D861" i="4"/>
  <c r="J856" i="4"/>
  <c r="N851" i="4"/>
  <c r="D847" i="4"/>
  <c r="J842" i="4"/>
  <c r="B838" i="4"/>
  <c r="H833" i="4"/>
  <c r="M828" i="4"/>
  <c r="D824" i="4"/>
  <c r="I819" i="4"/>
  <c r="L1184" i="4"/>
  <c r="N1087" i="4"/>
  <c r="M1201" i="4"/>
  <c r="N1096" i="4"/>
  <c r="J1125" i="4"/>
  <c r="K1088" i="4"/>
  <c r="J1061" i="4"/>
  <c r="C1024" i="4"/>
  <c r="I986" i="4"/>
  <c r="E949" i="4"/>
  <c r="A1061" i="4"/>
  <c r="G1037" i="4"/>
  <c r="K1018" i="4"/>
  <c r="L999" i="4"/>
  <c r="E981" i="4"/>
  <c r="J962" i="4"/>
  <c r="D1147" i="4"/>
  <c r="C1074" i="4"/>
  <c r="K1055" i="4"/>
  <c r="K1036" i="4"/>
  <c r="A1018" i="4"/>
  <c r="C999" i="4"/>
  <c r="E992" i="4"/>
  <c r="J987" i="4"/>
  <c r="N982" i="4"/>
  <c r="E978" i="4"/>
  <c r="J973" i="4"/>
  <c r="A969" i="4"/>
  <c r="E964" i="4"/>
  <c r="K959" i="4"/>
  <c r="N1205" i="4"/>
  <c r="K1118" i="4"/>
  <c r="G1084" i="4"/>
  <c r="L1079" i="4"/>
  <c r="D1075" i="4"/>
  <c r="J1070" i="4"/>
  <c r="B1066" i="4"/>
  <c r="G1061" i="4"/>
  <c r="L1056" i="4"/>
  <c r="A1052" i="4"/>
  <c r="E1047" i="4"/>
  <c r="I1042" i="4"/>
  <c r="M1037" i="4"/>
  <c r="D1033" i="4"/>
  <c r="I1028" i="4"/>
  <c r="M1023" i="4"/>
  <c r="D1019" i="4"/>
  <c r="H1014" i="4"/>
  <c r="L1009" i="4"/>
  <c r="N1004" i="4"/>
  <c r="E1000" i="4"/>
  <c r="J995" i="4"/>
  <c r="A991" i="4"/>
  <c r="F986" i="4"/>
  <c r="K981" i="4"/>
  <c r="A977" i="4"/>
  <c r="F972" i="4"/>
  <c r="K967" i="4"/>
  <c r="B963" i="4"/>
  <c r="G958" i="4"/>
  <c r="L953" i="4"/>
  <c r="B949" i="4"/>
  <c r="B1146" i="4"/>
  <c r="N1108" i="4"/>
  <c r="C1083" i="4"/>
  <c r="I1078" i="4"/>
  <c r="A1074" i="4"/>
  <c r="G1069" i="4"/>
  <c r="M1064" i="4"/>
  <c r="D1060" i="4"/>
  <c r="I1055" i="4"/>
  <c r="L1050" i="4"/>
  <c r="A1046" i="4"/>
  <c r="F1041" i="4"/>
  <c r="I1036" i="4"/>
  <c r="A1032" i="4"/>
  <c r="F1027" i="4"/>
  <c r="J1022" i="4"/>
  <c r="M1017" i="4"/>
  <c r="E1013" i="4"/>
  <c r="H1008" i="4"/>
  <c r="K1003" i="4"/>
  <c r="A999" i="4"/>
  <c r="G994" i="4"/>
  <c r="L989" i="4"/>
  <c r="C985" i="4"/>
  <c r="G980" i="4"/>
  <c r="L975" i="4"/>
  <c r="C971" i="4"/>
  <c r="H966" i="4"/>
  <c r="M961" i="4"/>
  <c r="D957" i="4"/>
  <c r="I952" i="4"/>
  <c r="M947" i="4"/>
  <c r="L1140" i="4"/>
  <c r="K1103" i="4"/>
  <c r="H1082" i="4"/>
  <c r="N1077" i="4"/>
  <c r="F1073" i="4"/>
  <c r="L1068" i="4"/>
  <c r="C1064" i="4"/>
  <c r="I1059" i="4"/>
  <c r="M1054" i="4"/>
  <c r="B1050" i="4"/>
  <c r="F1045" i="4"/>
  <c r="K1040" i="4"/>
  <c r="N1035" i="4"/>
  <c r="F1031" i="4"/>
  <c r="K1026" i="4"/>
  <c r="N1021" i="4"/>
  <c r="D1017" i="4"/>
  <c r="I1012" i="4"/>
  <c r="L1007" i="4"/>
  <c r="B1003" i="4"/>
  <c r="F998" i="4"/>
  <c r="L993" i="4"/>
  <c r="C989" i="4"/>
  <c r="H984" i="4"/>
  <c r="L979" i="4"/>
  <c r="C975" i="4"/>
  <c r="H970" i="4"/>
  <c r="M965" i="4"/>
  <c r="D961" i="4"/>
  <c r="I956" i="4"/>
  <c r="M951" i="4"/>
  <c r="I1149" i="4"/>
  <c r="L1111" i="4"/>
  <c r="H1083" i="4"/>
  <c r="N1078" i="4"/>
  <c r="F1074" i="4"/>
  <c r="L1069" i="4"/>
  <c r="D1065" i="4"/>
  <c r="I1060" i="4"/>
  <c r="N1055" i="4"/>
  <c r="C1051" i="4"/>
  <c r="F1046" i="4"/>
  <c r="K1041" i="4"/>
  <c r="N1036" i="4"/>
  <c r="F1032" i="4"/>
  <c r="K1027" i="4"/>
  <c r="A1023" i="4"/>
  <c r="E1018" i="4"/>
  <c r="J1013" i="4"/>
  <c r="M1008" i="4"/>
  <c r="B1004" i="4"/>
  <c r="F999" i="4"/>
  <c r="L994" i="4"/>
  <c r="C990" i="4"/>
  <c r="H985" i="4"/>
  <c r="L980" i="4"/>
  <c r="C976" i="4"/>
  <c r="H971" i="4"/>
  <c r="M966" i="4"/>
  <c r="D962" i="4"/>
  <c r="I957" i="4"/>
  <c r="N952" i="4"/>
  <c r="D948" i="4"/>
  <c r="I1079" i="4"/>
  <c r="F1042" i="4"/>
  <c r="K1004" i="4"/>
  <c r="H967" i="4"/>
  <c r="B945" i="4"/>
  <c r="F940" i="4"/>
  <c r="L935" i="4"/>
  <c r="C931" i="4"/>
  <c r="G926" i="4"/>
  <c r="L921" i="4"/>
  <c r="C917" i="4"/>
  <c r="H912" i="4"/>
  <c r="N907" i="4"/>
  <c r="E903" i="4"/>
  <c r="J898" i="4"/>
  <c r="A894" i="4"/>
  <c r="G889" i="4"/>
  <c r="M884" i="4"/>
  <c r="E880" i="4"/>
  <c r="J875" i="4"/>
  <c r="B871" i="4"/>
  <c r="H866" i="4"/>
  <c r="N861" i="4"/>
  <c r="F857" i="4"/>
  <c r="K852" i="4"/>
  <c r="N847" i="4"/>
  <c r="F843" i="4"/>
  <c r="L838" i="4"/>
  <c r="D834" i="4"/>
  <c r="I829" i="4"/>
  <c r="N824" i="4"/>
  <c r="E820" i="4"/>
  <c r="G1074" i="4"/>
  <c r="A1037" i="4"/>
  <c r="G999" i="4"/>
  <c r="E962" i="4"/>
  <c r="G944" i="4"/>
  <c r="K939" i="4"/>
  <c r="C935" i="4"/>
  <c r="G930" i="4"/>
  <c r="L925" i="4"/>
  <c r="C921" i="4"/>
  <c r="H916" i="4"/>
  <c r="M911" i="4"/>
  <c r="E907" i="4"/>
  <c r="J902" i="4"/>
  <c r="N897" i="4"/>
  <c r="F893" i="4"/>
  <c r="L888" i="4"/>
  <c r="D884" i="4"/>
  <c r="J879" i="4"/>
  <c r="A875" i="4"/>
  <c r="G870" i="4"/>
  <c r="M865" i="4"/>
  <c r="E861" i="4"/>
  <c r="K856" i="4"/>
  <c r="A852" i="4"/>
  <c r="E847" i="4"/>
  <c r="K842" i="4"/>
  <c r="C838" i="4"/>
  <c r="I833" i="4"/>
  <c r="N828" i="4"/>
  <c r="E824" i="4"/>
  <c r="J819" i="4"/>
  <c r="E1069" i="4"/>
  <c r="M1031" i="4"/>
  <c r="E994" i="4"/>
  <c r="B957" i="4"/>
  <c r="L943" i="4"/>
  <c r="B939" i="4"/>
  <c r="H934" i="4"/>
  <c r="L929" i="4"/>
  <c r="C925" i="4"/>
  <c r="G920" i="4"/>
  <c r="M915" i="4"/>
  <c r="D911" i="4"/>
  <c r="I906" i="4"/>
  <c r="A902" i="4"/>
  <c r="E897" i="4"/>
  <c r="K892" i="4"/>
  <c r="C888" i="4"/>
  <c r="I883" i="4"/>
  <c r="A879" i="4"/>
  <c r="F874" i="4"/>
  <c r="L869" i="4"/>
  <c r="D865" i="4"/>
  <c r="J860" i="4"/>
  <c r="B856" i="4"/>
  <c r="F851" i="4"/>
  <c r="J846" i="4"/>
  <c r="B842" i="4"/>
  <c r="H837" i="4"/>
  <c r="M832" i="4"/>
  <c r="E828" i="4"/>
  <c r="J823" i="4"/>
  <c r="C1140" i="4"/>
  <c r="E1191" i="4"/>
  <c r="E1124" i="4"/>
  <c r="H1148" i="4"/>
  <c r="I1090" i="4"/>
  <c r="A1121" i="4"/>
  <c r="E1252" i="4"/>
  <c r="A1057" i="4"/>
  <c r="G1019" i="4"/>
  <c r="N981" i="4"/>
  <c r="G1177" i="4"/>
  <c r="F1056" i="4"/>
  <c r="H1034" i="4"/>
  <c r="L1015" i="4"/>
  <c r="N996" i="4"/>
  <c r="F978" i="4"/>
  <c r="L959" i="4"/>
  <c r="A1124" i="4"/>
  <c r="E1071" i="4"/>
  <c r="J1052" i="4"/>
  <c r="M1033" i="4"/>
  <c r="C1015" i="4"/>
  <c r="M996" i="4"/>
  <c r="K991" i="4"/>
  <c r="A987" i="4"/>
  <c r="F982" i="4"/>
  <c r="K977" i="4"/>
  <c r="A973" i="4"/>
  <c r="F968" i="4"/>
  <c r="K963" i="4"/>
  <c r="C959" i="4"/>
  <c r="A1168" i="4"/>
  <c r="C1114" i="4"/>
  <c r="L1083" i="4"/>
  <c r="D1079" i="4"/>
  <c r="J1074" i="4"/>
  <c r="B1070" i="4"/>
  <c r="H1065" i="4"/>
  <c r="M1060" i="4"/>
  <c r="D1056" i="4"/>
  <c r="G1051" i="4"/>
  <c r="J1046" i="4"/>
  <c r="A1042" i="4"/>
  <c r="E1037" i="4"/>
  <c r="J1032" i="4"/>
  <c r="A1028" i="4"/>
  <c r="E1023" i="4"/>
  <c r="I1018" i="4"/>
  <c r="N1013" i="4"/>
  <c r="C1009" i="4"/>
  <c r="F1004" i="4"/>
  <c r="J999" i="4"/>
  <c r="B995" i="4"/>
  <c r="G990" i="4"/>
  <c r="L985" i="4"/>
  <c r="C981" i="4"/>
  <c r="G976" i="4"/>
  <c r="L971" i="4"/>
  <c r="C967" i="4"/>
  <c r="H962" i="4"/>
  <c r="M957" i="4"/>
  <c r="D953" i="4"/>
  <c r="H948" i="4"/>
  <c r="F1141" i="4"/>
  <c r="E1104" i="4"/>
  <c r="I1082" i="4"/>
  <c r="A1078" i="4"/>
  <c r="G1073" i="4"/>
  <c r="M1068" i="4"/>
  <c r="D1064" i="4"/>
  <c r="J1059" i="4"/>
  <c r="N1054" i="4"/>
  <c r="C1050" i="4"/>
  <c r="G1045" i="4"/>
  <c r="L1040" i="4"/>
  <c r="A1036" i="4"/>
  <c r="G1031" i="4"/>
  <c r="L1026" i="4"/>
  <c r="A1022" i="4"/>
  <c r="E1017" i="4"/>
  <c r="J1012" i="4"/>
  <c r="M1007" i="4"/>
  <c r="C1003" i="4"/>
  <c r="G998" i="4"/>
  <c r="M993" i="4"/>
  <c r="D989" i="4"/>
  <c r="I984" i="4"/>
  <c r="M979" i="4"/>
  <c r="D975" i="4"/>
  <c r="I970" i="4"/>
  <c r="N965" i="4"/>
  <c r="E961" i="4"/>
  <c r="J956" i="4"/>
  <c r="N951" i="4"/>
  <c r="E947" i="4"/>
  <c r="B1136" i="4"/>
  <c r="C1099" i="4"/>
  <c r="N1081" i="4"/>
  <c r="F1077" i="4"/>
  <c r="L1072" i="4"/>
  <c r="D1068" i="4"/>
  <c r="I1063" i="4"/>
  <c r="A1059" i="4"/>
  <c r="E1054" i="4"/>
  <c r="H1049" i="4"/>
  <c r="L1044" i="4"/>
  <c r="B1040" i="4"/>
  <c r="F1035" i="4"/>
  <c r="L1030" i="4"/>
  <c r="C1026" i="4"/>
  <c r="F1021" i="4"/>
  <c r="J1016" i="4"/>
  <c r="A1012" i="4"/>
  <c r="C1007" i="4"/>
  <c r="H1002" i="4"/>
  <c r="L997" i="4"/>
  <c r="D993" i="4"/>
  <c r="I988" i="4"/>
  <c r="N983" i="4"/>
  <c r="D979" i="4"/>
  <c r="I974" i="4"/>
  <c r="N969" i="4"/>
  <c r="E965" i="4"/>
  <c r="J960" i="4"/>
  <c r="A956" i="4"/>
  <c r="E951" i="4"/>
  <c r="E1144" i="4"/>
  <c r="D1107" i="4"/>
  <c r="N1082" i="4"/>
  <c r="F1078" i="4"/>
  <c r="L1073" i="4"/>
  <c r="D1069" i="4"/>
  <c r="J1064" i="4"/>
  <c r="A1060" i="4"/>
  <c r="F1055" i="4"/>
  <c r="I1050" i="4"/>
  <c r="L1045" i="4"/>
  <c r="C1041" i="4"/>
  <c r="F1036" i="4"/>
  <c r="L1031" i="4"/>
  <c r="C1027" i="4"/>
  <c r="G1022" i="4"/>
  <c r="J1017" i="4"/>
  <c r="A1013" i="4"/>
  <c r="E1008" i="4"/>
  <c r="H1003" i="4"/>
  <c r="L998" i="4"/>
  <c r="D994" i="4"/>
  <c r="I989" i="4"/>
  <c r="N984" i="4"/>
  <c r="D980" i="4"/>
  <c r="I975" i="4"/>
  <c r="N970" i="4"/>
  <c r="E966" i="4"/>
  <c r="J961" i="4"/>
  <c r="A957" i="4"/>
  <c r="F952" i="4"/>
  <c r="J947" i="4"/>
  <c r="A1075" i="4"/>
  <c r="J1037" i="4"/>
  <c r="A1000" i="4"/>
  <c r="M962" i="4"/>
  <c r="H944" i="4"/>
  <c r="L939" i="4"/>
  <c r="D935" i="4"/>
  <c r="H930" i="4"/>
  <c r="M925" i="4"/>
  <c r="D921" i="4"/>
  <c r="I916" i="4"/>
  <c r="N911" i="4"/>
  <c r="F907" i="4"/>
  <c r="K902" i="4"/>
  <c r="A898" i="4"/>
  <c r="G893" i="4"/>
  <c r="M888" i="4"/>
  <c r="E884" i="4"/>
  <c r="K879" i="4"/>
  <c r="B875" i="4"/>
  <c r="H870" i="4"/>
  <c r="N865" i="4"/>
  <c r="F861" i="4"/>
  <c r="L856" i="4"/>
  <c r="C852" i="4"/>
  <c r="F847" i="4"/>
  <c r="L842" i="4"/>
  <c r="D838" i="4"/>
  <c r="J833" i="4"/>
  <c r="A829" i="4"/>
  <c r="F824" i="4"/>
  <c r="K819" i="4"/>
  <c r="M1069" i="4"/>
  <c r="G1032" i="4"/>
  <c r="M994" i="4"/>
  <c r="J957" i="4"/>
  <c r="M943" i="4"/>
  <c r="C939" i="4"/>
  <c r="I934" i="4"/>
  <c r="M929" i="4"/>
  <c r="D925" i="4"/>
  <c r="H920" i="4"/>
  <c r="N915" i="4"/>
  <c r="E911" i="4"/>
  <c r="J906" i="4"/>
  <c r="B902" i="4"/>
  <c r="F897" i="4"/>
  <c r="L892" i="4"/>
  <c r="D888" i="4"/>
  <c r="J883" i="4"/>
  <c r="B879" i="4"/>
  <c r="G874" i="4"/>
  <c r="M869" i="4"/>
  <c r="E865" i="4"/>
  <c r="K860" i="4"/>
  <c r="C856" i="4"/>
  <c r="G851" i="4"/>
  <c r="K846" i="4"/>
  <c r="C842" i="4"/>
  <c r="I837" i="4"/>
  <c r="N832" i="4"/>
  <c r="F828" i="4"/>
  <c r="K823" i="4"/>
  <c r="B819" i="4"/>
  <c r="K1064" i="4"/>
  <c r="D1027" i="4"/>
  <c r="J989" i="4"/>
  <c r="M953" i="4"/>
  <c r="D943" i="4"/>
  <c r="H938" i="4"/>
  <c r="N933" i="4"/>
  <c r="D929" i="4"/>
  <c r="I924" i="4"/>
  <c r="M919" i="4"/>
  <c r="E915" i="4"/>
  <c r="J910" i="4"/>
  <c r="A906" i="4"/>
  <c r="G901" i="4"/>
  <c r="K896" i="4"/>
  <c r="C892" i="4"/>
  <c r="I887" i="4"/>
  <c r="A883" i="4"/>
  <c r="G878" i="4"/>
  <c r="L873" i="4"/>
  <c r="D869" i="4"/>
  <c r="J864" i="4"/>
  <c r="B860" i="4"/>
  <c r="H855" i="4"/>
  <c r="L850" i="4"/>
  <c r="B846" i="4"/>
  <c r="H841" i="4"/>
  <c r="N836" i="4"/>
  <c r="E832" i="4"/>
  <c r="K827" i="4"/>
  <c r="A823" i="4"/>
  <c r="C1103" i="4"/>
  <c r="A1050" i="4"/>
  <c r="H1012" i="4"/>
  <c r="B1153" i="4"/>
  <c r="E1087" i="4"/>
  <c r="M1140" i="4"/>
  <c r="K1247" i="4"/>
  <c r="F1116" i="4"/>
  <c r="H1120" i="4"/>
  <c r="D1052" i="4"/>
  <c r="K1014" i="4"/>
  <c r="E977" i="4"/>
  <c r="E1115" i="4"/>
  <c r="I1051" i="4"/>
  <c r="L1032" i="4"/>
  <c r="B1014" i="4"/>
  <c r="D995" i="4"/>
  <c r="I976" i="4"/>
  <c r="A958" i="4"/>
  <c r="B1110" i="4"/>
  <c r="I1069" i="4"/>
  <c r="N1050" i="4"/>
  <c r="C1032" i="4"/>
  <c r="G1013" i="4"/>
  <c r="E996" i="4"/>
  <c r="C991" i="4"/>
  <c r="G986" i="4"/>
  <c r="L981" i="4"/>
  <c r="C977" i="4"/>
  <c r="G972" i="4"/>
  <c r="L967" i="4"/>
  <c r="C963" i="4"/>
  <c r="H958" i="4"/>
  <c r="J1146" i="4"/>
  <c r="H1109" i="4"/>
  <c r="D1083" i="4"/>
  <c r="J1078" i="4"/>
  <c r="B1074" i="4"/>
  <c r="H1069" i="4"/>
  <c r="N1064" i="4"/>
  <c r="E1060" i="4"/>
  <c r="J1055" i="4"/>
  <c r="M1050" i="4"/>
  <c r="B1046" i="4"/>
  <c r="G1041" i="4"/>
  <c r="J1036" i="4"/>
  <c r="B1032" i="4"/>
  <c r="G1027" i="4"/>
  <c r="K1022" i="4"/>
  <c r="N1017" i="4"/>
  <c r="F1013" i="4"/>
  <c r="I1008" i="4"/>
  <c r="L1003" i="4"/>
  <c r="B999" i="4"/>
  <c r="H994" i="4"/>
  <c r="M989" i="4"/>
  <c r="D985" i="4"/>
  <c r="H980" i="4"/>
  <c r="M975" i="4"/>
  <c r="D971" i="4"/>
  <c r="I966" i="4"/>
  <c r="N961" i="4"/>
  <c r="E957" i="4"/>
  <c r="J952" i="4"/>
  <c r="N947" i="4"/>
  <c r="J1136" i="4"/>
  <c r="K1099" i="4"/>
  <c r="A1082" i="4"/>
  <c r="G1077" i="4"/>
  <c r="M1072" i="4"/>
  <c r="E1068" i="4"/>
  <c r="J1063" i="4"/>
  <c r="B1059" i="4"/>
  <c r="F1054" i="4"/>
  <c r="I1049" i="4"/>
  <c r="M1044" i="4"/>
  <c r="C1040" i="4"/>
  <c r="G1035" i="4"/>
  <c r="M1030" i="4"/>
  <c r="D1026" i="4"/>
  <c r="G1021" i="4"/>
  <c r="K1016" i="4"/>
  <c r="B1012" i="4"/>
  <c r="D1007" i="4"/>
  <c r="I1002" i="4"/>
  <c r="M997" i="4"/>
  <c r="E993" i="4"/>
  <c r="J988" i="4"/>
  <c r="A984" i="4"/>
  <c r="E979" i="4"/>
  <c r="J974" i="4"/>
  <c r="A970" i="4"/>
  <c r="F965" i="4"/>
  <c r="K960" i="4"/>
  <c r="B956" i="4"/>
  <c r="F951" i="4"/>
  <c r="J946" i="4"/>
  <c r="H1131" i="4"/>
  <c r="I1094" i="4"/>
  <c r="F1081" i="4"/>
  <c r="L1076" i="4"/>
  <c r="D1072" i="4"/>
  <c r="J1067" i="4"/>
  <c r="A1063" i="4"/>
  <c r="G1058" i="4"/>
  <c r="J1053" i="4"/>
  <c r="N1048" i="4"/>
  <c r="D1044" i="4"/>
  <c r="H1039" i="4"/>
  <c r="L1034" i="4"/>
  <c r="D1030" i="4"/>
  <c r="I1025" i="4"/>
  <c r="L1020" i="4"/>
  <c r="B1016" i="4"/>
  <c r="G1011" i="4"/>
  <c r="I1006" i="4"/>
  <c r="N1001" i="4"/>
  <c r="D997" i="4"/>
  <c r="J992" i="4"/>
  <c r="A988" i="4"/>
  <c r="F983" i="4"/>
  <c r="J978" i="4"/>
  <c r="A974" i="4"/>
  <c r="F969" i="4"/>
  <c r="J964" i="4"/>
  <c r="B960" i="4"/>
  <c r="G955" i="4"/>
  <c r="K950" i="4"/>
  <c r="I1139" i="4"/>
  <c r="I1102" i="4"/>
  <c r="F1082" i="4"/>
  <c r="L1077" i="4"/>
  <c r="D1073" i="4"/>
  <c r="J1068" i="4"/>
  <c r="A1064" i="4"/>
  <c r="G1059" i="4"/>
  <c r="K1054" i="4"/>
  <c r="N1049" i="4"/>
  <c r="D1045" i="4"/>
  <c r="I1040" i="4"/>
  <c r="L1035" i="4"/>
  <c r="D1031" i="4"/>
  <c r="I1026" i="4"/>
  <c r="L1021" i="4"/>
  <c r="B1017" i="4"/>
  <c r="G1012" i="4"/>
  <c r="J1007" i="4"/>
  <c r="N1002" i="4"/>
  <c r="D998" i="4"/>
  <c r="J993" i="4"/>
  <c r="A989" i="4"/>
  <c r="F984" i="4"/>
  <c r="J979" i="4"/>
  <c r="A975" i="4"/>
  <c r="F970" i="4"/>
  <c r="K965" i="4"/>
  <c r="B961" i="4"/>
  <c r="G956" i="4"/>
  <c r="K951" i="4"/>
  <c r="A947" i="4"/>
  <c r="G1070" i="4"/>
  <c r="A1033" i="4"/>
  <c r="G995" i="4"/>
  <c r="D958" i="4"/>
  <c r="N943" i="4"/>
  <c r="D939" i="4"/>
  <c r="J934" i="4"/>
  <c r="N929" i="4"/>
  <c r="E925" i="4"/>
  <c r="I920" i="4"/>
  <c r="A916" i="4"/>
  <c r="F911" i="4"/>
  <c r="K906" i="4"/>
  <c r="C902" i="4"/>
  <c r="G897" i="4"/>
  <c r="M892" i="4"/>
  <c r="E888" i="4"/>
  <c r="K883" i="4"/>
  <c r="C879" i="4"/>
  <c r="H874" i="4"/>
  <c r="N869" i="4"/>
  <c r="F865" i="4"/>
  <c r="L860" i="4"/>
  <c r="D856" i="4"/>
  <c r="H851" i="4"/>
  <c r="L846" i="4"/>
  <c r="D842" i="4"/>
  <c r="J837" i="4"/>
  <c r="A833" i="4"/>
  <c r="G828" i="4"/>
  <c r="L823" i="4"/>
  <c r="C819" i="4"/>
  <c r="E1065" i="4"/>
  <c r="L1027" i="4"/>
  <c r="D990" i="4"/>
  <c r="C954" i="4"/>
  <c r="E943" i="4"/>
  <c r="I938" i="4"/>
  <c r="A934" i="4"/>
  <c r="E929" i="4"/>
  <c r="J924" i="4"/>
  <c r="N919" i="4"/>
  <c r="F915" i="4"/>
  <c r="K910" i="4"/>
  <c r="B906" i="4"/>
  <c r="H901" i="4"/>
  <c r="L896" i="4"/>
  <c r="D892" i="4"/>
  <c r="J887" i="4"/>
  <c r="B883" i="4"/>
  <c r="H878" i="4"/>
  <c r="M873" i="4"/>
  <c r="E869" i="4"/>
  <c r="K864" i="4"/>
  <c r="C860" i="4"/>
  <c r="I855" i="4"/>
  <c r="M850" i="4"/>
  <c r="C846" i="4"/>
  <c r="I841" i="4"/>
  <c r="A837" i="4"/>
  <c r="F832" i="4"/>
  <c r="L827" i="4"/>
  <c r="C823" i="4"/>
  <c r="H818" i="4"/>
  <c r="B1060" i="4"/>
  <c r="H1022" i="4"/>
  <c r="A985" i="4"/>
  <c r="H951" i="4"/>
  <c r="J942" i="4"/>
  <c r="N937" i="4"/>
  <c r="F933" i="4"/>
  <c r="J928" i="4"/>
  <c r="A924" i="4"/>
  <c r="E919" i="4"/>
  <c r="K914" i="4"/>
  <c r="B910" i="4"/>
  <c r="G905" i="4"/>
  <c r="M1189" i="4"/>
  <c r="B1123" i="4"/>
  <c r="K1132" i="4"/>
  <c r="D1172" i="4"/>
  <c r="K1111" i="4"/>
  <c r="N1084" i="4"/>
  <c r="H1047" i="4"/>
  <c r="A1010" i="4"/>
  <c r="I972" i="4"/>
  <c r="N1083" i="4"/>
  <c r="J1048" i="4"/>
  <c r="N1029" i="4"/>
  <c r="C1011" i="4"/>
  <c r="F992" i="4"/>
  <c r="K973" i="4"/>
  <c r="C955" i="4"/>
  <c r="A1087" i="4"/>
  <c r="K1066" i="4"/>
  <c r="N1047" i="4"/>
  <c r="E1029" i="4"/>
  <c r="G1010" i="4"/>
  <c r="C995" i="4"/>
  <c r="H990" i="4"/>
  <c r="M985" i="4"/>
  <c r="D981" i="4"/>
  <c r="H976" i="4"/>
  <c r="M971" i="4"/>
  <c r="D967" i="4"/>
  <c r="I962" i="4"/>
  <c r="N957" i="4"/>
  <c r="N1141" i="4"/>
  <c r="M1104" i="4"/>
  <c r="J1082" i="4"/>
  <c r="B1078" i="4"/>
  <c r="H1073" i="4"/>
  <c r="N1068" i="4"/>
  <c r="E1064" i="4"/>
  <c r="K1059" i="4"/>
  <c r="A1055" i="4"/>
  <c r="D1050" i="4"/>
  <c r="H1045" i="4"/>
  <c r="M1040" i="4"/>
  <c r="B1036" i="4"/>
  <c r="H1031" i="4"/>
  <c r="M1026" i="4"/>
  <c r="C1022" i="4"/>
  <c r="F1017" i="4"/>
  <c r="K1012" i="4"/>
  <c r="N1007" i="4"/>
  <c r="D1003" i="4"/>
  <c r="H998" i="4"/>
  <c r="N993" i="4"/>
  <c r="E989" i="4"/>
  <c r="J984" i="4"/>
  <c r="N979" i="4"/>
  <c r="E975" i="4"/>
  <c r="J970" i="4"/>
  <c r="A966" i="4"/>
  <c r="F961" i="4"/>
  <c r="K956" i="4"/>
  <c r="A952" i="4"/>
  <c r="F947" i="4"/>
  <c r="B1132" i="4"/>
  <c r="C1095" i="4"/>
  <c r="G1081" i="4"/>
  <c r="M1076" i="4"/>
  <c r="E1072" i="4"/>
  <c r="K1067" i="4"/>
  <c r="B1063" i="4"/>
  <c r="H1058" i="4"/>
  <c r="K1053" i="4"/>
  <c r="A1049" i="4"/>
  <c r="E1044" i="4"/>
  <c r="I1039" i="4"/>
  <c r="M1034" i="4"/>
  <c r="E1030" i="4"/>
  <c r="J1025" i="4"/>
  <c r="M1020" i="4"/>
  <c r="C1016" i="4"/>
  <c r="H1011" i="4"/>
  <c r="J1006" i="4"/>
  <c r="A1002" i="4"/>
  <c r="E997" i="4"/>
  <c r="K992" i="4"/>
  <c r="B988" i="4"/>
  <c r="G983" i="4"/>
  <c r="K978" i="4"/>
  <c r="B974" i="4"/>
  <c r="G969" i="4"/>
  <c r="K964" i="4"/>
  <c r="C960" i="4"/>
  <c r="H955" i="4"/>
  <c r="L950" i="4"/>
  <c r="A946" i="4"/>
  <c r="N1126" i="4"/>
  <c r="N1089" i="4"/>
  <c r="L1080" i="4"/>
  <c r="D1076" i="4"/>
  <c r="J1071" i="4"/>
  <c r="B1067" i="4"/>
  <c r="G1062" i="4"/>
  <c r="L1057" i="4"/>
  <c r="A1053" i="4"/>
  <c r="F1048" i="4"/>
  <c r="J1043" i="4"/>
  <c r="N1038" i="4"/>
  <c r="D1034" i="4"/>
  <c r="J1029" i="4"/>
  <c r="N1024" i="4"/>
  <c r="D1020" i="4"/>
  <c r="H1015" i="4"/>
  <c r="L1010" i="4"/>
  <c r="N1005" i="4"/>
  <c r="E1001" i="4"/>
  <c r="J996" i="4"/>
  <c r="B992" i="4"/>
  <c r="G987" i="4"/>
  <c r="K982" i="4"/>
  <c r="B978" i="4"/>
  <c r="G973" i="4"/>
  <c r="L968" i="4"/>
  <c r="B964" i="4"/>
  <c r="H959" i="4"/>
  <c r="L954" i="4"/>
  <c r="B950" i="4"/>
  <c r="N1134" i="4"/>
  <c r="A1098" i="4"/>
  <c r="L1081" i="4"/>
  <c r="D1077" i="4"/>
  <c r="J1072" i="4"/>
  <c r="B1068" i="4"/>
  <c r="G1063" i="4"/>
  <c r="M1058" i="4"/>
  <c r="C1054" i="4"/>
  <c r="F1049" i="4"/>
  <c r="J1044" i="4"/>
  <c r="N1039" i="4"/>
  <c r="D1035" i="4"/>
  <c r="J1030" i="4"/>
  <c r="A1026" i="4"/>
  <c r="D1021" i="4"/>
  <c r="H1016" i="4"/>
  <c r="M1011" i="4"/>
  <c r="A1007" i="4"/>
  <c r="F1002" i="4"/>
  <c r="J997" i="4"/>
  <c r="B993" i="4"/>
  <c r="G988" i="4"/>
  <c r="L983" i="4"/>
  <c r="B979" i="4"/>
  <c r="G974" i="4"/>
  <c r="L969" i="4"/>
  <c r="C965" i="4"/>
  <c r="H960" i="4"/>
  <c r="M955" i="4"/>
  <c r="C951" i="4"/>
  <c r="G946" i="4"/>
  <c r="M1065" i="4"/>
  <c r="F1028" i="4"/>
  <c r="L990" i="4"/>
  <c r="G954" i="4"/>
  <c r="F943" i="4"/>
  <c r="J938" i="4"/>
  <c r="B934" i="4"/>
  <c r="F929" i="4"/>
  <c r="K924" i="4"/>
  <c r="A920" i="4"/>
  <c r="G915" i="4"/>
  <c r="L910" i="4"/>
  <c r="C906" i="4"/>
  <c r="I901" i="4"/>
  <c r="M896" i="4"/>
  <c r="E892" i="4"/>
  <c r="K887" i="4"/>
  <c r="C883" i="4"/>
  <c r="I878" i="4"/>
  <c r="N873" i="4"/>
  <c r="F869" i="4"/>
  <c r="L864" i="4"/>
  <c r="D860" i="4"/>
  <c r="J855" i="4"/>
  <c r="N850" i="4"/>
  <c r="D846" i="4"/>
  <c r="J841" i="4"/>
  <c r="B837" i="4"/>
  <c r="G832" i="4"/>
  <c r="M827" i="4"/>
  <c r="D823" i="4"/>
  <c r="I818" i="4"/>
  <c r="J1060" i="4"/>
  <c r="B1023" i="4"/>
  <c r="I985" i="4"/>
  <c r="L951" i="4"/>
  <c r="K942" i="4"/>
  <c r="A938" i="4"/>
  <c r="G933" i="4"/>
  <c r="K928" i="4"/>
  <c r="B924" i="4"/>
  <c r="F919" i="4"/>
  <c r="L914" i="4"/>
  <c r="C910" i="4"/>
  <c r="H905" i="4"/>
  <c r="N900" i="4"/>
  <c r="D896" i="4"/>
  <c r="J891" i="4"/>
  <c r="B887" i="4"/>
  <c r="H882" i="4"/>
  <c r="M877" i="4"/>
  <c r="E873" i="4"/>
  <c r="K868" i="4"/>
  <c r="C864" i="4"/>
  <c r="I859" i="4"/>
  <c r="A855" i="4"/>
  <c r="E850" i="4"/>
  <c r="I845" i="4"/>
  <c r="A841" i="4"/>
  <c r="G836" i="4"/>
  <c r="L831" i="4"/>
  <c r="D827" i="4"/>
  <c r="H822" i="4"/>
  <c r="M1144" i="4"/>
  <c r="G1055" i="4"/>
  <c r="K1017" i="4"/>
  <c r="E980" i="4"/>
  <c r="C949" i="4"/>
  <c r="A942" i="4"/>
  <c r="F937" i="4"/>
  <c r="K932" i="4"/>
  <c r="B928" i="4"/>
  <c r="G923" i="4"/>
  <c r="K918" i="4"/>
  <c r="C914" i="4"/>
  <c r="H909" i="4"/>
  <c r="M904" i="4"/>
  <c r="E900" i="4"/>
  <c r="I895" i="4"/>
  <c r="A891" i="4"/>
  <c r="G886" i="4"/>
  <c r="M881" i="4"/>
  <c r="D877" i="4"/>
  <c r="J872" i="4"/>
  <c r="B868" i="4"/>
  <c r="H863" i="4"/>
  <c r="N858" i="4"/>
  <c r="F854" i="4"/>
  <c r="I849" i="4"/>
  <c r="N844" i="4"/>
  <c r="F840" i="4"/>
  <c r="L835" i="4"/>
  <c r="F1152" i="4"/>
  <c r="B1086" i="4"/>
  <c r="L1125" i="4"/>
  <c r="G1145" i="4"/>
  <c r="C1107" i="4"/>
  <c r="A1080" i="4"/>
  <c r="L1042" i="4"/>
  <c r="C1005" i="4"/>
  <c r="N967" i="4"/>
  <c r="F1079" i="4"/>
  <c r="L1046" i="4"/>
  <c r="C1028" i="4"/>
  <c r="E1009" i="4"/>
  <c r="I990" i="4"/>
  <c r="N971" i="4"/>
  <c r="F953" i="4"/>
  <c r="E1083" i="4"/>
  <c r="A1065" i="4"/>
  <c r="C1046" i="4"/>
  <c r="H1027" i="4"/>
  <c r="J1008" i="4"/>
  <c r="I994" i="4"/>
  <c r="N989" i="4"/>
  <c r="E985" i="4"/>
  <c r="I980" i="4"/>
  <c r="N975" i="4"/>
  <c r="E971" i="4"/>
  <c r="J966" i="4"/>
  <c r="A962" i="4"/>
  <c r="F957" i="4"/>
  <c r="D1137" i="4"/>
  <c r="E1100" i="4"/>
  <c r="B1082" i="4"/>
  <c r="H1077" i="4"/>
  <c r="N1072" i="4"/>
  <c r="F1068" i="4"/>
  <c r="K1063" i="4"/>
  <c r="C1059" i="4"/>
  <c r="G1054" i="4"/>
  <c r="J1049" i="4"/>
  <c r="N1044" i="4"/>
  <c r="D1040" i="4"/>
  <c r="H1035" i="4"/>
  <c r="N1030" i="4"/>
  <c r="E1026" i="4"/>
  <c r="H1021" i="4"/>
  <c r="L1016" i="4"/>
  <c r="C1012" i="4"/>
  <c r="E1007" i="4"/>
  <c r="J1002" i="4"/>
  <c r="N997" i="4"/>
  <c r="F993" i="4"/>
  <c r="K988" i="4"/>
  <c r="B984" i="4"/>
  <c r="F979" i="4"/>
  <c r="K974" i="4"/>
  <c r="B970" i="4"/>
  <c r="G965" i="4"/>
  <c r="L960" i="4"/>
  <c r="C956" i="4"/>
  <c r="G951" i="4"/>
  <c r="K946" i="4"/>
  <c r="H1127" i="4"/>
  <c r="H1090" i="4"/>
  <c r="M1080" i="4"/>
  <c r="E1076" i="4"/>
  <c r="K1071" i="4"/>
  <c r="C1067" i="4"/>
  <c r="H1062" i="4"/>
  <c r="M1057" i="4"/>
  <c r="C1053" i="4"/>
  <c r="G1048" i="4"/>
  <c r="K1043" i="4"/>
  <c r="A1039" i="4"/>
  <c r="E1034" i="4"/>
  <c r="K1029" i="4"/>
  <c r="A1025" i="4"/>
  <c r="E1020" i="4"/>
  <c r="I1015" i="4"/>
  <c r="M1010" i="4"/>
  <c r="A1006" i="4"/>
  <c r="F1001" i="4"/>
  <c r="K996" i="4"/>
  <c r="C992" i="4"/>
  <c r="H987" i="4"/>
  <c r="L982" i="4"/>
  <c r="C978" i="4"/>
  <c r="H973" i="4"/>
  <c r="M968" i="4"/>
  <c r="C964" i="4"/>
  <c r="I959" i="4"/>
  <c r="M954" i="4"/>
  <c r="C950" i="4"/>
  <c r="G945" i="4"/>
  <c r="E1122" i="4"/>
  <c r="H1085" i="4"/>
  <c r="D1080" i="4"/>
  <c r="J1075" i="4"/>
  <c r="B1071" i="4"/>
  <c r="H1066" i="4"/>
  <c r="M1061" i="4"/>
  <c r="D1057" i="4"/>
  <c r="G1052" i="4"/>
  <c r="K1047" i="4"/>
  <c r="A1043" i="4"/>
  <c r="F1038" i="4"/>
  <c r="J1033" i="4"/>
  <c r="A1029" i="4"/>
  <c r="F1024" i="4"/>
  <c r="J1019" i="4"/>
  <c r="N1014" i="4"/>
  <c r="D1010" i="4"/>
  <c r="F1005" i="4"/>
  <c r="K1000" i="4"/>
  <c r="B996" i="4"/>
  <c r="H991" i="4"/>
  <c r="L986" i="4"/>
  <c r="C982" i="4"/>
  <c r="H977" i="4"/>
  <c r="L972" i="4"/>
  <c r="C968" i="4"/>
  <c r="H963" i="4"/>
  <c r="M958" i="4"/>
  <c r="D954" i="4"/>
  <c r="H949" i="4"/>
  <c r="F1130" i="4"/>
  <c r="G1093" i="4"/>
  <c r="D1081" i="4"/>
  <c r="J1076" i="4"/>
  <c r="B1072" i="4"/>
  <c r="H1067" i="4"/>
  <c r="M1062" i="4"/>
  <c r="E1058" i="4"/>
  <c r="H1053" i="4"/>
  <c r="L1048" i="4"/>
  <c r="B1044" i="4"/>
  <c r="F1039" i="4"/>
  <c r="J1034" i="4"/>
  <c r="B1030" i="4"/>
  <c r="F1025" i="4"/>
  <c r="J1020" i="4"/>
  <c r="N1015" i="4"/>
  <c r="E1011" i="4"/>
  <c r="G1006" i="4"/>
  <c r="L1001" i="4"/>
  <c r="B997" i="4"/>
  <c r="H992" i="4"/>
  <c r="M987" i="4"/>
  <c r="D983" i="4"/>
  <c r="H978" i="4"/>
  <c r="M973" i="4"/>
  <c r="D969" i="4"/>
  <c r="H964" i="4"/>
  <c r="N959" i="4"/>
  <c r="E955" i="4"/>
  <c r="I950" i="4"/>
  <c r="L945" i="4"/>
  <c r="D1061" i="4"/>
  <c r="J1023" i="4"/>
  <c r="C986" i="4"/>
  <c r="C952" i="4"/>
  <c r="L942" i="4"/>
  <c r="B938" i="4"/>
  <c r="H933" i="4"/>
  <c r="L928" i="4"/>
  <c r="C924" i="4"/>
  <c r="G919" i="4"/>
  <c r="M914" i="4"/>
  <c r="D910" i="4"/>
  <c r="I905" i="4"/>
  <c r="A901" i="4"/>
  <c r="E896" i="4"/>
  <c r="K891" i="4"/>
  <c r="C887" i="4"/>
  <c r="I882" i="4"/>
  <c r="N877" i="4"/>
  <c r="F873" i="4"/>
  <c r="L868" i="4"/>
  <c r="D864" i="4"/>
  <c r="J859" i="4"/>
  <c r="B855" i="4"/>
  <c r="F850" i="4"/>
  <c r="J845" i="4"/>
  <c r="B841" i="4"/>
  <c r="H836" i="4"/>
  <c r="M831" i="4"/>
  <c r="E827" i="4"/>
  <c r="I822" i="4"/>
  <c r="C1154" i="4"/>
  <c r="A1056" i="4"/>
  <c r="F1018" i="4"/>
  <c r="M980" i="4"/>
  <c r="G949" i="4"/>
  <c r="B942" i="4"/>
  <c r="G937" i="4"/>
  <c r="L932" i="4"/>
  <c r="C928" i="4"/>
  <c r="H923" i="4"/>
  <c r="L918" i="4"/>
  <c r="D914" i="4"/>
  <c r="I909" i="4"/>
  <c r="N904" i="4"/>
  <c r="F900" i="4"/>
  <c r="J895" i="4"/>
  <c r="B891" i="4"/>
  <c r="H886" i="4"/>
  <c r="N881" i="4"/>
  <c r="E877" i="4"/>
  <c r="K872" i="4"/>
  <c r="C868" i="4"/>
  <c r="I863" i="4"/>
  <c r="A859" i="4"/>
  <c r="G854" i="4"/>
  <c r="J849" i="4"/>
  <c r="A845" i="4"/>
  <c r="G840" i="4"/>
  <c r="M835" i="4"/>
  <c r="D831" i="4"/>
  <c r="J826" i="4"/>
  <c r="N821" i="4"/>
  <c r="L1107" i="4"/>
  <c r="J1050" i="4"/>
  <c r="C1013" i="4"/>
  <c r="J975" i="4"/>
  <c r="D947" i="4"/>
  <c r="G941" i="4"/>
  <c r="G1124" i="4"/>
  <c r="D1121" i="4"/>
  <c r="D1118" i="4"/>
  <c r="H1139" i="4"/>
  <c r="H1102" i="4"/>
  <c r="G1075" i="4"/>
  <c r="C1038" i="4"/>
  <c r="H1000" i="4"/>
  <c r="E963" i="4"/>
  <c r="L1074" i="4"/>
  <c r="N1043" i="4"/>
  <c r="D1025" i="4"/>
  <c r="E1006" i="4"/>
  <c r="K987" i="4"/>
  <c r="B969" i="4"/>
  <c r="F950" i="4"/>
  <c r="G1080" i="4"/>
  <c r="B1062" i="4"/>
  <c r="D1043" i="4"/>
  <c r="I1024" i="4"/>
  <c r="I1005" i="4"/>
  <c r="A994" i="4"/>
  <c r="F989" i="4"/>
  <c r="K984" i="4"/>
  <c r="A980" i="4"/>
  <c r="F975" i="4"/>
  <c r="K970" i="4"/>
  <c r="B966" i="4"/>
  <c r="G961" i="4"/>
  <c r="L956" i="4"/>
  <c r="J1132" i="4"/>
  <c r="K1095" i="4"/>
  <c r="H1081" i="4"/>
  <c r="N1076" i="4"/>
  <c r="F1072" i="4"/>
  <c r="L1067" i="4"/>
  <c r="C1063" i="4"/>
  <c r="I1058" i="4"/>
  <c r="L1053" i="4"/>
  <c r="B1049" i="4"/>
  <c r="F1044" i="4"/>
  <c r="J1039" i="4"/>
  <c r="N1034" i="4"/>
  <c r="F1030" i="4"/>
  <c r="K1025" i="4"/>
  <c r="N1020" i="4"/>
  <c r="D1016" i="4"/>
  <c r="I1011" i="4"/>
  <c r="K1006" i="4"/>
  <c r="B1002" i="4"/>
  <c r="F997" i="4"/>
  <c r="L992" i="4"/>
  <c r="C988" i="4"/>
  <c r="H983" i="4"/>
  <c r="L978" i="4"/>
  <c r="C974" i="4"/>
  <c r="H969" i="4"/>
  <c r="L964" i="4"/>
  <c r="D960" i="4"/>
  <c r="I955" i="4"/>
  <c r="M950" i="4"/>
  <c r="C946" i="4"/>
  <c r="M1122" i="4"/>
  <c r="M1085" i="4"/>
  <c r="E1080" i="4"/>
  <c r="K1075" i="4"/>
  <c r="C1071" i="4"/>
  <c r="I1066" i="4"/>
  <c r="N1061" i="4"/>
  <c r="E1057" i="4"/>
  <c r="H1052" i="4"/>
  <c r="L1047" i="4"/>
  <c r="B1043" i="4"/>
  <c r="G1038" i="4"/>
  <c r="K1033" i="4"/>
  <c r="C1029" i="4"/>
  <c r="G1024" i="4"/>
  <c r="K1019" i="4"/>
  <c r="A1015" i="4"/>
  <c r="E1010" i="4"/>
  <c r="G1005" i="4"/>
  <c r="L1000" i="4"/>
  <c r="C996" i="4"/>
  <c r="I991" i="4"/>
  <c r="M986" i="4"/>
  <c r="D982" i="4"/>
  <c r="I977" i="4"/>
  <c r="M972" i="4"/>
  <c r="D968" i="4"/>
  <c r="I963" i="4"/>
  <c r="N958" i="4"/>
  <c r="E954" i="4"/>
  <c r="I949" i="4"/>
  <c r="G1196" i="4"/>
  <c r="I1117" i="4"/>
  <c r="E1084" i="4"/>
  <c r="J1079" i="4"/>
  <c r="B1075" i="4"/>
  <c r="H1070" i="4"/>
  <c r="N1065" i="4"/>
  <c r="E1061" i="4"/>
  <c r="J1056" i="4"/>
  <c r="M1051" i="4"/>
  <c r="C1047" i="4"/>
  <c r="G1042" i="4"/>
  <c r="K1037" i="4"/>
  <c r="B1033" i="4"/>
  <c r="G1028" i="4"/>
  <c r="K1023" i="4"/>
  <c r="A1019" i="4"/>
  <c r="F1014" i="4"/>
  <c r="J1009" i="4"/>
  <c r="L1004" i="4"/>
  <c r="C1000" i="4"/>
  <c r="H995" i="4"/>
  <c r="M990" i="4"/>
  <c r="D986" i="4"/>
  <c r="I981" i="4"/>
  <c r="M976" i="4"/>
  <c r="D972" i="4"/>
  <c r="I967" i="4"/>
  <c r="N962" i="4"/>
  <c r="E958" i="4"/>
  <c r="J953" i="4"/>
  <c r="N948" i="4"/>
  <c r="K1125" i="4"/>
  <c r="L1088" i="4"/>
  <c r="J1080" i="4"/>
  <c r="B1076" i="4"/>
  <c r="H1071" i="4"/>
  <c r="N1066" i="4"/>
  <c r="E1062" i="4"/>
  <c r="J1057" i="4"/>
  <c r="M1052" i="4"/>
  <c r="D1048" i="4"/>
  <c r="H1043" i="4"/>
  <c r="L1038" i="4"/>
  <c r="B1034" i="4"/>
  <c r="H1029" i="4"/>
  <c r="L1024" i="4"/>
  <c r="B1020" i="4"/>
  <c r="F1015" i="4"/>
  <c r="J1010" i="4"/>
  <c r="L1005" i="4"/>
  <c r="C1001" i="4"/>
  <c r="H996" i="4"/>
  <c r="N991" i="4"/>
  <c r="E987" i="4"/>
  <c r="I982" i="4"/>
  <c r="N977" i="4"/>
  <c r="E973" i="4"/>
  <c r="J968" i="4"/>
  <c r="N963" i="4"/>
  <c r="F959" i="4"/>
  <c r="J954" i="4"/>
  <c r="N949" i="4"/>
  <c r="L1191" i="4"/>
  <c r="I1056" i="4"/>
  <c r="N1018" i="4"/>
  <c r="H981" i="4"/>
  <c r="K949" i="4"/>
  <c r="C942" i="4"/>
  <c r="H937" i="4"/>
  <c r="M932" i="4"/>
  <c r="D928" i="4"/>
  <c r="I923" i="4"/>
  <c r="M918" i="4"/>
  <c r="E914" i="4"/>
  <c r="J909" i="4"/>
  <c r="A905" i="4"/>
  <c r="G900" i="4"/>
  <c r="K895" i="4"/>
  <c r="C891" i="4"/>
  <c r="I886" i="4"/>
  <c r="A882" i="4"/>
  <c r="F877" i="4"/>
  <c r="L872" i="4"/>
  <c r="D868" i="4"/>
  <c r="J863" i="4"/>
  <c r="B859" i="4"/>
  <c r="H854" i="4"/>
  <c r="K849" i="4"/>
  <c r="B845" i="4"/>
  <c r="H840" i="4"/>
  <c r="N835" i="4"/>
  <c r="E831" i="4"/>
  <c r="K826" i="4"/>
  <c r="A822" i="4"/>
  <c r="F1112" i="4"/>
  <c r="D1051" i="4"/>
  <c r="K1013" i="4"/>
  <c r="D976" i="4"/>
  <c r="G947" i="4"/>
  <c r="H941" i="4"/>
  <c r="M936" i="4"/>
  <c r="D932" i="4"/>
  <c r="I927" i="4"/>
  <c r="M922" i="4"/>
  <c r="D918" i="4"/>
  <c r="I913" i="4"/>
  <c r="A909" i="4"/>
  <c r="F904" i="4"/>
  <c r="L899" i="4"/>
  <c r="B895" i="4"/>
  <c r="H890" i="4"/>
  <c r="N885" i="4"/>
  <c r="F881" i="4"/>
  <c r="K876" i="4"/>
  <c r="C872" i="4"/>
  <c r="I867" i="4"/>
  <c r="A863" i="4"/>
  <c r="G858" i="4"/>
  <c r="L853" i="4"/>
  <c r="B849" i="4"/>
  <c r="G844" i="4"/>
  <c r="M839" i="4"/>
  <c r="E835" i="4"/>
  <c r="J830" i="4"/>
  <c r="A826" i="4"/>
  <c r="F821" i="4"/>
  <c r="A1083" i="4"/>
  <c r="M1045" i="4"/>
  <c r="F1008" i="4"/>
  <c r="A971" i="4"/>
  <c r="I945" i="4"/>
  <c r="L940" i="4"/>
  <c r="D936" i="4"/>
  <c r="I931" i="4"/>
  <c r="M926" i="4"/>
  <c r="D922" i="4"/>
  <c r="I917" i="4"/>
  <c r="N912" i="4"/>
  <c r="F908" i="4"/>
  <c r="K903" i="4"/>
  <c r="C899" i="4"/>
  <c r="G894" i="4"/>
  <c r="M889" i="4"/>
  <c r="E885" i="4"/>
  <c r="K880" i="4"/>
  <c r="B876" i="4"/>
  <c r="H871" i="4"/>
  <c r="N866" i="4"/>
  <c r="F862" i="4"/>
  <c r="L857" i="4"/>
  <c r="C853" i="4"/>
  <c r="G848" i="4"/>
  <c r="L843" i="4"/>
  <c r="D839" i="4"/>
  <c r="J834" i="4"/>
  <c r="A830" i="4"/>
  <c r="F825" i="4"/>
  <c r="K820" i="4"/>
  <c r="K1068" i="4"/>
  <c r="E1031" i="4"/>
  <c r="K993" i="4"/>
  <c r="G1087" i="4"/>
  <c r="J958" i="4"/>
  <c r="K1078" i="4"/>
  <c r="G979" i="4"/>
  <c r="N1080" i="4"/>
  <c r="L1043" i="4"/>
  <c r="C1006" i="4"/>
  <c r="N968" i="4"/>
  <c r="K1079" i="4"/>
  <c r="H1042" i="4"/>
  <c r="M1004" i="4"/>
  <c r="J967" i="4"/>
  <c r="B1079" i="4"/>
  <c r="M1041" i="4"/>
  <c r="D1004" i="4"/>
  <c r="A967" i="4"/>
  <c r="H1075" i="4"/>
  <c r="D1038" i="4"/>
  <c r="I1000" i="4"/>
  <c r="F963" i="4"/>
  <c r="K947" i="4"/>
  <c r="B909" i="4"/>
  <c r="D872" i="4"/>
  <c r="F835" i="4"/>
  <c r="M945" i="4"/>
  <c r="G908" i="4"/>
  <c r="I871" i="4"/>
  <c r="K834" i="4"/>
  <c r="N944" i="4"/>
  <c r="L922" i="4"/>
  <c r="E904" i="4"/>
  <c r="I891" i="4"/>
  <c r="C880" i="4"/>
  <c r="H867" i="4"/>
  <c r="N854" i="4"/>
  <c r="D843" i="4"/>
  <c r="C831" i="4"/>
  <c r="M821" i="4"/>
  <c r="L1054" i="4"/>
  <c r="A1003" i="4"/>
  <c r="C961" i="4"/>
  <c r="E944" i="4"/>
  <c r="I939" i="4"/>
  <c r="A935" i="4"/>
  <c r="E930" i="4"/>
  <c r="J925" i="4"/>
  <c r="N920" i="4"/>
  <c r="F916" i="4"/>
  <c r="K911" i="4"/>
  <c r="C907" i="4"/>
  <c r="H902" i="4"/>
  <c r="L897" i="4"/>
  <c r="D893" i="4"/>
  <c r="J888" i="4"/>
  <c r="B884" i="4"/>
  <c r="H879" i="4"/>
  <c r="M874" i="4"/>
  <c r="E870" i="4"/>
  <c r="K865" i="4"/>
  <c r="C861" i="4"/>
  <c r="I856" i="4"/>
  <c r="M851" i="4"/>
  <c r="C847" i="4"/>
  <c r="I842" i="4"/>
  <c r="A838" i="4"/>
  <c r="G833" i="4"/>
  <c r="L828" i="4"/>
  <c r="C824" i="4"/>
  <c r="H819" i="4"/>
  <c r="H1063" i="4"/>
  <c r="B1026" i="4"/>
  <c r="H988" i="4"/>
  <c r="E953" i="4"/>
  <c r="B943" i="4"/>
  <c r="F938" i="4"/>
  <c r="L933" i="4"/>
  <c r="B929" i="4"/>
  <c r="G924" i="4"/>
  <c r="K919" i="4"/>
  <c r="C915" i="4"/>
  <c r="H910" i="4"/>
  <c r="M905" i="4"/>
  <c r="E901" i="4"/>
  <c r="I896" i="4"/>
  <c r="A892" i="4"/>
  <c r="G887" i="4"/>
  <c r="M882" i="4"/>
  <c r="E878" i="4"/>
  <c r="J873" i="4"/>
  <c r="B869" i="4"/>
  <c r="H864" i="4"/>
  <c r="N859" i="4"/>
  <c r="F855" i="4"/>
  <c r="J850" i="4"/>
  <c r="N845" i="4"/>
  <c r="F841" i="4"/>
  <c r="L836" i="4"/>
  <c r="C832" i="4"/>
  <c r="I827" i="4"/>
  <c r="M822" i="4"/>
  <c r="E818" i="4"/>
  <c r="N1062" i="4"/>
  <c r="H1025" i="4"/>
  <c r="N987" i="4"/>
  <c r="A953" i="4"/>
  <c r="A943" i="4"/>
  <c r="E938" i="4"/>
  <c r="K933" i="4"/>
  <c r="A929" i="4"/>
  <c r="F924" i="4"/>
  <c r="J919" i="4"/>
  <c r="B915" i="4"/>
  <c r="G910" i="4"/>
  <c r="L905" i="4"/>
  <c r="D901" i="4"/>
  <c r="H896" i="4"/>
  <c r="N891" i="4"/>
  <c r="F887" i="4"/>
  <c r="L882" i="4"/>
  <c r="D878" i="4"/>
  <c r="I873" i="4"/>
  <c r="A869" i="4"/>
  <c r="G864" i="4"/>
  <c r="M859" i="4"/>
  <c r="E855" i="4"/>
  <c r="I850" i="4"/>
  <c r="M845" i="4"/>
  <c r="E841" i="4"/>
  <c r="K836" i="4"/>
  <c r="B832" i="4"/>
  <c r="H827" i="4"/>
  <c r="L822" i="4"/>
  <c r="F1062" i="4"/>
  <c r="N942" i="4"/>
  <c r="E924" i="4"/>
  <c r="K905" i="4"/>
  <c r="E887" i="4"/>
  <c r="N868" i="4"/>
  <c r="H850" i="4"/>
  <c r="A832" i="4"/>
  <c r="I817" i="4"/>
  <c r="N812" i="4"/>
  <c r="F808" i="4"/>
  <c r="K803" i="4"/>
  <c r="A799" i="4"/>
  <c r="F794" i="4"/>
  <c r="K789" i="4"/>
  <c r="B785" i="4"/>
  <c r="G780" i="4"/>
  <c r="L775" i="4"/>
  <c r="C771" i="4"/>
  <c r="I766" i="4"/>
  <c r="N761" i="4"/>
  <c r="F757" i="4"/>
  <c r="L752" i="4"/>
  <c r="D748" i="4"/>
  <c r="I743" i="4"/>
  <c r="A739" i="4"/>
  <c r="F734" i="4"/>
  <c r="L729" i="4"/>
  <c r="D725" i="4"/>
  <c r="I720" i="4"/>
  <c r="M715" i="4"/>
  <c r="D711" i="4"/>
  <c r="N1042" i="4"/>
  <c r="G940" i="4"/>
  <c r="M921" i="4"/>
  <c r="F903" i="4"/>
  <c r="N884" i="4"/>
  <c r="I866" i="4"/>
  <c r="A848" i="4"/>
  <c r="J829" i="4"/>
  <c r="M816" i="4"/>
  <c r="E812" i="4"/>
  <c r="K807" i="4"/>
  <c r="A803" i="4"/>
  <c r="F798" i="4"/>
  <c r="K793" i="4"/>
  <c r="B789" i="4"/>
  <c r="G784" i="4"/>
  <c r="K779" i="4"/>
  <c r="C775" i="4"/>
  <c r="H770" i="4"/>
  <c r="N765" i="4"/>
  <c r="E761" i="4"/>
  <c r="K756" i="4"/>
  <c r="C752" i="4"/>
  <c r="I747" i="4"/>
  <c r="N742" i="4"/>
  <c r="F738" i="4"/>
  <c r="K733" i="4"/>
  <c r="C729" i="4"/>
  <c r="H724" i="4"/>
  <c r="N719" i="4"/>
  <c r="D715" i="4"/>
  <c r="I710" i="4"/>
  <c r="C1020" i="4"/>
  <c r="J937" i="4"/>
  <c r="A919" i="4"/>
  <c r="I900" i="4"/>
  <c r="C882" i="4"/>
  <c r="L863" i="4"/>
  <c r="D845" i="4"/>
  <c r="M826" i="4"/>
  <c r="D816" i="4"/>
  <c r="J811" i="4"/>
  <c r="B807" i="4"/>
  <c r="F802" i="4"/>
  <c r="J797" i="4"/>
  <c r="A793" i="4"/>
  <c r="F788" i="4"/>
  <c r="L783" i="4"/>
  <c r="B779" i="4"/>
  <c r="H774" i="4"/>
  <c r="M769" i="4"/>
  <c r="E765" i="4"/>
  <c r="J760" i="4"/>
  <c r="B756" i="4"/>
  <c r="H751" i="4"/>
  <c r="N746" i="4"/>
  <c r="E742" i="4"/>
  <c r="K737" i="4"/>
  <c r="B733" i="4"/>
  <c r="H728" i="4"/>
  <c r="M723" i="4"/>
  <c r="E719" i="4"/>
  <c r="I714" i="4"/>
  <c r="C1076" i="4"/>
  <c r="I944" i="4"/>
  <c r="N925" i="4"/>
  <c r="G907" i="4"/>
  <c r="N888" i="4"/>
  <c r="I870" i="4"/>
  <c r="D852" i="4"/>
  <c r="K833" i="4"/>
  <c r="A818" i="4"/>
  <c r="E813" i="4"/>
  <c r="K808" i="4"/>
  <c r="B804" i="4"/>
  <c r="F799" i="4"/>
  <c r="K794" i="4"/>
  <c r="B790" i="4"/>
  <c r="G785" i="4"/>
  <c r="L780" i="4"/>
  <c r="C776" i="4"/>
  <c r="H771" i="4"/>
  <c r="N766" i="4"/>
  <c r="E762" i="4"/>
  <c r="K1098" i="4"/>
  <c r="D1070" i="4"/>
  <c r="F1060" i="4"/>
  <c r="L974" i="4"/>
  <c r="F1076" i="4"/>
  <c r="B1039" i="4"/>
  <c r="H1001" i="4"/>
  <c r="D964" i="4"/>
  <c r="C1075" i="4"/>
  <c r="L1037" i="4"/>
  <c r="D1000" i="4"/>
  <c r="A963" i="4"/>
  <c r="H1074" i="4"/>
  <c r="C1037" i="4"/>
  <c r="H999" i="4"/>
  <c r="F962" i="4"/>
  <c r="N1070" i="4"/>
  <c r="H1033" i="4"/>
  <c r="N995" i="4"/>
  <c r="K958" i="4"/>
  <c r="I941" i="4"/>
  <c r="G904" i="4"/>
  <c r="J867" i="4"/>
  <c r="K830" i="4"/>
  <c r="M940" i="4"/>
  <c r="L903" i="4"/>
  <c r="A867" i="4"/>
  <c r="B830" i="4"/>
  <c r="D940" i="4"/>
  <c r="J921" i="4"/>
  <c r="C903" i="4"/>
  <c r="G890" i="4"/>
  <c r="L877" i="4"/>
  <c r="F866" i="4"/>
  <c r="K853" i="4"/>
  <c r="N840" i="4"/>
  <c r="I830" i="4"/>
  <c r="E821" i="4"/>
  <c r="E1045" i="4"/>
  <c r="E998" i="4"/>
  <c r="H956" i="4"/>
  <c r="K943" i="4"/>
  <c r="A939" i="4"/>
  <c r="G934" i="4"/>
  <c r="K929" i="4"/>
  <c r="B925" i="4"/>
  <c r="F920" i="4"/>
  <c r="L915" i="4"/>
  <c r="C911" i="4"/>
  <c r="H906" i="4"/>
  <c r="N901" i="4"/>
  <c r="D897" i="4"/>
  <c r="J892" i="4"/>
  <c r="B888" i="4"/>
  <c r="H883" i="4"/>
  <c r="N878" i="4"/>
  <c r="E874" i="4"/>
  <c r="K869" i="4"/>
  <c r="C865" i="4"/>
  <c r="I860" i="4"/>
  <c r="A856" i="4"/>
  <c r="E851" i="4"/>
  <c r="I846" i="4"/>
  <c r="A842" i="4"/>
  <c r="G837" i="4"/>
  <c r="L832" i="4"/>
  <c r="D828" i="4"/>
  <c r="I823" i="4"/>
  <c r="N818" i="4"/>
  <c r="N1058" i="4"/>
  <c r="E1021" i="4"/>
  <c r="M983" i="4"/>
  <c r="N950" i="4"/>
  <c r="H942" i="4"/>
  <c r="L937" i="4"/>
  <c r="D933" i="4"/>
  <c r="H928" i="4"/>
  <c r="M923" i="4"/>
  <c r="C919" i="4"/>
  <c r="I914" i="4"/>
  <c r="N909" i="4"/>
  <c r="E905" i="4"/>
  <c r="K900" i="4"/>
  <c r="A896" i="4"/>
  <c r="G891" i="4"/>
  <c r="M886" i="4"/>
  <c r="E882" i="4"/>
  <c r="J877" i="4"/>
  <c r="B873" i="4"/>
  <c r="H868" i="4"/>
  <c r="N863" i="4"/>
  <c r="F859" i="4"/>
  <c r="L854" i="4"/>
  <c r="A850" i="4"/>
  <c r="F845" i="4"/>
  <c r="L840" i="4"/>
  <c r="D836" i="4"/>
  <c r="I831" i="4"/>
  <c r="A827" i="4"/>
  <c r="E822" i="4"/>
  <c r="K817" i="4"/>
  <c r="F1058" i="4"/>
  <c r="K1020" i="4"/>
  <c r="E983" i="4"/>
  <c r="J950" i="4"/>
  <c r="F942" i="4"/>
  <c r="K937" i="4"/>
  <c r="C933" i="4"/>
  <c r="G928" i="4"/>
  <c r="L923" i="4"/>
  <c r="B919" i="4"/>
  <c r="H914" i="4"/>
  <c r="M909" i="4"/>
  <c r="D905" i="4"/>
  <c r="J900" i="4"/>
  <c r="N895" i="4"/>
  <c r="F891" i="4"/>
  <c r="L886" i="4"/>
  <c r="D882" i="4"/>
  <c r="I877" i="4"/>
  <c r="A873" i="4"/>
  <c r="G868" i="4"/>
  <c r="M863" i="4"/>
  <c r="E859" i="4"/>
  <c r="K854" i="4"/>
  <c r="N849" i="4"/>
  <c r="E845" i="4"/>
  <c r="K840" i="4"/>
  <c r="C836" i="4"/>
  <c r="H831" i="4"/>
  <c r="N826" i="4"/>
  <c r="D822" i="4"/>
  <c r="I1043" i="4"/>
  <c r="H940" i="4"/>
  <c r="N921" i="4"/>
  <c r="G903" i="4"/>
  <c r="A885" i="4"/>
  <c r="J866" i="4"/>
  <c r="C848" i="4"/>
  <c r="K829" i="4"/>
  <c r="N816" i="4"/>
  <c r="F812" i="4"/>
  <c r="L807" i="4"/>
  <c r="C803" i="4"/>
  <c r="G798" i="4"/>
  <c r="L793" i="4"/>
  <c r="C789" i="4"/>
  <c r="H784" i="4"/>
  <c r="L779" i="4"/>
  <c r="D775" i="4"/>
  <c r="I770" i="4"/>
  <c r="A766" i="4"/>
  <c r="F761" i="4"/>
  <c r="L756" i="4"/>
  <c r="D752" i="4"/>
  <c r="J747" i="4"/>
  <c r="A743" i="4"/>
  <c r="G738" i="4"/>
  <c r="L733" i="4"/>
  <c r="D729" i="4"/>
  <c r="I724" i="4"/>
  <c r="A720" i="4"/>
  <c r="E715" i="4"/>
  <c r="J710" i="4"/>
  <c r="E1024" i="4"/>
  <c r="C938" i="4"/>
  <c r="H919" i="4"/>
  <c r="B901" i="4"/>
  <c r="J882" i="4"/>
  <c r="E864" i="4"/>
  <c r="K845" i="4"/>
  <c r="F827" i="4"/>
  <c r="E816" i="4"/>
  <c r="K811" i="4"/>
  <c r="C807" i="4"/>
  <c r="G802" i="4"/>
  <c r="K797" i="4"/>
  <c r="C793" i="4"/>
  <c r="H788" i="4"/>
  <c r="M783" i="4"/>
  <c r="C779" i="4"/>
  <c r="I774" i="4"/>
  <c r="N769" i="4"/>
  <c r="F765" i="4"/>
  <c r="K760" i="4"/>
  <c r="C756" i="4"/>
  <c r="I751" i="4"/>
  <c r="A747" i="4"/>
  <c r="E1111" i="4"/>
  <c r="C1042" i="4"/>
  <c r="H1041" i="4"/>
  <c r="C970" i="4"/>
  <c r="L1071" i="4"/>
  <c r="F1034" i="4"/>
  <c r="L996" i="4"/>
  <c r="J959" i="4"/>
  <c r="I1070" i="4"/>
  <c r="C1033" i="4"/>
  <c r="I995" i="4"/>
  <c r="F958" i="4"/>
  <c r="N1069" i="4"/>
  <c r="H1032" i="4"/>
  <c r="N994" i="4"/>
  <c r="K957" i="4"/>
  <c r="F1066" i="4"/>
  <c r="M1028" i="4"/>
  <c r="F991" i="4"/>
  <c r="B954" i="4"/>
  <c r="N936" i="4"/>
  <c r="M899" i="4"/>
  <c r="B863" i="4"/>
  <c r="C826" i="4"/>
  <c r="E936" i="4"/>
  <c r="D899" i="4"/>
  <c r="G862" i="4"/>
  <c r="G825" i="4"/>
  <c r="L936" i="4"/>
  <c r="C918" i="4"/>
  <c r="M900" i="4"/>
  <c r="E889" i="4"/>
  <c r="J876" i="4"/>
  <c r="B864" i="4"/>
  <c r="I852" i="4"/>
  <c r="L839" i="4"/>
  <c r="G829" i="4"/>
  <c r="C820" i="4"/>
  <c r="J1040" i="4"/>
  <c r="B989" i="4"/>
  <c r="I953" i="4"/>
  <c r="C943" i="4"/>
  <c r="G938" i="4"/>
  <c r="M933" i="4"/>
  <c r="C929" i="4"/>
  <c r="H924" i="4"/>
  <c r="L919" i="4"/>
  <c r="D915" i="4"/>
  <c r="I910" i="4"/>
  <c r="N905" i="4"/>
  <c r="F901" i="4"/>
  <c r="J896" i="4"/>
  <c r="B892" i="4"/>
  <c r="H887" i="4"/>
  <c r="N882" i="4"/>
  <c r="F878" i="4"/>
  <c r="K873" i="4"/>
  <c r="C869" i="4"/>
  <c r="I864" i="4"/>
  <c r="A860" i="4"/>
  <c r="G855" i="4"/>
  <c r="K850" i="4"/>
  <c r="A846" i="4"/>
  <c r="G841" i="4"/>
  <c r="M836" i="4"/>
  <c r="D832" i="4"/>
  <c r="J827" i="4"/>
  <c r="N822" i="4"/>
  <c r="H1135" i="4"/>
  <c r="D1054" i="4"/>
  <c r="I1016" i="4"/>
  <c r="C979" i="4"/>
  <c r="I948" i="4"/>
  <c r="M941" i="4"/>
  <c r="D937" i="4"/>
  <c r="I932" i="4"/>
  <c r="N927" i="4"/>
  <c r="E923" i="4"/>
  <c r="I918" i="4"/>
  <c r="N913" i="4"/>
  <c r="F909" i="4"/>
  <c r="K904" i="4"/>
  <c r="C900" i="4"/>
  <c r="G895" i="4"/>
  <c r="M890" i="4"/>
  <c r="E886" i="4"/>
  <c r="K881" i="4"/>
  <c r="B877" i="4"/>
  <c r="H872" i="4"/>
  <c r="N867" i="4"/>
  <c r="F863" i="4"/>
  <c r="L858" i="4"/>
  <c r="D854" i="4"/>
  <c r="G849" i="4"/>
  <c r="L844" i="4"/>
  <c r="D840" i="4"/>
  <c r="J835" i="4"/>
  <c r="A831" i="4"/>
  <c r="G826" i="4"/>
  <c r="K821" i="4"/>
  <c r="N1130" i="4"/>
  <c r="I1053" i="4"/>
  <c r="A1016" i="4"/>
  <c r="I978" i="4"/>
  <c r="E948" i="4"/>
  <c r="L941" i="4"/>
  <c r="C937" i="4"/>
  <c r="H932" i="4"/>
  <c r="M927" i="4"/>
  <c r="D923" i="4"/>
  <c r="H918" i="4"/>
  <c r="M913" i="4"/>
  <c r="E909" i="4"/>
  <c r="J904" i="4"/>
  <c r="B900" i="4"/>
  <c r="F895" i="4"/>
  <c r="L890" i="4"/>
  <c r="D886" i="4"/>
  <c r="J881" i="4"/>
  <c r="A877" i="4"/>
  <c r="G872" i="4"/>
  <c r="M867" i="4"/>
  <c r="E863" i="4"/>
  <c r="K858" i="4"/>
  <c r="C854" i="4"/>
  <c r="F849" i="4"/>
  <c r="K844" i="4"/>
  <c r="C840" i="4"/>
  <c r="I835" i="4"/>
  <c r="N830" i="4"/>
  <c r="F826" i="4"/>
  <c r="J821" i="4"/>
  <c r="M1024" i="4"/>
  <c r="D938" i="4"/>
  <c r="I919" i="4"/>
  <c r="C901" i="4"/>
  <c r="K882" i="4"/>
  <c r="F864" i="4"/>
  <c r="L845" i="4"/>
  <c r="G827" i="4"/>
  <c r="F816" i="4"/>
  <c r="L811" i="4"/>
  <c r="D807" i="4"/>
  <c r="H802" i="4"/>
  <c r="L797" i="4"/>
  <c r="D793" i="4"/>
  <c r="I788" i="4"/>
  <c r="N783" i="4"/>
  <c r="D779" i="4"/>
  <c r="J774" i="4"/>
  <c r="A770" i="4"/>
  <c r="G765" i="4"/>
  <c r="L760" i="4"/>
  <c r="D756" i="4"/>
  <c r="J751" i="4"/>
  <c r="B747" i="4"/>
  <c r="G742" i="4"/>
  <c r="M737" i="4"/>
  <c r="D733" i="4"/>
  <c r="J728" i="4"/>
  <c r="A724" i="4"/>
  <c r="G719" i="4"/>
  <c r="K714" i="4"/>
  <c r="B710" i="4"/>
  <c r="E1005" i="4"/>
  <c r="M935" i="4"/>
  <c r="D917" i="4"/>
  <c r="K898" i="4"/>
  <c r="F880" i="4"/>
  <c r="A862" i="4"/>
  <c r="G843" i="4"/>
  <c r="A825" i="4"/>
  <c r="K815" i="4"/>
  <c r="C811" i="4"/>
  <c r="I806" i="4"/>
  <c r="M801" i="4"/>
  <c r="C797" i="4"/>
  <c r="H792" i="4"/>
  <c r="M787" i="4"/>
  <c r="E783" i="4"/>
  <c r="I778" i="4"/>
  <c r="N773" i="4"/>
  <c r="F769" i="4"/>
  <c r="K764" i="4"/>
  <c r="C760" i="4"/>
  <c r="I755" i="4"/>
  <c r="A751" i="4"/>
  <c r="G746" i="4"/>
  <c r="L741" i="4"/>
  <c r="D737" i="4"/>
  <c r="I732" i="4"/>
  <c r="A728" i="4"/>
  <c r="F723" i="4"/>
  <c r="L718" i="4"/>
  <c r="B714" i="4"/>
  <c r="G709" i="4"/>
  <c r="J982" i="4"/>
  <c r="A933" i="4"/>
  <c r="G914" i="4"/>
  <c r="M895" i="4"/>
  <c r="H877" i="4"/>
  <c r="D859" i="4"/>
  <c r="J840" i="4"/>
  <c r="C822" i="4"/>
  <c r="B815" i="4"/>
  <c r="H810" i="4"/>
  <c r="N805" i="4"/>
  <c r="D801" i="4"/>
  <c r="H796" i="4"/>
  <c r="M791" i="4"/>
  <c r="D787" i="4"/>
  <c r="J782" i="4"/>
  <c r="N777" i="4"/>
  <c r="E773" i="4"/>
  <c r="K768" i="4"/>
  <c r="B764" i="4"/>
  <c r="H759" i="4"/>
  <c r="N754" i="4"/>
  <c r="F750" i="4"/>
  <c r="L745" i="4"/>
  <c r="C741" i="4"/>
  <c r="H736" i="4"/>
  <c r="N731" i="4"/>
  <c r="F727" i="4"/>
  <c r="K722" i="4"/>
  <c r="C718" i="4"/>
  <c r="G713" i="4"/>
  <c r="E1038" i="4"/>
  <c r="M939" i="4"/>
  <c r="E921" i="4"/>
  <c r="L902" i="4"/>
  <c r="F884" i="4"/>
  <c r="A866" i="4"/>
  <c r="G847" i="4"/>
  <c r="B829" i="4"/>
  <c r="K816" i="4"/>
  <c r="C812" i="4"/>
  <c r="I807" i="4"/>
  <c r="M802" i="4"/>
  <c r="D798" i="4"/>
  <c r="I793" i="4"/>
  <c r="N788" i="4"/>
  <c r="E784" i="4"/>
  <c r="I779" i="4"/>
  <c r="A775" i="4"/>
  <c r="F770" i="4"/>
  <c r="L765" i="4"/>
  <c r="C761" i="4"/>
  <c r="I756" i="4"/>
  <c r="A752" i="4"/>
  <c r="G747" i="4"/>
  <c r="L742" i="4"/>
  <c r="D738" i="4"/>
  <c r="I733" i="4"/>
  <c r="A729" i="4"/>
  <c r="M1134" i="4"/>
  <c r="G1023" i="4"/>
  <c r="L1022" i="4"/>
  <c r="H965" i="4"/>
  <c r="D1067" i="4"/>
  <c r="L1029" i="4"/>
  <c r="D992" i="4"/>
  <c r="N954" i="4"/>
  <c r="A1066" i="4"/>
  <c r="H1028" i="4"/>
  <c r="N990" i="4"/>
  <c r="K953" i="4"/>
  <c r="F1065" i="4"/>
  <c r="M1027" i="4"/>
  <c r="E990" i="4"/>
  <c r="B953" i="4"/>
  <c r="K1061" i="4"/>
  <c r="D1024" i="4"/>
  <c r="J986" i="4"/>
  <c r="F949" i="4"/>
  <c r="E932" i="4"/>
  <c r="C895" i="4"/>
  <c r="H858" i="4"/>
  <c r="G821" i="4"/>
  <c r="J931" i="4"/>
  <c r="H894" i="4"/>
  <c r="M857" i="4"/>
  <c r="L820" i="4"/>
  <c r="J935" i="4"/>
  <c r="A917" i="4"/>
  <c r="K899" i="4"/>
  <c r="A887" i="4"/>
  <c r="H875" i="4"/>
  <c r="N862" i="4"/>
  <c r="D850" i="4"/>
  <c r="J838" i="4"/>
  <c r="C827" i="4"/>
  <c r="G1082" i="4"/>
  <c r="M1035" i="4"/>
  <c r="G984" i="4"/>
  <c r="D951" i="4"/>
  <c r="I942" i="4"/>
  <c r="M937" i="4"/>
  <c r="E933" i="4"/>
  <c r="I928" i="4"/>
  <c r="N923" i="4"/>
  <c r="M1070" i="4"/>
  <c r="N985" i="4"/>
  <c r="G993" i="4"/>
  <c r="D956" i="4"/>
  <c r="N1057" i="4"/>
  <c r="F1020" i="4"/>
  <c r="M982" i="4"/>
  <c r="D1201" i="4"/>
  <c r="K1056" i="4"/>
  <c r="C1019" i="4"/>
  <c r="J981" i="4"/>
  <c r="M1158" i="4"/>
  <c r="B1056" i="4"/>
  <c r="G1018" i="4"/>
  <c r="N980" i="4"/>
  <c r="B1121" i="4"/>
  <c r="E1052" i="4"/>
  <c r="L1014" i="4"/>
  <c r="F977" i="4"/>
  <c r="L1051" i="4"/>
  <c r="N922" i="4"/>
  <c r="A886" i="4"/>
  <c r="C849" i="4"/>
  <c r="G1046" i="4"/>
  <c r="E922" i="4"/>
  <c r="F885" i="4"/>
  <c r="H848" i="4"/>
  <c r="D1041" i="4"/>
  <c r="N930" i="4"/>
  <c r="F912" i="4"/>
  <c r="C896" i="4"/>
  <c r="K884" i="4"/>
  <c r="B872" i="4"/>
  <c r="H859" i="4"/>
  <c r="L847" i="4"/>
  <c r="D835" i="4"/>
  <c r="N825" i="4"/>
  <c r="E1073" i="4"/>
  <c r="M1021" i="4"/>
  <c r="B975" i="4"/>
  <c r="C947" i="4"/>
  <c r="F941" i="4"/>
  <c r="K936" i="4"/>
  <c r="B932" i="4"/>
  <c r="F927" i="4"/>
  <c r="K922" i="4"/>
  <c r="B918" i="4"/>
  <c r="G913" i="4"/>
  <c r="M908" i="4"/>
  <c r="D904" i="4"/>
  <c r="J899" i="4"/>
  <c r="N894" i="4"/>
  <c r="F890" i="4"/>
  <c r="L885" i="4"/>
  <c r="D881" i="4"/>
  <c r="I876" i="4"/>
  <c r="A872" i="4"/>
  <c r="G867" i="4"/>
  <c r="M862" i="4"/>
  <c r="E858" i="4"/>
  <c r="J853" i="4"/>
  <c r="N848" i="4"/>
  <c r="E844" i="4"/>
  <c r="K839" i="4"/>
  <c r="C835" i="4"/>
  <c r="H830" i="4"/>
  <c r="M825" i="4"/>
  <c r="D821" i="4"/>
  <c r="E1077" i="4"/>
  <c r="A1040" i="4"/>
  <c r="G1002" i="4"/>
  <c r="D965" i="4"/>
  <c r="L944" i="4"/>
  <c r="B940" i="4"/>
  <c r="H935" i="4"/>
  <c r="L930" i="4"/>
  <c r="C926" i="4"/>
  <c r="H921" i="4"/>
  <c r="M916" i="4"/>
  <c r="D912" i="4"/>
  <c r="J907" i="4"/>
  <c r="A903" i="4"/>
  <c r="F898" i="4"/>
  <c r="K893" i="4"/>
  <c r="C889" i="4"/>
  <c r="I884" i="4"/>
  <c r="A880" i="4"/>
  <c r="F875" i="4"/>
  <c r="L870" i="4"/>
  <c r="D866" i="4"/>
  <c r="J861" i="4"/>
  <c r="B857" i="4"/>
  <c r="G852" i="4"/>
  <c r="J847" i="4"/>
  <c r="B843" i="4"/>
  <c r="H838" i="4"/>
  <c r="N833" i="4"/>
  <c r="E829" i="4"/>
  <c r="J824" i="4"/>
  <c r="A820" i="4"/>
  <c r="K1076" i="4"/>
  <c r="G1039" i="4"/>
  <c r="M1001" i="4"/>
  <c r="I964" i="4"/>
  <c r="K944" i="4"/>
  <c r="A940" i="4"/>
  <c r="G935" i="4"/>
  <c r="K930" i="4"/>
  <c r="B926" i="4"/>
  <c r="G921" i="4"/>
  <c r="L916" i="4"/>
  <c r="C912" i="4"/>
  <c r="I907" i="4"/>
  <c r="N902" i="4"/>
  <c r="E898" i="4"/>
  <c r="J893" i="4"/>
  <c r="B889" i="4"/>
  <c r="H884" i="4"/>
  <c r="N879" i="4"/>
  <c r="E875" i="4"/>
  <c r="K870" i="4"/>
  <c r="C866" i="4"/>
  <c r="I861" i="4"/>
  <c r="A857" i="4"/>
  <c r="F852" i="4"/>
  <c r="I847" i="4"/>
  <c r="A843" i="4"/>
  <c r="G838" i="4"/>
  <c r="M833" i="4"/>
  <c r="D829" i="4"/>
  <c r="I824" i="4"/>
  <c r="C1080" i="4"/>
  <c r="K968" i="4"/>
  <c r="E931" i="4"/>
  <c r="J912" i="4"/>
  <c r="C894" i="4"/>
  <c r="L875" i="4"/>
  <c r="H857" i="4"/>
  <c r="N838" i="4"/>
  <c r="N820" i="4"/>
  <c r="J814" i="4"/>
  <c r="B810" i="4"/>
  <c r="H805" i="4"/>
  <c r="L800" i="4"/>
  <c r="B796" i="4"/>
  <c r="G791" i="4"/>
  <c r="L786" i="4"/>
  <c r="C782" i="4"/>
  <c r="H777" i="4"/>
  <c r="M772" i="4"/>
  <c r="E768" i="4"/>
  <c r="J763" i="4"/>
  <c r="B759" i="4"/>
  <c r="H754" i="4"/>
  <c r="N749" i="4"/>
  <c r="F745" i="4"/>
  <c r="K740" i="4"/>
  <c r="B736" i="4"/>
  <c r="H731" i="4"/>
  <c r="N726" i="4"/>
  <c r="E722" i="4"/>
  <c r="J717" i="4"/>
  <c r="A713" i="4"/>
  <c r="F708" i="4"/>
  <c r="G952" i="4"/>
  <c r="M928" i="4"/>
  <c r="E910" i="4"/>
  <c r="L891" i="4"/>
  <c r="G873" i="4"/>
  <c r="C855" i="4"/>
  <c r="I836" i="4"/>
  <c r="D819" i="4"/>
  <c r="A814" i="4"/>
  <c r="G809" i="4"/>
  <c r="L804" i="4"/>
  <c r="C800" i="4"/>
  <c r="G795" i="4"/>
  <c r="L790" i="4"/>
  <c r="C786" i="4"/>
  <c r="H781" i="4"/>
  <c r="M776" i="4"/>
  <c r="D772" i="4"/>
  <c r="J767" i="4"/>
  <c r="A763" i="4"/>
  <c r="G758" i="4"/>
  <c r="M753" i="4"/>
  <c r="E749" i="4"/>
  <c r="K744" i="4"/>
  <c r="B740" i="4"/>
  <c r="G735" i="4"/>
  <c r="M730" i="4"/>
  <c r="E726" i="4"/>
  <c r="J721" i="4"/>
  <c r="N716" i="4"/>
  <c r="F712" i="4"/>
  <c r="K1080" i="4"/>
  <c r="J944" i="4"/>
  <c r="A926" i="4"/>
  <c r="H907" i="4"/>
  <c r="A889" i="4"/>
  <c r="J870" i="4"/>
  <c r="E852" i="4"/>
  <c r="L833" i="4"/>
  <c r="B818" i="4"/>
  <c r="F813" i="4"/>
  <c r="L808" i="4"/>
  <c r="C804" i="4"/>
  <c r="G799" i="4"/>
  <c r="L794" i="4"/>
  <c r="C790" i="4"/>
  <c r="H785" i="4"/>
  <c r="M780" i="4"/>
  <c r="D776" i="4"/>
  <c r="I771" i="4"/>
  <c r="A767" i="4"/>
  <c r="F762" i="4"/>
  <c r="L757" i="4"/>
  <c r="D753" i="4"/>
  <c r="J748" i="4"/>
  <c r="A744" i="4"/>
  <c r="G739" i="4"/>
  <c r="L734" i="4"/>
  <c r="D730" i="4"/>
  <c r="J725" i="4"/>
  <c r="A721" i="4"/>
  <c r="E716" i="4"/>
  <c r="J711" i="4"/>
  <c r="B982" i="4"/>
  <c r="N932" i="4"/>
  <c r="F914" i="4"/>
  <c r="L895" i="4"/>
  <c r="G877" i="4"/>
  <c r="C859" i="4"/>
  <c r="I840" i="4"/>
  <c r="B822" i="4"/>
  <c r="A815" i="4"/>
  <c r="G810" i="4"/>
  <c r="M805" i="4"/>
  <c r="C801" i="4"/>
  <c r="G796" i="4"/>
  <c r="L791" i="4"/>
  <c r="C787" i="4"/>
  <c r="I782" i="4"/>
  <c r="M777" i="4"/>
  <c r="D773" i="4"/>
  <c r="J768" i="4"/>
  <c r="A764" i="4"/>
  <c r="G759" i="4"/>
  <c r="M754" i="4"/>
  <c r="E750" i="4"/>
  <c r="K745" i="4"/>
  <c r="B741" i="4"/>
  <c r="G736" i="4"/>
  <c r="M731" i="4"/>
  <c r="E727" i="4"/>
  <c r="G1033" i="4"/>
  <c r="E967" i="4"/>
  <c r="L988" i="4"/>
  <c r="B1128" i="4"/>
  <c r="D1053" i="4"/>
  <c r="J1015" i="4"/>
  <c r="D978" i="4"/>
  <c r="C1118" i="4"/>
  <c r="N1051" i="4"/>
  <c r="G1014" i="4"/>
  <c r="N976" i="4"/>
  <c r="N1112" i="4"/>
  <c r="E1051" i="4"/>
  <c r="L1013" i="4"/>
  <c r="E976" i="4"/>
  <c r="A1085" i="4"/>
  <c r="I1047" i="4"/>
  <c r="B1010" i="4"/>
  <c r="J972" i="4"/>
  <c r="E1014" i="4"/>
  <c r="E918" i="4"/>
  <c r="G881" i="4"/>
  <c r="H844" i="4"/>
  <c r="N1008" i="4"/>
  <c r="J917" i="4"/>
  <c r="L880" i="4"/>
  <c r="M843" i="4"/>
  <c r="I1003" i="4"/>
  <c r="H927" i="4"/>
  <c r="N908" i="4"/>
  <c r="A895" i="4"/>
  <c r="G882" i="4"/>
  <c r="N870" i="4"/>
  <c r="F858" i="4"/>
  <c r="H845" i="4"/>
  <c r="B834" i="4"/>
  <c r="L824" i="4"/>
  <c r="B1064" i="4"/>
  <c r="C1017" i="4"/>
  <c r="G970" i="4"/>
  <c r="H945" i="4"/>
  <c r="K940" i="4"/>
  <c r="C936" i="4"/>
  <c r="H931" i="4"/>
  <c r="L926" i="4"/>
  <c r="C922" i="4"/>
  <c r="H917" i="4"/>
  <c r="M912" i="4"/>
  <c r="E908" i="4"/>
  <c r="J903" i="4"/>
  <c r="A899" i="4"/>
  <c r="F894" i="4"/>
  <c r="L889" i="4"/>
  <c r="D885" i="4"/>
  <c r="J880" i="4"/>
  <c r="A876" i="4"/>
  <c r="G871" i="4"/>
  <c r="M866" i="4"/>
  <c r="E862" i="4"/>
  <c r="K857" i="4"/>
  <c r="B853" i="4"/>
  <c r="F848" i="4"/>
  <c r="K843" i="4"/>
  <c r="C839" i="4"/>
  <c r="I834" i="4"/>
  <c r="N829" i="4"/>
  <c r="E825" i="4"/>
  <c r="J820" i="4"/>
  <c r="K1072" i="4"/>
  <c r="E1035" i="4"/>
  <c r="K997" i="4"/>
  <c r="I960" i="4"/>
  <c r="D944" i="4"/>
  <c r="H939" i="4"/>
  <c r="N934" i="4"/>
  <c r="D930" i="4"/>
  <c r="I925" i="4"/>
  <c r="M920" i="4"/>
  <c r="E916" i="4"/>
  <c r="J911" i="4"/>
  <c r="A907" i="4"/>
  <c r="G902" i="4"/>
  <c r="K897" i="4"/>
  <c r="C893" i="4"/>
  <c r="I888" i="4"/>
  <c r="A884" i="4"/>
  <c r="G879" i="4"/>
  <c r="L874" i="4"/>
  <c r="D870" i="4"/>
  <c r="J865" i="4"/>
  <c r="B861" i="4"/>
  <c r="H856" i="4"/>
  <c r="L851" i="4"/>
  <c r="B847" i="4"/>
  <c r="H842" i="4"/>
  <c r="N837" i="4"/>
  <c r="F833" i="4"/>
  <c r="K828" i="4"/>
  <c r="B824" i="4"/>
  <c r="G819" i="4"/>
  <c r="C1072" i="4"/>
  <c r="K1034" i="4"/>
  <c r="C997" i="4"/>
  <c r="A960" i="4"/>
  <c r="C944" i="4"/>
  <c r="G939" i="4"/>
  <c r="M934" i="4"/>
  <c r="C930" i="4"/>
  <c r="H925" i="4"/>
  <c r="L920" i="4"/>
  <c r="D916" i="4"/>
  <c r="I911" i="4"/>
  <c r="N906" i="4"/>
  <c r="F902" i="4"/>
  <c r="J897" i="4"/>
  <c r="B893" i="4"/>
  <c r="H888" i="4"/>
  <c r="N883" i="4"/>
  <c r="F879" i="4"/>
  <c r="K874" i="4"/>
  <c r="C870" i="4"/>
  <c r="I865" i="4"/>
  <c r="A861" i="4"/>
  <c r="G856" i="4"/>
  <c r="K851" i="4"/>
  <c r="A847" i="4"/>
  <c r="G842" i="4"/>
  <c r="M837" i="4"/>
  <c r="E833" i="4"/>
  <c r="J828" i="4"/>
  <c r="A824" i="4"/>
  <c r="I1075" i="4"/>
  <c r="K952" i="4"/>
  <c r="N928" i="4"/>
  <c r="F910" i="4"/>
  <c r="M891" i="4"/>
  <c r="H873" i="4"/>
  <c r="D855" i="4"/>
  <c r="J836" i="4"/>
  <c r="E819" i="4"/>
  <c r="B814" i="4"/>
  <c r="H809" i="4"/>
  <c r="M804" i="4"/>
  <c r="D800" i="4"/>
  <c r="H795" i="4"/>
  <c r="M790" i="4"/>
  <c r="D786" i="4"/>
  <c r="I781" i="4"/>
  <c r="N776" i="4"/>
  <c r="E772" i="4"/>
  <c r="K767" i="4"/>
  <c r="B763" i="4"/>
  <c r="H758" i="4"/>
  <c r="N753" i="4"/>
  <c r="F749" i="4"/>
  <c r="L744" i="4"/>
  <c r="C740" i="4"/>
  <c r="H735" i="4"/>
  <c r="N730" i="4"/>
  <c r="F726" i="4"/>
  <c r="K721" i="4"/>
  <c r="A717" i="4"/>
  <c r="G712" i="4"/>
  <c r="F1089" i="4"/>
  <c r="C945" i="4"/>
  <c r="H926" i="4"/>
  <c r="A908" i="4"/>
  <c r="H889" i="4"/>
  <c r="C871" i="4"/>
  <c r="L852" i="4"/>
  <c r="E834" i="4"/>
  <c r="C818" i="4"/>
  <c r="G813" i="4"/>
  <c r="M808" i="4"/>
  <c r="D804" i="4"/>
  <c r="H799" i="4"/>
  <c r="M794" i="4"/>
  <c r="D790" i="4"/>
  <c r="I785" i="4"/>
  <c r="N780" i="4"/>
  <c r="E776" i="4"/>
  <c r="J771" i="4"/>
  <c r="B767" i="4"/>
  <c r="G762" i="4"/>
  <c r="M757" i="4"/>
  <c r="E753" i="4"/>
  <c r="K748" i="4"/>
  <c r="C744" i="4"/>
  <c r="H739" i="4"/>
  <c r="M734" i="4"/>
  <c r="E730" i="4"/>
  <c r="K725" i="4"/>
  <c r="B721" i="4"/>
  <c r="F716" i="4"/>
  <c r="K711" i="4"/>
  <c r="K1057" i="4"/>
  <c r="E942" i="4"/>
  <c r="K923" i="4"/>
  <c r="C905" i="4"/>
  <c r="K886" i="4"/>
  <c r="F868" i="4"/>
  <c r="M849" i="4"/>
  <c r="G831" i="4"/>
  <c r="G817" i="4"/>
  <c r="L812" i="4"/>
  <c r="D808" i="4"/>
  <c r="I803" i="4"/>
  <c r="M798" i="4"/>
  <c r="D794" i="4"/>
  <c r="I789" i="4"/>
  <c r="N784" i="4"/>
  <c r="E780" i="4"/>
  <c r="J775" i="4"/>
  <c r="A771" i="4"/>
  <c r="G766" i="4"/>
  <c r="L761" i="4"/>
  <c r="D757" i="4"/>
  <c r="J752" i="4"/>
  <c r="B748" i="4"/>
  <c r="G743" i="4"/>
  <c r="M738" i="4"/>
  <c r="D734" i="4"/>
  <c r="J729" i="4"/>
  <c r="A725" i="4"/>
  <c r="G720" i="4"/>
  <c r="K715" i="4"/>
  <c r="B711" i="4"/>
  <c r="G963" i="4"/>
  <c r="I930" i="4"/>
  <c r="A912" i="4"/>
  <c r="H893" i="4"/>
  <c r="C875" i="4"/>
  <c r="M856" i="4"/>
  <c r="E838" i="4"/>
  <c r="F820" i="4"/>
  <c r="G814" i="4"/>
  <c r="M809" i="4"/>
  <c r="E805" i="4"/>
  <c r="I800" i="4"/>
  <c r="M795" i="4"/>
  <c r="D791" i="4"/>
  <c r="I786" i="4"/>
  <c r="N781" i="4"/>
  <c r="E777" i="4"/>
  <c r="J772" i="4"/>
  <c r="B768" i="4"/>
  <c r="G763" i="4"/>
  <c r="M758" i="4"/>
  <c r="E754" i="4"/>
  <c r="K749" i="4"/>
  <c r="C745" i="4"/>
  <c r="H740" i="4"/>
  <c r="M735" i="4"/>
  <c r="E731" i="4"/>
  <c r="K726" i="4"/>
  <c r="N1097" i="4"/>
  <c r="I1062" i="4"/>
  <c r="F1061" i="4"/>
  <c r="K1060" i="4"/>
  <c r="B1057" i="4"/>
  <c r="J927" i="4"/>
  <c r="N926" i="4"/>
  <c r="C932" i="4"/>
  <c r="D873" i="4"/>
  <c r="I826" i="4"/>
  <c r="M948" i="4"/>
  <c r="A928" i="4"/>
  <c r="A914" i="4"/>
  <c r="L900" i="4"/>
  <c r="D889" i="4"/>
  <c r="C877" i="4"/>
  <c r="A864" i="4"/>
  <c r="H852" i="4"/>
  <c r="E840" i="4"/>
  <c r="B827" i="4"/>
  <c r="C1068" i="4"/>
  <c r="M969" i="4"/>
  <c r="J936" i="4"/>
  <c r="A925" i="4"/>
  <c r="L912" i="4"/>
  <c r="I899" i="4"/>
  <c r="A888" i="4"/>
  <c r="N875" i="4"/>
  <c r="L862" i="4"/>
  <c r="D851" i="4"/>
  <c r="B839" i="4"/>
  <c r="L825" i="4"/>
  <c r="I1067" i="4"/>
  <c r="E969" i="4"/>
  <c r="I936" i="4"/>
  <c r="N924" i="4"/>
  <c r="K912" i="4"/>
  <c r="H899" i="4"/>
  <c r="N887" i="4"/>
  <c r="M875" i="4"/>
  <c r="K862" i="4"/>
  <c r="C851" i="4"/>
  <c r="A839" i="4"/>
  <c r="K825" i="4"/>
  <c r="D945" i="4"/>
  <c r="G896" i="4"/>
  <c r="H843" i="4"/>
  <c r="H813" i="4"/>
  <c r="F801" i="4"/>
  <c r="N787" i="4"/>
  <c r="F776" i="4"/>
  <c r="D764" i="4"/>
  <c r="B751" i="4"/>
  <c r="I739" i="4"/>
  <c r="H727" i="4"/>
  <c r="C714" i="4"/>
  <c r="M942" i="4"/>
  <c r="B894" i="4"/>
  <c r="C841" i="4"/>
  <c r="M812" i="4"/>
  <c r="K800" i="4"/>
  <c r="E787" i="4"/>
  <c r="K775" i="4"/>
  <c r="I763" i="4"/>
  <c r="G750" i="4"/>
  <c r="J740" i="4"/>
  <c r="G731" i="4"/>
  <c r="D722" i="4"/>
  <c r="N712" i="4"/>
  <c r="E950" i="4"/>
  <c r="L909" i="4"/>
  <c r="N872" i="4"/>
  <c r="B836" i="4"/>
  <c r="N813" i="4"/>
  <c r="K804" i="4"/>
  <c r="F795" i="4"/>
  <c r="B786" i="4"/>
  <c r="L776" i="4"/>
  <c r="I767" i="4"/>
  <c r="F758" i="4"/>
  <c r="D749" i="4"/>
  <c r="A740" i="4"/>
  <c r="L730" i="4"/>
  <c r="I721" i="4"/>
  <c r="E712" i="4"/>
  <c r="E935" i="4"/>
  <c r="C898" i="4"/>
  <c r="G861" i="4"/>
  <c r="G824" i="4"/>
  <c r="A811" i="4"/>
  <c r="K801" i="4"/>
  <c r="F792" i="4"/>
  <c r="C783" i="4"/>
  <c r="L773" i="4"/>
  <c r="I764" i="4"/>
  <c r="A756" i="4"/>
  <c r="I748" i="4"/>
  <c r="J741" i="4"/>
  <c r="C734" i="4"/>
  <c r="C726" i="4"/>
  <c r="H721" i="4"/>
  <c r="L716" i="4"/>
  <c r="D712" i="4"/>
  <c r="I1071" i="4"/>
  <c r="B944" i="4"/>
  <c r="G925" i="4"/>
  <c r="M906" i="4"/>
  <c r="G888" i="4"/>
  <c r="B870" i="4"/>
  <c r="J851" i="4"/>
  <c r="D833" i="4"/>
  <c r="N817" i="4"/>
  <c r="D813" i="4"/>
  <c r="J808" i="4"/>
  <c r="A804" i="4"/>
  <c r="E799" i="4"/>
  <c r="J794" i="4"/>
  <c r="A790" i="4"/>
  <c r="F785" i="4"/>
  <c r="K780" i="4"/>
  <c r="B776" i="4"/>
  <c r="G771" i="4"/>
  <c r="M766" i="4"/>
  <c r="D762" i="4"/>
  <c r="J757" i="4"/>
  <c r="B753" i="4"/>
  <c r="H748" i="4"/>
  <c r="M743" i="4"/>
  <c r="E739" i="4"/>
  <c r="J734" i="4"/>
  <c r="B730" i="4"/>
  <c r="H725" i="4"/>
  <c r="M720" i="4"/>
  <c r="C716" i="4"/>
  <c r="H711" i="4"/>
  <c r="I1033" i="4"/>
  <c r="E939" i="4"/>
  <c r="J920" i="4"/>
  <c r="D902" i="4"/>
  <c r="L883" i="4"/>
  <c r="G865" i="4"/>
  <c r="M846" i="4"/>
  <c r="H828" i="4"/>
  <c r="I816" i="4"/>
  <c r="A812" i="4"/>
  <c r="G807" i="4"/>
  <c r="K802" i="4"/>
  <c r="A798" i="4"/>
  <c r="G793" i="4"/>
  <c r="L788" i="4"/>
  <c r="C784" i="4"/>
  <c r="G779" i="4"/>
  <c r="M774" i="4"/>
  <c r="D770" i="4"/>
  <c r="J765" i="4"/>
  <c r="A761" i="4"/>
  <c r="G756" i="4"/>
  <c r="M751" i="4"/>
  <c r="E747" i="4"/>
  <c r="J742" i="4"/>
  <c r="B738" i="4"/>
  <c r="G733" i="4"/>
  <c r="M728" i="4"/>
  <c r="D724" i="4"/>
  <c r="J719" i="4"/>
  <c r="N714" i="4"/>
  <c r="K972" i="4"/>
  <c r="L931" i="4"/>
  <c r="C913" i="4"/>
  <c r="J894" i="4"/>
  <c r="E876" i="4"/>
  <c r="A858" i="4"/>
  <c r="G839" i="4"/>
  <c r="A821" i="4"/>
  <c r="K814" i="4"/>
  <c r="C810" i="4"/>
  <c r="I805" i="4"/>
  <c r="M800" i="4"/>
  <c r="C796" i="4"/>
  <c r="H791" i="4"/>
  <c r="M786" i="4"/>
  <c r="D782" i="4"/>
  <c r="I777" i="4"/>
  <c r="N772" i="4"/>
  <c r="F768" i="4"/>
  <c r="K763" i="4"/>
  <c r="C759" i="4"/>
  <c r="I754" i="4"/>
  <c r="A750" i="4"/>
  <c r="G745" i="4"/>
  <c r="L740" i="4"/>
  <c r="C736" i="4"/>
  <c r="I731" i="4"/>
  <c r="A727" i="4"/>
  <c r="F722" i="4"/>
  <c r="K717" i="4"/>
  <c r="B713" i="4"/>
  <c r="G708" i="4"/>
  <c r="B851" i="4"/>
  <c r="M789" i="4"/>
  <c r="N752" i="4"/>
  <c r="A716" i="4"/>
  <c r="F705" i="4"/>
  <c r="K700" i="4"/>
  <c r="C696" i="4"/>
  <c r="H691" i="4"/>
  <c r="M686" i="4"/>
  <c r="E682" i="4"/>
  <c r="K677" i="4"/>
  <c r="B673" i="4"/>
  <c r="H668" i="4"/>
  <c r="N663" i="4"/>
  <c r="E659" i="4"/>
  <c r="J654" i="4"/>
  <c r="A650" i="4"/>
  <c r="G645" i="4"/>
  <c r="M640" i="4"/>
  <c r="E636" i="4"/>
  <c r="I631" i="4"/>
  <c r="N626" i="4"/>
  <c r="D622" i="4"/>
  <c r="J617" i="4"/>
  <c r="B613" i="4"/>
  <c r="H608" i="4"/>
  <c r="M603" i="4"/>
  <c r="E599" i="4"/>
  <c r="K594" i="4"/>
  <c r="C590" i="4"/>
  <c r="I585" i="4"/>
  <c r="A581" i="4"/>
  <c r="E830" i="4"/>
  <c r="J784" i="4"/>
  <c r="L747" i="4"/>
  <c r="A712" i="4"/>
  <c r="K704" i="4"/>
  <c r="B700" i="4"/>
  <c r="H695" i="4"/>
  <c r="M690" i="4"/>
  <c r="D686" i="4"/>
  <c r="J681" i="4"/>
  <c r="B677" i="4"/>
  <c r="G672" i="4"/>
  <c r="M667" i="4"/>
  <c r="E663" i="4"/>
  <c r="J658" i="4"/>
  <c r="N653" i="4"/>
  <c r="F649" i="4"/>
  <c r="L644" i="4"/>
  <c r="D640" i="4"/>
  <c r="I635" i="4"/>
  <c r="N630" i="4"/>
  <c r="E626" i="4"/>
  <c r="I621" i="4"/>
  <c r="A617" i="4"/>
  <c r="G612" i="4"/>
  <c r="M995" i="4"/>
  <c r="H1048" i="4"/>
  <c r="D1047" i="4"/>
  <c r="H1046" i="4"/>
  <c r="M1042" i="4"/>
  <c r="J913" i="4"/>
  <c r="A913" i="4"/>
  <c r="E926" i="4"/>
  <c r="J868" i="4"/>
  <c r="G822" i="4"/>
  <c r="M944" i="4"/>
  <c r="D926" i="4"/>
  <c r="E912" i="4"/>
  <c r="D900" i="4"/>
  <c r="N886" i="4"/>
  <c r="G875" i="4"/>
  <c r="G863" i="4"/>
  <c r="C850" i="4"/>
  <c r="I838" i="4"/>
  <c r="H826" i="4"/>
  <c r="G1049" i="4"/>
  <c r="N955" i="4"/>
  <c r="B936" i="4"/>
  <c r="J922" i="4"/>
  <c r="B911" i="4"/>
  <c r="N898" i="4"/>
  <c r="K885" i="4"/>
  <c r="D874" i="4"/>
  <c r="D862" i="4"/>
  <c r="M848" i="4"/>
  <c r="F837" i="4"/>
  <c r="D825" i="4"/>
  <c r="M1048" i="4"/>
  <c r="F955" i="4"/>
  <c r="A936" i="4"/>
  <c r="I922" i="4"/>
  <c r="A911" i="4"/>
  <c r="M898" i="4"/>
  <c r="J885" i="4"/>
  <c r="C874" i="4"/>
  <c r="C862" i="4"/>
  <c r="L848" i="4"/>
  <c r="E837" i="4"/>
  <c r="C825" i="4"/>
  <c r="N935" i="4"/>
  <c r="I889" i="4"/>
  <c r="D841" i="4"/>
  <c r="D811" i="4"/>
  <c r="I799" i="4"/>
  <c r="F787" i="4"/>
  <c r="A774" i="4"/>
  <c r="H762" i="4"/>
  <c r="H750" i="4"/>
  <c r="E737" i="4"/>
  <c r="L725" i="4"/>
  <c r="I713" i="4"/>
  <c r="I933" i="4"/>
  <c r="D887" i="4"/>
  <c r="M838" i="4"/>
  <c r="I810" i="4"/>
  <c r="N798" i="4"/>
  <c r="K786" i="4"/>
  <c r="F773" i="4"/>
  <c r="M761" i="4"/>
  <c r="M749" i="4"/>
  <c r="N738" i="4"/>
  <c r="K729" i="4"/>
  <c r="H720" i="4"/>
  <c r="C711" i="4"/>
  <c r="N939" i="4"/>
  <c r="M902" i="4"/>
  <c r="B866" i="4"/>
  <c r="C829" i="4"/>
  <c r="D812" i="4"/>
  <c r="N802" i="4"/>
  <c r="J793" i="4"/>
  <c r="F784" i="4"/>
  <c r="B775" i="4"/>
  <c r="M765" i="4"/>
  <c r="J756" i="4"/>
  <c r="H747" i="4"/>
  <c r="E738" i="4"/>
  <c r="B729" i="4"/>
  <c r="M719" i="4"/>
  <c r="H710" i="4"/>
  <c r="E928" i="4"/>
  <c r="D891" i="4"/>
  <c r="I854" i="4"/>
  <c r="L818" i="4"/>
  <c r="E809" i="4"/>
  <c r="N799" i="4"/>
  <c r="J790" i="4"/>
  <c r="F781" i="4"/>
  <c r="B772" i="4"/>
  <c r="M762" i="4"/>
  <c r="G755" i="4"/>
  <c r="A748" i="4"/>
  <c r="N739" i="4"/>
  <c r="A733" i="4"/>
  <c r="I725" i="4"/>
  <c r="N720" i="4"/>
  <c r="D716" i="4"/>
  <c r="I711" i="4"/>
  <c r="N1052" i="4"/>
  <c r="K941" i="4"/>
  <c r="C923" i="4"/>
  <c r="I904" i="4"/>
  <c r="C886" i="4"/>
  <c r="L867" i="4"/>
  <c r="E849" i="4"/>
  <c r="M830" i="4"/>
  <c r="E817" i="4"/>
  <c r="J812" i="4"/>
  <c r="B808" i="4"/>
  <c r="G803" i="4"/>
  <c r="K798" i="4"/>
  <c r="B794" i="4"/>
  <c r="G789" i="4"/>
  <c r="L784" i="4"/>
  <c r="C780" i="4"/>
  <c r="H775" i="4"/>
  <c r="M770" i="4"/>
  <c r="E766" i="4"/>
  <c r="J761" i="4"/>
  <c r="B757" i="4"/>
  <c r="H752" i="4"/>
  <c r="N747" i="4"/>
  <c r="E743" i="4"/>
  <c r="K738" i="4"/>
  <c r="B734" i="4"/>
  <c r="H729" i="4"/>
  <c r="M724" i="4"/>
  <c r="E720" i="4"/>
  <c r="I715" i="4"/>
  <c r="N710" i="4"/>
  <c r="M1014" i="4"/>
  <c r="A937" i="4"/>
  <c r="F918" i="4"/>
  <c r="N899" i="4"/>
  <c r="H881" i="4"/>
  <c r="C863" i="4"/>
  <c r="I844" i="4"/>
  <c r="D826" i="4"/>
  <c r="A816" i="4"/>
  <c r="G811" i="4"/>
  <c r="M806" i="4"/>
  <c r="C802" i="4"/>
  <c r="G797" i="4"/>
  <c r="L792" i="4"/>
  <c r="C788" i="4"/>
  <c r="I783" i="4"/>
  <c r="M778" i="4"/>
  <c r="E774" i="4"/>
  <c r="J769" i="4"/>
  <c r="A765" i="4"/>
  <c r="G760" i="4"/>
  <c r="M755" i="4"/>
  <c r="E751" i="4"/>
  <c r="K746" i="4"/>
  <c r="B742" i="4"/>
  <c r="H737" i="4"/>
  <c r="M732" i="4"/>
  <c r="E728" i="4"/>
  <c r="J723" i="4"/>
  <c r="B719" i="4"/>
  <c r="F714" i="4"/>
  <c r="K954" i="4"/>
  <c r="G929" i="4"/>
  <c r="M910" i="4"/>
  <c r="F892" i="4"/>
  <c r="A874" i="4"/>
  <c r="K855" i="4"/>
  <c r="C837" i="4"/>
  <c r="F819" i="4"/>
  <c r="C814" i="4"/>
  <c r="I809" i="4"/>
  <c r="N804" i="4"/>
  <c r="E800" i="4"/>
  <c r="I795" i="4"/>
  <c r="N790" i="4"/>
  <c r="E786" i="4"/>
  <c r="J781" i="4"/>
  <c r="A777" i="4"/>
  <c r="F772" i="4"/>
  <c r="L767" i="4"/>
  <c r="C763" i="4"/>
  <c r="I758" i="4"/>
  <c r="A754" i="4"/>
  <c r="G749" i="4"/>
  <c r="M744" i="4"/>
  <c r="D740" i="4"/>
  <c r="I735" i="4"/>
  <c r="A731" i="4"/>
  <c r="G726" i="4"/>
  <c r="L721" i="4"/>
  <c r="C717" i="4"/>
  <c r="H712" i="4"/>
  <c r="M707" i="4"/>
  <c r="I832" i="4"/>
  <c r="D785" i="4"/>
  <c r="F748" i="4"/>
  <c r="I712" i="4"/>
  <c r="L704" i="4"/>
  <c r="C700" i="4"/>
  <c r="I695" i="4"/>
  <c r="N690" i="4"/>
  <c r="E686" i="4"/>
  <c r="K681" i="4"/>
  <c r="C677" i="4"/>
  <c r="H672" i="4"/>
  <c r="N667" i="4"/>
  <c r="F663" i="4"/>
  <c r="K658" i="4"/>
  <c r="A654" i="4"/>
  <c r="G649" i="4"/>
  <c r="M644" i="4"/>
  <c r="E640" i="4"/>
  <c r="J635" i="4"/>
  <c r="A631" i="4"/>
  <c r="F626" i="4"/>
  <c r="J621" i="4"/>
  <c r="B617" i="4"/>
  <c r="H612" i="4"/>
  <c r="N607" i="4"/>
  <c r="E603" i="4"/>
  <c r="K598" i="4"/>
  <c r="C594" i="4"/>
  <c r="I589" i="4"/>
  <c r="A585" i="4"/>
  <c r="E1048" i="4"/>
  <c r="C817" i="4"/>
  <c r="N779" i="4"/>
  <c r="C743" i="4"/>
  <c r="N709" i="4"/>
  <c r="C704" i="4"/>
  <c r="H699" i="4"/>
  <c r="N694" i="4"/>
  <c r="E690" i="4"/>
  <c r="J685" i="4"/>
  <c r="B681" i="4"/>
  <c r="H676" i="4"/>
  <c r="M671" i="4"/>
  <c r="E667" i="4"/>
  <c r="K662" i="4"/>
  <c r="B658" i="4"/>
  <c r="F653" i="4"/>
  <c r="L648" i="4"/>
  <c r="D644" i="4"/>
  <c r="J639" i="4"/>
  <c r="N634" i="4"/>
  <c r="F630" i="4"/>
  <c r="K625" i="4"/>
  <c r="A621" i="4"/>
  <c r="G616" i="4"/>
  <c r="H1004" i="4"/>
  <c r="B1025" i="4"/>
  <c r="L1023" i="4"/>
  <c r="C1023" i="4"/>
  <c r="H1019" i="4"/>
  <c r="I890" i="4"/>
  <c r="N889" i="4"/>
  <c r="H913" i="4"/>
  <c r="L861" i="4"/>
  <c r="M1077" i="4"/>
  <c r="N941" i="4"/>
  <c r="F923" i="4"/>
  <c r="A910" i="4"/>
  <c r="G898" i="4"/>
  <c r="F886" i="4"/>
  <c r="C873" i="4"/>
  <c r="K861" i="4"/>
  <c r="H849" i="4"/>
  <c r="E836" i="4"/>
  <c r="K824" i="4"/>
  <c r="K1044" i="4"/>
  <c r="L946" i="4"/>
  <c r="F934" i="4"/>
  <c r="B922" i="4"/>
  <c r="L908" i="4"/>
  <c r="C897" i="4"/>
  <c r="C885" i="4"/>
  <c r="N871" i="4"/>
  <c r="H860" i="4"/>
  <c r="E848" i="4"/>
  <c r="B835" i="4"/>
  <c r="H823" i="4"/>
  <c r="C1044" i="4"/>
  <c r="I946" i="4"/>
  <c r="E934" i="4"/>
  <c r="A922" i="4"/>
  <c r="K908" i="4"/>
  <c r="B897" i="4"/>
  <c r="B885" i="4"/>
  <c r="M871" i="4"/>
  <c r="G860" i="4"/>
  <c r="D848" i="4"/>
  <c r="A835" i="4"/>
  <c r="G823" i="4"/>
  <c r="J933" i="4"/>
  <c r="G880" i="4"/>
  <c r="F834" i="4"/>
  <c r="J810" i="4"/>
  <c r="D797" i="4"/>
  <c r="J785" i="4"/>
  <c r="G773" i="4"/>
  <c r="D760" i="4"/>
  <c r="L748" i="4"/>
  <c r="J736" i="4"/>
  <c r="G723" i="4"/>
  <c r="L711" i="4"/>
  <c r="D931" i="4"/>
  <c r="A878" i="4"/>
  <c r="N831" i="4"/>
  <c r="A810" i="4"/>
  <c r="I796" i="4"/>
  <c r="A785" i="4"/>
  <c r="L772" i="4"/>
  <c r="I759" i="4"/>
  <c r="C748" i="4"/>
  <c r="L737" i="4"/>
  <c r="I728" i="4"/>
  <c r="F719" i="4"/>
  <c r="A710" i="4"/>
  <c r="F935" i="4"/>
  <c r="D898" i="4"/>
  <c r="H861" i="4"/>
  <c r="H824" i="4"/>
  <c r="B811" i="4"/>
  <c r="L801" i="4"/>
  <c r="G792" i="4"/>
  <c r="D783" i="4"/>
  <c r="M773" i="4"/>
  <c r="J764" i="4"/>
  <c r="H755" i="4"/>
  <c r="F746" i="4"/>
  <c r="C737" i="4"/>
  <c r="N727" i="4"/>
  <c r="K718" i="4"/>
  <c r="C1057" i="4"/>
  <c r="J923" i="4"/>
  <c r="J886" i="4"/>
  <c r="L849" i="4"/>
  <c r="F817" i="4"/>
  <c r="C808" i="4"/>
  <c r="L798" i="4"/>
  <c r="H789" i="4"/>
  <c r="D780" i="4"/>
  <c r="N770" i="4"/>
  <c r="K761" i="4"/>
  <c r="K753" i="4"/>
  <c r="M746" i="4"/>
  <c r="F739" i="4"/>
  <c r="G732" i="4"/>
  <c r="N724" i="4"/>
  <c r="F720" i="4"/>
  <c r="J715" i="4"/>
  <c r="A711" i="4"/>
  <c r="C1034" i="4"/>
  <c r="F939" i="4"/>
  <c r="K920" i="4"/>
  <c r="E902" i="4"/>
  <c r="M883" i="4"/>
  <c r="H865" i="4"/>
  <c r="N846" i="4"/>
  <c r="I828" i="4"/>
  <c r="J816" i="4"/>
  <c r="B812" i="4"/>
  <c r="H807" i="4"/>
  <c r="L802" i="4"/>
  <c r="C798" i="4"/>
  <c r="H793" i="4"/>
  <c r="M788" i="4"/>
  <c r="D784" i="4"/>
  <c r="H779" i="4"/>
  <c r="N774" i="4"/>
  <c r="E770" i="4"/>
  <c r="K765" i="4"/>
  <c r="B761" i="4"/>
  <c r="H756" i="4"/>
  <c r="N751" i="4"/>
  <c r="F747" i="4"/>
  <c r="K742" i="4"/>
  <c r="C738" i="4"/>
  <c r="H733" i="4"/>
  <c r="N728" i="4"/>
  <c r="E724" i="4"/>
  <c r="K719" i="4"/>
  <c r="A715" i="4"/>
  <c r="F710" i="4"/>
  <c r="A996" i="4"/>
  <c r="K934" i="4"/>
  <c r="B916" i="4"/>
  <c r="H897" i="4"/>
  <c r="D879" i="4"/>
  <c r="M860" i="4"/>
  <c r="E842" i="4"/>
  <c r="M823" i="4"/>
  <c r="G815" i="4"/>
  <c r="M810" i="4"/>
  <c r="E806" i="4"/>
  <c r="I801" i="4"/>
  <c r="M796" i="4"/>
  <c r="D792" i="4"/>
  <c r="I787" i="4"/>
  <c r="A783" i="4"/>
  <c r="E778" i="4"/>
  <c r="J773" i="4"/>
  <c r="B769" i="4"/>
  <c r="G764" i="4"/>
  <c r="M759" i="4"/>
  <c r="E755" i="4"/>
  <c r="K750" i="4"/>
  <c r="C746" i="4"/>
  <c r="H741" i="4"/>
  <c r="M736" i="4"/>
  <c r="E732" i="4"/>
  <c r="K727" i="4"/>
  <c r="B723" i="4"/>
  <c r="H718" i="4"/>
  <c r="L713" i="4"/>
  <c r="D946" i="4"/>
  <c r="B927" i="4"/>
  <c r="I908" i="4"/>
  <c r="B890" i="4"/>
  <c r="K871" i="4"/>
  <c r="F853" i="4"/>
  <c r="M834" i="4"/>
  <c r="F818" i="4"/>
  <c r="I813" i="4"/>
  <c r="A809" i="4"/>
  <c r="F804" i="4"/>
  <c r="J799" i="4"/>
  <c r="A795" i="4"/>
  <c r="F790" i="4"/>
  <c r="K785" i="4"/>
  <c r="B781" i="4"/>
  <c r="G776" i="4"/>
  <c r="L771" i="4"/>
  <c r="D767" i="4"/>
  <c r="I762" i="4"/>
  <c r="A758" i="4"/>
  <c r="G753" i="4"/>
  <c r="M748" i="4"/>
  <c r="E744" i="4"/>
  <c r="J739" i="4"/>
  <c r="A735" i="4"/>
  <c r="G730" i="4"/>
  <c r="M725" i="4"/>
  <c r="D721" i="4"/>
  <c r="H716" i="4"/>
  <c r="M711" i="4"/>
  <c r="A1067" i="4"/>
  <c r="L817" i="4"/>
  <c r="I780" i="4"/>
  <c r="K743" i="4"/>
  <c r="D710" i="4"/>
  <c r="D704" i="4"/>
  <c r="I699" i="4"/>
  <c r="A695" i="4"/>
  <c r="F690" i="4"/>
  <c r="K685" i="4"/>
  <c r="C681" i="4"/>
  <c r="I676" i="4"/>
  <c r="N671" i="4"/>
  <c r="F667" i="4"/>
  <c r="L662" i="4"/>
  <c r="C658" i="4"/>
  <c r="G653" i="4"/>
  <c r="M648" i="4"/>
  <c r="E644" i="4"/>
  <c r="K639" i="4"/>
  <c r="A635" i="4"/>
  <c r="G630" i="4"/>
  <c r="L625" i="4"/>
  <c r="B621" i="4"/>
  <c r="H616" i="4"/>
  <c r="N611" i="4"/>
  <c r="F607" i="4"/>
  <c r="K602" i="4"/>
  <c r="C598" i="4"/>
  <c r="I593" i="4"/>
  <c r="A589" i="4"/>
  <c r="G584" i="4"/>
  <c r="C941" i="4"/>
  <c r="H812" i="4"/>
  <c r="F775" i="4"/>
  <c r="I738" i="4"/>
  <c r="H708" i="4"/>
  <c r="I703" i="4"/>
  <c r="N698" i="4"/>
  <c r="F694" i="4"/>
  <c r="K689" i="4"/>
  <c r="B685" i="4"/>
  <c r="H680" i="4"/>
  <c r="M675" i="4"/>
  <c r="E671" i="4"/>
  <c r="K666" i="4"/>
  <c r="C662" i="4"/>
  <c r="H657" i="4"/>
  <c r="L652" i="4"/>
  <c r="D648" i="4"/>
  <c r="J643" i="4"/>
  <c r="B639" i="4"/>
  <c r="F634" i="4"/>
  <c r="L629" i="4"/>
  <c r="C625" i="4"/>
  <c r="G620" i="4"/>
  <c r="M615" i="4"/>
  <c r="E611" i="4"/>
  <c r="K606" i="4"/>
  <c r="J948" i="4"/>
  <c r="N1010" i="4"/>
  <c r="K1009" i="4"/>
  <c r="A1009" i="4"/>
  <c r="D1005" i="4"/>
  <c r="L876" i="4"/>
  <c r="C876" i="4"/>
  <c r="L907" i="4"/>
  <c r="D857" i="4"/>
  <c r="H1059" i="4"/>
  <c r="C940" i="4"/>
  <c r="I921" i="4"/>
  <c r="G909" i="4"/>
  <c r="B896" i="4"/>
  <c r="J884" i="4"/>
  <c r="I872" i="4"/>
  <c r="G859" i="4"/>
  <c r="K847" i="4"/>
  <c r="K835" i="4"/>
  <c r="F822" i="4"/>
  <c r="K1030" i="4"/>
  <c r="F945" i="4"/>
  <c r="A932" i="4"/>
  <c r="E920" i="4"/>
  <c r="D908" i="4"/>
  <c r="M894" i="4"/>
  <c r="G883" i="4"/>
  <c r="F871" i="4"/>
  <c r="D858" i="4"/>
  <c r="H846" i="4"/>
  <c r="H834" i="4"/>
  <c r="C821" i="4"/>
  <c r="C1030" i="4"/>
  <c r="E945" i="4"/>
  <c r="N931" i="4"/>
  <c r="D920" i="4"/>
  <c r="C908" i="4"/>
  <c r="L894" i="4"/>
  <c r="F883" i="4"/>
  <c r="E871" i="4"/>
  <c r="C858" i="4"/>
  <c r="G846" i="4"/>
  <c r="G834" i="4"/>
  <c r="K1121" i="4"/>
  <c r="I926" i="4"/>
  <c r="C878" i="4"/>
  <c r="B825" i="4"/>
  <c r="N808" i="4"/>
  <c r="J796" i="4"/>
  <c r="F783" i="4"/>
  <c r="K771" i="4"/>
  <c r="J759" i="4"/>
  <c r="H746" i="4"/>
  <c r="N734" i="4"/>
  <c r="M722" i="4"/>
  <c r="H709" i="4"/>
  <c r="D924" i="4"/>
  <c r="K875" i="4"/>
  <c r="J822" i="4"/>
  <c r="E808" i="4"/>
  <c r="A796" i="4"/>
  <c r="K782" i="4"/>
  <c r="B771" i="4"/>
  <c r="A759" i="4"/>
  <c r="M745" i="4"/>
  <c r="I736" i="4"/>
  <c r="G727" i="4"/>
  <c r="D718" i="4"/>
  <c r="M708" i="4"/>
  <c r="J930" i="4"/>
  <c r="I893" i="4"/>
  <c r="N856" i="4"/>
  <c r="G820" i="4"/>
  <c r="N809" i="4"/>
  <c r="J800" i="4"/>
  <c r="E791" i="4"/>
  <c r="A782" i="4"/>
  <c r="K772" i="4"/>
  <c r="H763" i="4"/>
  <c r="F754" i="4"/>
  <c r="D745" i="4"/>
  <c r="N735" i="4"/>
  <c r="L726" i="4"/>
  <c r="H717" i="4"/>
  <c r="I1019" i="4"/>
  <c r="N918" i="4"/>
  <c r="B882" i="4"/>
  <c r="C845" i="4"/>
  <c r="C816" i="4"/>
  <c r="A807" i="4"/>
  <c r="I797" i="4"/>
  <c r="E788" i="4"/>
  <c r="A779" i="4"/>
  <c r="L769" i="4"/>
  <c r="I760" i="4"/>
  <c r="C753" i="4"/>
  <c r="E746" i="4"/>
  <c r="L738" i="4"/>
  <c r="K730" i="4"/>
  <c r="F724" i="4"/>
  <c r="L719" i="4"/>
  <c r="B715" i="4"/>
  <c r="G710" i="4"/>
  <c r="G1015" i="4"/>
  <c r="B937" i="4"/>
  <c r="G918" i="4"/>
  <c r="A900" i="4"/>
  <c r="I881" i="4"/>
  <c r="D863" i="4"/>
  <c r="J844" i="4"/>
  <c r="E826" i="4"/>
  <c r="B816" i="4"/>
  <c r="H811" i="4"/>
  <c r="N806" i="4"/>
  <c r="D802" i="4"/>
  <c r="H797" i="4"/>
  <c r="M792" i="4"/>
  <c r="D788" i="4"/>
  <c r="J783" i="4"/>
  <c r="N778" i="4"/>
  <c r="F774" i="4"/>
  <c r="K769" i="4"/>
  <c r="C765" i="4"/>
  <c r="H760" i="4"/>
  <c r="N755" i="4"/>
  <c r="F751" i="4"/>
  <c r="L746" i="4"/>
  <c r="C742" i="4"/>
  <c r="I737" i="4"/>
  <c r="N732" i="4"/>
  <c r="F728" i="4"/>
  <c r="K723" i="4"/>
  <c r="C719" i="4"/>
  <c r="G714" i="4"/>
  <c r="L709" i="4"/>
  <c r="G977" i="4"/>
  <c r="F932" i="4"/>
  <c r="K913" i="4"/>
  <c r="D895" i="4"/>
  <c r="M876" i="4"/>
  <c r="I858" i="4"/>
  <c r="A840" i="4"/>
  <c r="H821" i="4"/>
  <c r="M814" i="4"/>
  <c r="E810" i="4"/>
  <c r="K805" i="4"/>
  <c r="A801" i="4"/>
  <c r="E796" i="4"/>
  <c r="J791" i="4"/>
  <c r="A787" i="4"/>
  <c r="F782" i="4"/>
  <c r="K777" i="4"/>
  <c r="B773" i="4"/>
  <c r="H768" i="4"/>
  <c r="M763" i="4"/>
  <c r="E759" i="4"/>
  <c r="K754" i="4"/>
  <c r="C750" i="4"/>
  <c r="I745" i="4"/>
  <c r="N740" i="4"/>
  <c r="E736" i="4"/>
  <c r="K731" i="4"/>
  <c r="C727" i="4"/>
  <c r="H722" i="4"/>
  <c r="M717" i="4"/>
  <c r="G1066" i="4"/>
  <c r="G943" i="4"/>
  <c r="L924" i="4"/>
  <c r="D906" i="4"/>
  <c r="L887" i="4"/>
  <c r="G869" i="4"/>
  <c r="A851" i="4"/>
  <c r="H832" i="4"/>
  <c r="J817" i="4"/>
  <c r="A813" i="4"/>
  <c r="G808" i="4"/>
  <c r="L803" i="4"/>
  <c r="B799" i="4"/>
  <c r="G794" i="4"/>
  <c r="L789" i="4"/>
  <c r="C785" i="4"/>
  <c r="H780" i="4"/>
  <c r="M775" i="4"/>
  <c r="D771" i="4"/>
  <c r="J766" i="4"/>
  <c r="A762" i="4"/>
  <c r="G757" i="4"/>
  <c r="M752" i="4"/>
  <c r="E748" i="4"/>
  <c r="J743" i="4"/>
  <c r="B739" i="4"/>
  <c r="G734" i="4"/>
  <c r="M729" i="4"/>
  <c r="E725" i="4"/>
  <c r="J720" i="4"/>
  <c r="N715" i="4"/>
  <c r="E711" i="4"/>
  <c r="H943" i="4"/>
  <c r="B813" i="4"/>
  <c r="N775" i="4"/>
  <c r="C739" i="4"/>
  <c r="I708" i="4"/>
  <c r="J703" i="4"/>
  <c r="A699" i="4"/>
  <c r="G694" i="4"/>
  <c r="L689" i="4"/>
  <c r="C685" i="4"/>
  <c r="I680" i="4"/>
  <c r="N675" i="4"/>
  <c r="F671" i="4"/>
  <c r="L666" i="4"/>
  <c r="D662" i="4"/>
  <c r="I657" i="4"/>
  <c r="M652" i="4"/>
  <c r="E648" i="4"/>
  <c r="K643" i="4"/>
  <c r="C639" i="4"/>
  <c r="G634" i="4"/>
  <c r="M629" i="4"/>
  <c r="D625" i="4"/>
  <c r="H620" i="4"/>
  <c r="N615" i="4"/>
  <c r="F611" i="4"/>
  <c r="L606" i="4"/>
  <c r="C602" i="4"/>
  <c r="I597" i="4"/>
  <c r="A593" i="4"/>
  <c r="G588" i="4"/>
  <c r="M583" i="4"/>
  <c r="H922" i="4"/>
  <c r="N807" i="4"/>
  <c r="K770" i="4"/>
  <c r="N733" i="4"/>
  <c r="I707" i="4"/>
  <c r="A703" i="4"/>
  <c r="F698" i="4"/>
  <c r="L693" i="4"/>
  <c r="C689" i="4"/>
  <c r="H684" i="4"/>
  <c r="N679" i="4"/>
  <c r="E675" i="4"/>
  <c r="K670" i="4"/>
  <c r="C666" i="4"/>
  <c r="I661" i="4"/>
  <c r="N656" i="4"/>
  <c r="D652" i="4"/>
  <c r="J647" i="4"/>
  <c r="B643" i="4"/>
  <c r="H638" i="4"/>
  <c r="L633" i="4"/>
  <c r="D629" i="4"/>
  <c r="H624" i="4"/>
  <c r="M619" i="4"/>
  <c r="E615" i="4"/>
  <c r="K610" i="4"/>
  <c r="C984" i="4"/>
  <c r="I973" i="4"/>
  <c r="E972" i="4"/>
  <c r="J971" i="4"/>
  <c r="A968" i="4"/>
  <c r="N839" i="4"/>
  <c r="E839" i="4"/>
  <c r="M893" i="4"/>
  <c r="F844" i="4"/>
  <c r="K1007" i="4"/>
  <c r="I935" i="4"/>
  <c r="J918" i="4"/>
  <c r="F905" i="4"/>
  <c r="L893" i="4"/>
  <c r="L881" i="4"/>
  <c r="I868" i="4"/>
  <c r="C857" i="4"/>
  <c r="M844" i="4"/>
  <c r="J831" i="4"/>
  <c r="B820" i="4"/>
  <c r="B1007" i="4"/>
  <c r="E941" i="4"/>
  <c r="J929" i="4"/>
  <c r="G917" i="4"/>
  <c r="C904" i="4"/>
  <c r="I892" i="4"/>
  <c r="I880" i="4"/>
  <c r="F867" i="4"/>
  <c r="N855" i="4"/>
  <c r="J843" i="4"/>
  <c r="G830" i="4"/>
  <c r="M818" i="4"/>
  <c r="H1006" i="4"/>
  <c r="D941" i="4"/>
  <c r="I929" i="4"/>
  <c r="F917" i="4"/>
  <c r="B904" i="4"/>
  <c r="H892" i="4"/>
  <c r="H880" i="4"/>
  <c r="E867" i="4"/>
  <c r="M855" i="4"/>
  <c r="I843" i="4"/>
  <c r="F830" i="4"/>
  <c r="E1126" i="4"/>
  <c r="A915" i="4"/>
  <c r="B862" i="4"/>
  <c r="D818" i="4"/>
  <c r="B806" i="4"/>
  <c r="I792" i="4"/>
  <c r="A781" i="4"/>
  <c r="M768" i="4"/>
  <c r="J755" i="4"/>
  <c r="D744" i="4"/>
  <c r="B732" i="4"/>
  <c r="M718" i="4"/>
  <c r="L1061" i="4"/>
  <c r="I912" i="4"/>
  <c r="K859" i="4"/>
  <c r="H817" i="4"/>
  <c r="G805" i="4"/>
  <c r="N791" i="4"/>
  <c r="F780" i="4"/>
  <c r="D768" i="4"/>
  <c r="A755" i="4"/>
  <c r="H743" i="4"/>
  <c r="E734" i="4"/>
  <c r="C725" i="4"/>
  <c r="L715" i="4"/>
  <c r="M1038" i="4"/>
  <c r="F921" i="4"/>
  <c r="G884" i="4"/>
  <c r="H847" i="4"/>
  <c r="L816" i="4"/>
  <c r="J807" i="4"/>
  <c r="E798" i="4"/>
  <c r="A789" i="4"/>
  <c r="J779" i="4"/>
  <c r="G770" i="4"/>
  <c r="D761" i="4"/>
  <c r="B752" i="4"/>
  <c r="M742" i="4"/>
  <c r="J733" i="4"/>
  <c r="G724" i="4"/>
  <c r="C715" i="4"/>
  <c r="A950" i="4"/>
  <c r="K909" i="4"/>
  <c r="M872" i="4"/>
  <c r="A836" i="4"/>
  <c r="M813" i="4"/>
  <c r="J804" i="4"/>
  <c r="E795" i="4"/>
  <c r="A786" i="4"/>
  <c r="K776" i="4"/>
  <c r="H767" i="4"/>
  <c r="E758" i="4"/>
  <c r="G751" i="4"/>
  <c r="N743" i="4"/>
  <c r="A737" i="4"/>
  <c r="I729" i="4"/>
  <c r="D723" i="4"/>
  <c r="J718" i="4"/>
  <c r="N713" i="4"/>
  <c r="E709" i="4"/>
  <c r="A978" i="4"/>
  <c r="G932" i="4"/>
  <c r="L913" i="4"/>
  <c r="E895" i="4"/>
  <c r="N876" i="4"/>
  <c r="J858" i="4"/>
  <c r="B840" i="4"/>
  <c r="I821" i="4"/>
  <c r="N814" i="4"/>
  <c r="F810" i="4"/>
  <c r="L805" i="4"/>
  <c r="B801" i="4"/>
  <c r="F796" i="4"/>
  <c r="K791" i="4"/>
  <c r="B787" i="4"/>
  <c r="H782" i="4"/>
  <c r="L777" i="4"/>
  <c r="C773" i="4"/>
  <c r="I768" i="4"/>
  <c r="N763" i="4"/>
  <c r="F759" i="4"/>
  <c r="L754" i="4"/>
  <c r="D750" i="4"/>
  <c r="J745" i="4"/>
  <c r="A741" i="4"/>
  <c r="F736" i="4"/>
  <c r="L731" i="4"/>
  <c r="D727" i="4"/>
  <c r="I722" i="4"/>
  <c r="N717" i="4"/>
  <c r="E713" i="4"/>
  <c r="J708" i="4"/>
  <c r="L947" i="4"/>
  <c r="K927" i="4"/>
  <c r="C909" i="4"/>
  <c r="J890" i="4"/>
  <c r="E872" i="4"/>
  <c r="N853" i="4"/>
  <c r="G835" i="4"/>
  <c r="J818" i="4"/>
  <c r="K813" i="4"/>
  <c r="C809" i="4"/>
  <c r="H804" i="4"/>
  <c r="L799" i="4"/>
  <c r="C795" i="4"/>
  <c r="H790" i="4"/>
  <c r="M785" i="4"/>
  <c r="D781" i="4"/>
  <c r="I776" i="4"/>
  <c r="N771" i="4"/>
  <c r="F767" i="4"/>
  <c r="K762" i="4"/>
  <c r="C758" i="4"/>
  <c r="I753" i="4"/>
  <c r="A749" i="4"/>
  <c r="G744" i="4"/>
  <c r="L739" i="4"/>
  <c r="C735" i="4"/>
  <c r="I730" i="4"/>
  <c r="A726" i="4"/>
  <c r="F721" i="4"/>
  <c r="J716" i="4"/>
  <c r="N1028" i="4"/>
  <c r="K938" i="4"/>
  <c r="B920" i="4"/>
  <c r="J901" i="4"/>
  <c r="D883" i="4"/>
  <c r="M864" i="4"/>
  <c r="E846" i="4"/>
  <c r="N827" i="4"/>
  <c r="G816" i="4"/>
  <c r="M811" i="4"/>
  <c r="E807" i="4"/>
  <c r="I802" i="4"/>
  <c r="M797" i="4"/>
  <c r="E793" i="4"/>
  <c r="J788" i="4"/>
  <c r="A784" i="4"/>
  <c r="E779" i="4"/>
  <c r="K774" i="4"/>
  <c r="B770" i="4"/>
  <c r="H765" i="4"/>
  <c r="M760" i="4"/>
  <c r="E756" i="4"/>
  <c r="K751" i="4"/>
  <c r="C747" i="4"/>
  <c r="H742" i="4"/>
  <c r="N737" i="4"/>
  <c r="E733" i="4"/>
  <c r="K728" i="4"/>
  <c r="B724" i="4"/>
  <c r="H719" i="4"/>
  <c r="L714" i="4"/>
  <c r="C710" i="4"/>
  <c r="E906" i="4"/>
  <c r="M803" i="4"/>
  <c r="K766" i="4"/>
  <c r="N729" i="4"/>
  <c r="B707" i="4"/>
  <c r="H702" i="4"/>
  <c r="M697" i="4"/>
  <c r="E693" i="4"/>
  <c r="J688" i="4"/>
  <c r="A684" i="4"/>
  <c r="G679" i="4"/>
  <c r="L674" i="4"/>
  <c r="D670" i="4"/>
  <c r="J665" i="4"/>
  <c r="B661" i="4"/>
  <c r="G656" i="4"/>
  <c r="K651" i="4"/>
  <c r="C647" i="4"/>
  <c r="I642" i="4"/>
  <c r="A638" i="4"/>
  <c r="E633" i="4"/>
  <c r="K628" i="4"/>
  <c r="A624" i="4"/>
  <c r="F619" i="4"/>
  <c r="L614" i="4"/>
  <c r="D610" i="4"/>
  <c r="J605" i="4"/>
  <c r="A601" i="4"/>
  <c r="G596" i="4"/>
  <c r="M591" i="4"/>
  <c r="E587" i="4"/>
  <c r="K582" i="4"/>
  <c r="I885" i="4"/>
  <c r="I798" i="4"/>
  <c r="H761" i="4"/>
  <c r="K724" i="4"/>
  <c r="G706" i="4"/>
  <c r="L701" i="4"/>
  <c r="D697" i="4"/>
  <c r="I692" i="4"/>
  <c r="A688" i="4"/>
  <c r="F683" i="4"/>
  <c r="L678" i="4"/>
  <c r="C674" i="4"/>
  <c r="I669" i="4"/>
  <c r="A665" i="4"/>
  <c r="G660" i="4"/>
  <c r="L655" i="4"/>
  <c r="B651" i="4"/>
  <c r="H646" i="4"/>
  <c r="N641" i="4"/>
  <c r="F637" i="4"/>
  <c r="J632" i="4"/>
  <c r="A628" i="4"/>
  <c r="F623" i="4"/>
  <c r="K618" i="4"/>
  <c r="C614" i="4"/>
  <c r="I609" i="4"/>
  <c r="A605" i="4"/>
  <c r="M1003" i="4"/>
  <c r="J1083" i="4"/>
  <c r="I1083" i="4"/>
  <c r="A849" i="4"/>
  <c r="M930" i="4"/>
  <c r="H891" i="4"/>
  <c r="M858" i="4"/>
  <c r="F829" i="4"/>
  <c r="J940" i="4"/>
  <c r="G906" i="4"/>
  <c r="H876" i="4"/>
  <c r="N841" i="4"/>
  <c r="F1011" i="4"/>
  <c r="J926" i="4"/>
  <c r="D890" i="4"/>
  <c r="I857" i="4"/>
  <c r="B828" i="4"/>
  <c r="L859" i="4"/>
  <c r="N794" i="4"/>
  <c r="L764" i="4"/>
  <c r="F730" i="4"/>
  <c r="N914" i="4"/>
  <c r="I814" i="4"/>
  <c r="A778" i="4"/>
  <c r="E745" i="4"/>
  <c r="L722" i="4"/>
  <c r="K916" i="4"/>
  <c r="A819" i="4"/>
  <c r="N795" i="4"/>
  <c r="E769" i="4"/>
  <c r="J744" i="4"/>
  <c r="C722" i="4"/>
  <c r="B905" i="4"/>
  <c r="I815" i="4"/>
  <c r="N792" i="4"/>
  <c r="F766" i="4"/>
  <c r="I744" i="4"/>
  <c r="M727" i="4"/>
  <c r="F713" i="4"/>
  <c r="L934" i="4"/>
  <c r="K890" i="4"/>
  <c r="L837" i="4"/>
  <c r="N810" i="4"/>
  <c r="M799" i="4"/>
  <c r="H786" i="4"/>
  <c r="K773" i="4"/>
  <c r="L762" i="4"/>
  <c r="J749" i="4"/>
  <c r="N736" i="4"/>
  <c r="B726" i="4"/>
  <c r="K712" i="4"/>
  <c r="A930" i="4"/>
  <c r="B886" i="4"/>
  <c r="C833" i="4"/>
  <c r="K809" i="4"/>
  <c r="J798" i="4"/>
  <c r="E785" i="4"/>
  <c r="H772" i="4"/>
  <c r="I761" i="4"/>
  <c r="G748" i="4"/>
  <c r="K735" i="4"/>
  <c r="L724" i="4"/>
  <c r="C1010" i="4"/>
  <c r="N903" i="4"/>
  <c r="E860" i="4"/>
  <c r="M815" i="4"/>
  <c r="D803" i="4"/>
  <c r="B792" i="4"/>
  <c r="K778" i="4"/>
  <c r="B766" i="4"/>
  <c r="C755" i="4"/>
  <c r="N741" i="4"/>
  <c r="E729" i="4"/>
  <c r="F718" i="4"/>
  <c r="M887" i="4"/>
  <c r="H734" i="4"/>
  <c r="E701" i="4"/>
  <c r="B688" i="4"/>
  <c r="F675" i="4"/>
  <c r="H664" i="4"/>
  <c r="C651" i="4"/>
  <c r="I638" i="4"/>
  <c r="H627" i="4"/>
  <c r="D614" i="4"/>
  <c r="I601" i="4"/>
  <c r="K590" i="4"/>
  <c r="D867" i="4"/>
  <c r="F729" i="4"/>
  <c r="J700" i="4"/>
  <c r="G687" i="4"/>
  <c r="K674" i="4"/>
  <c r="M663" i="4"/>
  <c r="H650" i="4"/>
  <c r="N637" i="4"/>
  <c r="M626" i="4"/>
  <c r="I613" i="4"/>
  <c r="C606" i="4"/>
  <c r="N600" i="4"/>
  <c r="A828" i="4"/>
  <c r="B784" i="4"/>
  <c r="D747" i="4"/>
  <c r="N711" i="4"/>
  <c r="J704" i="4"/>
  <c r="A700" i="4"/>
  <c r="G695" i="4"/>
  <c r="L690" i="4"/>
  <c r="C686" i="4"/>
  <c r="I681" i="4"/>
  <c r="A677" i="4"/>
  <c r="F672" i="4"/>
  <c r="L667" i="4"/>
  <c r="D663" i="4"/>
  <c r="I658" i="4"/>
  <c r="M653" i="4"/>
  <c r="E649" i="4"/>
  <c r="K644" i="4"/>
  <c r="C640" i="4"/>
  <c r="H635" i="4"/>
  <c r="M630" i="4"/>
  <c r="D626" i="4"/>
  <c r="H621" i="4"/>
  <c r="N616" i="4"/>
  <c r="F612" i="4"/>
  <c r="L607" i="4"/>
  <c r="C603" i="4"/>
  <c r="A881" i="4"/>
  <c r="F797" i="4"/>
  <c r="F760" i="4"/>
  <c r="I723" i="4"/>
  <c r="E706" i="4"/>
  <c r="J701" i="4"/>
  <c r="B697" i="4"/>
  <c r="G692" i="4"/>
  <c r="M687" i="4"/>
  <c r="D683" i="4"/>
  <c r="J678" i="4"/>
  <c r="A674" i="4"/>
  <c r="G669" i="4"/>
  <c r="M664" i="4"/>
  <c r="E660" i="4"/>
  <c r="J655" i="4"/>
  <c r="N650" i="4"/>
  <c r="F646" i="4"/>
  <c r="L641" i="4"/>
  <c r="D637" i="4"/>
  <c r="H632" i="4"/>
  <c r="M627" i="4"/>
  <c r="D623" i="4"/>
  <c r="I618" i="4"/>
  <c r="A614" i="4"/>
  <c r="G609" i="4"/>
  <c r="M604" i="4"/>
  <c r="D600" i="4"/>
  <c r="J595" i="4"/>
  <c r="B591" i="4"/>
  <c r="H586" i="4"/>
  <c r="N581" i="4"/>
  <c r="F860" i="4"/>
  <c r="C792" i="4"/>
  <c r="D755" i="4"/>
  <c r="G718" i="4"/>
  <c r="J705" i="4"/>
  <c r="A701" i="4"/>
  <c r="G696" i="4"/>
  <c r="L691" i="4"/>
  <c r="D687" i="4"/>
  <c r="I682" i="4"/>
  <c r="A678" i="4"/>
  <c r="F673" i="4"/>
  <c r="L668" i="4"/>
  <c r="D664" i="4"/>
  <c r="I659" i="4"/>
  <c r="N654" i="4"/>
  <c r="E650" i="4"/>
  <c r="K645" i="4"/>
  <c r="C641" i="4"/>
  <c r="I636" i="4"/>
  <c r="M631" i="4"/>
  <c r="D627" i="4"/>
  <c r="H622" i="4"/>
  <c r="N617" i="4"/>
  <c r="F613" i="4"/>
  <c r="L608" i="4"/>
  <c r="M960" i="4"/>
  <c r="J985" i="4"/>
  <c r="I971" i="4"/>
  <c r="F836" i="4"/>
  <c r="D919" i="4"/>
  <c r="N890" i="4"/>
  <c r="M854" i="4"/>
  <c r="L821" i="4"/>
  <c r="N938" i="4"/>
  <c r="I903" i="4"/>
  <c r="J869" i="4"/>
  <c r="J839" i="4"/>
  <c r="I992" i="4"/>
  <c r="N917" i="4"/>
  <c r="J889" i="4"/>
  <c r="H853" i="4"/>
  <c r="E1085" i="4"/>
  <c r="M852" i="4"/>
  <c r="A792" i="4"/>
  <c r="N757" i="4"/>
  <c r="B728" i="4"/>
  <c r="J905" i="4"/>
  <c r="A806" i="4"/>
  <c r="G777" i="4"/>
  <c r="F742" i="4"/>
  <c r="I717" i="4"/>
  <c r="B912" i="4"/>
  <c r="J815" i="4"/>
  <c r="K790" i="4"/>
  <c r="C768" i="4"/>
  <c r="K741" i="4"/>
  <c r="M716" i="4"/>
  <c r="H900" i="4"/>
  <c r="K812" i="4"/>
  <c r="K787" i="4"/>
  <c r="D765" i="4"/>
  <c r="F743" i="4"/>
  <c r="L723" i="4"/>
  <c r="L712" i="4"/>
  <c r="B930" i="4"/>
  <c r="E879" i="4"/>
  <c r="H835" i="4"/>
  <c r="L809" i="4"/>
  <c r="N796" i="4"/>
  <c r="N785" i="4"/>
  <c r="I772" i="4"/>
  <c r="N759" i="4"/>
  <c r="B749" i="4"/>
  <c r="L735" i="4"/>
  <c r="C723" i="4"/>
  <c r="C712" i="4"/>
  <c r="F925" i="4"/>
  <c r="I874" i="4"/>
  <c r="L830" i="4"/>
  <c r="I808" i="4"/>
  <c r="K795" i="4"/>
  <c r="K784" i="4"/>
  <c r="F771" i="4"/>
  <c r="K758" i="4"/>
  <c r="M747" i="4"/>
  <c r="I734" i="4"/>
  <c r="N721" i="4"/>
  <c r="G991" i="4"/>
  <c r="F899" i="4"/>
  <c r="J848" i="4"/>
  <c r="E815" i="4"/>
  <c r="A802" i="4"/>
  <c r="D789" i="4"/>
  <c r="C778" i="4"/>
  <c r="M764" i="4"/>
  <c r="E752" i="4"/>
  <c r="F741" i="4"/>
  <c r="C728" i="4"/>
  <c r="F715" i="4"/>
  <c r="H869" i="4"/>
  <c r="F725" i="4"/>
  <c r="G698" i="4"/>
  <c r="H687" i="4"/>
  <c r="D674" i="4"/>
  <c r="J661" i="4"/>
  <c r="I650" i="4"/>
  <c r="G637" i="4"/>
  <c r="I624" i="4"/>
  <c r="J613" i="4"/>
  <c r="G600" i="4"/>
  <c r="M587" i="4"/>
  <c r="K848" i="4"/>
  <c r="C720" i="4"/>
  <c r="L697" i="4"/>
  <c r="L686" i="4"/>
  <c r="I673" i="4"/>
  <c r="A661" i="4"/>
  <c r="N649" i="4"/>
  <c r="L636" i="4"/>
  <c r="N623" i="4"/>
  <c r="A613" i="4"/>
  <c r="I605" i="4"/>
  <c r="I1029" i="4"/>
  <c r="H816" i="4"/>
  <c r="F779" i="4"/>
  <c r="I742" i="4"/>
  <c r="K709" i="4"/>
  <c r="B704" i="4"/>
  <c r="G699" i="4"/>
  <c r="M694" i="4"/>
  <c r="D690" i="4"/>
  <c r="I685" i="4"/>
  <c r="A681" i="4"/>
  <c r="G676" i="4"/>
  <c r="L671" i="4"/>
  <c r="D667" i="4"/>
  <c r="J662" i="4"/>
  <c r="A658" i="4"/>
  <c r="E653" i="4"/>
  <c r="K648" i="4"/>
  <c r="C644" i="4"/>
  <c r="I639" i="4"/>
  <c r="M634" i="4"/>
  <c r="E630" i="4"/>
  <c r="J625" i="4"/>
  <c r="N620" i="4"/>
  <c r="F616" i="4"/>
  <c r="L611" i="4"/>
  <c r="D607" i="4"/>
  <c r="I602" i="4"/>
  <c r="J862" i="4"/>
  <c r="K792" i="4"/>
  <c r="L755" i="4"/>
  <c r="A719" i="4"/>
  <c r="K705" i="4"/>
  <c r="B701" i="4"/>
  <c r="H696" i="4"/>
  <c r="M691" i="4"/>
  <c r="E687" i="4"/>
  <c r="J682" i="4"/>
  <c r="B678" i="4"/>
  <c r="G673" i="4"/>
  <c r="M668" i="4"/>
  <c r="E664" i="4"/>
  <c r="J659" i="4"/>
  <c r="A655" i="4"/>
  <c r="F650" i="4"/>
  <c r="L645" i="4"/>
  <c r="D641" i="4"/>
  <c r="J636" i="4"/>
  <c r="N631" i="4"/>
  <c r="E627" i="4"/>
  <c r="I622" i="4"/>
  <c r="A618" i="4"/>
  <c r="G613" i="4"/>
  <c r="M608" i="4"/>
  <c r="E604" i="4"/>
  <c r="J599" i="4"/>
  <c r="B595" i="4"/>
  <c r="H590" i="4"/>
  <c r="N585" i="4"/>
  <c r="F581" i="4"/>
  <c r="L841" i="4"/>
  <c r="H787" i="4"/>
  <c r="J750" i="4"/>
  <c r="K713" i="4"/>
  <c r="B705" i="4"/>
  <c r="G700" i="4"/>
  <c r="M695" i="4"/>
  <c r="D691" i="4"/>
  <c r="I686" i="4"/>
  <c r="A682" i="4"/>
  <c r="G677" i="4"/>
  <c r="L672" i="4"/>
  <c r="D668" i="4"/>
  <c r="J663" i="4"/>
  <c r="A659" i="4"/>
  <c r="F654" i="4"/>
  <c r="K649" i="4"/>
  <c r="C645" i="4"/>
  <c r="I640" i="4"/>
  <c r="N635" i="4"/>
  <c r="E631" i="4"/>
  <c r="J626" i="4"/>
  <c r="N621" i="4"/>
  <c r="F617" i="4"/>
  <c r="L612" i="4"/>
  <c r="D608" i="4"/>
  <c r="I603" i="4"/>
  <c r="A599" i="4"/>
  <c r="G594" i="4"/>
  <c r="H839" i="4"/>
  <c r="N786" i="4"/>
  <c r="B750" i="4"/>
  <c r="D713" i="4"/>
  <c r="A705" i="4"/>
  <c r="F700" i="4"/>
  <c r="L695" i="4"/>
  <c r="C691" i="4"/>
  <c r="H686" i="4"/>
  <c r="N681" i="4"/>
  <c r="F677" i="4"/>
  <c r="K672" i="4"/>
  <c r="C668" i="4"/>
  <c r="I663" i="4"/>
  <c r="N658" i="4"/>
  <c r="E654" i="4"/>
  <c r="J649" i="4"/>
  <c r="B645" i="4"/>
  <c r="H640" i="4"/>
  <c r="M635" i="4"/>
  <c r="D631" i="4"/>
  <c r="I626" i="4"/>
  <c r="M621" i="4"/>
  <c r="E617" i="4"/>
  <c r="K612" i="4"/>
  <c r="C608" i="4"/>
  <c r="H603" i="4"/>
  <c r="N598" i="4"/>
  <c r="F594" i="4"/>
  <c r="L589" i="4"/>
  <c r="G853" i="4"/>
  <c r="G790" i="4"/>
  <c r="H753" i="4"/>
  <c r="I716" i="4"/>
  <c r="G705" i="4"/>
  <c r="L700" i="4"/>
  <c r="D696" i="4"/>
  <c r="I691" i="4"/>
  <c r="N686" i="4"/>
  <c r="F682" i="4"/>
  <c r="L677" i="4"/>
  <c r="C673" i="4"/>
  <c r="I668" i="4"/>
  <c r="A664" i="4"/>
  <c r="F659" i="4"/>
  <c r="K654" i="4"/>
  <c r="B650" i="4"/>
  <c r="H645" i="4"/>
  <c r="N640" i="4"/>
  <c r="F636" i="4"/>
  <c r="J631" i="4"/>
  <c r="A627" i="4"/>
  <c r="E622" i="4"/>
  <c r="K617" i="4"/>
  <c r="C613" i="4"/>
  <c r="I608" i="4"/>
  <c r="N603" i="4"/>
  <c r="F599" i="4"/>
  <c r="L594" i="4"/>
  <c r="D590" i="4"/>
  <c r="J585" i="4"/>
  <c r="D814" i="4"/>
  <c r="E685" i="4"/>
  <c r="G648" i="4"/>
  <c r="H611" i="4"/>
  <c r="I592" i="4"/>
  <c r="F584" i="4"/>
  <c r="I578" i="4"/>
  <c r="N573" i="4"/>
  <c r="B1091" i="4"/>
  <c r="F948" i="4"/>
  <c r="D853" i="4"/>
  <c r="K831" i="4"/>
  <c r="N916" i="4"/>
  <c r="F882" i="4"/>
  <c r="E854" i="4"/>
  <c r="I1098" i="4"/>
  <c r="G931" i="4"/>
  <c r="M901" i="4"/>
  <c r="L866" i="4"/>
  <c r="K832" i="4"/>
  <c r="N973" i="4"/>
  <c r="J915" i="4"/>
  <c r="B881" i="4"/>
  <c r="N852" i="4"/>
  <c r="M1005" i="4"/>
  <c r="K822" i="4"/>
  <c r="E790" i="4"/>
  <c r="B755" i="4"/>
  <c r="C721" i="4"/>
  <c r="F896" i="4"/>
  <c r="J803" i="4"/>
  <c r="L768" i="4"/>
  <c r="D741" i="4"/>
  <c r="J714" i="4"/>
  <c r="E891" i="4"/>
  <c r="H814" i="4"/>
  <c r="L787" i="4"/>
  <c r="N762" i="4"/>
  <c r="I740" i="4"/>
  <c r="A714" i="4"/>
  <c r="L879" i="4"/>
  <c r="I811" i="4"/>
  <c r="M784" i="4"/>
  <c r="A760" i="4"/>
  <c r="D742" i="4"/>
  <c r="J722" i="4"/>
  <c r="M709" i="4"/>
  <c r="L927" i="4"/>
  <c r="J874" i="4"/>
  <c r="N823" i="4"/>
  <c r="D809" i="4"/>
  <c r="L795" i="4"/>
  <c r="B783" i="4"/>
  <c r="A772" i="4"/>
  <c r="L758" i="4"/>
  <c r="D746" i="4"/>
  <c r="D735" i="4"/>
  <c r="A722" i="4"/>
  <c r="D709" i="4"/>
  <c r="A923" i="4"/>
  <c r="A870" i="4"/>
  <c r="M819" i="4"/>
  <c r="A808" i="4"/>
  <c r="I794" i="4"/>
  <c r="L781" i="4"/>
  <c r="L770" i="4"/>
  <c r="I757" i="4"/>
  <c r="A745" i="4"/>
  <c r="A734" i="4"/>
  <c r="L720" i="4"/>
  <c r="A941" i="4"/>
  <c r="N896" i="4"/>
  <c r="A844" i="4"/>
  <c r="G812" i="4"/>
  <c r="G801" i="4"/>
  <c r="A788" i="4"/>
  <c r="E775" i="4"/>
  <c r="E764" i="4"/>
  <c r="C751" i="4"/>
  <c r="H738" i="4"/>
  <c r="I727" i="4"/>
  <c r="D714" i="4"/>
  <c r="H808" i="4"/>
  <c r="K720" i="4"/>
  <c r="E697" i="4"/>
  <c r="I684" i="4"/>
  <c r="J673" i="4"/>
  <c r="H660" i="4"/>
  <c r="K647" i="4"/>
  <c r="M636" i="4"/>
  <c r="G623" i="4"/>
  <c r="L610" i="4"/>
  <c r="M599" i="4"/>
  <c r="K586" i="4"/>
  <c r="E803" i="4"/>
  <c r="G715" i="4"/>
  <c r="J696" i="4"/>
  <c r="N683" i="4"/>
  <c r="A673" i="4"/>
  <c r="L659" i="4"/>
  <c r="B647" i="4"/>
  <c r="D636" i="4"/>
  <c r="K622" i="4"/>
  <c r="M611" i="4"/>
  <c r="G604" i="4"/>
  <c r="L938" i="4"/>
  <c r="N811" i="4"/>
  <c r="L774" i="4"/>
  <c r="A738" i="4"/>
  <c r="D708" i="4"/>
  <c r="H703" i="4"/>
  <c r="M698" i="4"/>
  <c r="E694" i="4"/>
  <c r="J689" i="4"/>
  <c r="A685" i="4"/>
  <c r="G680" i="4"/>
  <c r="L675" i="4"/>
  <c r="D671" i="4"/>
  <c r="J666" i="4"/>
  <c r="B662" i="4"/>
  <c r="G657" i="4"/>
  <c r="K652" i="4"/>
  <c r="C648" i="4"/>
  <c r="I643" i="4"/>
  <c r="A639" i="4"/>
  <c r="E634" i="4"/>
  <c r="K629" i="4"/>
  <c r="A625" i="4"/>
  <c r="F620" i="4"/>
  <c r="L615" i="4"/>
  <c r="D611" i="4"/>
  <c r="J606" i="4"/>
  <c r="A602" i="4"/>
  <c r="B844" i="4"/>
  <c r="B788" i="4"/>
  <c r="D751" i="4"/>
  <c r="E714" i="4"/>
  <c r="C705" i="4"/>
  <c r="H700" i="4"/>
  <c r="N695" i="4"/>
  <c r="E691" i="4"/>
  <c r="J686" i="4"/>
  <c r="B682" i="4"/>
  <c r="H677" i="4"/>
  <c r="M672" i="4"/>
  <c r="E668" i="4"/>
  <c r="K663" i="4"/>
  <c r="B659" i="4"/>
  <c r="G654" i="4"/>
  <c r="L649" i="4"/>
  <c r="D645" i="4"/>
  <c r="J640" i="4"/>
  <c r="A636" i="4"/>
  <c r="F631" i="4"/>
  <c r="K626" i="4"/>
  <c r="A622" i="4"/>
  <c r="G617" i="4"/>
  <c r="M612" i="4"/>
  <c r="E608" i="4"/>
  <c r="J603" i="4"/>
  <c r="B599" i="4"/>
  <c r="H594" i="4"/>
  <c r="N589" i="4"/>
  <c r="F585" i="4"/>
  <c r="L580" i="4"/>
  <c r="F823" i="4"/>
  <c r="N782" i="4"/>
  <c r="B746" i="4"/>
  <c r="F711" i="4"/>
  <c r="H704" i="4"/>
  <c r="M699" i="4"/>
  <c r="E695" i="4"/>
  <c r="J690" i="4"/>
  <c r="A686" i="4"/>
  <c r="G681" i="4"/>
  <c r="M676" i="4"/>
  <c r="D672" i="4"/>
  <c r="J667" i="4"/>
  <c r="B663" i="4"/>
  <c r="G658" i="4"/>
  <c r="K653" i="4"/>
  <c r="C649" i="4"/>
  <c r="I644" i="4"/>
  <c r="A640" i="4"/>
  <c r="F635" i="4"/>
  <c r="K630" i="4"/>
  <c r="B626" i="4"/>
  <c r="F621" i="4"/>
  <c r="L616" i="4"/>
  <c r="D612" i="4"/>
  <c r="J607" i="4"/>
  <c r="A603" i="4"/>
  <c r="G598" i="4"/>
  <c r="M593" i="4"/>
  <c r="B821" i="4"/>
  <c r="E782" i="4"/>
  <c r="H745" i="4"/>
  <c r="M710" i="4"/>
  <c r="G704" i="4"/>
  <c r="L699" i="4"/>
  <c r="D695" i="4"/>
  <c r="I690" i="4"/>
  <c r="N685" i="4"/>
  <c r="F681" i="4"/>
  <c r="L676" i="4"/>
  <c r="C672" i="4"/>
  <c r="I667" i="4"/>
  <c r="A663" i="4"/>
  <c r="F658" i="4"/>
  <c r="J653" i="4"/>
  <c r="B649" i="4"/>
  <c r="H644" i="4"/>
  <c r="N639" i="4"/>
  <c r="E635" i="4"/>
  <c r="J630" i="4"/>
  <c r="A626" i="4"/>
  <c r="E621" i="4"/>
  <c r="K616" i="4"/>
  <c r="C612" i="4"/>
  <c r="I607" i="4"/>
  <c r="I987" i="4"/>
  <c r="B1080" i="4"/>
  <c r="G1078" i="4"/>
  <c r="J1026" i="4"/>
  <c r="J914" i="4"/>
  <c r="B880" i="4"/>
  <c r="G845" i="4"/>
  <c r="M1081" i="4"/>
  <c r="E927" i="4"/>
  <c r="E894" i="4"/>
  <c r="B865" i="4"/>
  <c r="M829" i="4"/>
  <c r="I943" i="4"/>
  <c r="E913" i="4"/>
  <c r="L878" i="4"/>
  <c r="C844" i="4"/>
  <c r="F987" i="4"/>
  <c r="L815" i="4"/>
  <c r="L782" i="4"/>
  <c r="F753" i="4"/>
  <c r="E718" i="4"/>
  <c r="M868" i="4"/>
  <c r="E801" i="4"/>
  <c r="H766" i="4"/>
  <c r="A736" i="4"/>
  <c r="H713" i="4"/>
  <c r="M879" i="4"/>
  <c r="F809" i="4"/>
  <c r="J786" i="4"/>
  <c r="B760" i="4"/>
  <c r="F735" i="4"/>
  <c r="M712" i="4"/>
  <c r="E868" i="4"/>
  <c r="G806" i="4"/>
  <c r="K783" i="4"/>
  <c r="K757" i="4"/>
  <c r="J737" i="4"/>
  <c r="B722" i="4"/>
  <c r="K708" i="4"/>
  <c r="C916" i="4"/>
  <c r="F872" i="4"/>
  <c r="N819" i="4"/>
  <c r="F806" i="4"/>
  <c r="D795" i="4"/>
  <c r="M781" i="4"/>
  <c r="C769" i="4"/>
  <c r="D758" i="4"/>
  <c r="B745" i="4"/>
  <c r="F732" i="4"/>
  <c r="G721" i="4"/>
  <c r="A1071" i="4"/>
  <c r="G911" i="4"/>
  <c r="K867" i="4"/>
  <c r="M817" i="4"/>
  <c r="C805" i="4"/>
  <c r="A794" i="4"/>
  <c r="J780" i="4"/>
  <c r="N767" i="4"/>
  <c r="A757" i="4"/>
  <c r="L743" i="4"/>
  <c r="C731" i="4"/>
  <c r="D720" i="4"/>
  <c r="G936" i="4"/>
  <c r="H885" i="4"/>
  <c r="K841" i="4"/>
  <c r="E811" i="4"/>
  <c r="H798" i="4"/>
  <c r="G787" i="4"/>
  <c r="C774" i="4"/>
  <c r="G761" i="4"/>
  <c r="I750" i="4"/>
  <c r="F737" i="4"/>
  <c r="J724" i="4"/>
  <c r="J713" i="4"/>
  <c r="C799" i="4"/>
  <c r="J707" i="4"/>
  <c r="K696" i="4"/>
  <c r="G683" i="4"/>
  <c r="L670" i="4"/>
  <c r="M659" i="4"/>
  <c r="I646" i="4"/>
  <c r="M633" i="4"/>
  <c r="L622" i="4"/>
  <c r="J609" i="4"/>
  <c r="A597" i="4"/>
  <c r="C586" i="4"/>
  <c r="N793" i="4"/>
  <c r="A707" i="4"/>
  <c r="B696" i="4"/>
  <c r="L682" i="4"/>
  <c r="C670" i="4"/>
  <c r="D659" i="4"/>
  <c r="N645" i="4"/>
  <c r="D633" i="4"/>
  <c r="C622" i="4"/>
  <c r="C610" i="4"/>
  <c r="L603" i="4"/>
  <c r="C920" i="4"/>
  <c r="F807" i="4"/>
  <c r="C770" i="4"/>
  <c r="F733" i="4"/>
  <c r="H707" i="4"/>
  <c r="N702" i="4"/>
  <c r="E698" i="4"/>
  <c r="K693" i="4"/>
  <c r="B689" i="4"/>
  <c r="G684" i="4"/>
  <c r="M679" i="4"/>
  <c r="D675" i="4"/>
  <c r="J670" i="4"/>
  <c r="B666" i="4"/>
  <c r="H661" i="4"/>
  <c r="M656" i="4"/>
  <c r="C652" i="4"/>
  <c r="I647" i="4"/>
  <c r="A643" i="4"/>
  <c r="G638" i="4"/>
  <c r="K633" i="4"/>
  <c r="C629" i="4"/>
  <c r="G624" i="4"/>
  <c r="L619" i="4"/>
  <c r="D615" i="4"/>
  <c r="J610" i="4"/>
  <c r="B606" i="4"/>
  <c r="G601" i="4"/>
  <c r="J825" i="4"/>
  <c r="H783" i="4"/>
  <c r="J746" i="4"/>
  <c r="G711" i="4"/>
  <c r="I704" i="4"/>
  <c r="N699" i="4"/>
  <c r="F695" i="4"/>
  <c r="K690" i="4"/>
  <c r="B686" i="4"/>
  <c r="H681" i="4"/>
  <c r="N676" i="4"/>
  <c r="E672" i="4"/>
  <c r="K667" i="4"/>
  <c r="C663" i="4"/>
  <c r="H658" i="4"/>
  <c r="L653" i="4"/>
  <c r="D649" i="4"/>
  <c r="J644" i="4"/>
  <c r="B640" i="4"/>
  <c r="G635" i="4"/>
  <c r="L630" i="4"/>
  <c r="C626" i="4"/>
  <c r="G621" i="4"/>
  <c r="M616" i="4"/>
  <c r="E612" i="4"/>
  <c r="K607" i="4"/>
  <c r="B603" i="4"/>
  <c r="H598" i="4"/>
  <c r="N593" i="4"/>
  <c r="D950" i="4"/>
  <c r="A982" i="4"/>
  <c r="F966" i="4"/>
  <c r="K979" i="4"/>
  <c r="K907" i="4"/>
  <c r="K877" i="4"/>
  <c r="C843" i="4"/>
  <c r="N1011" i="4"/>
  <c r="K926" i="4"/>
  <c r="E890" i="4"/>
  <c r="J857" i="4"/>
  <c r="C828" i="4"/>
  <c r="I940" i="4"/>
  <c r="F906" i="4"/>
  <c r="G876" i="4"/>
  <c r="M841" i="4"/>
  <c r="E917" i="4"/>
  <c r="D815" i="4"/>
  <c r="J778" i="4"/>
  <c r="N745" i="4"/>
  <c r="G716" i="4"/>
  <c r="G857" i="4"/>
  <c r="E794" i="4"/>
  <c r="C764" i="4"/>
  <c r="C733" i="4"/>
  <c r="E708" i="4"/>
  <c r="D875" i="4"/>
  <c r="H806" i="4"/>
  <c r="G781" i="4"/>
  <c r="N758" i="4"/>
  <c r="H732" i="4"/>
  <c r="J1000" i="4"/>
  <c r="K863" i="4"/>
  <c r="H803" i="4"/>
  <c r="G778" i="4"/>
  <c r="C757" i="4"/>
  <c r="E735" i="4"/>
  <c r="D719" i="4"/>
  <c r="C708" i="4"/>
  <c r="H911" i="4"/>
  <c r="N860" i="4"/>
  <c r="K818" i="4"/>
  <c r="D805" i="4"/>
  <c r="E792" i="4"/>
  <c r="E781" i="4"/>
  <c r="A768" i="4"/>
  <c r="F755" i="4"/>
  <c r="H744" i="4"/>
  <c r="D731" i="4"/>
  <c r="I718" i="4"/>
  <c r="F1052" i="4"/>
  <c r="L906" i="4"/>
  <c r="E856" i="4"/>
  <c r="D817" i="4"/>
  <c r="N803" i="4"/>
  <c r="B791" i="4"/>
  <c r="A780" i="4"/>
  <c r="L766" i="4"/>
  <c r="C754" i="4"/>
  <c r="D743" i="4"/>
  <c r="A730" i="4"/>
  <c r="E717" i="4"/>
  <c r="C934" i="4"/>
  <c r="N880" i="4"/>
  <c r="D830" i="4"/>
  <c r="K810" i="4"/>
  <c r="E797" i="4"/>
  <c r="I784" i="4"/>
  <c r="H773" i="4"/>
  <c r="E760" i="4"/>
  <c r="K747" i="4"/>
  <c r="K736" i="4"/>
  <c r="H723" i="4"/>
  <c r="K710" i="4"/>
  <c r="H794" i="4"/>
  <c r="H706" i="4"/>
  <c r="M693" i="4"/>
  <c r="M682" i="4"/>
  <c r="J669" i="4"/>
  <c r="A657" i="4"/>
  <c r="A646" i="4"/>
  <c r="K632" i="4"/>
  <c r="N619" i="4"/>
  <c r="B609" i="4"/>
  <c r="F1084" i="4"/>
  <c r="A1117" i="4"/>
  <c r="H898" i="4"/>
  <c r="L965" i="4"/>
  <c r="L904" i="4"/>
  <c r="M870" i="4"/>
  <c r="M840" i="4"/>
  <c r="C993" i="4"/>
  <c r="A918" i="4"/>
  <c r="K889" i="4"/>
  <c r="I853" i="4"/>
  <c r="I820" i="4"/>
  <c r="M938" i="4"/>
  <c r="H903" i="4"/>
  <c r="I869" i="4"/>
  <c r="I839" i="4"/>
  <c r="B908" i="4"/>
  <c r="J806" i="4"/>
  <c r="B778" i="4"/>
  <c r="M741" i="4"/>
  <c r="N708" i="4"/>
  <c r="G850" i="4"/>
  <c r="F791" i="4"/>
  <c r="E757" i="4"/>
  <c r="A732" i="4"/>
  <c r="D1001" i="4"/>
  <c r="J854" i="4"/>
  <c r="F805" i="4"/>
  <c r="H778" i="4"/>
  <c r="L753" i="4"/>
  <c r="F731" i="4"/>
  <c r="D942" i="4"/>
  <c r="M842" i="4"/>
  <c r="E802" i="4"/>
  <c r="I775" i="4"/>
  <c r="I752" i="4"/>
  <c r="K734" i="4"/>
  <c r="A718" i="4"/>
  <c r="I996" i="4"/>
  <c r="D909" i="4"/>
  <c r="F856" i="4"/>
  <c r="H815" i="4"/>
  <c r="I804" i="4"/>
  <c r="C791" i="4"/>
  <c r="F778" i="4"/>
  <c r="G767" i="4"/>
  <c r="D754" i="4"/>
  <c r="I741" i="4"/>
  <c r="J730" i="4"/>
  <c r="F717" i="4"/>
  <c r="L958" i="4"/>
  <c r="H904" i="4"/>
  <c r="I851" i="4"/>
  <c r="E814" i="4"/>
  <c r="F803" i="4"/>
  <c r="N789" i="4"/>
  <c r="C777" i="4"/>
  <c r="D766" i="4"/>
  <c r="A753" i="4"/>
  <c r="F740" i="4"/>
  <c r="G729" i="4"/>
  <c r="B716" i="4"/>
  <c r="G922" i="4"/>
  <c r="J878" i="4"/>
  <c r="I825" i="4"/>
  <c r="M807" i="4"/>
  <c r="K796" i="4"/>
  <c r="G783" i="4"/>
  <c r="J770" i="4"/>
  <c r="K759" i="4"/>
  <c r="I746" i="4"/>
  <c r="M733" i="4"/>
  <c r="N722" i="4"/>
  <c r="I709" i="4"/>
  <c r="E771" i="4"/>
  <c r="N705" i="4"/>
  <c r="J692" i="4"/>
  <c r="A680" i="4"/>
  <c r="B669" i="4"/>
  <c r="M655" i="4"/>
  <c r="C643" i="4"/>
  <c r="C632" i="4"/>
  <c r="L618" i="4"/>
  <c r="D606" i="4"/>
  <c r="E595" i="4"/>
  <c r="C582" i="4"/>
  <c r="C766" i="4"/>
  <c r="E705" i="4"/>
  <c r="A692" i="4"/>
  <c r="F679" i="4"/>
  <c r="G668" i="4"/>
  <c r="D655" i="4"/>
  <c r="H642" i="4"/>
  <c r="H631" i="4"/>
  <c r="C618" i="4"/>
  <c r="G608" i="4"/>
  <c r="J602" i="4"/>
  <c r="E883" i="4"/>
  <c r="N797" i="4"/>
  <c r="N760" i="4"/>
  <c r="C724" i="4"/>
  <c r="F706" i="4"/>
  <c r="K701" i="4"/>
  <c r="C697" i="4"/>
  <c r="H692" i="4"/>
  <c r="N687" i="4"/>
  <c r="E683" i="4"/>
  <c r="K678" i="4"/>
  <c r="B674" i="4"/>
  <c r="H669" i="4"/>
  <c r="N664" i="4"/>
  <c r="F660" i="4"/>
  <c r="K655" i="4"/>
  <c r="A651" i="4"/>
  <c r="G646" i="4"/>
  <c r="M641" i="4"/>
  <c r="E637" i="4"/>
  <c r="I632" i="4"/>
  <c r="N627" i="4"/>
  <c r="E623" i="4"/>
  <c r="J618" i="4"/>
  <c r="B614" i="4"/>
  <c r="H609" i="4"/>
  <c r="N604" i="4"/>
  <c r="H936" i="4"/>
  <c r="F811" i="4"/>
  <c r="D774" i="4"/>
  <c r="G737" i="4"/>
  <c r="B708" i="4"/>
  <c r="G703" i="4"/>
  <c r="L698" i="4"/>
  <c r="D694" i="4"/>
  <c r="I689" i="4"/>
  <c r="N684" i="4"/>
  <c r="F680" i="4"/>
  <c r="K675" i="4"/>
  <c r="C671" i="4"/>
  <c r="I666" i="4"/>
  <c r="A662" i="4"/>
  <c r="F657" i="4"/>
  <c r="J652" i="4"/>
  <c r="B648" i="4"/>
  <c r="H643" i="4"/>
  <c r="N638" i="4"/>
  <c r="D634" i="4"/>
  <c r="J629" i="4"/>
  <c r="N624" i="4"/>
  <c r="E620" i="4"/>
  <c r="K615" i="4"/>
  <c r="C611" i="4"/>
  <c r="I606" i="4"/>
  <c r="N601" i="4"/>
  <c r="F597" i="4"/>
  <c r="L592" i="4"/>
  <c r="D588" i="4"/>
  <c r="J583" i="4"/>
  <c r="I915" i="4"/>
  <c r="D806" i="4"/>
  <c r="A769" i="4"/>
  <c r="D732" i="4"/>
  <c r="F707" i="4"/>
  <c r="L702" i="4"/>
  <c r="C698" i="4"/>
  <c r="I693" i="4"/>
  <c r="N688" i="4"/>
  <c r="E684" i="4"/>
  <c r="K679" i="4"/>
  <c r="B675" i="4"/>
  <c r="H670" i="4"/>
  <c r="N665" i="4"/>
  <c r="F661" i="4"/>
  <c r="K656" i="4"/>
  <c r="A652" i="4"/>
  <c r="G647" i="4"/>
  <c r="M642" i="4"/>
  <c r="E638" i="4"/>
  <c r="I633" i="4"/>
  <c r="A629" i="4"/>
  <c r="E624" i="4"/>
  <c r="J619" i="4"/>
  <c r="B615" i="4"/>
  <c r="H610" i="4"/>
  <c r="N605" i="4"/>
  <c r="E601" i="4"/>
  <c r="K596" i="4"/>
  <c r="D913" i="4"/>
  <c r="J805" i="4"/>
  <c r="G768" i="4"/>
  <c r="J731" i="4"/>
  <c r="E707" i="4"/>
  <c r="K702" i="4"/>
  <c r="B698" i="4"/>
  <c r="H693" i="4"/>
  <c r="M688" i="4"/>
  <c r="D684" i="4"/>
  <c r="J679" i="4"/>
  <c r="A675" i="4"/>
  <c r="G670" i="4"/>
  <c r="M665" i="4"/>
  <c r="E661" i="4"/>
  <c r="J656" i="4"/>
  <c r="N651" i="4"/>
  <c r="F647" i="4"/>
  <c r="L642" i="4"/>
  <c r="D638" i="4"/>
  <c r="H633" i="4"/>
  <c r="N628" i="4"/>
  <c r="D624" i="4"/>
  <c r="I619" i="4"/>
  <c r="A615" i="4"/>
  <c r="G610" i="4"/>
  <c r="M605" i="4"/>
  <c r="D601" i="4"/>
  <c r="J596" i="4"/>
  <c r="B592" i="4"/>
  <c r="C927" i="4"/>
  <c r="B809" i="4"/>
  <c r="M771" i="4"/>
  <c r="B735" i="4"/>
  <c r="K707" i="4"/>
  <c r="C703" i="4"/>
  <c r="H698" i="4"/>
  <c r="N693" i="4"/>
  <c r="E689" i="4"/>
  <c r="J684" i="4"/>
  <c r="B680" i="4"/>
  <c r="G675" i="4"/>
  <c r="M670" i="4"/>
  <c r="E666" i="4"/>
  <c r="K661" i="4"/>
  <c r="B657" i="4"/>
  <c r="F652" i="4"/>
  <c r="L647" i="4"/>
  <c r="D643" i="4"/>
  <c r="J638" i="4"/>
  <c r="N633" i="4"/>
  <c r="F629" i="4"/>
  <c r="J624" i="4"/>
  <c r="A620" i="4"/>
  <c r="G615" i="4"/>
  <c r="M610" i="4"/>
  <c r="E606" i="4"/>
  <c r="J601" i="4"/>
  <c r="B597" i="4"/>
  <c r="H592" i="4"/>
  <c r="N587" i="4"/>
  <c r="F583" i="4"/>
  <c r="L703" i="4"/>
  <c r="N666" i="4"/>
  <c r="E986" i="4"/>
  <c r="L976" i="4"/>
  <c r="M885" i="4"/>
  <c r="E937" i="4"/>
  <c r="B903" i="4"/>
  <c r="A868" i="4"/>
  <c r="A834" i="4"/>
  <c r="H974" i="4"/>
  <c r="K915" i="4"/>
  <c r="C881" i="4"/>
  <c r="A853" i="4"/>
  <c r="A1094" i="4"/>
  <c r="F931" i="4"/>
  <c r="L901" i="4"/>
  <c r="K866" i="4"/>
  <c r="J832" i="4"/>
  <c r="L898" i="4"/>
  <c r="E804" i="4"/>
  <c r="G769" i="4"/>
  <c r="E741" i="4"/>
  <c r="K986" i="4"/>
  <c r="H820" i="4"/>
  <c r="J789" i="4"/>
  <c r="G754" i="4"/>
  <c r="M726" i="4"/>
  <c r="A964" i="4"/>
  <c r="N842" i="4"/>
  <c r="A800" i="4"/>
  <c r="F777" i="4"/>
  <c r="N750" i="4"/>
  <c r="D726" i="4"/>
  <c r="I937" i="4"/>
  <c r="F831" i="4"/>
  <c r="A797" i="4"/>
  <c r="G774" i="4"/>
  <c r="A949" i="4"/>
  <c r="F913" i="4"/>
  <c r="D871" i="4"/>
  <c r="N723" i="4"/>
  <c r="L826" i="4"/>
  <c r="H714" i="4"/>
  <c r="L813" i="4"/>
  <c r="F763" i="4"/>
  <c r="M713" i="4"/>
  <c r="I812" i="4"/>
  <c r="C762" i="4"/>
  <c r="J1047" i="4"/>
  <c r="C806" i="4"/>
  <c r="K755" i="4"/>
  <c r="M924" i="4"/>
  <c r="E678" i="4"/>
  <c r="C628" i="4"/>
  <c r="E583" i="4"/>
  <c r="D701" i="4"/>
  <c r="I665" i="4"/>
  <c r="B632" i="4"/>
  <c r="E607" i="4"/>
  <c r="F793" i="4"/>
  <c r="N706" i="4"/>
  <c r="A696" i="4"/>
  <c r="K682" i="4"/>
  <c r="B670" i="4"/>
  <c r="C659" i="4"/>
  <c r="M645" i="4"/>
  <c r="C633" i="4"/>
  <c r="B622" i="4"/>
  <c r="N608" i="4"/>
  <c r="N815" i="4"/>
  <c r="D728" i="4"/>
  <c r="D698" i="4"/>
  <c r="H685" i="4"/>
  <c r="I674" i="4"/>
  <c r="G661" i="4"/>
  <c r="J648" i="4"/>
  <c r="L637" i="4"/>
  <c r="F624" i="4"/>
  <c r="K611" i="4"/>
  <c r="L600" i="4"/>
  <c r="L588" i="4"/>
  <c r="D934" i="4"/>
  <c r="I773" i="4"/>
  <c r="A708" i="4"/>
  <c r="K698" i="4"/>
  <c r="H689" i="4"/>
  <c r="E680" i="4"/>
  <c r="B671" i="4"/>
  <c r="N661" i="4"/>
  <c r="I652" i="4"/>
  <c r="G643" i="4"/>
  <c r="C634" i="4"/>
  <c r="M624" i="4"/>
  <c r="J615" i="4"/>
  <c r="H606" i="4"/>
  <c r="I599" i="4"/>
  <c r="K894" i="4"/>
  <c r="J777" i="4"/>
  <c r="G722" i="4"/>
  <c r="E703" i="4"/>
  <c r="F696" i="4"/>
  <c r="E688" i="4"/>
  <c r="L680" i="4"/>
  <c r="M673" i="4"/>
  <c r="G666" i="4"/>
  <c r="H659" i="4"/>
  <c r="F651" i="4"/>
  <c r="N643" i="4"/>
  <c r="B637" i="4"/>
  <c r="H629" i="4"/>
  <c r="G622" i="4"/>
  <c r="G614" i="4"/>
  <c r="A607" i="4"/>
  <c r="J600" i="4"/>
  <c r="N594" i="4"/>
  <c r="J588" i="4"/>
  <c r="G804" i="4"/>
  <c r="B758" i="4"/>
  <c r="E710" i="4"/>
  <c r="I702" i="4"/>
  <c r="L696" i="4"/>
  <c r="G690" i="4"/>
  <c r="B684" i="4"/>
  <c r="F678" i="4"/>
  <c r="A672" i="4"/>
  <c r="K665" i="4"/>
  <c r="N659" i="4"/>
  <c r="H653" i="4"/>
  <c r="D647" i="4"/>
  <c r="H641" i="4"/>
  <c r="C635" i="4"/>
  <c r="L628" i="4"/>
  <c r="M622" i="4"/>
  <c r="I616" i="4"/>
  <c r="E610" i="4"/>
  <c r="I604" i="4"/>
  <c r="D598" i="4"/>
  <c r="N591" i="4"/>
  <c r="D586" i="4"/>
  <c r="E740" i="4"/>
  <c r="F662" i="4"/>
  <c r="J620" i="4"/>
  <c r="K593" i="4"/>
  <c r="H583" i="4"/>
  <c r="G577" i="4"/>
  <c r="C572" i="4"/>
  <c r="I567" i="4"/>
  <c r="A563" i="4"/>
  <c r="G558" i="4"/>
  <c r="M553" i="4"/>
  <c r="E549" i="4"/>
  <c r="J544" i="4"/>
  <c r="B540" i="4"/>
  <c r="H535" i="4"/>
  <c r="N530" i="4"/>
  <c r="F526" i="4"/>
  <c r="L521" i="4"/>
  <c r="D517" i="4"/>
  <c r="I512" i="4"/>
  <c r="A508" i="4"/>
  <c r="F503" i="4"/>
  <c r="L498" i="4"/>
  <c r="C494" i="4"/>
  <c r="I489" i="4"/>
  <c r="N484" i="4"/>
  <c r="F480" i="4"/>
  <c r="K475" i="4"/>
  <c r="C471" i="4"/>
  <c r="I466" i="4"/>
  <c r="A462" i="4"/>
  <c r="A694" i="4"/>
  <c r="C657" i="4"/>
  <c r="B620" i="4"/>
  <c r="C595" i="4"/>
  <c r="B586" i="4"/>
  <c r="J579" i="4"/>
  <c r="B575" i="4"/>
  <c r="F570" i="4"/>
  <c r="L565" i="4"/>
  <c r="D561" i="4"/>
  <c r="J556" i="4"/>
  <c r="B552" i="4"/>
  <c r="G547" i="4"/>
  <c r="M542" i="4"/>
  <c r="E538" i="4"/>
  <c r="K533" i="4"/>
  <c r="C529" i="4"/>
  <c r="I524" i="4"/>
  <c r="A520" i="4"/>
  <c r="G515" i="4"/>
  <c r="L510" i="4"/>
  <c r="D506" i="4"/>
  <c r="I501" i="4"/>
  <c r="A497" i="4"/>
  <c r="F492" i="4"/>
  <c r="K487" i="4"/>
  <c r="C483" i="4"/>
  <c r="I478" i="4"/>
  <c r="N473" i="4"/>
  <c r="F469" i="4"/>
  <c r="L464" i="4"/>
  <c r="A805" i="4"/>
  <c r="C684" i="4"/>
  <c r="E647" i="4"/>
  <c r="F610" i="4"/>
  <c r="E592" i="4"/>
  <c r="C584" i="4"/>
  <c r="G578" i="4"/>
  <c r="L573" i="4"/>
  <c r="C569" i="4"/>
  <c r="I564" i="4"/>
  <c r="A560" i="4"/>
  <c r="G555" i="4"/>
  <c r="M550" i="4"/>
  <c r="D546" i="4"/>
  <c r="J541" i="4"/>
  <c r="B537" i="4"/>
  <c r="H532" i="4"/>
  <c r="N527" i="4"/>
  <c r="F523" i="4"/>
  <c r="L518" i="4"/>
  <c r="D514" i="4"/>
  <c r="I509" i="4"/>
  <c r="N504" i="4"/>
  <c r="F500" i="4"/>
  <c r="K495" i="4"/>
  <c r="C491" i="4"/>
  <c r="H486" i="4"/>
  <c r="N481" i="4"/>
  <c r="F477" i="4"/>
  <c r="K472" i="4"/>
  <c r="C468" i="4"/>
  <c r="I463" i="4"/>
  <c r="D763" i="4"/>
  <c r="A679" i="4"/>
  <c r="C642" i="4"/>
  <c r="D605" i="4"/>
  <c r="A591" i="4"/>
  <c r="C583" i="4"/>
  <c r="L577" i="4"/>
  <c r="C573" i="4"/>
  <c r="H568" i="4"/>
  <c r="N563" i="4"/>
  <c r="F559" i="4"/>
  <c r="L554" i="4"/>
  <c r="D550" i="4"/>
  <c r="I545" i="4"/>
  <c r="A541" i="4"/>
  <c r="G536" i="4"/>
  <c r="M531" i="4"/>
  <c r="E527" i="4"/>
  <c r="K522" i="4"/>
  <c r="C518" i="4"/>
  <c r="H513" i="4"/>
  <c r="N508" i="4"/>
  <c r="E504" i="4"/>
  <c r="K499" i="4"/>
  <c r="B495" i="4"/>
  <c r="H490" i="4"/>
  <c r="M485" i="4"/>
  <c r="E481" i="4"/>
  <c r="K476" i="4"/>
  <c r="B472" i="4"/>
  <c r="H467" i="4"/>
  <c r="N462" i="4"/>
  <c r="B706" i="4"/>
  <c r="D669" i="4"/>
  <c r="E632" i="4"/>
  <c r="C599" i="4"/>
  <c r="I588" i="4"/>
  <c r="E581" i="4"/>
  <c r="I576" i="4"/>
  <c r="M571" i="4"/>
  <c r="E567" i="4"/>
  <c r="K562" i="4"/>
  <c r="C558" i="4"/>
  <c r="I553" i="4"/>
  <c r="N548" i="4"/>
  <c r="F544" i="4"/>
  <c r="L539" i="4"/>
  <c r="D535" i="4"/>
  <c r="J530" i="4"/>
  <c r="B526" i="4"/>
  <c r="H521" i="4"/>
  <c r="N516" i="4"/>
  <c r="E512" i="4"/>
  <c r="K507" i="4"/>
  <c r="B503" i="4"/>
  <c r="H498" i="4"/>
  <c r="M493" i="4"/>
  <c r="E489" i="4"/>
  <c r="J484" i="4"/>
  <c r="B480" i="4"/>
  <c r="G475" i="4"/>
  <c r="M470" i="4"/>
  <c r="E466" i="4"/>
  <c r="K461" i="4"/>
  <c r="E696" i="4"/>
  <c r="G659" i="4"/>
  <c r="F622" i="4"/>
  <c r="L595" i="4"/>
  <c r="I586" i="4"/>
  <c r="N579" i="4"/>
  <c r="F575" i="4"/>
  <c r="J570" i="4"/>
  <c r="B566" i="4"/>
  <c r="H561" i="4"/>
  <c r="N556" i="4"/>
  <c r="F552" i="4"/>
  <c r="K547" i="4"/>
  <c r="C543" i="4"/>
  <c r="I538" i="4"/>
  <c r="A534" i="4"/>
  <c r="G529" i="4"/>
  <c r="M524" i="4"/>
  <c r="E520" i="4"/>
  <c r="K515" i="4"/>
  <c r="B511" i="4"/>
  <c r="H506" i="4"/>
  <c r="M501" i="4"/>
  <c r="E497" i="4"/>
  <c r="J492" i="4"/>
  <c r="A488" i="4"/>
  <c r="G483" i="4"/>
  <c r="M478" i="4"/>
  <c r="D474" i="4"/>
  <c r="J469" i="4"/>
  <c r="B465" i="4"/>
  <c r="H460" i="4"/>
  <c r="H690" i="4"/>
  <c r="I653" i="4"/>
  <c r="J616" i="4"/>
  <c r="A594" i="4"/>
  <c r="G585" i="4"/>
  <c r="D579" i="4"/>
  <c r="J574" i="4"/>
  <c r="N569" i="4"/>
  <c r="F565" i="4"/>
  <c r="L560" i="4"/>
  <c r="D556" i="4"/>
  <c r="J551" i="4"/>
  <c r="A547" i="4"/>
  <c r="G542" i="4"/>
  <c r="M537" i="4"/>
  <c r="E533" i="4"/>
  <c r="K528" i="4"/>
  <c r="C524" i="4"/>
  <c r="I519" i="4"/>
  <c r="A515" i="4"/>
  <c r="F510" i="4"/>
  <c r="K505" i="4"/>
  <c r="C501" i="4"/>
  <c r="I496" i="4"/>
  <c r="N491" i="4"/>
  <c r="E487" i="4"/>
  <c r="K482" i="4"/>
  <c r="C478" i="4"/>
  <c r="H473" i="4"/>
  <c r="N468" i="4"/>
  <c r="F464" i="4"/>
  <c r="D837" i="4"/>
  <c r="G569" i="4"/>
  <c r="L532" i="4"/>
  <c r="A496" i="4"/>
  <c r="L460" i="4"/>
  <c r="A456" i="4"/>
  <c r="G451" i="4"/>
  <c r="L446" i="4"/>
  <c r="D442" i="4"/>
  <c r="J437" i="4"/>
  <c r="A433" i="4"/>
  <c r="F428" i="4"/>
  <c r="L423" i="4"/>
  <c r="C419" i="4"/>
  <c r="G414" i="4"/>
  <c r="K409" i="4"/>
  <c r="C405" i="4"/>
  <c r="M681" i="4"/>
  <c r="E564" i="4"/>
  <c r="J527" i="4"/>
  <c r="M490" i="4"/>
  <c r="N459" i="4"/>
  <c r="F455" i="4"/>
  <c r="L450" i="4"/>
  <c r="C446" i="4"/>
  <c r="I441" i="4"/>
  <c r="A437" i="4"/>
  <c r="F432" i="4"/>
  <c r="K427" i="4"/>
  <c r="C423" i="4"/>
  <c r="G418" i="4"/>
  <c r="L413" i="4"/>
  <c r="B409" i="4"/>
  <c r="H404" i="4"/>
  <c r="I577" i="4"/>
  <c r="L540" i="4"/>
  <c r="B504" i="4"/>
  <c r="E467" i="4"/>
  <c r="A457" i="4"/>
  <c r="G452" i="4"/>
  <c r="L447" i="4"/>
  <c r="D443" i="4"/>
  <c r="J438" i="4"/>
  <c r="A434" i="4"/>
  <c r="G429" i="4"/>
  <c r="L424" i="4"/>
  <c r="C420" i="4"/>
  <c r="G415" i="4"/>
  <c r="K410" i="4"/>
  <c r="C406" i="4"/>
  <c r="E600" i="4"/>
  <c r="A554" i="4"/>
  <c r="F517" i="4"/>
  <c r="H480" i="4"/>
  <c r="J458" i="4"/>
  <c r="B454" i="4"/>
  <c r="H449" i="4"/>
  <c r="M444" i="4"/>
  <c r="E440" i="4"/>
  <c r="J435" i="4"/>
  <c r="B431" i="4"/>
  <c r="G426" i="4"/>
  <c r="L421" i="4"/>
  <c r="B417" i="4"/>
  <c r="H412" i="4"/>
  <c r="L407" i="4"/>
  <c r="N704" i="4"/>
  <c r="C567" i="4"/>
  <c r="H530" i="4"/>
  <c r="K493" i="4"/>
  <c r="E460" i="4"/>
  <c r="K455" i="4"/>
  <c r="C451" i="4"/>
  <c r="H446" i="4"/>
  <c r="N441" i="4"/>
  <c r="M853" i="4"/>
  <c r="M878" i="4"/>
  <c r="N801" i="4"/>
  <c r="F928" i="4"/>
  <c r="C794" i="4"/>
  <c r="G959" i="4"/>
  <c r="J801" i="4"/>
  <c r="J753" i="4"/>
  <c r="A944" i="4"/>
  <c r="G800" i="4"/>
  <c r="G752" i="4"/>
  <c r="L917" i="4"/>
  <c r="M793" i="4"/>
  <c r="A746" i="4"/>
  <c r="B762" i="4"/>
  <c r="D666" i="4"/>
  <c r="D618" i="4"/>
  <c r="I581" i="4"/>
  <c r="D693" i="4"/>
  <c r="G664" i="4"/>
  <c r="J628" i="4"/>
  <c r="D603" i="4"/>
  <c r="K788" i="4"/>
  <c r="L705" i="4"/>
  <c r="C693" i="4"/>
  <c r="C682" i="4"/>
  <c r="N668" i="4"/>
  <c r="E656" i="4"/>
  <c r="E645" i="4"/>
  <c r="A632" i="4"/>
  <c r="D619" i="4"/>
  <c r="F608" i="4"/>
  <c r="L806" i="4"/>
  <c r="J709" i="4"/>
  <c r="J697" i="4"/>
  <c r="F684" i="4"/>
  <c r="K671" i="4"/>
  <c r="M660" i="4"/>
  <c r="H647" i="4"/>
  <c r="L634" i="4"/>
  <c r="L623" i="4"/>
  <c r="I610" i="4"/>
  <c r="N597" i="4"/>
  <c r="J587" i="4"/>
  <c r="A897" i="4"/>
  <c r="F764" i="4"/>
  <c r="L706" i="4"/>
  <c r="I697" i="4"/>
  <c r="F688" i="4"/>
  <c r="C679" i="4"/>
  <c r="N669" i="4"/>
  <c r="L660" i="4"/>
  <c r="G651" i="4"/>
  <c r="E642" i="4"/>
  <c r="A633" i="4"/>
  <c r="K623" i="4"/>
  <c r="H614" i="4"/>
  <c r="F605" i="4"/>
  <c r="M597" i="4"/>
  <c r="F876" i="4"/>
  <c r="A773" i="4"/>
  <c r="L717" i="4"/>
  <c r="C702" i="4"/>
  <c r="J694" i="4"/>
  <c r="K687" i="4"/>
  <c r="D680" i="4"/>
  <c r="E673" i="4"/>
  <c r="E665" i="4"/>
  <c r="L657" i="4"/>
  <c r="L650" i="4"/>
  <c r="F643" i="4"/>
  <c r="H636" i="4"/>
  <c r="F628" i="4"/>
  <c r="K620" i="4"/>
  <c r="M613" i="4"/>
  <c r="G606" i="4"/>
  <c r="B600" i="4"/>
  <c r="L593" i="4"/>
  <c r="H946" i="4"/>
  <c r="K799" i="4"/>
  <c r="N748" i="4"/>
  <c r="L708" i="4"/>
  <c r="N701" i="4"/>
  <c r="J695" i="4"/>
  <c r="M689" i="4"/>
  <c r="H683" i="4"/>
  <c r="D677" i="4"/>
  <c r="G671" i="4"/>
  <c r="C665" i="4"/>
  <c r="L658" i="4"/>
  <c r="N652" i="4"/>
  <c r="J646" i="4"/>
  <c r="F640" i="4"/>
  <c r="H634" i="4"/>
  <c r="D628" i="4"/>
  <c r="K621" i="4"/>
  <c r="A616" i="4"/>
  <c r="K609" i="4"/>
  <c r="F603" i="4"/>
  <c r="J597" i="4"/>
  <c r="F591" i="4"/>
  <c r="B585" i="4"/>
  <c r="B709" i="4"/>
  <c r="K657" i="4"/>
  <c r="B616" i="4"/>
  <c r="G591" i="4"/>
  <c r="I582" i="4"/>
  <c r="M576" i="4"/>
  <c r="I571" i="4"/>
  <c r="A567" i="4"/>
  <c r="G562" i="4"/>
  <c r="M557" i="4"/>
  <c r="E553" i="4"/>
  <c r="J548" i="4"/>
  <c r="B544" i="4"/>
  <c r="H539" i="4"/>
  <c r="N534" i="4"/>
  <c r="F530" i="4"/>
  <c r="L525" i="4"/>
  <c r="D521" i="4"/>
  <c r="J516" i="4"/>
  <c r="A512" i="4"/>
  <c r="G507" i="4"/>
  <c r="L502" i="4"/>
  <c r="D498" i="4"/>
  <c r="I493" i="4"/>
  <c r="N488" i="4"/>
  <c r="F484" i="4"/>
  <c r="L479" i="4"/>
  <c r="C475" i="4"/>
  <c r="I470" i="4"/>
  <c r="A466" i="4"/>
  <c r="H929" i="4"/>
  <c r="F689" i="4"/>
  <c r="G652" i="4"/>
  <c r="H615" i="4"/>
  <c r="H593" i="4"/>
  <c r="D585" i="4"/>
  <c r="B579" i="4"/>
  <c r="H574" i="4"/>
  <c r="L569" i="4"/>
  <c r="D565" i="4"/>
  <c r="J560" i="4"/>
  <c r="B556" i="4"/>
  <c r="H551" i="4"/>
  <c r="M546" i="4"/>
  <c r="E542" i="4"/>
  <c r="K537" i="4"/>
  <c r="C533" i="4"/>
  <c r="I528" i="4"/>
  <c r="A524" i="4"/>
  <c r="G519" i="4"/>
  <c r="M514" i="4"/>
  <c r="D510" i="4"/>
  <c r="I505" i="4"/>
  <c r="A501" i="4"/>
  <c r="G496" i="4"/>
  <c r="L491" i="4"/>
  <c r="C487" i="4"/>
  <c r="I482" i="4"/>
  <c r="A478" i="4"/>
  <c r="F473" i="4"/>
  <c r="L468" i="4"/>
  <c r="D464" i="4"/>
  <c r="M767" i="4"/>
  <c r="I679" i="4"/>
  <c r="K642" i="4"/>
  <c r="L605" i="4"/>
  <c r="C591" i="4"/>
  <c r="D583" i="4"/>
  <c r="M577" i="4"/>
  <c r="D573" i="4"/>
  <c r="I568" i="4"/>
  <c r="A564" i="4"/>
  <c r="G559" i="4"/>
  <c r="M554" i="4"/>
  <c r="E550" i="4"/>
  <c r="J545" i="4"/>
  <c r="B541" i="4"/>
  <c r="H536" i="4"/>
  <c r="N531" i="4"/>
  <c r="F527" i="4"/>
  <c r="L522" i="4"/>
  <c r="D518" i="4"/>
  <c r="I513" i="4"/>
  <c r="A509" i="4"/>
  <c r="F504" i="4"/>
  <c r="L499" i="4"/>
  <c r="C495" i="4"/>
  <c r="I490" i="4"/>
  <c r="N485" i="4"/>
  <c r="F481" i="4"/>
  <c r="L476" i="4"/>
  <c r="C472" i="4"/>
  <c r="I467" i="4"/>
  <c r="A463" i="4"/>
  <c r="H726" i="4"/>
  <c r="F674" i="4"/>
  <c r="I637" i="4"/>
  <c r="M600" i="4"/>
  <c r="M589" i="4"/>
  <c r="E582" i="4"/>
  <c r="D577" i="4"/>
  <c r="H572" i="4"/>
  <c r="N567" i="4"/>
  <c r="F563" i="4"/>
  <c r="L558" i="4"/>
  <c r="D554" i="4"/>
  <c r="J549" i="4"/>
  <c r="A545" i="4"/>
  <c r="G540" i="4"/>
  <c r="M535" i="4"/>
  <c r="E531" i="4"/>
  <c r="K526" i="4"/>
  <c r="C522" i="4"/>
  <c r="I517" i="4"/>
  <c r="N512" i="4"/>
  <c r="F508" i="4"/>
  <c r="K503" i="4"/>
  <c r="C499" i="4"/>
  <c r="H494" i="4"/>
  <c r="N489" i="4"/>
  <c r="E485" i="4"/>
  <c r="K480" i="4"/>
  <c r="C476" i="4"/>
  <c r="H471" i="4"/>
  <c r="N466" i="4"/>
  <c r="F462" i="4"/>
  <c r="G701" i="4"/>
  <c r="J664" i="4"/>
  <c r="J627" i="4"/>
  <c r="H597" i="4"/>
  <c r="I587" i="4"/>
  <c r="I580" i="4"/>
  <c r="A576" i="4"/>
  <c r="E571" i="4"/>
  <c r="K566" i="4"/>
  <c r="C562" i="4"/>
  <c r="I557" i="4"/>
  <c r="A553" i="4"/>
  <c r="F548" i="4"/>
  <c r="L543" i="4"/>
  <c r="D539" i="4"/>
  <c r="J534" i="4"/>
  <c r="B530" i="4"/>
  <c r="H525" i="4"/>
  <c r="N520" i="4"/>
  <c r="F516" i="4"/>
  <c r="K511" i="4"/>
  <c r="C507" i="4"/>
  <c r="H502" i="4"/>
  <c r="N497" i="4"/>
  <c r="E493" i="4"/>
  <c r="J488" i="4"/>
  <c r="B484" i="4"/>
  <c r="H479" i="4"/>
  <c r="M474" i="4"/>
  <c r="E470" i="4"/>
  <c r="K465" i="4"/>
  <c r="C461" i="4"/>
  <c r="J691" i="4"/>
  <c r="L654" i="4"/>
  <c r="L617" i="4"/>
  <c r="E594" i="4"/>
  <c r="K585" i="4"/>
  <c r="F579" i="4"/>
  <c r="L574" i="4"/>
  <c r="B570" i="4"/>
  <c r="H565" i="4"/>
  <c r="N560" i="4"/>
  <c r="F556" i="4"/>
  <c r="L551" i="4"/>
  <c r="C547" i="4"/>
  <c r="I542" i="4"/>
  <c r="A538" i="4"/>
  <c r="G533" i="4"/>
  <c r="M528" i="4"/>
  <c r="E524" i="4"/>
  <c r="K519" i="4"/>
  <c r="C515" i="4"/>
  <c r="H510" i="4"/>
  <c r="M505" i="4"/>
  <c r="E501" i="4"/>
  <c r="K496" i="4"/>
  <c r="B492" i="4"/>
  <c r="G487" i="4"/>
  <c r="M482" i="4"/>
  <c r="E478" i="4"/>
  <c r="J473" i="4"/>
  <c r="B469" i="4"/>
  <c r="H464" i="4"/>
  <c r="L819" i="4"/>
  <c r="M685" i="4"/>
  <c r="A649" i="4"/>
  <c r="B612" i="4"/>
  <c r="K592" i="4"/>
  <c r="I584" i="4"/>
  <c r="J578" i="4"/>
  <c r="A574" i="4"/>
  <c r="F569" i="4"/>
  <c r="L564" i="4"/>
  <c r="D560" i="4"/>
  <c r="J555" i="4"/>
  <c r="B551" i="4"/>
  <c r="G546" i="4"/>
  <c r="M541" i="4"/>
  <c r="E537" i="4"/>
  <c r="K532" i="4"/>
  <c r="C528" i="4"/>
  <c r="I523" i="4"/>
  <c r="A519" i="4"/>
  <c r="G514" i="4"/>
  <c r="L509" i="4"/>
  <c r="C505" i="4"/>
  <c r="I500" i="4"/>
  <c r="N495" i="4"/>
  <c r="F491" i="4"/>
  <c r="K486" i="4"/>
  <c r="C482" i="4"/>
  <c r="I477" i="4"/>
  <c r="N472" i="4"/>
  <c r="F468" i="4"/>
  <c r="L463" i="4"/>
  <c r="G686" i="4"/>
  <c r="M564" i="4"/>
  <c r="D528" i="4"/>
  <c r="G491" i="4"/>
  <c r="A460" i="4"/>
  <c r="G455" i="4"/>
  <c r="M450" i="4"/>
  <c r="D446" i="4"/>
  <c r="J441" i="4"/>
  <c r="B437" i="4"/>
  <c r="G432" i="4"/>
  <c r="L427" i="4"/>
  <c r="D423" i="4"/>
  <c r="H418" i="4"/>
  <c r="M413" i="4"/>
  <c r="C409" i="4"/>
  <c r="I404" i="4"/>
  <c r="A645" i="4"/>
  <c r="K559" i="4"/>
  <c r="B523" i="4"/>
  <c r="D486" i="4"/>
  <c r="F459" i="4"/>
  <c r="L454" i="4"/>
  <c r="D450" i="4"/>
  <c r="I445" i="4"/>
  <c r="A441" i="4"/>
  <c r="G436" i="4"/>
  <c r="L431" i="4"/>
  <c r="C427" i="4"/>
  <c r="I422" i="4"/>
  <c r="L417" i="4"/>
  <c r="D413" i="4"/>
  <c r="H408" i="4"/>
  <c r="N403" i="4"/>
  <c r="M572" i="4"/>
  <c r="D536" i="4"/>
  <c r="H499" i="4"/>
  <c r="K462" i="4"/>
  <c r="G456" i="4"/>
  <c r="M451" i="4"/>
  <c r="D447" i="4"/>
  <c r="J442" i="4"/>
  <c r="B438" i="4"/>
  <c r="G433" i="4"/>
  <c r="L428" i="4"/>
  <c r="D424" i="4"/>
  <c r="I419" i="4"/>
  <c r="M414" i="4"/>
  <c r="C410" i="4"/>
  <c r="I405" i="4"/>
  <c r="G589" i="4"/>
  <c r="G549" i="4"/>
  <c r="K512" i="4"/>
  <c r="M475" i="4"/>
  <c r="B458" i="4"/>
  <c r="H453" i="4"/>
  <c r="M448" i="4"/>
  <c r="E444" i="4"/>
  <c r="K439" i="4"/>
  <c r="B435" i="4"/>
  <c r="H430" i="4"/>
  <c r="M425" i="4"/>
  <c r="D421" i="4"/>
  <c r="H416" i="4"/>
  <c r="M411" i="4"/>
  <c r="D407" i="4"/>
  <c r="B668" i="4"/>
  <c r="I562" i="4"/>
  <c r="N525" i="4"/>
  <c r="C489" i="4"/>
  <c r="K459" i="4"/>
  <c r="C455" i="4"/>
  <c r="I450" i="4"/>
  <c r="N445" i="4"/>
  <c r="F441" i="4"/>
  <c r="L436" i="4"/>
  <c r="C432" i="4"/>
  <c r="H427" i="4"/>
  <c r="N422" i="4"/>
  <c r="D418" i="4"/>
  <c r="I413" i="4"/>
  <c r="M408" i="4"/>
  <c r="E404" i="4"/>
  <c r="M575" i="4"/>
  <c r="B539" i="4"/>
  <c r="F502" i="4"/>
  <c r="I465" i="4"/>
  <c r="L456" i="4"/>
  <c r="D452" i="4"/>
  <c r="I447" i="4"/>
  <c r="A443" i="4"/>
  <c r="G438" i="4"/>
  <c r="L433" i="4"/>
  <c r="D429" i="4"/>
  <c r="I424" i="4"/>
  <c r="N419" i="4"/>
  <c r="D415" i="4"/>
  <c r="H410" i="4"/>
  <c r="N405" i="4"/>
  <c r="M658" i="4"/>
  <c r="G561" i="4"/>
  <c r="L524" i="4"/>
  <c r="N487" i="4"/>
  <c r="I459" i="4"/>
  <c r="A455" i="4"/>
  <c r="G450" i="4"/>
  <c r="L445" i="4"/>
  <c r="D441" i="4"/>
  <c r="J436" i="4"/>
  <c r="A432" i="4"/>
  <c r="F427" i="4"/>
  <c r="L422" i="4"/>
  <c r="A418" i="4"/>
  <c r="G413" i="4"/>
  <c r="K408" i="4"/>
  <c r="D617" i="4"/>
  <c r="E556" i="4"/>
  <c r="J519" i="4"/>
  <c r="L482" i="4"/>
  <c r="N458" i="4"/>
  <c r="F454" i="4"/>
  <c r="L449" i="4"/>
  <c r="C445" i="4"/>
  <c r="I440" i="4"/>
  <c r="N435" i="4"/>
  <c r="F431" i="4"/>
  <c r="K426" i="4"/>
  <c r="B422" i="4"/>
  <c r="F417" i="4"/>
  <c r="L412" i="4"/>
  <c r="B408" i="4"/>
  <c r="H403" i="4"/>
  <c r="L399" i="4"/>
  <c r="D395" i="4"/>
  <c r="I390" i="4"/>
  <c r="N385" i="4"/>
  <c r="F381" i="4"/>
  <c r="L376" i="4"/>
  <c r="A372" i="4"/>
  <c r="G367" i="4"/>
  <c r="K362" i="4"/>
  <c r="B358" i="4"/>
  <c r="H353" i="4"/>
  <c r="N348" i="4"/>
  <c r="F344" i="4"/>
  <c r="L339" i="4"/>
  <c r="D335" i="4"/>
  <c r="J330" i="4"/>
  <c r="N325" i="4"/>
  <c r="F321" i="4"/>
  <c r="K316" i="4"/>
  <c r="B312" i="4"/>
  <c r="G307" i="4"/>
  <c r="L302" i="4"/>
  <c r="D298" i="4"/>
  <c r="H293" i="4"/>
  <c r="K288" i="4"/>
  <c r="M283" i="4"/>
  <c r="D279" i="4"/>
  <c r="F274" i="4"/>
  <c r="K404" i="4"/>
  <c r="I398" i="4"/>
  <c r="A394" i="4"/>
  <c r="F389" i="4"/>
  <c r="K384" i="4"/>
  <c r="C380" i="4"/>
  <c r="I375" i="4"/>
  <c r="L370" i="4"/>
  <c r="D366" i="4"/>
  <c r="H361" i="4"/>
  <c r="M356" i="4"/>
  <c r="E352" i="4"/>
  <c r="K347" i="4"/>
  <c r="C343" i="4"/>
  <c r="I338" i="4"/>
  <c r="A334" i="4"/>
  <c r="F329" i="4"/>
  <c r="K324" i="4"/>
  <c r="C320" i="4"/>
  <c r="H315" i="4"/>
  <c r="M310" i="4"/>
  <c r="D306" i="4"/>
  <c r="I301" i="4"/>
  <c r="A297" i="4"/>
  <c r="D292" i="4"/>
  <c r="G287" i="4"/>
  <c r="J282" i="4"/>
  <c r="M277" i="4"/>
  <c r="E881" i="4"/>
  <c r="D844" i="4"/>
  <c r="C767" i="4"/>
  <c r="F838" i="4"/>
  <c r="D769" i="4"/>
  <c r="A948" i="4"/>
  <c r="H800" i="4"/>
  <c r="L750" i="4"/>
  <c r="J941" i="4"/>
  <c r="D799" i="4"/>
  <c r="I749" i="4"/>
  <c r="H915" i="4"/>
  <c r="J792" i="4"/>
  <c r="B743" i="4"/>
  <c r="H757" i="4"/>
  <c r="B665" i="4"/>
  <c r="F615" i="4"/>
  <c r="A904" i="4"/>
  <c r="G691" i="4"/>
  <c r="F656" i="4"/>
  <c r="G627" i="4"/>
  <c r="B602" i="4"/>
  <c r="I765" i="4"/>
  <c r="D705" i="4"/>
  <c r="N691" i="4"/>
  <c r="E679" i="4"/>
  <c r="F668" i="4"/>
  <c r="C655" i="4"/>
  <c r="G642" i="4"/>
  <c r="G631" i="4"/>
  <c r="B618" i="4"/>
  <c r="H605" i="4"/>
  <c r="B802" i="4"/>
  <c r="G707" i="4"/>
  <c r="L694" i="4"/>
  <c r="L683" i="4"/>
  <c r="I670" i="4"/>
  <c r="N657" i="4"/>
  <c r="N646" i="4"/>
  <c r="J633" i="4"/>
  <c r="M620" i="4"/>
  <c r="A610" i="4"/>
  <c r="L596" i="4"/>
  <c r="B587" i="4"/>
  <c r="K878" i="4"/>
  <c r="L759" i="4"/>
  <c r="D706" i="4"/>
  <c r="A697" i="4"/>
  <c r="L687" i="4"/>
  <c r="I678" i="4"/>
  <c r="F669" i="4"/>
  <c r="D660" i="4"/>
  <c r="M650" i="4"/>
  <c r="K641" i="4"/>
  <c r="G632" i="4"/>
  <c r="C623" i="4"/>
  <c r="N613" i="4"/>
  <c r="L604" i="4"/>
  <c r="E597" i="4"/>
  <c r="B858" i="4"/>
  <c r="L763" i="4"/>
  <c r="C709" i="4"/>
  <c r="H701" i="4"/>
  <c r="B694" i="4"/>
  <c r="C687" i="4"/>
  <c r="B679" i="4"/>
  <c r="I671" i="4"/>
  <c r="K664" i="4"/>
  <c r="D657" i="4"/>
  <c r="D650" i="4"/>
  <c r="D642" i="4"/>
  <c r="J634" i="4"/>
  <c r="K627" i="4"/>
  <c r="C620" i="4"/>
  <c r="E613" i="4"/>
  <c r="E605" i="4"/>
  <c r="H599" i="4"/>
  <c r="D593" i="4"/>
  <c r="J908" i="4"/>
  <c r="B795" i="4"/>
  <c r="F744" i="4"/>
  <c r="C707" i="4"/>
  <c r="F701" i="4"/>
  <c r="B695" i="4"/>
  <c r="K688" i="4"/>
  <c r="N682" i="4"/>
  <c r="J676" i="4"/>
  <c r="E670" i="4"/>
  <c r="I664" i="4"/>
  <c r="D658" i="4"/>
  <c r="L651" i="4"/>
  <c r="B646" i="4"/>
  <c r="L639" i="4"/>
  <c r="F633" i="4"/>
  <c r="I627" i="4"/>
  <c r="C621" i="4"/>
  <c r="M614" i="4"/>
  <c r="C609" i="4"/>
  <c r="L602" i="4"/>
  <c r="H596" i="4"/>
  <c r="L590" i="4"/>
  <c r="H584" i="4"/>
  <c r="C699" i="4"/>
  <c r="A653" i="4"/>
  <c r="N606" i="4"/>
  <c r="E590" i="4"/>
  <c r="K581" i="4"/>
  <c r="E576" i="4"/>
  <c r="A571" i="4"/>
  <c r="G566" i="4"/>
  <c r="M561" i="4"/>
  <c r="E557" i="4"/>
  <c r="K552" i="4"/>
  <c r="B548" i="4"/>
  <c r="H543" i="4"/>
  <c r="N538" i="4"/>
  <c r="F534" i="4"/>
  <c r="L529" i="4"/>
  <c r="D525" i="4"/>
  <c r="J520" i="4"/>
  <c r="B516" i="4"/>
  <c r="G511" i="4"/>
  <c r="M506" i="4"/>
  <c r="D502" i="4"/>
  <c r="J497" i="4"/>
  <c r="A493" i="4"/>
  <c r="F488" i="4"/>
  <c r="L483" i="4"/>
  <c r="D479" i="4"/>
  <c r="I474" i="4"/>
  <c r="A470" i="4"/>
  <c r="G465" i="4"/>
  <c r="J809" i="4"/>
  <c r="K684" i="4"/>
  <c r="M647" i="4"/>
  <c r="N610" i="4"/>
  <c r="F592" i="4"/>
  <c r="E584" i="4"/>
  <c r="H578" i="4"/>
  <c r="M573" i="4"/>
  <c r="D569" i="4"/>
  <c r="J932" i="4"/>
  <c r="E1081" i="4"/>
  <c r="J732" i="4"/>
  <c r="B797" i="4"/>
  <c r="M750" i="4"/>
  <c r="I897" i="4"/>
  <c r="I790" i="4"/>
  <c r="G740" i="4"/>
  <c r="N892" i="4"/>
  <c r="F789" i="4"/>
  <c r="D739" i="4"/>
  <c r="C867" i="4"/>
  <c r="M782" i="4"/>
  <c r="K732" i="4"/>
  <c r="B703" i="4"/>
  <c r="E655" i="4"/>
  <c r="B605" i="4"/>
  <c r="E789" i="4"/>
  <c r="I688" i="4"/>
  <c r="I654" i="4"/>
  <c r="E619" i="4"/>
  <c r="H601" i="4"/>
  <c r="F756" i="4"/>
  <c r="F702" i="4"/>
  <c r="F691" i="4"/>
  <c r="C678" i="4"/>
  <c r="H665" i="4"/>
  <c r="H654" i="4"/>
  <c r="E641" i="4"/>
  <c r="I628" i="4"/>
  <c r="H617" i="4"/>
  <c r="F604" i="4"/>
  <c r="L778" i="4"/>
  <c r="M706" i="4"/>
  <c r="J693" i="4"/>
  <c r="N680" i="4"/>
  <c r="A670" i="4"/>
  <c r="L656" i="4"/>
  <c r="B644" i="4"/>
  <c r="B633" i="4"/>
  <c r="K619" i="4"/>
  <c r="C607" i="4"/>
  <c r="D596" i="4"/>
  <c r="L584" i="4"/>
  <c r="F815" i="4"/>
  <c r="G741" i="4"/>
  <c r="N703" i="4"/>
  <c r="K694" i="4"/>
  <c r="G685" i="4"/>
  <c r="E676" i="4"/>
  <c r="B667" i="4"/>
  <c r="M657" i="4"/>
  <c r="I648" i="4"/>
  <c r="G639" i="4"/>
  <c r="C630" i="4"/>
  <c r="L620" i="4"/>
  <c r="J611" i="4"/>
  <c r="D604" i="4"/>
  <c r="C596" i="4"/>
  <c r="L814" i="4"/>
  <c r="D759" i="4"/>
  <c r="N707" i="4"/>
  <c r="N700" i="4"/>
  <c r="M692" i="4"/>
  <c r="F685" i="4"/>
  <c r="H678" i="4"/>
  <c r="A671" i="4"/>
  <c r="C664" i="4"/>
  <c r="B656" i="4"/>
  <c r="H648" i="4"/>
  <c r="J641" i="4"/>
  <c r="B634" i="4"/>
  <c r="C627" i="4"/>
  <c r="A619" i="4"/>
  <c r="I611" i="4"/>
  <c r="K604" i="4"/>
  <c r="F598" i="4"/>
  <c r="J592" i="4"/>
  <c r="C890" i="4"/>
  <c r="L785" i="4"/>
  <c r="K739" i="4"/>
  <c r="I706" i="4"/>
  <c r="D700" i="4"/>
  <c r="H694" i="4"/>
  <c r="C688" i="4"/>
  <c r="L681" i="4"/>
  <c r="A676" i="4"/>
  <c r="K669" i="4"/>
  <c r="G663" i="4"/>
  <c r="J657" i="4"/>
  <c r="D651" i="4"/>
  <c r="N644" i="4"/>
  <c r="D639" i="4"/>
  <c r="L632" i="4"/>
  <c r="G626" i="4"/>
  <c r="I620" i="4"/>
  <c r="E614" i="4"/>
  <c r="A608" i="4"/>
  <c r="D602" i="4"/>
  <c r="N595" i="4"/>
  <c r="J589" i="4"/>
  <c r="N583" i="4"/>
  <c r="I694" i="4"/>
  <c r="M643" i="4"/>
  <c r="E602" i="4"/>
  <c r="C589" i="4"/>
  <c r="N580" i="4"/>
  <c r="K575" i="4"/>
  <c r="G570" i="4"/>
  <c r="M565" i="4"/>
  <c r="E561" i="4"/>
  <c r="K556" i="4"/>
  <c r="C552" i="4"/>
  <c r="H547" i="4"/>
  <c r="N542" i="4"/>
  <c r="F538" i="4"/>
  <c r="L533" i="4"/>
  <c r="D529" i="4"/>
  <c r="J524" i="4"/>
  <c r="B520" i="4"/>
  <c r="H515" i="4"/>
  <c r="M510" i="4"/>
  <c r="E506" i="4"/>
  <c r="J501" i="4"/>
  <c r="B497" i="4"/>
  <c r="G492" i="4"/>
  <c r="L487" i="4"/>
  <c r="D483" i="4"/>
  <c r="J478" i="4"/>
  <c r="A474" i="4"/>
  <c r="G469" i="4"/>
  <c r="M464" i="4"/>
  <c r="G772" i="4"/>
  <c r="C680" i="4"/>
  <c r="E643" i="4"/>
  <c r="F606" i="4"/>
  <c r="D591" i="4"/>
  <c r="G583" i="4"/>
  <c r="N577" i="4"/>
  <c r="E573" i="4"/>
  <c r="J568" i="4"/>
  <c r="B564" i="4"/>
  <c r="H559" i="4"/>
  <c r="N554" i="4"/>
  <c r="F550" i="4"/>
  <c r="K545" i="4"/>
  <c r="C541" i="4"/>
  <c r="I536" i="4"/>
  <c r="A532" i="4"/>
  <c r="G527" i="4"/>
  <c r="M522" i="4"/>
  <c r="E518" i="4"/>
  <c r="J513" i="4"/>
  <c r="B509" i="4"/>
  <c r="G504" i="4"/>
  <c r="M499" i="4"/>
  <c r="D495" i="4"/>
  <c r="J490" i="4"/>
  <c r="A486" i="4"/>
  <c r="G481" i="4"/>
  <c r="M476" i="4"/>
  <c r="D472" i="4"/>
  <c r="J467" i="4"/>
  <c r="B463" i="4"/>
  <c r="D707" i="4"/>
  <c r="F670" i="4"/>
  <c r="G633" i="4"/>
  <c r="G599" i="4"/>
  <c r="M588" i="4"/>
  <c r="H581" i="4"/>
  <c r="K576" i="4"/>
  <c r="A572" i="4"/>
  <c r="G567" i="4"/>
  <c r="M562" i="4"/>
  <c r="E558" i="4"/>
  <c r="K553" i="4"/>
  <c r="C549" i="4"/>
  <c r="H544" i="4"/>
  <c r="N539" i="4"/>
  <c r="F535" i="4"/>
  <c r="L530" i="4"/>
  <c r="D526" i="4"/>
  <c r="J521" i="4"/>
  <c r="B517" i="4"/>
  <c r="G512" i="4"/>
  <c r="M507" i="4"/>
  <c r="D503" i="4"/>
  <c r="J498" i="4"/>
  <c r="A494" i="4"/>
  <c r="G489" i="4"/>
  <c r="L484" i="4"/>
  <c r="H895" i="4"/>
  <c r="D927" i="4"/>
  <c r="B968" i="4"/>
  <c r="C772" i="4"/>
  <c r="C749" i="4"/>
  <c r="A893" i="4"/>
  <c r="J787" i="4"/>
  <c r="M739" i="4"/>
  <c r="F888" i="4"/>
  <c r="G786" i="4"/>
  <c r="J738" i="4"/>
  <c r="I862" i="4"/>
  <c r="M779" i="4"/>
  <c r="C732" i="4"/>
  <c r="M701" i="4"/>
  <c r="E652" i="4"/>
  <c r="H604" i="4"/>
  <c r="N756" i="4"/>
  <c r="D682" i="4"/>
  <c r="J651" i="4"/>
  <c r="I617" i="4"/>
  <c r="K901" i="4"/>
  <c r="L751" i="4"/>
  <c r="C701" i="4"/>
  <c r="H688" i="4"/>
  <c r="I677" i="4"/>
  <c r="F664" i="4"/>
  <c r="I651" i="4"/>
  <c r="K640" i="4"/>
  <c r="F627" i="4"/>
  <c r="J614" i="4"/>
  <c r="K603" i="4"/>
  <c r="I769" i="4"/>
  <c r="A704" i="4"/>
  <c r="A693" i="4"/>
  <c r="L679" i="4"/>
  <c r="C667" i="4"/>
  <c r="D656" i="4"/>
  <c r="N642" i="4"/>
  <c r="D630" i="4"/>
  <c r="C619" i="4"/>
  <c r="A606" i="4"/>
  <c r="F593" i="4"/>
  <c r="D584" i="4"/>
  <c r="L810" i="4"/>
  <c r="L736" i="4"/>
  <c r="F703" i="4"/>
  <c r="C694" i="4"/>
  <c r="M684" i="4"/>
  <c r="J675" i="4"/>
  <c r="H666" i="4"/>
  <c r="E657" i="4"/>
  <c r="A648" i="4"/>
  <c r="M638" i="4"/>
  <c r="I629" i="4"/>
  <c r="D620" i="4"/>
  <c r="B611" i="4"/>
  <c r="G602" i="4"/>
  <c r="I595" i="4"/>
  <c r="D810" i="4"/>
  <c r="J754" i="4"/>
  <c r="K706" i="4"/>
  <c r="D699" i="4"/>
  <c r="E692" i="4"/>
  <c r="L684" i="4"/>
  <c r="N677" i="4"/>
  <c r="M669" i="4"/>
  <c r="G662" i="4"/>
  <c r="H655" i="4"/>
  <c r="N647" i="4"/>
  <c r="B641" i="4"/>
  <c r="N632" i="4"/>
  <c r="G625" i="4"/>
  <c r="G618" i="4"/>
  <c r="A611" i="4"/>
  <c r="C604" i="4"/>
  <c r="L597" i="4"/>
  <c r="H591" i="4"/>
  <c r="L871" i="4"/>
  <c r="C781" i="4"/>
  <c r="H730" i="4"/>
  <c r="A706" i="4"/>
  <c r="J699" i="4"/>
  <c r="F693" i="4"/>
  <c r="I687" i="4"/>
  <c r="D681" i="4"/>
  <c r="M674" i="4"/>
  <c r="C669" i="4"/>
  <c r="M662" i="4"/>
  <c r="H656" i="4"/>
  <c r="J650" i="4"/>
  <c r="F644" i="4"/>
  <c r="B638" i="4"/>
  <c r="D632" i="4"/>
  <c r="M625" i="4"/>
  <c r="G619" i="4"/>
  <c r="K613" i="4"/>
  <c r="G607" i="4"/>
  <c r="B601" i="4"/>
  <c r="F595" i="4"/>
  <c r="B589" i="4"/>
  <c r="L582" i="4"/>
  <c r="N689" i="4"/>
  <c r="E639" i="4"/>
  <c r="L599" i="4"/>
  <c r="B588" i="4"/>
  <c r="E580" i="4"/>
  <c r="C575" i="4"/>
  <c r="M569" i="4"/>
  <c r="E565" i="4"/>
  <c r="K560" i="4"/>
  <c r="C556" i="4"/>
  <c r="I551" i="4"/>
  <c r="N546" i="4"/>
  <c r="F542" i="4"/>
  <c r="L537" i="4"/>
  <c r="D533" i="4"/>
  <c r="J528" i="4"/>
  <c r="B524" i="4"/>
  <c r="H519" i="4"/>
  <c r="N514" i="4"/>
  <c r="E510" i="4"/>
  <c r="J505" i="4"/>
  <c r="B501" i="4"/>
  <c r="H496" i="4"/>
  <c r="M491" i="4"/>
  <c r="D487" i="4"/>
  <c r="J482" i="4"/>
  <c r="B478" i="4"/>
  <c r="G473" i="4"/>
  <c r="M468" i="4"/>
  <c r="E464" i="4"/>
  <c r="J735" i="4"/>
  <c r="H675" i="4"/>
  <c r="K638" i="4"/>
  <c r="K601" i="4"/>
  <c r="B590" i="4"/>
  <c r="G582" i="4"/>
  <c r="F577" i="4"/>
  <c r="J572" i="4"/>
  <c r="B568" i="4"/>
  <c r="H563" i="4"/>
  <c r="N558" i="4"/>
  <c r="E866" i="4"/>
  <c r="D894" i="4"/>
  <c r="C815" i="4"/>
  <c r="L749" i="4"/>
  <c r="C730" i="4"/>
  <c r="A854" i="4"/>
  <c r="D777" i="4"/>
  <c r="L727" i="4"/>
  <c r="D849" i="4"/>
  <c r="A776" i="4"/>
  <c r="I726" i="4"/>
  <c r="E823" i="4"/>
  <c r="H769" i="4"/>
  <c r="B720" i="4"/>
  <c r="B692" i="4"/>
  <c r="A642" i="4"/>
  <c r="M595" i="4"/>
  <c r="F752" i="4"/>
  <c r="D678" i="4"/>
  <c r="F645" i="4"/>
  <c r="K614" i="4"/>
  <c r="N864" i="4"/>
  <c r="L728" i="4"/>
  <c r="I700" i="4"/>
  <c r="F687" i="4"/>
  <c r="J674" i="4"/>
  <c r="L663" i="4"/>
  <c r="G650" i="4"/>
  <c r="M637" i="4"/>
  <c r="L626" i="4"/>
  <c r="H613" i="4"/>
  <c r="K1010" i="4"/>
  <c r="N764" i="4"/>
  <c r="M702" i="4"/>
  <c r="C690" i="4"/>
  <c r="D679" i="4"/>
  <c r="A666" i="4"/>
  <c r="D653" i="4"/>
  <c r="F642" i="4"/>
  <c r="B629" i="4"/>
  <c r="E616" i="4"/>
  <c r="G605" i="4"/>
  <c r="D592" i="4"/>
  <c r="B583" i="4"/>
  <c r="H801" i="4"/>
  <c r="J727" i="4"/>
  <c r="D702" i="4"/>
  <c r="N692" i="4"/>
  <c r="K683" i="4"/>
  <c r="H674" i="4"/>
  <c r="F665" i="4"/>
  <c r="C656" i="4"/>
  <c r="M646" i="4"/>
  <c r="K637" i="4"/>
  <c r="G628" i="4"/>
  <c r="B619" i="4"/>
  <c r="N609" i="4"/>
  <c r="M601" i="4"/>
  <c r="A595" i="4"/>
  <c r="N800" i="4"/>
  <c r="M740" i="4"/>
  <c r="C706" i="4"/>
  <c r="J698" i="4"/>
  <c r="K691" i="4"/>
  <c r="J683" i="4"/>
  <c r="D676" i="4"/>
  <c r="E669" i="4"/>
  <c r="M661" i="4"/>
  <c r="M654" i="4"/>
  <c r="L646" i="4"/>
  <c r="F639" i="4"/>
  <c r="F632" i="4"/>
  <c r="L624" i="4"/>
  <c r="M617" i="4"/>
  <c r="M609" i="4"/>
  <c r="N602" i="4"/>
  <c r="D597" i="4"/>
  <c r="N590" i="4"/>
  <c r="N834" i="4"/>
  <c r="H776" i="4"/>
  <c r="N725" i="4"/>
  <c r="M704" i="4"/>
  <c r="B699" i="4"/>
  <c r="K692" i="4"/>
  <c r="F686" i="4"/>
  <c r="J680" i="4"/>
  <c r="E674" i="4"/>
  <c r="A668" i="4"/>
  <c r="E662" i="4"/>
  <c r="N655" i="4"/>
  <c r="H649" i="4"/>
  <c r="L643" i="4"/>
  <c r="H637" i="4"/>
  <c r="B631" i="4"/>
  <c r="E625" i="4"/>
  <c r="M618" i="4"/>
  <c r="I612" i="4"/>
  <c r="M606" i="4"/>
  <c r="H600" i="4"/>
  <c r="D594" i="4"/>
  <c r="H588" i="4"/>
  <c r="D582" i="4"/>
  <c r="K680" i="4"/>
  <c r="I634" i="4"/>
  <c r="E598" i="4"/>
  <c r="C587" i="4"/>
  <c r="K579" i="4"/>
  <c r="I574" i="4"/>
  <c r="E569" i="4"/>
  <c r="K564" i="4"/>
  <c r="C560" i="4"/>
  <c r="I555" i="4"/>
  <c r="A551" i="4"/>
  <c r="F546" i="4"/>
  <c r="L541" i="4"/>
  <c r="D537" i="4"/>
  <c r="J532" i="4"/>
  <c r="B528" i="4"/>
  <c r="H523" i="4"/>
  <c r="N518" i="4"/>
  <c r="F514" i="4"/>
  <c r="K509" i="4"/>
  <c r="B505" i="4"/>
  <c r="H500" i="4"/>
  <c r="M495" i="4"/>
  <c r="E491" i="4"/>
  <c r="J486" i="4"/>
  <c r="B482" i="4"/>
  <c r="H477" i="4"/>
  <c r="M472" i="4"/>
  <c r="E468" i="4"/>
  <c r="K463" i="4"/>
  <c r="L707" i="4"/>
  <c r="N670" i="4"/>
  <c r="A634" i="4"/>
  <c r="K599" i="4"/>
  <c r="N588" i="4"/>
  <c r="J581" i="4"/>
  <c r="L576" i="4"/>
  <c r="B572" i="4"/>
  <c r="H567" i="4"/>
  <c r="N562" i="4"/>
  <c r="F558" i="4"/>
  <c r="L553" i="4"/>
  <c r="D549" i="4"/>
  <c r="I544" i="4"/>
  <c r="A540" i="4"/>
  <c r="G535" i="4"/>
  <c r="M530" i="4"/>
  <c r="E526" i="4"/>
  <c r="K521" i="4"/>
  <c r="C517" i="4"/>
  <c r="H512" i="4"/>
  <c r="N507" i="4"/>
  <c r="E503" i="4"/>
  <c r="K498" i="4"/>
  <c r="B494" i="4"/>
  <c r="H489" i="4"/>
  <c r="M484" i="4"/>
  <c r="E480" i="4"/>
  <c r="J475" i="4"/>
  <c r="B471" i="4"/>
  <c r="H466" i="4"/>
  <c r="N461" i="4"/>
  <c r="A698" i="4"/>
  <c r="D661" i="4"/>
  <c r="C624" i="4"/>
  <c r="F596" i="4"/>
  <c r="N586" i="4"/>
  <c r="C580" i="4"/>
  <c r="I575" i="4"/>
  <c r="M570" i="4"/>
  <c r="E566" i="4"/>
  <c r="K561" i="4"/>
  <c r="C557" i="4"/>
  <c r="I552" i="4"/>
  <c r="N547" i="4"/>
  <c r="F543" i="4"/>
  <c r="L538" i="4"/>
  <c r="D534" i="4"/>
  <c r="J529" i="4"/>
  <c r="B525" i="4"/>
  <c r="H520" i="4"/>
  <c r="N515" i="4"/>
  <c r="E511" i="4"/>
  <c r="K506" i="4"/>
  <c r="B502" i="4"/>
  <c r="H497" i="4"/>
  <c r="M492" i="4"/>
  <c r="D488" i="4"/>
  <c r="J483" i="4"/>
  <c r="B479" i="4"/>
  <c r="G474" i="4"/>
  <c r="M469" i="4"/>
  <c r="E465" i="4"/>
  <c r="K460" i="4"/>
  <c r="L692" i="4"/>
  <c r="A656" i="4"/>
  <c r="N618" i="4"/>
  <c r="J594" i="4"/>
  <c r="M585" i="4"/>
  <c r="H579" i="4"/>
  <c r="N574" i="4"/>
  <c r="D570" i="4"/>
  <c r="J565" i="4"/>
  <c r="B561" i="4"/>
  <c r="H556" i="4"/>
  <c r="N551" i="4"/>
  <c r="E547" i="4"/>
  <c r="K542" i="4"/>
  <c r="C538" i="4"/>
  <c r="I533" i="4"/>
  <c r="A529" i="4"/>
  <c r="G524" i="4"/>
  <c r="M519" i="4"/>
  <c r="E515" i="4"/>
  <c r="J510" i="4"/>
  <c r="A506" i="4"/>
  <c r="G501" i="4"/>
  <c r="M496" i="4"/>
  <c r="D492" i="4"/>
  <c r="I487" i="4"/>
  <c r="A483" i="4"/>
  <c r="G478" i="4"/>
  <c r="L473" i="4"/>
  <c r="D469" i="4"/>
  <c r="J464" i="4"/>
  <c r="J795" i="4"/>
  <c r="A683" i="4"/>
  <c r="C646" i="4"/>
  <c r="D609" i="4"/>
  <c r="A592" i="4"/>
  <c r="A584" i="4"/>
  <c r="E578" i="4"/>
  <c r="J573" i="4"/>
  <c r="A569" i="4"/>
  <c r="G564" i="4"/>
  <c r="M559" i="4"/>
  <c r="E555" i="4"/>
  <c r="K550" i="4"/>
  <c r="B546" i="4"/>
  <c r="H541" i="4"/>
  <c r="N536" i="4"/>
  <c r="F532" i="4"/>
  <c r="L527" i="4"/>
  <c r="D523" i="4"/>
  <c r="J518" i="4"/>
  <c r="A514" i="4"/>
  <c r="G509" i="4"/>
  <c r="L504" i="4"/>
  <c r="D500" i="4"/>
  <c r="I495" i="4"/>
  <c r="A491" i="4"/>
  <c r="F486" i="4"/>
  <c r="L481" i="4"/>
  <c r="D477" i="4"/>
  <c r="I472" i="4"/>
  <c r="A468" i="4"/>
  <c r="G463" i="4"/>
  <c r="D717" i="4"/>
  <c r="D673" i="4"/>
  <c r="G636" i="4"/>
  <c r="F600" i="4"/>
  <c r="H589" i="4"/>
  <c r="A582" i="4"/>
  <c r="B577" i="4"/>
  <c r="F572" i="4"/>
  <c r="L567" i="4"/>
  <c r="D563" i="4"/>
  <c r="J558" i="4"/>
  <c r="B554" i="4"/>
  <c r="H549" i="4"/>
  <c r="M544" i="4"/>
  <c r="E540" i="4"/>
  <c r="K535" i="4"/>
  <c r="C531" i="4"/>
  <c r="I526" i="4"/>
  <c r="A522" i="4"/>
  <c r="G517" i="4"/>
  <c r="L512" i="4"/>
  <c r="D508" i="4"/>
  <c r="I503" i="4"/>
  <c r="A499" i="4"/>
  <c r="F494" i="4"/>
  <c r="L489" i="4"/>
  <c r="C485" i="4"/>
  <c r="I480" i="4"/>
  <c r="N475" i="4"/>
  <c r="F471" i="4"/>
  <c r="L466" i="4"/>
  <c r="D462" i="4"/>
  <c r="F704" i="4"/>
  <c r="H667" i="4"/>
  <c r="I630" i="4"/>
  <c r="I598" i="4"/>
  <c r="C588" i="4"/>
  <c r="B581" i="4"/>
  <c r="F576" i="4"/>
  <c r="J571" i="4"/>
  <c r="B567" i="4"/>
  <c r="H562" i="4"/>
  <c r="N557" i="4"/>
  <c r="F553" i="4"/>
  <c r="K548" i="4"/>
  <c r="C544" i="4"/>
  <c r="I539" i="4"/>
  <c r="A535" i="4"/>
  <c r="G530" i="4"/>
  <c r="M525" i="4"/>
  <c r="E521" i="4"/>
  <c r="K516" i="4"/>
  <c r="B512" i="4"/>
  <c r="H507" i="4"/>
  <c r="M502" i="4"/>
  <c r="E498" i="4"/>
  <c r="J493" i="4"/>
  <c r="A489" i="4"/>
  <c r="G484" i="4"/>
  <c r="M479" i="4"/>
  <c r="D475" i="4"/>
  <c r="J470" i="4"/>
  <c r="B466" i="4"/>
  <c r="H461" i="4"/>
  <c r="J584" i="4"/>
  <c r="H546" i="4"/>
  <c r="M509" i="4"/>
  <c r="A473" i="4"/>
  <c r="K457" i="4"/>
  <c r="C453" i="4"/>
  <c r="H448" i="4"/>
  <c r="N443" i="4"/>
  <c r="F439" i="4"/>
  <c r="K434" i="4"/>
  <c r="C430" i="4"/>
  <c r="H425" i="4"/>
  <c r="M420" i="4"/>
  <c r="C416" i="4"/>
  <c r="H411" i="4"/>
  <c r="M406" i="4"/>
  <c r="E402" i="4"/>
  <c r="C578" i="4"/>
  <c r="F541" i="4"/>
  <c r="J504" i="4"/>
  <c r="M467" i="4"/>
  <c r="B457" i="4"/>
  <c r="H452" i="4"/>
  <c r="M447" i="4"/>
  <c r="E443" i="4"/>
  <c r="K438" i="4"/>
  <c r="B434" i="4"/>
  <c r="H429" i="4"/>
  <c r="M424" i="4"/>
  <c r="D420" i="4"/>
  <c r="H415" i="4"/>
  <c r="L410" i="4"/>
  <c r="D406" i="4"/>
  <c r="G603" i="4"/>
  <c r="I554" i="4"/>
  <c r="N517" i="4"/>
  <c r="B481" i="4"/>
  <c r="K458" i="4"/>
  <c r="C454" i="4"/>
  <c r="I449" i="4"/>
  <c r="N444" i="4"/>
  <c r="F440" i="4"/>
  <c r="K435" i="4"/>
  <c r="C431" i="4"/>
  <c r="H426" i="4"/>
  <c r="M421" i="4"/>
  <c r="C417" i="4"/>
  <c r="I412" i="4"/>
  <c r="M407" i="4"/>
  <c r="C713" i="4"/>
  <c r="K567" i="4"/>
  <c r="B531" i="4"/>
  <c r="E494" i="4"/>
  <c r="G460" i="4"/>
  <c r="L455" i="4"/>
  <c r="D451" i="4"/>
  <c r="I446" i="4"/>
  <c r="A442" i="4"/>
  <c r="G437" i="4"/>
  <c r="L432" i="4"/>
  <c r="C428" i="4"/>
  <c r="I423" i="4"/>
  <c r="M418" i="4"/>
  <c r="D414" i="4"/>
  <c r="H409" i="4"/>
  <c r="N404" i="4"/>
  <c r="C581" i="4"/>
  <c r="D544" i="4"/>
  <c r="I507" i="4"/>
  <c r="K470" i="4"/>
  <c r="G457" i="4"/>
  <c r="M452" i="4"/>
  <c r="D448" i="4"/>
  <c r="J443" i="4"/>
  <c r="B439" i="4"/>
  <c r="G434" i="4"/>
  <c r="M429" i="4"/>
  <c r="D425" i="4"/>
  <c r="I420" i="4"/>
  <c r="M415" i="4"/>
  <c r="D411" i="4"/>
  <c r="I406" i="4"/>
  <c r="H626" i="4"/>
  <c r="G557" i="4"/>
  <c r="L520" i="4"/>
  <c r="N483" i="4"/>
  <c r="B459" i="4"/>
  <c r="H454" i="4"/>
  <c r="N449" i="4"/>
  <c r="E445" i="4"/>
  <c r="K440" i="4"/>
  <c r="C436" i="4"/>
  <c r="H431" i="4"/>
  <c r="M426" i="4"/>
  <c r="D422" i="4"/>
  <c r="H417" i="4"/>
  <c r="N412" i="4"/>
  <c r="D408" i="4"/>
  <c r="J403" i="4"/>
  <c r="M579" i="4"/>
  <c r="B543" i="4"/>
  <c r="G506" i="4"/>
  <c r="I469" i="4"/>
  <c r="E457" i="4"/>
  <c r="K452" i="4"/>
  <c r="B448" i="4"/>
  <c r="H443" i="4"/>
  <c r="N438" i="4"/>
  <c r="E434" i="4"/>
  <c r="K429" i="4"/>
  <c r="B425" i="4"/>
  <c r="G420" i="4"/>
  <c r="K415" i="4"/>
  <c r="A411" i="4"/>
  <c r="G406" i="4"/>
  <c r="K574" i="4"/>
  <c r="N537" i="4"/>
  <c r="D501" i="4"/>
  <c r="G464" i="4"/>
  <c r="J456" i="4"/>
  <c r="B452" i="4"/>
  <c r="G447" i="4"/>
  <c r="M442" i="4"/>
  <c r="E438" i="4"/>
  <c r="J433" i="4"/>
  <c r="A429" i="4"/>
  <c r="G424" i="4"/>
  <c r="L419" i="4"/>
  <c r="B415" i="4"/>
  <c r="F410" i="4"/>
  <c r="L405" i="4"/>
  <c r="C402" i="4"/>
  <c r="H397" i="4"/>
  <c r="M392" i="4"/>
  <c r="D388" i="4"/>
  <c r="J383" i="4"/>
  <c r="B379" i="4"/>
  <c r="H374" i="4"/>
  <c r="K369" i="4"/>
  <c r="B365" i="4"/>
  <c r="F360" i="4"/>
  <c r="L355" i="4"/>
  <c r="D351" i="4"/>
  <c r="J346" i="4"/>
  <c r="B342" i="4"/>
  <c r="H337" i="4"/>
  <c r="N332" i="4"/>
  <c r="D328" i="4"/>
  <c r="J323" i="4"/>
  <c r="B319" i="4"/>
  <c r="G314" i="4"/>
  <c r="K309" i="4"/>
  <c r="C305" i="4"/>
  <c r="H300" i="4"/>
  <c r="N295" i="4"/>
  <c r="A291" i="4"/>
  <c r="E286" i="4"/>
  <c r="H281" i="4"/>
  <c r="L276" i="4"/>
  <c r="M271" i="4"/>
  <c r="M400" i="4"/>
  <c r="E396" i="4"/>
  <c r="J391" i="4"/>
  <c r="A387" i="4"/>
  <c r="G382" i="4"/>
  <c r="M377" i="4"/>
  <c r="D373" i="4"/>
  <c r="H368" i="4"/>
  <c r="L363" i="4"/>
  <c r="C359" i="4"/>
  <c r="I354" i="4"/>
  <c r="A350" i="4"/>
  <c r="G345" i="4"/>
  <c r="M340" i="4"/>
  <c r="E336" i="4"/>
  <c r="K331" i="4"/>
  <c r="A327" i="4"/>
  <c r="G322" i="4"/>
  <c r="L317" i="4"/>
  <c r="D313" i="4"/>
  <c r="H308" i="4"/>
  <c r="M303" i="4"/>
  <c r="E299" i="4"/>
  <c r="J294" i="4"/>
  <c r="L289" i="4"/>
  <c r="A285" i="4"/>
  <c r="E280" i="4"/>
  <c r="H275" i="4"/>
  <c r="B831" i="4"/>
  <c r="G728" i="4"/>
  <c r="K837" i="4"/>
  <c r="N768" i="4"/>
  <c r="G592" i="4"/>
  <c r="A609" i="4"/>
  <c r="K686" i="4"/>
  <c r="K636" i="4"/>
  <c r="A742" i="4"/>
  <c r="G665" i="4"/>
  <c r="C615" i="4"/>
  <c r="L796" i="4"/>
  <c r="C683" i="4"/>
  <c r="E646" i="4"/>
  <c r="F609" i="4"/>
  <c r="D736" i="4"/>
  <c r="B683" i="4"/>
  <c r="B653" i="4"/>
  <c r="J623" i="4"/>
  <c r="B596" i="4"/>
  <c r="E721" i="4"/>
  <c r="L685" i="4"/>
  <c r="C661" i="4"/>
  <c r="N636" i="4"/>
  <c r="A612" i="4"/>
  <c r="F587" i="4"/>
  <c r="M596" i="4"/>
  <c r="K568" i="4"/>
  <c r="G550" i="4"/>
  <c r="B532" i="4"/>
  <c r="K513" i="4"/>
  <c r="E495" i="4"/>
  <c r="N476" i="4"/>
  <c r="D703" i="4"/>
  <c r="A588" i="4"/>
  <c r="N566" i="4"/>
  <c r="H555" i="4"/>
  <c r="E546" i="4"/>
  <c r="C537" i="4"/>
  <c r="A528" i="4"/>
  <c r="M518" i="4"/>
  <c r="J509" i="4"/>
  <c r="G500" i="4"/>
  <c r="D491" i="4"/>
  <c r="A482" i="4"/>
  <c r="L472" i="4"/>
  <c r="J463" i="4"/>
  <c r="N674" i="4"/>
  <c r="C601" i="4"/>
  <c r="F582" i="4"/>
  <c r="I572" i="4"/>
  <c r="G563" i="4"/>
  <c r="E554" i="4"/>
  <c r="B545" i="4"/>
  <c r="N535" i="4"/>
  <c r="L526" i="4"/>
  <c r="J517" i="4"/>
  <c r="G508" i="4"/>
  <c r="D499" i="4"/>
  <c r="A490" i="4"/>
  <c r="L480" i="4"/>
  <c r="M473" i="4"/>
  <c r="G466" i="4"/>
  <c r="F800" i="4"/>
  <c r="J660" i="4"/>
  <c r="D599" i="4"/>
  <c r="N584" i="4"/>
  <c r="B576" i="4"/>
  <c r="B569" i="4"/>
  <c r="J561" i="4"/>
  <c r="J553" i="4"/>
  <c r="K546" i="4"/>
  <c r="E539" i="4"/>
  <c r="G532" i="4"/>
  <c r="A525" i="4"/>
  <c r="A517" i="4"/>
  <c r="B510" i="4"/>
  <c r="I502" i="4"/>
  <c r="J495" i="4"/>
  <c r="C488" i="4"/>
  <c r="C480" i="4"/>
  <c r="D473" i="4"/>
  <c r="L465" i="4"/>
  <c r="M721" i="4"/>
  <c r="K650" i="4"/>
  <c r="A596" i="4"/>
  <c r="A583" i="4"/>
  <c r="M574" i="4"/>
  <c r="M567" i="4"/>
  <c r="G560" i="4"/>
  <c r="G552" i="4"/>
  <c r="H545" i="4"/>
  <c r="B538" i="4"/>
  <c r="D531" i="4"/>
  <c r="L523" i="4"/>
  <c r="L515" i="4"/>
  <c r="M508" i="4"/>
  <c r="F501" i="4"/>
  <c r="G494" i="4"/>
  <c r="N486" i="4"/>
  <c r="N478" i="4"/>
  <c r="A472" i="4"/>
  <c r="I464" i="4"/>
  <c r="M700" i="4"/>
  <c r="A641" i="4"/>
  <c r="N592" i="4"/>
  <c r="D581" i="4"/>
  <c r="I573" i="4"/>
  <c r="J566" i="4"/>
  <c r="D559" i="4"/>
  <c r="D551" i="4"/>
  <c r="E544" i="4"/>
  <c r="M536" i="4"/>
  <c r="A530" i="4"/>
  <c r="I522" i="4"/>
  <c r="I514" i="4"/>
  <c r="J507" i="4"/>
  <c r="C500" i="4"/>
  <c r="D493" i="4"/>
  <c r="K485" i="4"/>
  <c r="K477" i="4"/>
  <c r="L470" i="4"/>
  <c r="F463" i="4"/>
  <c r="C695" i="4"/>
  <c r="D635" i="4"/>
  <c r="I591" i="4"/>
  <c r="F580" i="4"/>
  <c r="L572" i="4"/>
  <c r="N565" i="4"/>
  <c r="H558" i="4"/>
  <c r="H550" i="4"/>
  <c r="I543" i="4"/>
  <c r="C536" i="4"/>
  <c r="E529" i="4"/>
  <c r="M521" i="4"/>
  <c r="L513" i="4"/>
  <c r="N506" i="4"/>
  <c r="G499" i="4"/>
  <c r="H492" i="4"/>
  <c r="A485" i="4"/>
  <c r="A477" i="4"/>
  <c r="B470" i="4"/>
  <c r="J462" i="4"/>
  <c r="C574" i="4"/>
  <c r="H514" i="4"/>
  <c r="G459" i="4"/>
  <c r="I452" i="4"/>
  <c r="B445" i="4"/>
  <c r="D438" i="4"/>
  <c r="K430" i="4"/>
  <c r="J422" i="4"/>
  <c r="I415" i="4"/>
  <c r="A408" i="4"/>
  <c r="F786" i="4"/>
  <c r="N545" i="4"/>
  <c r="J481" i="4"/>
  <c r="H456" i="4"/>
  <c r="A449" i="4"/>
  <c r="C442" i="4"/>
  <c r="J434" i="4"/>
  <c r="I426" i="4"/>
  <c r="J419" i="4"/>
  <c r="A412" i="4"/>
  <c r="B405" i="4"/>
  <c r="C559" i="4"/>
  <c r="M494" i="4"/>
  <c r="C458" i="4"/>
  <c r="K450" i="4"/>
  <c r="L443" i="4"/>
  <c r="F436" i="4"/>
  <c r="D428" i="4"/>
  <c r="E421" i="4"/>
  <c r="K413" i="4"/>
  <c r="K406" i="4"/>
  <c r="E572" i="4"/>
  <c r="C508" i="4"/>
  <c r="L459" i="4"/>
  <c r="F452" i="4"/>
  <c r="G445" i="4"/>
  <c r="A438" i="4"/>
  <c r="N429" i="4"/>
  <c r="A423" i="4"/>
  <c r="F415" i="4"/>
  <c r="F408" i="4"/>
  <c r="E588" i="4"/>
  <c r="F521" i="4"/>
  <c r="C466" i="4"/>
  <c r="A454" i="4"/>
  <c r="B447" i="4"/>
  <c r="J439" i="4"/>
  <c r="E433" i="4"/>
  <c r="N426" i="4"/>
  <c r="C421" i="4"/>
  <c r="K414" i="4"/>
  <c r="E408" i="4"/>
  <c r="H663" i="4"/>
  <c r="D548" i="4"/>
  <c r="L497" i="4"/>
  <c r="J459" i="4"/>
  <c r="F453" i="4"/>
  <c r="A447" i="4"/>
  <c r="J943" i="4"/>
  <c r="G717" i="4"/>
  <c r="C813" i="4"/>
  <c r="M756" i="4"/>
  <c r="E591" i="4"/>
  <c r="M607" i="4"/>
  <c r="M683" i="4"/>
  <c r="C636" i="4"/>
  <c r="L732" i="4"/>
  <c r="I662" i="4"/>
  <c r="I614" i="4"/>
  <c r="D778" i="4"/>
  <c r="M680" i="4"/>
  <c r="A644" i="4"/>
  <c r="B607" i="4"/>
  <c r="B727" i="4"/>
  <c r="H682" i="4"/>
  <c r="H652" i="4"/>
  <c r="A623" i="4"/>
  <c r="H595" i="4"/>
  <c r="J712" i="4"/>
  <c r="D685" i="4"/>
  <c r="I660" i="4"/>
  <c r="K635" i="4"/>
  <c r="G611" i="4"/>
  <c r="L586" i="4"/>
  <c r="D595" i="4"/>
  <c r="C568" i="4"/>
  <c r="M549" i="4"/>
  <c r="H531" i="4"/>
  <c r="C513" i="4"/>
  <c r="K494" i="4"/>
  <c r="F476" i="4"/>
  <c r="I698" i="4"/>
  <c r="A587" i="4"/>
  <c r="F566" i="4"/>
  <c r="F554" i="4"/>
  <c r="C545" i="4"/>
  <c r="A536" i="4"/>
  <c r="M526" i="4"/>
  <c r="K517" i="4"/>
  <c r="H508" i="4"/>
  <c r="E499" i="4"/>
  <c r="B490" i="4"/>
  <c r="M480" i="4"/>
  <c r="J471" i="4"/>
  <c r="H462" i="4"/>
  <c r="L665" i="4"/>
  <c r="A598" i="4"/>
  <c r="K580" i="4"/>
  <c r="G571" i="4"/>
  <c r="E562" i="4"/>
  <c r="C553" i="4"/>
  <c r="N543" i="4"/>
  <c r="L534" i="4"/>
  <c r="J525" i="4"/>
  <c r="H516" i="4"/>
  <c r="E507" i="4"/>
  <c r="B498" i="4"/>
  <c r="L488" i="4"/>
  <c r="D480" i="4"/>
  <c r="E473" i="4"/>
  <c r="M465" i="4"/>
  <c r="J706" i="4"/>
  <c r="E651" i="4"/>
  <c r="K597" i="4"/>
  <c r="B584" i="4"/>
  <c r="H575" i="4"/>
  <c r="F567" i="4"/>
  <c r="H560" i="4"/>
  <c r="B553" i="4"/>
  <c r="C546" i="4"/>
  <c r="K538" i="4"/>
  <c r="K530" i="4"/>
  <c r="M523" i="4"/>
  <c r="G516" i="4"/>
  <c r="H509" i="4"/>
  <c r="A502" i="4"/>
  <c r="N493" i="4"/>
  <c r="A487" i="4"/>
  <c r="I479" i="4"/>
  <c r="J472" i="4"/>
  <c r="D465" i="4"/>
  <c r="M696" i="4"/>
  <c r="I641" i="4"/>
  <c r="I594" i="4"/>
  <c r="B582" i="4"/>
  <c r="E574" i="4"/>
  <c r="C566" i="4"/>
  <c r="E559" i="4"/>
  <c r="M551" i="4"/>
  <c r="N544" i="4"/>
  <c r="H537" i="4"/>
  <c r="H529" i="4"/>
  <c r="J522" i="4"/>
  <c r="D515" i="4"/>
  <c r="E508" i="4"/>
  <c r="L500" i="4"/>
  <c r="K492" i="4"/>
  <c r="L485" i="4"/>
  <c r="F478" i="4"/>
  <c r="G471" i="4"/>
  <c r="A464" i="4"/>
  <c r="A687" i="4"/>
  <c r="K631" i="4"/>
  <c r="L591" i="4"/>
  <c r="H580" i="4"/>
  <c r="N572" i="4"/>
  <c r="N564" i="4"/>
  <c r="B558" i="4"/>
  <c r="J550" i="4"/>
  <c r="K543" i="4"/>
  <c r="E536" i="4"/>
  <c r="E528" i="4"/>
  <c r="G521" i="4"/>
  <c r="N513" i="4"/>
  <c r="B507" i="4"/>
  <c r="I499" i="4"/>
  <c r="H491" i="4"/>
  <c r="I484" i="4"/>
  <c r="C477" i="4"/>
  <c r="D470" i="4"/>
  <c r="L462" i="4"/>
  <c r="E681" i="4"/>
  <c r="N625" i="4"/>
  <c r="G590" i="4"/>
  <c r="L579" i="4"/>
  <c r="D572" i="4"/>
  <c r="D564" i="4"/>
  <c r="F557" i="4"/>
  <c r="N549" i="4"/>
  <c r="A543" i="4"/>
  <c r="I535" i="4"/>
  <c r="I527" i="4"/>
  <c r="K520" i="4"/>
  <c r="D513" i="4"/>
  <c r="F506" i="4"/>
  <c r="M498" i="4"/>
  <c r="L490" i="4"/>
  <c r="M483" i="4"/>
  <c r="G476" i="4"/>
  <c r="H469" i="4"/>
  <c r="B462" i="4"/>
  <c r="E560" i="4"/>
  <c r="D505" i="4"/>
  <c r="M458" i="4"/>
  <c r="A452" i="4"/>
  <c r="H444" i="4"/>
  <c r="H436" i="4"/>
  <c r="I429" i="4"/>
  <c r="A422" i="4"/>
  <c r="A415" i="4"/>
  <c r="G407" i="4"/>
  <c r="B608" i="4"/>
  <c r="L536" i="4"/>
  <c r="B477" i="4"/>
  <c r="N455" i="4"/>
  <c r="G448" i="4"/>
  <c r="G440" i="4"/>
  <c r="H433" i="4"/>
  <c r="A426" i="4"/>
  <c r="A419" i="4"/>
  <c r="G411" i="4"/>
  <c r="H749" i="4"/>
  <c r="A550" i="4"/>
  <c r="E490" i="4"/>
  <c r="I457" i="4"/>
  <c r="C450" i="4"/>
  <c r="B442" i="4"/>
  <c r="C435" i="4"/>
  <c r="J427" i="4"/>
  <c r="K420" i="4"/>
  <c r="C413" i="4"/>
  <c r="A405" i="4"/>
  <c r="C563" i="4"/>
  <c r="H503" i="4"/>
  <c r="D459" i="4"/>
  <c r="L451" i="4"/>
  <c r="K443" i="4"/>
  <c r="M436" i="4"/>
  <c r="F429" i="4"/>
  <c r="A865" i="4"/>
  <c r="F842" i="4"/>
  <c r="G775" i="4"/>
  <c r="N718" i="4"/>
  <c r="M705" i="4"/>
  <c r="F846" i="4"/>
  <c r="H673" i="4"/>
  <c r="M623" i="4"/>
  <c r="E702" i="4"/>
  <c r="B652" i="4"/>
  <c r="H602" i="4"/>
  <c r="A723" i="4"/>
  <c r="N673" i="4"/>
  <c r="C637" i="4"/>
  <c r="K600" i="4"/>
  <c r="I705" i="4"/>
  <c r="I675" i="4"/>
  <c r="D646" i="4"/>
  <c r="C616" i="4"/>
  <c r="F590" i="4"/>
  <c r="E704" i="4"/>
  <c r="H679" i="4"/>
  <c r="F655" i="4"/>
  <c r="H630" i="4"/>
  <c r="K605" i="4"/>
  <c r="A955" i="4"/>
  <c r="E586" i="4"/>
  <c r="C564" i="4"/>
  <c r="L545" i="4"/>
  <c r="H527" i="4"/>
  <c r="C509" i="4"/>
  <c r="K490" i="4"/>
  <c r="E472" i="4"/>
  <c r="F666" i="4"/>
  <c r="M580" i="4"/>
  <c r="J564" i="4"/>
  <c r="D553" i="4"/>
  <c r="A544" i="4"/>
  <c r="M534" i="4"/>
  <c r="K525" i="4"/>
  <c r="I516" i="4"/>
  <c r="F507" i="4"/>
  <c r="C498" i="4"/>
  <c r="M488" i="4"/>
  <c r="K479" i="4"/>
  <c r="H470" i="4"/>
  <c r="F461" i="4"/>
  <c r="I656" i="4"/>
  <c r="M594" i="4"/>
  <c r="I579" i="4"/>
  <c r="E570" i="4"/>
  <c r="C561" i="4"/>
  <c r="A552" i="4"/>
  <c r="L542" i="4"/>
  <c r="J533" i="4"/>
  <c r="H524" i="4"/>
  <c r="F515" i="4"/>
  <c r="C506" i="4"/>
  <c r="N496" i="4"/>
  <c r="J487" i="4"/>
  <c r="J479" i="4"/>
  <c r="I471" i="4"/>
  <c r="K464" i="4"/>
  <c r="A702" i="4"/>
  <c r="K646" i="4"/>
  <c r="E596" i="4"/>
  <c r="G581" i="4"/>
  <c r="F574" i="4"/>
  <c r="L566" i="4"/>
  <c r="N559" i="4"/>
  <c r="H552" i="4"/>
  <c r="G544" i="4"/>
  <c r="I537" i="4"/>
  <c r="C530" i="4"/>
  <c r="E523" i="4"/>
  <c r="M515" i="4"/>
  <c r="L507" i="4"/>
  <c r="M500" i="4"/>
  <c r="F493" i="4"/>
  <c r="G486" i="4"/>
  <c r="A479" i="4"/>
  <c r="N470" i="4"/>
  <c r="B464" i="4"/>
  <c r="D692" i="4"/>
  <c r="A637" i="4"/>
  <c r="C593" i="4"/>
  <c r="A580" i="4"/>
  <c r="A573" i="4"/>
  <c r="I565" i="4"/>
  <c r="K558" i="4"/>
  <c r="E551" i="4"/>
  <c r="D543" i="4"/>
  <c r="F536" i="4"/>
  <c r="N528" i="4"/>
  <c r="B522" i="4"/>
  <c r="J514" i="4"/>
  <c r="I506" i="4"/>
  <c r="J499" i="4"/>
  <c r="C492" i="4"/>
  <c r="D485" i="4"/>
  <c r="L477" i="4"/>
  <c r="K469" i="4"/>
  <c r="M462" i="4"/>
  <c r="G682" i="4"/>
  <c r="B627" i="4"/>
  <c r="J590" i="4"/>
  <c r="L578" i="4"/>
  <c r="L571" i="4"/>
  <c r="F564" i="4"/>
  <c r="H557" i="4"/>
  <c r="B550" i="4"/>
  <c r="A542" i="4"/>
  <c r="C535" i="4"/>
  <c r="K527" i="4"/>
  <c r="M520" i="4"/>
  <c r="F513" i="4"/>
  <c r="E505" i="4"/>
  <c r="G498" i="4"/>
  <c r="N490" i="4"/>
  <c r="A484" i="4"/>
  <c r="I476" i="4"/>
  <c r="H468" i="4"/>
  <c r="J461" i="4"/>
  <c r="K676" i="4"/>
  <c r="D621" i="4"/>
  <c r="E589" i="4"/>
  <c r="B578" i="4"/>
  <c r="B571" i="4"/>
  <c r="J563" i="4"/>
  <c r="L556" i="4"/>
  <c r="F549" i="4"/>
  <c r="E541" i="4"/>
  <c r="G534" i="4"/>
  <c r="A527" i="4"/>
  <c r="C520" i="4"/>
  <c r="J512" i="4"/>
  <c r="I504" i="4"/>
  <c r="K497" i="4"/>
  <c r="D490" i="4"/>
  <c r="E483" i="4"/>
  <c r="L475" i="4"/>
  <c r="L467" i="4"/>
  <c r="N460" i="4"/>
  <c r="K555" i="4"/>
  <c r="J500" i="4"/>
  <c r="E458" i="4"/>
  <c r="E450" i="4"/>
  <c r="F443" i="4"/>
  <c r="M435" i="4"/>
  <c r="N428" i="4"/>
  <c r="G421" i="4"/>
  <c r="E413" i="4"/>
  <c r="E406" i="4"/>
  <c r="K591" i="4"/>
  <c r="D532" i="4"/>
  <c r="G472" i="4"/>
  <c r="D454" i="4"/>
  <c r="E447" i="4"/>
  <c r="M439" i="4"/>
  <c r="N432" i="4"/>
  <c r="G425" i="4"/>
  <c r="D417" i="4"/>
  <c r="D410" i="4"/>
  <c r="E677" i="4"/>
  <c r="F545" i="4"/>
  <c r="J485" i="4"/>
  <c r="M455" i="4"/>
  <c r="N448" i="4"/>
  <c r="H441" i="4"/>
  <c r="I434" i="4"/>
  <c r="B427" i="4"/>
  <c r="N418" i="4"/>
  <c r="N411" i="4"/>
  <c r="G404" i="4"/>
  <c r="I558" i="4"/>
  <c r="N498" i="4"/>
  <c r="H457" i="4"/>
  <c r="J450" i="4"/>
  <c r="C443" i="4"/>
  <c r="E436" i="4"/>
  <c r="K428" i="4"/>
  <c r="L829" i="4"/>
  <c r="F814" i="4"/>
  <c r="E763" i="4"/>
  <c r="A709" i="4"/>
  <c r="G702" i="4"/>
  <c r="J802" i="4"/>
  <c r="N672" i="4"/>
  <c r="J622" i="4"/>
  <c r="F699" i="4"/>
  <c r="H651" i="4"/>
  <c r="F601" i="4"/>
  <c r="F709" i="4"/>
  <c r="J671" i="4"/>
  <c r="K634" i="4"/>
  <c r="C600" i="4"/>
  <c r="M703" i="4"/>
  <c r="G674" i="4"/>
  <c r="J645" i="4"/>
  <c r="I615" i="4"/>
  <c r="D589" i="4"/>
  <c r="K703" i="4"/>
  <c r="N678" i="4"/>
  <c r="C654" i="4"/>
  <c r="N629" i="4"/>
  <c r="C605" i="4"/>
  <c r="B777" i="4"/>
  <c r="E585" i="4"/>
  <c r="I563" i="4"/>
  <c r="D545" i="4"/>
  <c r="N526" i="4"/>
  <c r="I508" i="4"/>
  <c r="C490" i="4"/>
  <c r="K471" i="4"/>
  <c r="L661" i="4"/>
  <c r="D580" i="4"/>
  <c r="F562" i="4"/>
  <c r="J552" i="4"/>
  <c r="G543" i="4"/>
  <c r="E534" i="4"/>
  <c r="C525" i="4"/>
  <c r="A516" i="4"/>
  <c r="L506" i="4"/>
  <c r="I497" i="4"/>
  <c r="E488" i="4"/>
  <c r="C479" i="4"/>
  <c r="N469" i="4"/>
  <c r="N910" i="4"/>
  <c r="M651" i="4"/>
  <c r="G593" i="4"/>
  <c r="A579" i="4"/>
  <c r="K569" i="4"/>
  <c r="I560" i="4"/>
  <c r="G551" i="4"/>
  <c r="D542" i="4"/>
  <c r="B533" i="4"/>
  <c r="N523" i="4"/>
  <c r="L514" i="4"/>
  <c r="H505" i="4"/>
  <c r="F496" i="4"/>
  <c r="B487" i="4"/>
  <c r="H478" i="4"/>
  <c r="A471" i="4"/>
  <c r="C464" i="4"/>
  <c r="G697" i="4"/>
  <c r="M632" i="4"/>
  <c r="E593" i="4"/>
  <c r="J580" i="4"/>
  <c r="K573" i="4"/>
  <c r="D566" i="4"/>
  <c r="D558" i="4"/>
  <c r="F551" i="4"/>
  <c r="M543" i="4"/>
  <c r="A537" i="4"/>
  <c r="I529" i="4"/>
  <c r="I521" i="4"/>
  <c r="K514" i="4"/>
  <c r="D507" i="4"/>
  <c r="E500" i="4"/>
  <c r="L492" i="4"/>
  <c r="K484" i="4"/>
  <c r="M477" i="4"/>
  <c r="F470" i="4"/>
  <c r="H463" i="4"/>
  <c r="J687" i="4"/>
  <c r="N622" i="4"/>
  <c r="M590" i="4"/>
  <c r="G579" i="4"/>
  <c r="G572" i="4"/>
  <c r="A565" i="4"/>
  <c r="A557" i="4"/>
  <c r="C550" i="4"/>
  <c r="J542" i="4"/>
  <c r="L535" i="4"/>
  <c r="F528" i="4"/>
  <c r="F520" i="4"/>
  <c r="G513" i="4"/>
  <c r="N505" i="4"/>
  <c r="B499" i="4"/>
  <c r="I491" i="4"/>
  <c r="H483" i="4"/>
  <c r="J476" i="4"/>
  <c r="C469" i="4"/>
  <c r="E462" i="4"/>
  <c r="M677" i="4"/>
  <c r="D613" i="4"/>
  <c r="F588" i="4"/>
  <c r="D578" i="4"/>
  <c r="D571" i="4"/>
  <c r="L563" i="4"/>
  <c r="L555" i="4"/>
  <c r="M548" i="4"/>
  <c r="G541" i="4"/>
  <c r="I534" i="4"/>
  <c r="C527" i="4"/>
  <c r="C519" i="4"/>
  <c r="D512" i="4"/>
  <c r="K504" i="4"/>
  <c r="M497" i="4"/>
  <c r="F490" i="4"/>
  <c r="E482" i="4"/>
  <c r="F475" i="4"/>
  <c r="N467" i="4"/>
  <c r="B461" i="4"/>
  <c r="B672" i="4"/>
  <c r="H607" i="4"/>
  <c r="D587" i="4"/>
  <c r="H577" i="4"/>
  <c r="H570" i="4"/>
  <c r="B563" i="4"/>
  <c r="B555" i="4"/>
  <c r="C548" i="4"/>
  <c r="K540" i="4"/>
  <c r="M533" i="4"/>
  <c r="G526" i="4"/>
  <c r="G518" i="4"/>
  <c r="H511" i="4"/>
  <c r="A504" i="4"/>
  <c r="C497" i="4"/>
  <c r="J489" i="4"/>
  <c r="I481" i="4"/>
  <c r="J474" i="4"/>
  <c r="D467" i="4"/>
  <c r="F460" i="4"/>
  <c r="C551" i="4"/>
  <c r="L486" i="4"/>
  <c r="C457" i="4"/>
  <c r="K449" i="4"/>
  <c r="L442" i="4"/>
  <c r="E435" i="4"/>
  <c r="D427" i="4"/>
  <c r="E420" i="4"/>
  <c r="K412" i="4"/>
  <c r="K405" i="4"/>
  <c r="K583" i="4"/>
  <c r="H518" i="4"/>
  <c r="E463" i="4"/>
  <c r="J453" i="4"/>
  <c r="K446" i="4"/>
  <c r="E439" i="4"/>
  <c r="D431" i="4"/>
  <c r="E424" i="4"/>
  <c r="J416" i="4"/>
  <c r="J409" i="4"/>
  <c r="G640" i="4"/>
  <c r="J531" i="4"/>
  <c r="H476" i="4"/>
  <c r="E455" i="4"/>
  <c r="F448" i="4"/>
  <c r="N440" i="4"/>
  <c r="M432" i="4"/>
  <c r="N425" i="4"/>
  <c r="F418" i="4"/>
  <c r="F411" i="4"/>
  <c r="M403" i="4"/>
  <c r="L544" i="4"/>
  <c r="K489" i="4"/>
  <c r="N456" i="4"/>
  <c r="B450" i="4"/>
  <c r="I442" i="4"/>
  <c r="H434" i="4"/>
  <c r="I427" i="4"/>
  <c r="B420" i="4"/>
  <c r="B413" i="4"/>
  <c r="H405" i="4"/>
  <c r="A558" i="4"/>
  <c r="N502" i="4"/>
  <c r="I458" i="4"/>
  <c r="K451" i="4"/>
  <c r="D444" i="4"/>
  <c r="F437" i="4"/>
  <c r="A431" i="4"/>
  <c r="J424" i="4"/>
  <c r="L418" i="4"/>
  <c r="G412" i="4"/>
  <c r="A406" i="4"/>
  <c r="G580" i="4"/>
  <c r="N529" i="4"/>
  <c r="F479" i="4"/>
  <c r="F457" i="4"/>
  <c r="B451" i="4"/>
  <c r="K444" i="4"/>
  <c r="A439" i="4"/>
  <c r="J432" i="4"/>
  <c r="E426" i="4"/>
  <c r="H420" i="4"/>
  <c r="B414" i="4"/>
  <c r="J407" i="4"/>
  <c r="K695" i="4"/>
  <c r="E552" i="4"/>
  <c r="L501" i="4"/>
  <c r="C460" i="4"/>
  <c r="M453" i="4"/>
  <c r="H447" i="4"/>
  <c r="L441" i="4"/>
  <c r="G435" i="4"/>
  <c r="C429" i="4"/>
  <c r="F423" i="4"/>
  <c r="M416" i="4"/>
  <c r="G410" i="4"/>
  <c r="D654" i="4"/>
  <c r="B547" i="4"/>
  <c r="J496" i="4"/>
  <c r="H459" i="4"/>
  <c r="D453" i="4"/>
  <c r="M446" i="4"/>
  <c r="C441" i="4"/>
  <c r="L434" i="4"/>
  <c r="G428" i="4"/>
  <c r="K422" i="4"/>
  <c r="D416" i="4"/>
  <c r="L409" i="4"/>
  <c r="B404" i="4"/>
  <c r="J398" i="4"/>
  <c r="E392" i="4"/>
  <c r="H386" i="4"/>
  <c r="D380" i="4"/>
  <c r="M373" i="4"/>
  <c r="A368" i="4"/>
  <c r="I361" i="4"/>
  <c r="D355" i="4"/>
  <c r="H349" i="4"/>
  <c r="D343" i="4"/>
  <c r="N336" i="4"/>
  <c r="D331" i="4"/>
  <c r="L324" i="4"/>
  <c r="H318" i="4"/>
  <c r="J312" i="4"/>
  <c r="E306" i="4"/>
  <c r="N299" i="4"/>
  <c r="C294" i="4"/>
  <c r="H287" i="4"/>
  <c r="N280" i="4"/>
  <c r="N274" i="4"/>
  <c r="B402" i="4"/>
  <c r="K395" i="4"/>
  <c r="B782" i="4"/>
  <c r="J776" i="4"/>
  <c r="G725" i="4"/>
  <c r="D689" i="4"/>
  <c r="J677" i="4"/>
  <c r="I719" i="4"/>
  <c r="N660" i="4"/>
  <c r="N612" i="4"/>
  <c r="A689" i="4"/>
  <c r="H639" i="4"/>
  <c r="J591" i="4"/>
  <c r="I701" i="4"/>
  <c r="L664" i="4"/>
  <c r="L627" i="4"/>
  <c r="F973" i="4"/>
  <c r="H697" i="4"/>
  <c r="K668" i="4"/>
  <c r="L638" i="4"/>
  <c r="E609" i="4"/>
  <c r="G818" i="4"/>
  <c r="N697" i="4"/>
  <c r="K673" i="4"/>
  <c r="N648" i="4"/>
  <c r="B624" i="4"/>
  <c r="N599" i="4"/>
  <c r="C676" i="4"/>
  <c r="C579" i="4"/>
  <c r="I559" i="4"/>
  <c r="D541" i="4"/>
  <c r="N522" i="4"/>
  <c r="H504" i="4"/>
  <c r="B486" i="4"/>
  <c r="K467" i="4"/>
  <c r="G629" i="4"/>
  <c r="D576" i="4"/>
  <c r="L561" i="4"/>
  <c r="N550" i="4"/>
  <c r="K541" i="4"/>
  <c r="I532" i="4"/>
  <c r="G523" i="4"/>
  <c r="K752" i="4"/>
  <c r="H764" i="4"/>
  <c r="H715" i="4"/>
  <c r="M678" i="4"/>
  <c r="A669" i="4"/>
  <c r="M714" i="4"/>
  <c r="K659" i="4"/>
  <c r="B610" i="4"/>
  <c r="G688" i="4"/>
  <c r="F638" i="4"/>
  <c r="F589" i="4"/>
  <c r="E699" i="4"/>
  <c r="H662" i="4"/>
  <c r="H625" i="4"/>
  <c r="M931" i="4"/>
  <c r="N696" i="4"/>
  <c r="A667" i="4"/>
  <c r="J637" i="4"/>
  <c r="K608" i="4"/>
  <c r="J813" i="4"/>
  <c r="F697" i="4"/>
  <c r="I672" i="4"/>
  <c r="F648" i="4"/>
  <c r="H623" i="4"/>
  <c r="L598" i="4"/>
  <c r="H671" i="4"/>
  <c r="A578" i="4"/>
  <c r="A559" i="4"/>
  <c r="J540" i="4"/>
  <c r="F522" i="4"/>
  <c r="N503" i="4"/>
  <c r="H485" i="4"/>
  <c r="C467" i="4"/>
  <c r="K624" i="4"/>
  <c r="J575" i="4"/>
  <c r="B560" i="4"/>
  <c r="L549" i="4"/>
  <c r="I540" i="4"/>
  <c r="G531" i="4"/>
  <c r="E522" i="4"/>
  <c r="B513" i="4"/>
  <c r="M503" i="4"/>
  <c r="J494" i="4"/>
  <c r="G485" i="4"/>
  <c r="E476" i="4"/>
  <c r="B467" i="4"/>
  <c r="J702" i="4"/>
  <c r="M628" i="4"/>
  <c r="L587" i="4"/>
  <c r="C576" i="4"/>
  <c r="M566" i="4"/>
  <c r="K557" i="4"/>
  <c r="H548" i="4"/>
  <c r="F539" i="4"/>
  <c r="D530" i="4"/>
  <c r="B521" i="4"/>
  <c r="M511" i="4"/>
  <c r="J502" i="4"/>
  <c r="G493" i="4"/>
  <c r="D484" i="4"/>
  <c r="D476" i="4"/>
  <c r="E469" i="4"/>
  <c r="M461" i="4"/>
  <c r="I683" i="4"/>
  <c r="I623" i="4"/>
  <c r="K588" i="4"/>
  <c r="N578" i="4"/>
  <c r="F571" i="4"/>
  <c r="H564" i="4"/>
  <c r="B557" i="4"/>
  <c r="A549" i="4"/>
  <c r="C542" i="4"/>
  <c r="K534" i="4"/>
  <c r="M527" i="4"/>
  <c r="G520" i="4"/>
  <c r="F512" i="4"/>
  <c r="G505" i="4"/>
  <c r="A498" i="4"/>
  <c r="B491" i="4"/>
  <c r="I483" i="4"/>
  <c r="H475" i="4"/>
  <c r="J468" i="4"/>
  <c r="D461" i="4"/>
  <c r="L673" i="4"/>
  <c r="L613" i="4"/>
  <c r="J586" i="4"/>
  <c r="K577" i="4"/>
  <c r="C570" i="4"/>
  <c r="E563" i="4"/>
  <c r="M555" i="4"/>
  <c r="L547" i="4"/>
  <c r="N540" i="4"/>
  <c r="H533" i="4"/>
  <c r="J526" i="4"/>
  <c r="D519" i="4"/>
  <c r="C511" i="4"/>
  <c r="D504" i="4"/>
  <c r="L496" i="4"/>
  <c r="M489" i="4"/>
  <c r="F482" i="4"/>
  <c r="E474" i="4"/>
  <c r="G467" i="4"/>
  <c r="A791" i="4"/>
  <c r="B664" i="4"/>
  <c r="A604" i="4"/>
  <c r="K584" i="4"/>
  <c r="H576" i="4"/>
  <c r="N568" i="4"/>
  <c r="B562" i="4"/>
  <c r="J554" i="4"/>
  <c r="I546" i="4"/>
  <c r="K539" i="4"/>
  <c r="E532" i="4"/>
  <c r="G525" i="4"/>
  <c r="A518" i="4"/>
  <c r="N509" i="4"/>
  <c r="A503" i="4"/>
  <c r="H495" i="4"/>
  <c r="I488" i="4"/>
  <c r="C481" i="4"/>
  <c r="B473" i="4"/>
  <c r="D466" i="4"/>
  <c r="N744" i="4"/>
  <c r="E658" i="4"/>
  <c r="A600" i="4"/>
  <c r="I583" i="4"/>
  <c r="L575" i="4"/>
  <c r="D568" i="4"/>
  <c r="F561" i="4"/>
  <c r="N553" i="4"/>
  <c r="M545" i="4"/>
  <c r="A539" i="4"/>
  <c r="I531" i="4"/>
  <c r="K524" i="4"/>
  <c r="E723" i="4"/>
  <c r="J726" i="4"/>
  <c r="A817" i="4"/>
  <c r="G641" i="4"/>
  <c r="F641" i="4"/>
  <c r="K697" i="4"/>
  <c r="M649" i="4"/>
  <c r="M917" i="4"/>
  <c r="F676" i="4"/>
  <c r="H628" i="4"/>
  <c r="H582" i="4"/>
  <c r="F692" i="4"/>
  <c r="I655" i="4"/>
  <c r="H618" i="4"/>
  <c r="D796" i="4"/>
  <c r="A690" i="4"/>
  <c r="K660" i="4"/>
  <c r="L631" i="4"/>
  <c r="F602" i="4"/>
  <c r="E767" i="4"/>
  <c r="C692" i="4"/>
  <c r="G667" i="4"/>
  <c r="J642" i="4"/>
  <c r="E618" i="4"/>
  <c r="J593" i="4"/>
  <c r="A630" i="4"/>
  <c r="F573" i="4"/>
  <c r="A555" i="4"/>
  <c r="J536" i="4"/>
  <c r="F518" i="4"/>
  <c r="N499" i="4"/>
  <c r="H481" i="4"/>
  <c r="C463" i="4"/>
  <c r="B598" i="4"/>
  <c r="H571" i="4"/>
  <c r="L557" i="4"/>
  <c r="I548" i="4"/>
  <c r="G539" i="4"/>
  <c r="E530" i="4"/>
  <c r="C521" i="4"/>
  <c r="N511" i="4"/>
  <c r="K502" i="4"/>
  <c r="H493" i="4"/>
  <c r="E484" i="4"/>
  <c r="B475" i="4"/>
  <c r="N465" i="4"/>
  <c r="G693" i="4"/>
  <c r="H619" i="4"/>
  <c r="A586" i="4"/>
  <c r="A575" i="4"/>
  <c r="K565" i="4"/>
  <c r="I556" i="4"/>
  <c r="F547" i="4"/>
  <c r="D538" i="4"/>
  <c r="B529" i="4"/>
  <c r="N519" i="4"/>
  <c r="K510" i="4"/>
  <c r="H501" i="4"/>
  <c r="E492" i="4"/>
  <c r="B483" i="4"/>
  <c r="I475" i="4"/>
  <c r="K468" i="4"/>
  <c r="E461" i="4"/>
  <c r="L669" i="4"/>
  <c r="F614" i="4"/>
  <c r="K587" i="4"/>
  <c r="F578" i="4"/>
  <c r="L570" i="4"/>
  <c r="L562" i="4"/>
  <c r="N555" i="4"/>
  <c r="G548" i="4"/>
  <c r="I541" i="4"/>
  <c r="C534" i="4"/>
  <c r="C526" i="4"/>
  <c r="E519" i="4"/>
  <c r="L511" i="4"/>
  <c r="M504" i="4"/>
  <c r="G497" i="4"/>
  <c r="F489" i="4"/>
  <c r="G482" i="4"/>
  <c r="N474" i="4"/>
  <c r="B468" i="4"/>
  <c r="B874" i="4"/>
  <c r="A660" i="4"/>
  <c r="J604" i="4"/>
  <c r="L585" i="4"/>
  <c r="C577" i="4"/>
  <c r="I569" i="4"/>
  <c r="I561" i="4"/>
  <c r="K554" i="4"/>
  <c r="D547" i="4"/>
  <c r="F540" i="4"/>
  <c r="N532" i="4"/>
  <c r="N524" i="4"/>
  <c r="B518" i="4"/>
  <c r="I510" i="4"/>
  <c r="J503" i="4"/>
  <c r="D496" i="4"/>
  <c r="B488" i="4"/>
  <c r="D481" i="4"/>
  <c r="K473" i="4"/>
  <c r="M466" i="4"/>
  <c r="B754" i="4"/>
  <c r="C650" i="4"/>
  <c r="M598" i="4"/>
  <c r="L583" i="4"/>
  <c r="N575" i="4"/>
  <c r="F568" i="4"/>
  <c r="F560" i="4"/>
  <c r="H553" i="4"/>
  <c r="A546" i="4"/>
  <c r="C539" i="4"/>
  <c r="K531" i="4"/>
  <c r="K523" i="4"/>
  <c r="M516" i="4"/>
  <c r="F509" i="4"/>
  <c r="G502" i="4"/>
  <c r="N494" i="4"/>
  <c r="M486" i="4"/>
  <c r="A480" i="4"/>
  <c r="H472" i="4"/>
  <c r="J465" i="4"/>
  <c r="L710" i="4"/>
  <c r="G644" i="4"/>
  <c r="N596" i="4"/>
  <c r="J582" i="4"/>
  <c r="D575" i="4"/>
  <c r="J567" i="4"/>
  <c r="J559" i="4"/>
  <c r="L552" i="4"/>
  <c r="J916" i="4"/>
  <c r="C675" i="4"/>
  <c r="C660" i="4"/>
  <c r="B593" i="4"/>
  <c r="I462" i="4"/>
  <c r="E514" i="4"/>
  <c r="G477" i="4"/>
  <c r="A590" i="4"/>
  <c r="K549" i="4"/>
  <c r="A513" i="4"/>
  <c r="N477" i="4"/>
  <c r="E628" i="4"/>
  <c r="B565" i="4"/>
  <c r="E535" i="4"/>
  <c r="J506" i="4"/>
  <c r="E477" i="4"/>
  <c r="F618" i="4"/>
  <c r="M563" i="4"/>
  <c r="B534" i="4"/>
  <c r="F505" i="4"/>
  <c r="A476" i="4"/>
  <c r="J608" i="4"/>
  <c r="J562" i="4"/>
  <c r="M532" i="4"/>
  <c r="C504" i="4"/>
  <c r="L474" i="4"/>
  <c r="M602" i="4"/>
  <c r="N561" i="4"/>
  <c r="G538" i="4"/>
  <c r="M517" i="4"/>
  <c r="G503" i="4"/>
  <c r="G488" i="4"/>
  <c r="B474" i="4"/>
  <c r="I649" i="4"/>
  <c r="D482" i="4"/>
  <c r="C449" i="4"/>
  <c r="C434" i="4"/>
  <c r="K419" i="4"/>
  <c r="A404" i="4"/>
  <c r="M513" i="4"/>
  <c r="B453" i="4"/>
  <c r="C438" i="4"/>
  <c r="K423" i="4"/>
  <c r="N407" i="4"/>
  <c r="B527" i="4"/>
  <c r="K454" i="4"/>
  <c r="L439" i="4"/>
  <c r="F425" i="4"/>
  <c r="I409" i="4"/>
  <c r="D540" i="4"/>
  <c r="F456" i="4"/>
  <c r="G441" i="4"/>
  <c r="A427" i="4"/>
  <c r="J417" i="4"/>
  <c r="J406" i="4"/>
  <c r="G553" i="4"/>
  <c r="N479" i="4"/>
  <c r="G453" i="4"/>
  <c r="B443" i="4"/>
  <c r="A435" i="4"/>
  <c r="F426" i="4"/>
  <c r="I417" i="4"/>
  <c r="A410" i="4"/>
  <c r="C597" i="4"/>
  <c r="F525" i="4"/>
  <c r="G461" i="4"/>
  <c r="L452" i="4"/>
  <c r="C444" i="4"/>
  <c r="E437" i="4"/>
  <c r="F430" i="4"/>
  <c r="G423" i="4"/>
  <c r="F416" i="4"/>
  <c r="F409" i="4"/>
  <c r="H402" i="4"/>
  <c r="J547" i="4"/>
  <c r="I492" i="4"/>
  <c r="M457" i="4"/>
  <c r="A451" i="4"/>
  <c r="B444" i="4"/>
  <c r="D437" i="4"/>
  <c r="E430" i="4"/>
  <c r="C422" i="4"/>
  <c r="C415" i="4"/>
  <c r="C408" i="4"/>
  <c r="A570" i="4"/>
  <c r="B515" i="4"/>
  <c r="M460" i="4"/>
  <c r="L453" i="4"/>
  <c r="E446" i="4"/>
  <c r="G439" i="4"/>
  <c r="H432" i="4"/>
  <c r="I425" i="4"/>
  <c r="I418" i="4"/>
  <c r="I411" i="4"/>
  <c r="J404" i="4"/>
  <c r="B398" i="4"/>
  <c r="C391" i="4"/>
  <c r="D384" i="4"/>
  <c r="F377" i="4"/>
  <c r="E370" i="4"/>
  <c r="E363" i="4"/>
  <c r="F356" i="4"/>
  <c r="F348" i="4"/>
  <c r="H341" i="4"/>
  <c r="J334" i="4"/>
  <c r="J327" i="4"/>
  <c r="L320" i="4"/>
  <c r="M313" i="4"/>
  <c r="M306" i="4"/>
  <c r="F299" i="4"/>
  <c r="E292" i="4"/>
  <c r="B285" i="4"/>
  <c r="N277" i="4"/>
  <c r="I270" i="4"/>
  <c r="G397" i="4"/>
  <c r="H390" i="4"/>
  <c r="C384" i="4"/>
  <c r="G378" i="4"/>
  <c r="N371" i="4"/>
  <c r="J365" i="4"/>
  <c r="K359" i="4"/>
  <c r="G353" i="4"/>
  <c r="C347" i="4"/>
  <c r="G341" i="4"/>
  <c r="C335" i="4"/>
  <c r="K328" i="4"/>
  <c r="A323" i="4"/>
  <c r="J316" i="4"/>
  <c r="E310" i="4"/>
  <c r="G304" i="4"/>
  <c r="C298" i="4"/>
  <c r="I291" i="4"/>
  <c r="I285" i="4"/>
  <c r="C279" i="4"/>
  <c r="A273" i="4"/>
  <c r="B268" i="4"/>
  <c r="E263" i="4"/>
  <c r="J399" i="4"/>
  <c r="B395" i="4"/>
  <c r="G390" i="4"/>
  <c r="L385" i="4"/>
  <c r="D381" i="4"/>
  <c r="J376" i="4"/>
  <c r="M371" i="4"/>
  <c r="E367" i="4"/>
  <c r="I362" i="4"/>
  <c r="N357" i="4"/>
  <c r="F353" i="4"/>
  <c r="L348" i="4"/>
  <c r="D344" i="4"/>
  <c r="J339" i="4"/>
  <c r="B335" i="4"/>
  <c r="H330" i="4"/>
  <c r="L325" i="4"/>
  <c r="D321" i="4"/>
  <c r="I316" i="4"/>
  <c r="N311" i="4"/>
  <c r="E307" i="4"/>
  <c r="J302" i="4"/>
  <c r="B298" i="4"/>
  <c r="F293" i="4"/>
  <c r="I288" i="4"/>
  <c r="K283" i="4"/>
  <c r="A279" i="4"/>
  <c r="D274" i="4"/>
  <c r="D269" i="4"/>
  <c r="F264" i="4"/>
  <c r="J259" i="4"/>
  <c r="N254" i="4"/>
  <c r="I399" i="4"/>
  <c r="A395" i="4"/>
  <c r="F390" i="4"/>
  <c r="K385" i="4"/>
  <c r="C381" i="4"/>
  <c r="I376" i="4"/>
  <c r="L371" i="4"/>
  <c r="D367" i="4"/>
  <c r="H362" i="4"/>
  <c r="M357" i="4"/>
  <c r="E353" i="4"/>
  <c r="K348" i="4"/>
  <c r="C344" i="4"/>
  <c r="I339" i="4"/>
  <c r="A335" i="4"/>
  <c r="F330" i="4"/>
  <c r="K325" i="4"/>
  <c r="C321" i="4"/>
  <c r="H316" i="4"/>
  <c r="M311" i="4"/>
  <c r="D307" i="4"/>
  <c r="I302" i="4"/>
  <c r="A298" i="4"/>
  <c r="E293" i="4"/>
  <c r="H288" i="4"/>
  <c r="J283" i="4"/>
  <c r="N278" i="4"/>
  <c r="C274" i="4"/>
  <c r="C269" i="4"/>
  <c r="E264" i="4"/>
  <c r="I259" i="4"/>
  <c r="M254" i="4"/>
  <c r="D401" i="4"/>
  <c r="J396" i="4"/>
  <c r="A392" i="4"/>
  <c r="F387" i="4"/>
  <c r="L382" i="4"/>
  <c r="D378" i="4"/>
  <c r="I373" i="4"/>
  <c r="M368" i="4"/>
  <c r="C364" i="4"/>
  <c r="H359" i="4"/>
  <c r="N354" i="4"/>
  <c r="F350" i="4"/>
  <c r="L345" i="4"/>
  <c r="D341" i="4"/>
  <c r="J336" i="4"/>
  <c r="B332" i="4"/>
  <c r="F327" i="4"/>
  <c r="L322" i="4"/>
  <c r="D318" i="4"/>
  <c r="I313" i="4"/>
  <c r="M308" i="4"/>
  <c r="D304" i="4"/>
  <c r="J299" i="4"/>
  <c r="A295" i="4"/>
  <c r="C290" i="4"/>
  <c r="F285" i="4"/>
  <c r="J280" i="4"/>
  <c r="M275" i="4"/>
  <c r="M270" i="4"/>
  <c r="N265" i="4"/>
  <c r="F261" i="4"/>
  <c r="I256" i="4"/>
  <c r="E403" i="4"/>
  <c r="E398" i="4"/>
  <c r="K393" i="4"/>
  <c r="A389" i="4"/>
  <c r="G384" i="4"/>
  <c r="M379" i="4"/>
  <c r="E375" i="4"/>
  <c r="H370" i="4"/>
  <c r="N365" i="4"/>
  <c r="C361" i="4"/>
  <c r="I356" i="4"/>
  <c r="A352" i="4"/>
  <c r="G347" i="4"/>
  <c r="M342" i="4"/>
  <c r="E338" i="4"/>
  <c r="K333" i="4"/>
  <c r="A329" i="4"/>
  <c r="G324" i="4"/>
  <c r="M319" i="4"/>
  <c r="D315" i="4"/>
  <c r="I310" i="4"/>
  <c r="N305" i="4"/>
  <c r="E301" i="4"/>
  <c r="K296" i="4"/>
  <c r="M291" i="4"/>
  <c r="C287" i="4"/>
  <c r="F282" i="4"/>
  <c r="I277" i="4"/>
  <c r="K272" i="4"/>
  <c r="K267" i="4"/>
  <c r="A263" i="4"/>
  <c r="D258" i="4"/>
  <c r="L398" i="4"/>
  <c r="D394" i="4"/>
  <c r="I389" i="4"/>
  <c r="N384" i="4"/>
  <c r="F380" i="4"/>
  <c r="L375" i="4"/>
  <c r="A371" i="4"/>
  <c r="G366" i="4"/>
  <c r="K361" i="4"/>
  <c r="B357" i="4"/>
  <c r="H352" i="4"/>
  <c r="N347" i="4"/>
  <c r="F343" i="4"/>
  <c r="L338" i="4"/>
  <c r="D334" i="4"/>
  <c r="I329" i="4"/>
  <c r="N324" i="4"/>
  <c r="F320" i="4"/>
  <c r="K315" i="4"/>
  <c r="B311" i="4"/>
  <c r="G306" i="4"/>
  <c r="L301" i="4"/>
  <c r="D297" i="4"/>
  <c r="G292" i="4"/>
  <c r="J287" i="4"/>
  <c r="M282" i="4"/>
  <c r="C278" i="4"/>
  <c r="E273" i="4"/>
  <c r="E268" i="4"/>
  <c r="H263" i="4"/>
  <c r="K258" i="4"/>
  <c r="C403" i="4"/>
  <c r="C398" i="4"/>
  <c r="I393" i="4"/>
  <c r="M388" i="4"/>
  <c r="E384" i="4"/>
  <c r="K379" i="4"/>
  <c r="C375" i="4"/>
  <c r="F370" i="4"/>
  <c r="L365" i="4"/>
  <c r="A361" i="4"/>
  <c r="G356" i="4"/>
  <c r="M351" i="4"/>
  <c r="E347" i="4"/>
  <c r="K342" i="4"/>
  <c r="C338" i="4"/>
  <c r="I333" i="4"/>
  <c r="M328" i="4"/>
  <c r="E324" i="4"/>
  <c r="K319" i="4"/>
  <c r="B315" i="4"/>
  <c r="G310" i="4"/>
  <c r="L305" i="4"/>
  <c r="C301" i="4"/>
  <c r="I296" i="4"/>
  <c r="K291" i="4"/>
  <c r="N286" i="4"/>
  <c r="D282" i="4"/>
  <c r="G277" i="4"/>
  <c r="I272" i="4"/>
  <c r="I267" i="4"/>
  <c r="M262" i="4"/>
  <c r="B258" i="4"/>
  <c r="F269" i="4"/>
  <c r="E252" i="4"/>
  <c r="H247" i="4"/>
  <c r="M242" i="4"/>
  <c r="B238" i="4"/>
  <c r="F233" i="4"/>
  <c r="G228" i="4"/>
  <c r="I223" i="4"/>
  <c r="I218" i="4"/>
  <c r="H213" i="4"/>
  <c r="L208" i="4"/>
  <c r="J203" i="4"/>
  <c r="L198" i="4"/>
  <c r="A194" i="4"/>
  <c r="G189" i="4"/>
  <c r="M184" i="4"/>
  <c r="D180" i="4"/>
  <c r="E175" i="4"/>
  <c r="J170" i="4"/>
  <c r="A166" i="4"/>
  <c r="E161" i="4"/>
  <c r="J156" i="4"/>
  <c r="N151" i="4"/>
  <c r="F147" i="4"/>
  <c r="J142" i="4"/>
  <c r="A138" i="4"/>
  <c r="F133" i="4"/>
  <c r="K128" i="4"/>
  <c r="C124" i="4"/>
  <c r="G119" i="4"/>
  <c r="M114" i="4"/>
  <c r="A110" i="4"/>
  <c r="F105" i="4"/>
  <c r="L256" i="4"/>
  <c r="L249" i="4"/>
  <c r="C245" i="4"/>
  <c r="G240" i="4"/>
  <c r="I235" i="4"/>
  <c r="L230" i="4"/>
  <c r="M225" i="4"/>
  <c r="N220" i="4"/>
  <c r="N215" i="4"/>
  <c r="B211" i="4"/>
  <c r="D206" i="4"/>
  <c r="D201" i="4"/>
  <c r="E196" i="4"/>
  <c r="J191" i="4"/>
  <c r="B187" i="4"/>
  <c r="H182" i="4"/>
  <c r="M177" i="4"/>
  <c r="N172" i="4"/>
  <c r="E168" i="4"/>
  <c r="I163" i="4"/>
  <c r="M158" i="4"/>
  <c r="D154" i="4"/>
  <c r="I149" i="4"/>
  <c r="M144" i="4"/>
  <c r="E140" i="4"/>
  <c r="I135" i="4"/>
  <c r="N130" i="4"/>
  <c r="F126" i="4"/>
  <c r="K121" i="4"/>
  <c r="B117" i="4"/>
  <c r="E112" i="4"/>
  <c r="J107" i="4"/>
  <c r="A255" i="4"/>
  <c r="C249" i="4"/>
  <c r="H244" i="4"/>
  <c r="K239" i="4"/>
  <c r="N234" i="4"/>
  <c r="C230" i="4"/>
  <c r="D225" i="4"/>
  <c r="E220" i="4"/>
  <c r="E215" i="4"/>
  <c r="F210" i="4"/>
  <c r="H205" i="4"/>
  <c r="H200" i="4"/>
  <c r="I195" i="4"/>
  <c r="A191" i="4"/>
  <c r="G186" i="4"/>
  <c r="M181" i="4"/>
  <c r="D177" i="4"/>
  <c r="E172" i="4"/>
  <c r="J167" i="4"/>
  <c r="N162" i="4"/>
  <c r="D158" i="4"/>
  <c r="I153" i="4"/>
  <c r="N148" i="4"/>
  <c r="D144" i="4"/>
  <c r="J139" i="4"/>
  <c r="N134" i="4"/>
  <c r="E130" i="4"/>
  <c r="K125" i="4"/>
  <c r="A121" i="4"/>
  <c r="G116" i="4"/>
  <c r="J111" i="4"/>
  <c r="N106" i="4"/>
  <c r="L252" i="4"/>
  <c r="M247" i="4"/>
  <c r="E243" i="4"/>
  <c r="G238" i="4"/>
  <c r="K233" i="4"/>
  <c r="L228" i="4"/>
  <c r="N223" i="4"/>
  <c r="N218" i="4"/>
  <c r="M213" i="4"/>
  <c r="C209" i="4"/>
  <c r="B204" i="4"/>
  <c r="C199" i="4"/>
  <c r="F194" i="4"/>
  <c r="L189" i="4"/>
  <c r="D185" i="4"/>
  <c r="I180" i="4"/>
  <c r="A176" i="4"/>
  <c r="A171" i="4"/>
  <c r="F166" i="4"/>
  <c r="J161" i="4"/>
  <c r="A157" i="4"/>
  <c r="F152" i="4"/>
  <c r="K147" i="4"/>
  <c r="A143" i="4"/>
  <c r="F138" i="4"/>
  <c r="K133" i="4"/>
  <c r="B129" i="4"/>
  <c r="H124" i="4"/>
  <c r="L119" i="4"/>
  <c r="D115" i="4"/>
  <c r="G110" i="4"/>
  <c r="D262" i="4"/>
  <c r="F251" i="4"/>
  <c r="J246" i="4"/>
  <c r="N241" i="4"/>
  <c r="C237" i="4"/>
  <c r="G232" i="4"/>
  <c r="I227" i="4"/>
  <c r="I222" i="4"/>
  <c r="I217" i="4"/>
  <c r="I212" i="4"/>
  <c r="M207" i="4"/>
  <c r="L202" i="4"/>
  <c r="M197" i="4"/>
  <c r="C193" i="4"/>
  <c r="I188" i="4"/>
  <c r="A184" i="4"/>
  <c r="F179" i="4"/>
  <c r="G174" i="4"/>
  <c r="L169" i="4"/>
  <c r="C165" i="4"/>
  <c r="G160" i="4"/>
  <c r="L155" i="4"/>
  <c r="B151" i="4"/>
  <c r="F146" i="4"/>
  <c r="L141" i="4"/>
  <c r="C137" i="4"/>
  <c r="H132" i="4"/>
  <c r="M127" i="4"/>
  <c r="D123" i="4"/>
  <c r="I118" i="4"/>
  <c r="N113" i="4"/>
  <c r="C109" i="4"/>
  <c r="G257" i="4"/>
  <c r="B250" i="4"/>
  <c r="G245" i="4"/>
  <c r="K240" i="4"/>
  <c r="M235" i="4"/>
  <c r="C231" i="4"/>
  <c r="D226" i="4"/>
  <c r="E221" i="4"/>
  <c r="D216" i="4"/>
  <c r="F211" i="4"/>
  <c r="H206" i="4"/>
  <c r="H201" i="4"/>
  <c r="I196" i="4"/>
  <c r="N191" i="4"/>
  <c r="F187" i="4"/>
  <c r="L182" i="4"/>
  <c r="C178" i="4"/>
  <c r="D173" i="4"/>
  <c r="I168" i="4"/>
  <c r="M163" i="4"/>
  <c r="C159" i="4"/>
  <c r="I154" i="4"/>
  <c r="M149" i="4"/>
  <c r="K716" i="4"/>
  <c r="I625" i="4"/>
  <c r="B630" i="4"/>
  <c r="F625" i="4"/>
  <c r="I596" i="4"/>
  <c r="F511" i="4"/>
  <c r="H474" i="4"/>
  <c r="C585" i="4"/>
  <c r="L546" i="4"/>
  <c r="C510" i="4"/>
  <c r="A475" i="4"/>
  <c r="L609" i="4"/>
  <c r="D562" i="4"/>
  <c r="A533" i="4"/>
  <c r="C503" i="4"/>
  <c r="F474" i="4"/>
  <c r="I600" i="4"/>
  <c r="A561" i="4"/>
  <c r="L531" i="4"/>
  <c r="N501" i="4"/>
  <c r="C473" i="4"/>
  <c r="G597" i="4"/>
  <c r="L559" i="4"/>
  <c r="I530" i="4"/>
  <c r="K500" i="4"/>
  <c r="N471" i="4"/>
  <c r="G595" i="4"/>
  <c r="B559" i="4"/>
  <c r="K536" i="4"/>
  <c r="E517" i="4"/>
  <c r="E502" i="4"/>
  <c r="M487" i="4"/>
  <c r="F472" i="4"/>
  <c r="J612" i="4"/>
  <c r="J477" i="4"/>
  <c r="N447" i="4"/>
  <c r="I433" i="4"/>
  <c r="M417" i="4"/>
  <c r="G403" i="4"/>
  <c r="E509" i="4"/>
  <c r="N451" i="4"/>
  <c r="I437" i="4"/>
  <c r="N421" i="4"/>
  <c r="F407" i="4"/>
  <c r="H522" i="4"/>
  <c r="I453" i="4"/>
  <c r="D439" i="4"/>
  <c r="J423" i="4"/>
  <c r="A409" i="4"/>
  <c r="J535" i="4"/>
  <c r="D455" i="4"/>
  <c r="M440" i="4"/>
  <c r="E425" i="4"/>
  <c r="N415" i="4"/>
  <c r="B406" i="4"/>
  <c r="L548" i="4"/>
  <c r="E475" i="4"/>
  <c r="E452" i="4"/>
  <c r="H442" i="4"/>
  <c r="M433" i="4"/>
  <c r="L425" i="4"/>
  <c r="A417" i="4"/>
  <c r="G409" i="4"/>
  <c r="G587" i="4"/>
  <c r="D516" i="4"/>
  <c r="D460" i="4"/>
  <c r="J451" i="4"/>
  <c r="I443" i="4"/>
  <c r="K436" i="4"/>
  <c r="L429" i="4"/>
  <c r="M422" i="4"/>
  <c r="L415" i="4"/>
  <c r="L408" i="4"/>
  <c r="L621" i="4"/>
  <c r="H538" i="4"/>
  <c r="F483" i="4"/>
  <c r="K456" i="4"/>
  <c r="M449" i="4"/>
  <c r="N442" i="4"/>
  <c r="A436" i="4"/>
  <c r="H428" i="4"/>
  <c r="I421" i="4"/>
  <c r="I414" i="4"/>
  <c r="I407" i="4"/>
  <c r="G565" i="4"/>
  <c r="G510" i="4"/>
  <c r="B460" i="4"/>
  <c r="J452" i="4"/>
  <c r="K445" i="4"/>
  <c r="M438" i="4"/>
  <c r="N431" i="4"/>
  <c r="A425" i="4"/>
  <c r="N417" i="4"/>
  <c r="N410" i="4"/>
  <c r="N402" i="4"/>
  <c r="N396" i="4"/>
  <c r="A390" i="4"/>
  <c r="B383" i="4"/>
  <c r="D376" i="4"/>
  <c r="C369" i="4"/>
  <c r="C362" i="4"/>
  <c r="J354" i="4"/>
  <c r="L347" i="4"/>
  <c r="N340" i="4"/>
  <c r="B334" i="4"/>
  <c r="B327" i="4"/>
  <c r="D320" i="4"/>
  <c r="E313" i="4"/>
  <c r="K305" i="4"/>
  <c r="L298" i="4"/>
  <c r="J291" i="4"/>
  <c r="H284" i="4"/>
  <c r="F277" i="4"/>
  <c r="N269" i="4"/>
  <c r="M396" i="4"/>
  <c r="N389" i="4"/>
  <c r="I383" i="4"/>
  <c r="E377" i="4"/>
  <c r="F371" i="4"/>
  <c r="A365" i="4"/>
  <c r="I358" i="4"/>
  <c r="M352" i="4"/>
  <c r="I346" i="4"/>
  <c r="E340" i="4"/>
  <c r="I334" i="4"/>
  <c r="C328" i="4"/>
  <c r="M321" i="4"/>
  <c r="B316" i="4"/>
  <c r="J309" i="4"/>
  <c r="E303" i="4"/>
  <c r="I297" i="4"/>
  <c r="N290" i="4"/>
  <c r="G284" i="4"/>
  <c r="H278" i="4"/>
  <c r="G272" i="4"/>
  <c r="G267" i="4"/>
  <c r="K262" i="4"/>
  <c r="B399" i="4"/>
  <c r="H394" i="4"/>
  <c r="M389" i="4"/>
  <c r="D385" i="4"/>
  <c r="J380" i="4"/>
  <c r="B376" i="4"/>
  <c r="E371" i="4"/>
  <c r="K366" i="4"/>
  <c r="A362" i="4"/>
  <c r="F357" i="4"/>
  <c r="L352" i="4"/>
  <c r="D348" i="4"/>
  <c r="J343" i="4"/>
  <c r="B339" i="4"/>
  <c r="H334" i="4"/>
  <c r="M329" i="4"/>
  <c r="D325" i="4"/>
  <c r="J320" i="4"/>
  <c r="A316" i="4"/>
  <c r="F311" i="4"/>
  <c r="K306" i="4"/>
  <c r="B302" i="4"/>
  <c r="H297" i="4"/>
  <c r="K292" i="4"/>
  <c r="N287" i="4"/>
  <c r="C283" i="4"/>
  <c r="G278" i="4"/>
  <c r="I273" i="4"/>
  <c r="I268" i="4"/>
  <c r="L263" i="4"/>
  <c r="B259" i="4"/>
  <c r="F254" i="4"/>
  <c r="A399" i="4"/>
  <c r="G394" i="4"/>
  <c r="L389" i="4"/>
  <c r="C385" i="4"/>
  <c r="I380" i="4"/>
  <c r="A376" i="4"/>
  <c r="D371" i="4"/>
  <c r="J366" i="4"/>
  <c r="N361" i="4"/>
  <c r="E357" i="4"/>
  <c r="K352" i="4"/>
  <c r="C348" i="4"/>
  <c r="I343" i="4"/>
  <c r="A339" i="4"/>
  <c r="G334" i="4"/>
  <c r="L329" i="4"/>
  <c r="C325" i="4"/>
  <c r="I320" i="4"/>
  <c r="N315" i="4"/>
  <c r="E311" i="4"/>
  <c r="J306" i="4"/>
  <c r="A302" i="4"/>
  <c r="G297" i="4"/>
  <c r="J292" i="4"/>
  <c r="M287" i="4"/>
  <c r="B283" i="4"/>
  <c r="F278" i="4"/>
  <c r="H273" i="4"/>
  <c r="H268" i="4"/>
  <c r="K263" i="4"/>
  <c r="N258" i="4"/>
  <c r="E254" i="4"/>
  <c r="J400" i="4"/>
  <c r="B396" i="4"/>
  <c r="G391" i="4"/>
  <c r="L386" i="4"/>
  <c r="D382" i="4"/>
  <c r="J377" i="4"/>
  <c r="N372" i="4"/>
  <c r="E368" i="4"/>
  <c r="I363" i="4"/>
  <c r="N358" i="4"/>
  <c r="F354" i="4"/>
  <c r="L349" i="4"/>
  <c r="D345" i="4"/>
  <c r="J340" i="4"/>
  <c r="B336" i="4"/>
  <c r="H331" i="4"/>
  <c r="L326" i="4"/>
  <c r="D322" i="4"/>
  <c r="I317" i="4"/>
  <c r="N312" i="4"/>
  <c r="E308" i="4"/>
  <c r="J303" i="4"/>
  <c r="B299" i="4"/>
  <c r="G294" i="4"/>
  <c r="I289" i="4"/>
  <c r="L284" i="4"/>
  <c r="B280" i="4"/>
  <c r="E275" i="4"/>
  <c r="E270" i="4"/>
  <c r="F265" i="4"/>
  <c r="K260" i="4"/>
  <c r="N255" i="4"/>
  <c r="G402" i="4"/>
  <c r="K397" i="4"/>
  <c r="C393" i="4"/>
  <c r="G388" i="4"/>
  <c r="M383" i="4"/>
  <c r="E379" i="4"/>
  <c r="K374" i="4"/>
  <c r="N369" i="4"/>
  <c r="E365" i="4"/>
  <c r="I360" i="4"/>
  <c r="A356" i="4"/>
  <c r="G351" i="4"/>
  <c r="M346" i="4"/>
  <c r="E342" i="4"/>
  <c r="K337" i="4"/>
  <c r="C333" i="4"/>
  <c r="G328" i="4"/>
  <c r="M323" i="4"/>
  <c r="E319" i="4"/>
  <c r="J314" i="4"/>
  <c r="N309" i="4"/>
  <c r="F305" i="4"/>
  <c r="K300" i="4"/>
  <c r="C296" i="4"/>
  <c r="E291" i="4"/>
  <c r="H286" i="4"/>
  <c r="K281" i="4"/>
  <c r="A277" i="4"/>
  <c r="C272" i="4"/>
  <c r="C267" i="4"/>
  <c r="G262" i="4"/>
  <c r="D403" i="4"/>
  <c r="D398" i="4"/>
  <c r="J393" i="4"/>
  <c r="N388" i="4"/>
  <c r="F384" i="4"/>
  <c r="L379" i="4"/>
  <c r="D375" i="4"/>
  <c r="G370" i="4"/>
  <c r="M365" i="4"/>
  <c r="B361" i="4"/>
  <c r="H356" i="4"/>
  <c r="N351" i="4"/>
  <c r="F347" i="4"/>
  <c r="L342" i="4"/>
  <c r="D338" i="4"/>
  <c r="J333" i="4"/>
  <c r="N328" i="4"/>
  <c r="F324" i="4"/>
  <c r="L319" i="4"/>
  <c r="C315" i="4"/>
  <c r="H310" i="4"/>
  <c r="M305" i="4"/>
  <c r="D301" i="4"/>
  <c r="J296" i="4"/>
  <c r="L291" i="4"/>
  <c r="A287" i="4"/>
  <c r="E282" i="4"/>
  <c r="H277" i="4"/>
  <c r="J272" i="4"/>
  <c r="J267" i="4"/>
  <c r="N262" i="4"/>
  <c r="C258" i="4"/>
  <c r="D402" i="4"/>
  <c r="I397" i="4"/>
  <c r="N392" i="4"/>
  <c r="E388" i="4"/>
  <c r="K383" i="4"/>
  <c r="C379" i="4"/>
  <c r="I374" i="4"/>
  <c r="L369" i="4"/>
  <c r="C365" i="4"/>
  <c r="G360" i="4"/>
  <c r="M355" i="4"/>
  <c r="E351" i="4"/>
  <c r="K346" i="4"/>
  <c r="C342" i="4"/>
  <c r="I337" i="4"/>
  <c r="A333" i="4"/>
  <c r="E328" i="4"/>
  <c r="K323" i="4"/>
  <c r="C319" i="4"/>
  <c r="H314" i="4"/>
  <c r="L309" i="4"/>
  <c r="D305" i="4"/>
  <c r="I300" i="4"/>
  <c r="A296" i="4"/>
  <c r="C291" i="4"/>
  <c r="F286" i="4"/>
  <c r="I281" i="4"/>
  <c r="M276" i="4"/>
  <c r="N271" i="4"/>
  <c r="N266" i="4"/>
  <c r="E262" i="4"/>
  <c r="H257" i="4"/>
  <c r="H264" i="4"/>
  <c r="J251" i="4"/>
  <c r="N246" i="4"/>
  <c r="E242" i="4"/>
  <c r="G237" i="4"/>
  <c r="K232" i="4"/>
  <c r="M227" i="4"/>
  <c r="M222" i="4"/>
  <c r="M217" i="4"/>
  <c r="M212" i="4"/>
  <c r="D208" i="4"/>
  <c r="B203" i="4"/>
  <c r="D198" i="4"/>
  <c r="G193" i="4"/>
  <c r="M188" i="4"/>
  <c r="E184" i="4"/>
  <c r="J179" i="4"/>
  <c r="K174" i="4"/>
  <c r="B170" i="4"/>
  <c r="G165" i="4"/>
  <c r="K160" i="4"/>
  <c r="B156" i="4"/>
  <c r="F151" i="4"/>
  <c r="L146" i="4"/>
  <c r="B142" i="4"/>
  <c r="G137" i="4"/>
  <c r="L132" i="4"/>
  <c r="C128" i="4"/>
  <c r="I123" i="4"/>
  <c r="M118" i="4"/>
  <c r="E114" i="4"/>
  <c r="G109" i="4"/>
  <c r="K104" i="4"/>
  <c r="B255" i="4"/>
  <c r="D249" i="4"/>
  <c r="I244" i="4"/>
  <c r="L239" i="4"/>
  <c r="A235" i="4"/>
  <c r="D230" i="4"/>
  <c r="E225" i="4"/>
  <c r="F220" i="4"/>
  <c r="F215" i="4"/>
  <c r="G210" i="4"/>
  <c r="I205" i="4"/>
  <c r="I200" i="4"/>
  <c r="J195" i="4"/>
  <c r="B191" i="4"/>
  <c r="H186" i="4"/>
  <c r="N181" i="4"/>
  <c r="E177" i="4"/>
  <c r="F172" i="4"/>
  <c r="K167" i="4"/>
  <c r="A163" i="4"/>
  <c r="E158" i="4"/>
  <c r="J153" i="4"/>
  <c r="A149" i="4"/>
  <c r="E144" i="4"/>
  <c r="K139" i="4"/>
  <c r="A135" i="4"/>
  <c r="F130" i="4"/>
  <c r="L125" i="4"/>
  <c r="C121" i="4"/>
  <c r="H116" i="4"/>
  <c r="K111" i="4"/>
  <c r="A107" i="4"/>
  <c r="L253" i="4"/>
  <c r="H248" i="4"/>
  <c r="N243" i="4"/>
  <c r="C239" i="4"/>
  <c r="F234" i="4"/>
  <c r="I229" i="4"/>
  <c r="I224" i="4"/>
  <c r="J219" i="4"/>
  <c r="J214" i="4"/>
  <c r="L209" i="4"/>
  <c r="L204" i="4"/>
  <c r="L199" i="4"/>
  <c r="A195" i="4"/>
  <c r="G190" i="4"/>
  <c r="M185" i="4"/>
  <c r="D181" i="4"/>
  <c r="J176" i="4"/>
  <c r="J171" i="4"/>
  <c r="A167" i="4"/>
  <c r="E162" i="4"/>
  <c r="J157" i="4"/>
  <c r="A153" i="4"/>
  <c r="F148" i="4"/>
  <c r="J143" i="4"/>
  <c r="A139" i="4"/>
  <c r="F134" i="4"/>
  <c r="K129" i="4"/>
  <c r="C125" i="4"/>
  <c r="G120" i="4"/>
  <c r="M115" i="4"/>
  <c r="B111" i="4"/>
  <c r="H267" i="4"/>
  <c r="B252" i="4"/>
  <c r="E247" i="4"/>
  <c r="J242" i="4"/>
  <c r="L237" i="4"/>
  <c r="C233" i="4"/>
  <c r="D228" i="4"/>
  <c r="E223" i="4"/>
  <c r="E218" i="4"/>
  <c r="E213" i="4"/>
  <c r="I208" i="4"/>
  <c r="G203" i="4"/>
  <c r="I198" i="4"/>
  <c r="L193" i="4"/>
  <c r="D189" i="4"/>
  <c r="J184" i="4"/>
  <c r="A180" i="4"/>
  <c r="B175" i="4"/>
  <c r="G170" i="4"/>
  <c r="L165" i="4"/>
  <c r="B161" i="4"/>
  <c r="G156" i="4"/>
  <c r="K151" i="4"/>
  <c r="C147" i="4"/>
  <c r="G142" i="4"/>
  <c r="L137" i="4"/>
  <c r="C133" i="4"/>
  <c r="H128" i="4"/>
  <c r="N123" i="4"/>
  <c r="D119" i="4"/>
  <c r="J114" i="4"/>
  <c r="L109" i="4"/>
  <c r="L259" i="4"/>
  <c r="K250" i="4"/>
  <c r="B246" i="4"/>
  <c r="F241" i="4"/>
  <c r="I236" i="4"/>
  <c r="L231" i="4"/>
  <c r="N226" i="4"/>
  <c r="N221" i="4"/>
  <c r="M216" i="4"/>
  <c r="A212" i="4"/>
  <c r="D207" i="4"/>
  <c r="D202" i="4"/>
  <c r="D197" i="4"/>
  <c r="I192" i="4"/>
  <c r="A188" i="4"/>
  <c r="G183" i="4"/>
  <c r="L178" i="4"/>
  <c r="M173" i="4"/>
  <c r="D169" i="4"/>
  <c r="H164" i="4"/>
  <c r="L159" i="4"/>
  <c r="D155" i="4"/>
  <c r="H150" i="4"/>
  <c r="L145" i="4"/>
  <c r="D141" i="4"/>
  <c r="I136" i="4"/>
  <c r="M131" i="4"/>
  <c r="E127" i="4"/>
  <c r="J122" i="4"/>
  <c r="A118" i="4"/>
  <c r="F113" i="4"/>
  <c r="I108" i="4"/>
  <c r="M255" i="4"/>
  <c r="H249" i="4"/>
  <c r="M244" i="4"/>
  <c r="C240" i="4"/>
  <c r="E235" i="4"/>
  <c r="H230" i="4"/>
  <c r="I225" i="4"/>
  <c r="J220" i="4"/>
  <c r="J215" i="4"/>
  <c r="K210" i="4"/>
  <c r="M205" i="4"/>
  <c r="M200" i="4"/>
  <c r="N195" i="4"/>
  <c r="F191" i="4"/>
  <c r="L186" i="4"/>
  <c r="D182" i="4"/>
  <c r="I177" i="4"/>
  <c r="K806" i="4"/>
  <c r="A992" i="4"/>
  <c r="L601" i="4"/>
  <c r="K572" i="4"/>
  <c r="N570" i="4"/>
  <c r="A505" i="4"/>
  <c r="D468" i="4"/>
  <c r="E577" i="4"/>
  <c r="H540" i="4"/>
  <c r="L503" i="4"/>
  <c r="G470" i="4"/>
  <c r="C592" i="4"/>
  <c r="J557" i="4"/>
  <c r="G528" i="4"/>
  <c r="I498" i="4"/>
  <c r="L469" i="4"/>
  <c r="K589" i="4"/>
  <c r="G556" i="4"/>
  <c r="D527" i="4"/>
  <c r="F497" i="4"/>
  <c r="I468" i="4"/>
  <c r="H587" i="4"/>
  <c r="D555" i="4"/>
  <c r="A526" i="4"/>
  <c r="C496" i="4"/>
  <c r="F467" i="4"/>
  <c r="F586" i="4"/>
  <c r="H554" i="4"/>
  <c r="C532" i="4"/>
  <c r="C516" i="4"/>
  <c r="K501" i="4"/>
  <c r="C486" i="4"/>
  <c r="L471" i="4"/>
  <c r="M592" i="4"/>
  <c r="G468" i="4"/>
  <c r="F447" i="4"/>
  <c r="M431" i="4"/>
  <c r="E417" i="4"/>
  <c r="M402" i="4"/>
  <c r="B500" i="4"/>
  <c r="F451" i="4"/>
  <c r="L435" i="4"/>
  <c r="F421" i="4"/>
  <c r="L406" i="4"/>
  <c r="E513" i="4"/>
  <c r="A453" i="4"/>
  <c r="H437" i="4"/>
  <c r="B423" i="4"/>
  <c r="G408" i="4"/>
  <c r="H526" i="4"/>
  <c r="J454" i="4"/>
  <c r="C439" i="4"/>
  <c r="K424" i="4"/>
  <c r="L414" i="4"/>
  <c r="F404" i="4"/>
  <c r="J539" i="4"/>
  <c r="I461" i="4"/>
  <c r="A450" i="4"/>
  <c r="L440" i="4"/>
  <c r="K432" i="4"/>
  <c r="B424" i="4"/>
  <c r="G416" i="4"/>
  <c r="K407" i="4"/>
  <c r="C571" i="4"/>
  <c r="I511" i="4"/>
  <c r="H458" i="4"/>
  <c r="H450" i="4"/>
  <c r="G442" i="4"/>
  <c r="H435" i="4"/>
  <c r="I428" i="4"/>
  <c r="J421" i="4"/>
  <c r="J414" i="4"/>
  <c r="B407" i="4"/>
  <c r="K595" i="4"/>
  <c r="N533" i="4"/>
  <c r="L478" i="4"/>
  <c r="C456" i="4"/>
  <c r="E449" i="4"/>
  <c r="F442" i="4"/>
  <c r="M434" i="4"/>
  <c r="N427" i="4"/>
  <c r="A421" i="4"/>
  <c r="A414" i="4"/>
  <c r="A407" i="4"/>
  <c r="M560" i="4"/>
  <c r="L505" i="4"/>
  <c r="F458" i="4"/>
  <c r="H451" i="4"/>
  <c r="I444" i="4"/>
  <c r="K437" i="4"/>
  <c r="L430" i="4"/>
  <c r="M423" i="4"/>
  <c r="L416" i="4"/>
  <c r="D409" i="4"/>
  <c r="E405" i="4"/>
  <c r="F396" i="4"/>
  <c r="G389" i="4"/>
  <c r="H382" i="4"/>
  <c r="J375" i="4"/>
  <c r="I368" i="4"/>
  <c r="N360" i="4"/>
  <c r="B354" i="4"/>
  <c r="D347" i="4"/>
  <c r="F340" i="4"/>
  <c r="H333" i="4"/>
  <c r="H326" i="4"/>
  <c r="J319" i="4"/>
  <c r="H311" i="4"/>
  <c r="H304" i="4"/>
  <c r="J297" i="4"/>
  <c r="G290" i="4"/>
  <c r="E283" i="4"/>
  <c r="D276" i="4"/>
  <c r="L402" i="4"/>
  <c r="C395" i="4"/>
  <c r="K388" i="4"/>
  <c r="A383" i="4"/>
  <c r="K376" i="4"/>
  <c r="D370" i="4"/>
  <c r="F364" i="4"/>
  <c r="A358" i="4"/>
  <c r="K351" i="4"/>
  <c r="A346" i="4"/>
  <c r="K339" i="4"/>
  <c r="G333" i="4"/>
  <c r="I327" i="4"/>
  <c r="E321" i="4"/>
  <c r="N314" i="4"/>
  <c r="B309" i="4"/>
  <c r="K302" i="4"/>
  <c r="G296" i="4"/>
  <c r="F290" i="4"/>
  <c r="L283" i="4"/>
  <c r="E277" i="4"/>
  <c r="L271" i="4"/>
  <c r="L266" i="4"/>
  <c r="C404" i="4"/>
  <c r="H398" i="4"/>
  <c r="N393" i="4"/>
  <c r="E389" i="4"/>
  <c r="J384" i="4"/>
  <c r="B380" i="4"/>
  <c r="H375" i="4"/>
  <c r="K370" i="4"/>
  <c r="C366" i="4"/>
  <c r="F361" i="4"/>
  <c r="L356" i="4"/>
  <c r="D352" i="4"/>
  <c r="J347" i="4"/>
  <c r="B343" i="4"/>
  <c r="H338" i="4"/>
  <c r="N333" i="4"/>
  <c r="E329" i="4"/>
  <c r="J324" i="4"/>
  <c r="B320" i="4"/>
  <c r="G315" i="4"/>
  <c r="L310" i="4"/>
  <c r="C306" i="4"/>
  <c r="H301" i="4"/>
  <c r="N296" i="4"/>
  <c r="C292" i="4"/>
  <c r="F287" i="4"/>
  <c r="I282" i="4"/>
  <c r="L277" i="4"/>
  <c r="N272" i="4"/>
  <c r="N267" i="4"/>
  <c r="D263" i="4"/>
  <c r="G258" i="4"/>
  <c r="I403" i="4"/>
  <c r="G398" i="4"/>
  <c r="M393" i="4"/>
  <c r="D389" i="4"/>
  <c r="I384" i="4"/>
  <c r="A380" i="4"/>
  <c r="G375" i="4"/>
  <c r="J370" i="4"/>
  <c r="B366" i="4"/>
  <c r="E361" i="4"/>
  <c r="K356" i="4"/>
  <c r="C352" i="4"/>
  <c r="I347" i="4"/>
  <c r="A343" i="4"/>
  <c r="G338" i="4"/>
  <c r="M333" i="4"/>
  <c r="D329" i="4"/>
  <c r="I324" i="4"/>
  <c r="A320" i="4"/>
  <c r="F315" i="4"/>
  <c r="K310" i="4"/>
  <c r="B306" i="4"/>
  <c r="G301" i="4"/>
  <c r="M296" i="4"/>
  <c r="A292" i="4"/>
  <c r="E287" i="4"/>
  <c r="H282" i="4"/>
  <c r="K277" i="4"/>
  <c r="M272" i="4"/>
  <c r="M267" i="4"/>
  <c r="C263" i="4"/>
  <c r="F258" i="4"/>
  <c r="K253" i="4"/>
  <c r="B400" i="4"/>
  <c r="H395" i="4"/>
  <c r="M390" i="4"/>
  <c r="D386" i="4"/>
  <c r="J381" i="4"/>
  <c r="B377" i="4"/>
  <c r="F372" i="4"/>
  <c r="K367" i="4"/>
  <c r="A363" i="4"/>
  <c r="F358" i="4"/>
  <c r="L353" i="4"/>
  <c r="D349" i="4"/>
  <c r="J344" i="4"/>
  <c r="B340" i="4"/>
  <c r="H335" i="4"/>
  <c r="N330" i="4"/>
  <c r="D326" i="4"/>
  <c r="J321" i="4"/>
  <c r="A317" i="4"/>
  <c r="F312" i="4"/>
  <c r="K307" i="4"/>
  <c r="B303" i="4"/>
  <c r="H298" i="4"/>
  <c r="L293" i="4"/>
  <c r="A289" i="4"/>
  <c r="D284" i="4"/>
  <c r="H279" i="4"/>
  <c r="J274" i="4"/>
  <c r="J269" i="4"/>
  <c r="L264" i="4"/>
  <c r="C260" i="4"/>
  <c r="F255" i="4"/>
  <c r="L401" i="4"/>
  <c r="C397" i="4"/>
  <c r="H392" i="4"/>
  <c r="M387" i="4"/>
  <c r="E383" i="4"/>
  <c r="K378" i="4"/>
  <c r="C374" i="4"/>
  <c r="F369" i="4"/>
  <c r="K364" i="4"/>
  <c r="A360" i="4"/>
  <c r="G355" i="4"/>
  <c r="M350" i="4"/>
  <c r="E346" i="4"/>
  <c r="K341" i="4"/>
  <c r="C337" i="4"/>
  <c r="I332" i="4"/>
  <c r="M327" i="4"/>
  <c r="E323" i="4"/>
  <c r="K318" i="4"/>
  <c r="B314" i="4"/>
  <c r="F309" i="4"/>
  <c r="K304" i="4"/>
  <c r="C300" i="4"/>
  <c r="I295" i="4"/>
  <c r="J290" i="4"/>
  <c r="M285" i="4"/>
  <c r="C281" i="4"/>
  <c r="G276" i="4"/>
  <c r="H271" i="4"/>
  <c r="H266" i="4"/>
  <c r="M261" i="4"/>
  <c r="F402" i="4"/>
  <c r="J397" i="4"/>
  <c r="B393" i="4"/>
  <c r="F388" i="4"/>
  <c r="L383" i="4"/>
  <c r="D379" i="4"/>
  <c r="J374" i="4"/>
  <c r="M369" i="4"/>
  <c r="D365" i="4"/>
  <c r="H360" i="4"/>
  <c r="N355" i="4"/>
  <c r="F351" i="4"/>
  <c r="L346" i="4"/>
  <c r="D342" i="4"/>
  <c r="J337" i="4"/>
  <c r="B333" i="4"/>
  <c r="F328" i="4"/>
  <c r="L323" i="4"/>
  <c r="D319" i="4"/>
  <c r="I314" i="4"/>
  <c r="M309" i="4"/>
  <c r="E305" i="4"/>
  <c r="J300" i="4"/>
  <c r="B296" i="4"/>
  <c r="D291" i="4"/>
  <c r="G286" i="4"/>
  <c r="J281" i="4"/>
  <c r="N276" i="4"/>
  <c r="B272" i="4"/>
  <c r="B267" i="4"/>
  <c r="F262" i="4"/>
  <c r="I257" i="4"/>
  <c r="I401" i="4"/>
  <c r="A397" i="4"/>
  <c r="F392" i="4"/>
  <c r="K387" i="4"/>
  <c r="C383" i="4"/>
  <c r="I378" i="4"/>
  <c r="N373" i="4"/>
  <c r="D369" i="4"/>
  <c r="I364" i="4"/>
  <c r="M359" i="4"/>
  <c r="E355" i="4"/>
  <c r="K350" i="4"/>
  <c r="C346" i="4"/>
  <c r="I341" i="4"/>
  <c r="A337" i="4"/>
  <c r="G332" i="4"/>
  <c r="K327" i="4"/>
  <c r="C323" i="4"/>
  <c r="I318" i="4"/>
  <c r="N313" i="4"/>
  <c r="D309" i="4"/>
  <c r="I304" i="4"/>
  <c r="A300" i="4"/>
  <c r="G295" i="4"/>
  <c r="H290" i="4"/>
  <c r="K285" i="4"/>
  <c r="A281" i="4"/>
  <c r="E276" i="4"/>
  <c r="E271" i="4"/>
  <c r="F266" i="4"/>
  <c r="K261" i="4"/>
  <c r="N256" i="4"/>
  <c r="B261" i="4"/>
  <c r="B251" i="4"/>
  <c r="F246" i="4"/>
  <c r="J241" i="4"/>
  <c r="M236" i="4"/>
  <c r="C232" i="4"/>
  <c r="E227" i="4"/>
  <c r="E222" i="4"/>
  <c r="D217" i="4"/>
  <c r="E212" i="4"/>
  <c r="I207" i="4"/>
  <c r="H202" i="4"/>
  <c r="I197" i="4"/>
  <c r="M192" i="4"/>
  <c r="E188" i="4"/>
  <c r="K183" i="4"/>
  <c r="B179" i="4"/>
  <c r="C174" i="4"/>
  <c r="H169" i="4"/>
  <c r="L164" i="4"/>
  <c r="C160" i="4"/>
  <c r="H155" i="4"/>
  <c r="L150" i="4"/>
  <c r="B146" i="4"/>
  <c r="H141" i="4"/>
  <c r="M136" i="4"/>
  <c r="C132" i="4"/>
  <c r="I127" i="4"/>
  <c r="N122" i="4"/>
  <c r="E118" i="4"/>
  <c r="J113" i="4"/>
  <c r="M108" i="4"/>
  <c r="C104" i="4"/>
  <c r="M253" i="4"/>
  <c r="I248" i="4"/>
  <c r="A244" i="4"/>
  <c r="D239" i="4"/>
  <c r="G234" i="4"/>
  <c r="J229" i="4"/>
  <c r="J224" i="4"/>
  <c r="K219" i="4"/>
  <c r="K214" i="4"/>
  <c r="M209" i="4"/>
  <c r="M204" i="4"/>
  <c r="M199" i="4"/>
  <c r="B195" i="4"/>
  <c r="H190" i="4"/>
  <c r="N185" i="4"/>
  <c r="E181" i="4"/>
  <c r="K176" i="4"/>
  <c r="K171" i="4"/>
  <c r="C167" i="4"/>
  <c r="F162" i="4"/>
  <c r="K157" i="4"/>
  <c r="B153" i="4"/>
  <c r="G148" i="4"/>
  <c r="K143" i="4"/>
  <c r="C139" i="4"/>
  <c r="G134" i="4"/>
  <c r="L129" i="4"/>
  <c r="D125" i="4"/>
  <c r="H120" i="4"/>
  <c r="N115" i="4"/>
  <c r="C111" i="4"/>
  <c r="G106" i="4"/>
  <c r="M252" i="4"/>
  <c r="N247" i="4"/>
  <c r="F243" i="4"/>
  <c r="H238" i="4"/>
  <c r="L233" i="4"/>
  <c r="M228" i="4"/>
  <c r="A224" i="4"/>
  <c r="B219" i="4"/>
  <c r="N213" i="4"/>
  <c r="D209" i="4"/>
  <c r="C204" i="4"/>
  <c r="D199" i="4"/>
  <c r="G194" i="4"/>
  <c r="M189" i="4"/>
  <c r="E185" i="4"/>
  <c r="J180" i="4"/>
  <c r="B176" i="4"/>
  <c r="B171" i="4"/>
  <c r="G166" i="4"/>
  <c r="K161" i="4"/>
  <c r="B157" i="4"/>
  <c r="G152" i="4"/>
  <c r="L147" i="4"/>
  <c r="B143" i="4"/>
  <c r="G138" i="4"/>
  <c r="L133" i="4"/>
  <c r="C129" i="4"/>
  <c r="I124" i="4"/>
  <c r="M119" i="4"/>
  <c r="E115" i="4"/>
  <c r="H110" i="4"/>
  <c r="L262" i="4"/>
  <c r="G251" i="4"/>
  <c r="K246" i="4"/>
  <c r="A242" i="4"/>
  <c r="D237" i="4"/>
  <c r="H232" i="4"/>
  <c r="J227" i="4"/>
  <c r="J222" i="4"/>
  <c r="J217" i="4"/>
  <c r="J212" i="4"/>
  <c r="N207" i="4"/>
  <c r="M202" i="4"/>
  <c r="N197" i="4"/>
  <c r="D193" i="4"/>
  <c r="J188" i="4"/>
  <c r="B184" i="4"/>
  <c r="G179" i="4"/>
  <c r="H174" i="4"/>
  <c r="M169" i="4"/>
  <c r="D165" i="4"/>
  <c r="H160" i="4"/>
  <c r="M155" i="4"/>
  <c r="C151" i="4"/>
  <c r="G146" i="4"/>
  <c r="M141" i="4"/>
  <c r="D137" i="4"/>
  <c r="I132" i="4"/>
  <c r="N127" i="4"/>
  <c r="E123" i="4"/>
  <c r="J118" i="4"/>
  <c r="A114" i="4"/>
  <c r="D109" i="4"/>
  <c r="J257" i="4"/>
  <c r="C250" i="4"/>
  <c r="H245" i="4"/>
  <c r="L240" i="4"/>
  <c r="N235" i="4"/>
  <c r="D231" i="4"/>
  <c r="E226" i="4"/>
  <c r="F221" i="4"/>
  <c r="E216" i="4"/>
  <c r="G211" i="4"/>
  <c r="I206" i="4"/>
  <c r="I201" i="4"/>
  <c r="J196" i="4"/>
  <c r="A192" i="4"/>
  <c r="G187" i="4"/>
  <c r="M182" i="4"/>
  <c r="D178" i="4"/>
  <c r="E173" i="4"/>
  <c r="J168" i="4"/>
  <c r="N163" i="4"/>
  <c r="D159" i="4"/>
  <c r="J154" i="4"/>
  <c r="N149" i="4"/>
  <c r="D145" i="4"/>
  <c r="J140" i="4"/>
  <c r="N135" i="4"/>
  <c r="E131" i="4"/>
  <c r="K126" i="4"/>
  <c r="B122" i="4"/>
  <c r="G117" i="4"/>
  <c r="K112" i="4"/>
  <c r="A108" i="4"/>
  <c r="G254" i="4"/>
  <c r="M248" i="4"/>
  <c r="E244" i="4"/>
  <c r="H239" i="4"/>
  <c r="K234" i="4"/>
  <c r="N229" i="4"/>
  <c r="N224" i="4"/>
  <c r="A220" i="4"/>
  <c r="B215" i="4"/>
  <c r="C210" i="4"/>
  <c r="D205" i="4"/>
  <c r="D200" i="4"/>
  <c r="F195" i="4"/>
  <c r="L190" i="4"/>
  <c r="D186" i="4"/>
  <c r="J181" i="4"/>
  <c r="A177" i="4"/>
  <c r="B172" i="4"/>
  <c r="G167" i="4"/>
  <c r="K162" i="4"/>
  <c r="A158" i="4"/>
  <c r="F153" i="4"/>
  <c r="E629" i="4"/>
  <c r="B690" i="4"/>
  <c r="J762" i="4"/>
  <c r="G554" i="4"/>
  <c r="D557" i="4"/>
  <c r="C502" i="4"/>
  <c r="F465" i="4"/>
  <c r="G574" i="4"/>
  <c r="J537" i="4"/>
  <c r="N500" i="4"/>
  <c r="A467" i="4"/>
  <c r="M586" i="4"/>
  <c r="F555" i="4"/>
  <c r="I525" i="4"/>
  <c r="E496" i="4"/>
  <c r="F466" i="4"/>
  <c r="M584" i="4"/>
  <c r="C554" i="4"/>
  <c r="F524" i="4"/>
  <c r="A495" i="4"/>
  <c r="C465" i="4"/>
  <c r="N582" i="4"/>
  <c r="N552" i="4"/>
  <c r="C523" i="4"/>
  <c r="L493" i="4"/>
  <c r="N463" i="4"/>
  <c r="L581" i="4"/>
  <c r="D552" i="4"/>
  <c r="A531" i="4"/>
  <c r="I515" i="4"/>
  <c r="A500" i="4"/>
  <c r="I485" i="4"/>
  <c r="D471" i="4"/>
  <c r="K578" i="4"/>
  <c r="M463" i="4"/>
  <c r="J445" i="4"/>
  <c r="E431" i="4"/>
  <c r="K416" i="4"/>
  <c r="K401" i="4"/>
  <c r="G495" i="4"/>
  <c r="J449" i="4"/>
  <c r="D435" i="4"/>
  <c r="L420" i="4"/>
  <c r="J405" i="4"/>
  <c r="K508" i="4"/>
  <c r="E451" i="4"/>
  <c r="N436" i="4"/>
  <c r="H422" i="4"/>
  <c r="E407" i="4"/>
  <c r="N521" i="4"/>
  <c r="N452" i="4"/>
  <c r="I438" i="4"/>
  <c r="C424" i="4"/>
  <c r="J413" i="4"/>
  <c r="L403" i="4"/>
  <c r="B535" i="4"/>
  <c r="C459" i="4"/>
  <c r="G449" i="4"/>
  <c r="D440" i="4"/>
  <c r="I431" i="4"/>
  <c r="H423" i="4"/>
  <c r="E415" i="4"/>
  <c r="C407" i="4"/>
  <c r="I566" i="4"/>
  <c r="A507" i="4"/>
  <c r="N457" i="4"/>
  <c r="F449" i="4"/>
  <c r="M441" i="4"/>
  <c r="N434" i="4"/>
  <c r="A428" i="4"/>
  <c r="B421" i="4"/>
  <c r="H413" i="4"/>
  <c r="H406" i="4"/>
  <c r="G586" i="4"/>
  <c r="F529" i="4"/>
  <c r="C474" i="4"/>
  <c r="I455" i="4"/>
  <c r="J448" i="4"/>
  <c r="J440" i="4"/>
  <c r="K433" i="4"/>
  <c r="L426" i="4"/>
  <c r="M419" i="4"/>
  <c r="M412" i="4"/>
  <c r="M405" i="4"/>
  <c r="K551" i="4"/>
  <c r="A492" i="4"/>
  <c r="L457" i="4"/>
  <c r="N450" i="4"/>
  <c r="A444" i="4"/>
  <c r="C437" i="4"/>
  <c r="D430" i="4"/>
  <c r="E423" i="4"/>
  <c r="J415" i="4"/>
  <c r="J408" i="4"/>
  <c r="A403" i="4"/>
  <c r="L395" i="4"/>
  <c r="L388" i="4"/>
  <c r="N381" i="4"/>
  <c r="B375" i="4"/>
  <c r="M366" i="4"/>
  <c r="L359" i="4"/>
  <c r="N352" i="4"/>
  <c r="B346" i="4"/>
  <c r="D339" i="4"/>
  <c r="F332" i="4"/>
  <c r="F325" i="4"/>
  <c r="M317" i="4"/>
  <c r="N310" i="4"/>
  <c r="N303" i="4"/>
  <c r="B297" i="4"/>
  <c r="M289" i="4"/>
  <c r="K282" i="4"/>
  <c r="I275" i="4"/>
  <c r="G401" i="4"/>
  <c r="I394" i="4"/>
  <c r="C388" i="4"/>
  <c r="M381" i="4"/>
  <c r="C376" i="4"/>
  <c r="J369" i="4"/>
  <c r="D363" i="4"/>
  <c r="G357" i="4"/>
  <c r="C351" i="4"/>
  <c r="M344" i="4"/>
  <c r="C339" i="4"/>
  <c r="M332" i="4"/>
  <c r="G326" i="4"/>
  <c r="K320" i="4"/>
  <c r="F314" i="4"/>
  <c r="N307" i="4"/>
  <c r="C302" i="4"/>
  <c r="M295" i="4"/>
  <c r="D289" i="4"/>
  <c r="D283" i="4"/>
  <c r="K276" i="4"/>
  <c r="C271" i="4"/>
  <c r="D266" i="4"/>
  <c r="K402" i="4"/>
  <c r="N397" i="4"/>
  <c r="F393" i="4"/>
  <c r="J388" i="4"/>
  <c r="B384" i="4"/>
  <c r="H379" i="4"/>
  <c r="N374" i="4"/>
  <c r="C370" i="4"/>
  <c r="I365" i="4"/>
  <c r="L360" i="4"/>
  <c r="D356" i="4"/>
  <c r="J351" i="4"/>
  <c r="B347" i="4"/>
  <c r="H342" i="4"/>
  <c r="N337" i="4"/>
  <c r="F333" i="4"/>
  <c r="J328" i="4"/>
  <c r="B324" i="4"/>
  <c r="H319" i="4"/>
  <c r="M314" i="4"/>
  <c r="D310" i="4"/>
  <c r="I305" i="4"/>
  <c r="N300" i="4"/>
  <c r="F296" i="4"/>
  <c r="H291" i="4"/>
  <c r="K286" i="4"/>
  <c r="N281" i="4"/>
  <c r="D277" i="4"/>
  <c r="F272" i="4"/>
  <c r="F267" i="4"/>
  <c r="J262" i="4"/>
  <c r="M257" i="4"/>
  <c r="J402" i="4"/>
  <c r="M397" i="4"/>
  <c r="E393" i="4"/>
  <c r="I388" i="4"/>
  <c r="A384" i="4"/>
  <c r="G379" i="4"/>
  <c r="M374" i="4"/>
  <c r="B370" i="4"/>
  <c r="H365" i="4"/>
  <c r="K360" i="4"/>
  <c r="C356" i="4"/>
  <c r="I351" i="4"/>
  <c r="A347" i="4"/>
  <c r="G342" i="4"/>
  <c r="M337" i="4"/>
  <c r="E333" i="4"/>
  <c r="I328" i="4"/>
  <c r="A324" i="4"/>
  <c r="G319" i="4"/>
  <c r="L314" i="4"/>
  <c r="C310" i="4"/>
  <c r="H305" i="4"/>
  <c r="M300" i="4"/>
  <c r="E296" i="4"/>
  <c r="G291" i="4"/>
  <c r="J286" i="4"/>
  <c r="M281" i="4"/>
  <c r="C277" i="4"/>
  <c r="E272" i="4"/>
  <c r="E267" i="4"/>
  <c r="I262" i="4"/>
  <c r="L257" i="4"/>
  <c r="C253" i="4"/>
  <c r="H399" i="4"/>
  <c r="N394" i="4"/>
  <c r="E390" i="4"/>
  <c r="J385" i="4"/>
  <c r="B381" i="4"/>
  <c r="H376" i="4"/>
  <c r="K371" i="4"/>
  <c r="C367" i="4"/>
  <c r="G362" i="4"/>
  <c r="L357" i="4"/>
  <c r="D353" i="4"/>
  <c r="J348" i="4"/>
  <c r="B344" i="4"/>
  <c r="H339" i="4"/>
  <c r="N334" i="4"/>
  <c r="E330" i="4"/>
  <c r="J325" i="4"/>
  <c r="B321" i="4"/>
  <c r="G316" i="4"/>
  <c r="L311" i="4"/>
  <c r="C307" i="4"/>
  <c r="H302" i="4"/>
  <c r="N297" i="4"/>
  <c r="D293" i="4"/>
  <c r="G288" i="4"/>
  <c r="I283" i="4"/>
  <c r="M278" i="4"/>
  <c r="A274" i="4"/>
  <c r="B269" i="4"/>
  <c r="D264" i="4"/>
  <c r="H259" i="4"/>
  <c r="L254" i="4"/>
  <c r="C401" i="4"/>
  <c r="I396" i="4"/>
  <c r="N391" i="4"/>
  <c r="E387" i="4"/>
  <c r="K382" i="4"/>
  <c r="C378" i="4"/>
  <c r="H373" i="4"/>
  <c r="L368" i="4"/>
  <c r="B364" i="4"/>
  <c r="G359" i="4"/>
  <c r="M354" i="4"/>
  <c r="E350" i="4"/>
  <c r="K345" i="4"/>
  <c r="C341" i="4"/>
  <c r="I336" i="4"/>
  <c r="A332" i="4"/>
  <c r="E327" i="4"/>
  <c r="K322" i="4"/>
  <c r="C318" i="4"/>
  <c r="H313" i="4"/>
  <c r="L308" i="4"/>
  <c r="C304" i="4"/>
  <c r="I299" i="4"/>
  <c r="N294" i="4"/>
  <c r="B290" i="4"/>
  <c r="E285" i="4"/>
  <c r="I280" i="4"/>
  <c r="L275" i="4"/>
  <c r="L270" i="4"/>
  <c r="M265" i="4"/>
  <c r="E261" i="4"/>
  <c r="J401" i="4"/>
  <c r="B397" i="4"/>
  <c r="G392" i="4"/>
  <c r="L387" i="4"/>
  <c r="D383" i="4"/>
  <c r="J378" i="4"/>
  <c r="A374" i="4"/>
  <c r="E369" i="4"/>
  <c r="J364" i="4"/>
  <c r="N359" i="4"/>
  <c r="F355" i="4"/>
  <c r="L350" i="4"/>
  <c r="D346" i="4"/>
  <c r="J341" i="4"/>
  <c r="B337" i="4"/>
  <c r="H332" i="4"/>
  <c r="L327" i="4"/>
  <c r="D323" i="4"/>
  <c r="J318" i="4"/>
  <c r="A314" i="4"/>
  <c r="E309" i="4"/>
  <c r="J304" i="4"/>
  <c r="B300" i="4"/>
  <c r="H295" i="4"/>
  <c r="I290" i="4"/>
  <c r="L285" i="4"/>
  <c r="B281" i="4"/>
  <c r="F276" i="4"/>
  <c r="F271" i="4"/>
  <c r="G266" i="4"/>
  <c r="L261" i="4"/>
  <c r="A257" i="4"/>
  <c r="A401" i="4"/>
  <c r="G396" i="4"/>
  <c r="L391" i="4"/>
  <c r="C387" i="4"/>
  <c r="I382" i="4"/>
  <c r="A378" i="4"/>
  <c r="F373" i="4"/>
  <c r="J368" i="4"/>
  <c r="N363" i="4"/>
  <c r="E359" i="4"/>
  <c r="K354" i="4"/>
  <c r="C350" i="4"/>
  <c r="I345" i="4"/>
  <c r="A341" i="4"/>
  <c r="G336" i="4"/>
  <c r="M331" i="4"/>
  <c r="C327" i="4"/>
  <c r="I322" i="4"/>
  <c r="N317" i="4"/>
  <c r="F313" i="4"/>
  <c r="J308" i="4"/>
  <c r="A304" i="4"/>
  <c r="G299" i="4"/>
  <c r="L294" i="4"/>
  <c r="N289" i="4"/>
  <c r="C285" i="4"/>
  <c r="G280" i="4"/>
  <c r="J275" i="4"/>
  <c r="J270" i="4"/>
  <c r="K265" i="4"/>
  <c r="C261" i="4"/>
  <c r="F256" i="4"/>
  <c r="I258" i="4"/>
  <c r="G250" i="4"/>
  <c r="L245" i="4"/>
  <c r="B241" i="4"/>
  <c r="E236" i="4"/>
  <c r="H231" i="4"/>
  <c r="J226" i="4"/>
  <c r="J221" i="4"/>
  <c r="I216" i="4"/>
  <c r="K211" i="4"/>
  <c r="M206" i="4"/>
  <c r="M201" i="4"/>
  <c r="N196" i="4"/>
  <c r="E192" i="4"/>
  <c r="K187" i="4"/>
  <c r="C183" i="4"/>
  <c r="H178" i="4"/>
  <c r="I173" i="4"/>
  <c r="N168" i="4"/>
  <c r="D164" i="4"/>
  <c r="H159" i="4"/>
  <c r="N154" i="4"/>
  <c r="D150" i="4"/>
  <c r="H145" i="4"/>
  <c r="N140" i="4"/>
  <c r="E136" i="4"/>
  <c r="I131" i="4"/>
  <c r="A127" i="4"/>
  <c r="F122" i="4"/>
  <c r="K117" i="4"/>
  <c r="A113" i="4"/>
  <c r="E108" i="4"/>
  <c r="I103" i="4"/>
  <c r="N252" i="4"/>
  <c r="A248" i="4"/>
  <c r="G243" i="4"/>
  <c r="I238" i="4"/>
  <c r="M233" i="4"/>
  <c r="N228" i="4"/>
  <c r="B224" i="4"/>
  <c r="C219" i="4"/>
  <c r="B214" i="4"/>
  <c r="E209" i="4"/>
  <c r="D204" i="4"/>
  <c r="E199" i="4"/>
  <c r="H194" i="4"/>
  <c r="N189" i="4"/>
  <c r="F185" i="4"/>
  <c r="K180" i="4"/>
  <c r="C176" i="4"/>
  <c r="C171" i="4"/>
  <c r="H166" i="4"/>
  <c r="L161" i="4"/>
  <c r="C157" i="4"/>
  <c r="H152" i="4"/>
  <c r="M147" i="4"/>
  <c r="C143" i="4"/>
  <c r="H138" i="4"/>
  <c r="M133" i="4"/>
  <c r="D129" i="4"/>
  <c r="J124" i="4"/>
  <c r="N119" i="4"/>
  <c r="F115" i="4"/>
  <c r="I110" i="4"/>
  <c r="C268" i="4"/>
  <c r="C252" i="4"/>
  <c r="F247" i="4"/>
  <c r="K242" i="4"/>
  <c r="M237" i="4"/>
  <c r="D233" i="4"/>
  <c r="E228" i="4"/>
  <c r="F223" i="4"/>
  <c r="F218" i="4"/>
  <c r="F213" i="4"/>
  <c r="J208" i="4"/>
  <c r="H203" i="4"/>
  <c r="J198" i="4"/>
  <c r="M193" i="4"/>
  <c r="E189" i="4"/>
  <c r="K184" i="4"/>
  <c r="B180" i="4"/>
  <c r="C175" i="4"/>
  <c r="H170" i="4"/>
  <c r="M165" i="4"/>
  <c r="C161" i="4"/>
  <c r="H156" i="4"/>
  <c r="L151" i="4"/>
  <c r="D147" i="4"/>
  <c r="H142" i="4"/>
  <c r="M137" i="4"/>
  <c r="D133" i="4"/>
  <c r="I128" i="4"/>
  <c r="A124" i="4"/>
  <c r="E119" i="4"/>
  <c r="K114" i="4"/>
  <c r="M109" i="4"/>
  <c r="F260" i="4"/>
  <c r="L250" i="4"/>
  <c r="C246" i="4"/>
  <c r="G241" i="4"/>
  <c r="J236" i="4"/>
  <c r="M231" i="4"/>
  <c r="B227" i="4"/>
  <c r="B222" i="4"/>
  <c r="N216" i="4"/>
  <c r="B212" i="4"/>
  <c r="E207" i="4"/>
  <c r="E202" i="4"/>
  <c r="E197" i="4"/>
  <c r="J192" i="4"/>
  <c r="B188" i="4"/>
  <c r="H183" i="4"/>
  <c r="M178" i="4"/>
  <c r="N173" i="4"/>
  <c r="E169" i="4"/>
  <c r="I164" i="4"/>
  <c r="M159" i="4"/>
  <c r="E155" i="4"/>
  <c r="I150" i="4"/>
  <c r="M145" i="4"/>
  <c r="E141" i="4"/>
  <c r="J136" i="4"/>
  <c r="N131" i="4"/>
  <c r="F127" i="4"/>
  <c r="K122" i="4"/>
  <c r="B118" i="4"/>
  <c r="G113" i="4"/>
  <c r="J108" i="4"/>
  <c r="D256" i="4"/>
  <c r="I249" i="4"/>
  <c r="N244" i="4"/>
  <c r="D240" i="4"/>
  <c r="F235" i="4"/>
  <c r="I230" i="4"/>
  <c r="J225" i="4"/>
  <c r="K220" i="4"/>
  <c r="K215" i="4"/>
  <c r="L210" i="4"/>
  <c r="N205" i="4"/>
  <c r="N200" i="4"/>
  <c r="A196" i="4"/>
  <c r="G191" i="4"/>
  <c r="M186" i="4"/>
  <c r="E182" i="4"/>
  <c r="J177" i="4"/>
  <c r="K172" i="4"/>
  <c r="B168" i="4"/>
  <c r="F163" i="4"/>
  <c r="J158" i="4"/>
  <c r="A154" i="4"/>
  <c r="F149" i="4"/>
  <c r="J144" i="4"/>
  <c r="B140" i="4"/>
  <c r="F135" i="4"/>
  <c r="K130" i="4"/>
  <c r="C126" i="4"/>
  <c r="H121" i="4"/>
  <c r="M116" i="4"/>
  <c r="B112" i="4"/>
  <c r="G107" i="4"/>
  <c r="G253" i="4"/>
  <c r="E248" i="4"/>
  <c r="K243" i="4"/>
  <c r="M238" i="4"/>
  <c r="C234" i="4"/>
  <c r="E229" i="4"/>
  <c r="F224" i="4"/>
  <c r="G219" i="4"/>
  <c r="F214" i="4"/>
  <c r="I209" i="4"/>
  <c r="I204" i="4"/>
  <c r="I199" i="4"/>
  <c r="L194" i="4"/>
  <c r="D190" i="4"/>
  <c r="J185" i="4"/>
  <c r="A181" i="4"/>
  <c r="G176" i="4"/>
  <c r="G171" i="4"/>
  <c r="L166" i="4"/>
  <c r="B162" i="4"/>
  <c r="G157" i="4"/>
  <c r="L152" i="4"/>
  <c r="L640" i="4"/>
  <c r="C653" i="4"/>
  <c r="A691" i="4"/>
  <c r="B536" i="4"/>
  <c r="A548" i="4"/>
  <c r="L495" i="4"/>
  <c r="B731" i="4"/>
  <c r="A568" i="4"/>
  <c r="F531" i="4"/>
  <c r="I494" i="4"/>
  <c r="G462" i="4"/>
  <c r="B580" i="4"/>
  <c r="L550" i="4"/>
  <c r="A521" i="4"/>
  <c r="J491" i="4"/>
  <c r="L461" i="4"/>
  <c r="M578" i="4"/>
  <c r="I549" i="4"/>
  <c r="L519" i="4"/>
  <c r="G490" i="4"/>
  <c r="L855" i="4"/>
  <c r="J577" i="4"/>
  <c r="E548" i="4"/>
  <c r="I518" i="4"/>
  <c r="D489" i="4"/>
  <c r="K781" i="4"/>
  <c r="N576" i="4"/>
  <c r="I547" i="4"/>
  <c r="M529" i="4"/>
  <c r="N510" i="4"/>
  <c r="F495" i="4"/>
  <c r="A481" i="4"/>
  <c r="J466" i="4"/>
  <c r="N541" i="4"/>
  <c r="I456" i="4"/>
  <c r="B441" i="4"/>
  <c r="J426" i="4"/>
  <c r="C412" i="4"/>
  <c r="H573" i="4"/>
  <c r="J460" i="4"/>
  <c r="A445" i="4"/>
  <c r="J430" i="4"/>
  <c r="B416" i="4"/>
  <c r="I590" i="4"/>
  <c r="M471" i="4"/>
  <c r="J446" i="4"/>
  <c r="E432" i="4"/>
  <c r="K417" i="4"/>
  <c r="J672" i="4"/>
  <c r="B485" i="4"/>
  <c r="E448" i="4"/>
  <c r="N433" i="4"/>
  <c r="F422" i="4"/>
  <c r="E411" i="4"/>
  <c r="C631" i="4"/>
  <c r="L516" i="4"/>
  <c r="A458" i="4"/>
  <c r="L448" i="4"/>
  <c r="H438" i="4"/>
  <c r="G430" i="4"/>
  <c r="E422" i="4"/>
  <c r="C414" i="4"/>
  <c r="G405" i="4"/>
  <c r="A562" i="4"/>
  <c r="C493" i="4"/>
  <c r="D456" i="4"/>
  <c r="K448" i="4"/>
  <c r="E441" i="4"/>
  <c r="F434" i="4"/>
  <c r="G427" i="4"/>
  <c r="F419" i="4"/>
  <c r="F412" i="4"/>
  <c r="F405" i="4"/>
  <c r="E575" i="4"/>
  <c r="D520" i="4"/>
  <c r="A465" i="4"/>
  <c r="G454" i="4"/>
  <c r="N446" i="4"/>
  <c r="B440" i="4"/>
  <c r="C433" i="4"/>
  <c r="D426" i="4"/>
  <c r="E419" i="4"/>
  <c r="E412" i="4"/>
  <c r="B691" i="4"/>
  <c r="H542" i="4"/>
  <c r="F487" i="4"/>
  <c r="D457" i="4"/>
  <c r="F450" i="4"/>
  <c r="G443" i="4"/>
  <c r="I436" i="4"/>
  <c r="J429" i="4"/>
  <c r="H421" i="4"/>
  <c r="H414" i="4"/>
  <c r="H407" i="4"/>
  <c r="H401" i="4"/>
  <c r="J394" i="4"/>
  <c r="J387" i="4"/>
  <c r="L380" i="4"/>
  <c r="E373" i="4"/>
  <c r="E366" i="4"/>
  <c r="D359" i="4"/>
  <c r="F352" i="4"/>
  <c r="H345" i="4"/>
  <c r="J338" i="4"/>
  <c r="L331" i="4"/>
  <c r="D324" i="4"/>
  <c r="E317" i="4"/>
  <c r="F310" i="4"/>
  <c r="F303" i="4"/>
  <c r="H296" i="4"/>
  <c r="E289" i="4"/>
  <c r="C282" i="4"/>
  <c r="K273" i="4"/>
  <c r="E400" i="4"/>
  <c r="G393" i="4"/>
  <c r="I387" i="4"/>
  <c r="E381" i="4"/>
  <c r="A375" i="4"/>
  <c r="B369" i="4"/>
  <c r="J362" i="4"/>
  <c r="E356" i="4"/>
  <c r="I350" i="4"/>
  <c r="E344" i="4"/>
  <c r="A338" i="4"/>
  <c r="E332" i="4"/>
  <c r="M325" i="4"/>
  <c r="I319" i="4"/>
  <c r="L313" i="4"/>
  <c r="F307" i="4"/>
  <c r="A301" i="4"/>
  <c r="E295" i="4"/>
  <c r="J288" i="4"/>
  <c r="B282" i="4"/>
  <c r="C276" i="4"/>
  <c r="H270" i="4"/>
  <c r="I265" i="4"/>
  <c r="A402" i="4"/>
  <c r="F397" i="4"/>
  <c r="K392" i="4"/>
  <c r="B388" i="4"/>
  <c r="H383" i="4"/>
  <c r="N378" i="4"/>
  <c r="F374" i="4"/>
  <c r="I369" i="4"/>
  <c r="N364" i="4"/>
  <c r="D360" i="4"/>
  <c r="J355" i="4"/>
  <c r="B351" i="4"/>
  <c r="H346" i="4"/>
  <c r="N341" i="4"/>
  <c r="F337" i="4"/>
  <c r="L332" i="4"/>
  <c r="B328" i="4"/>
  <c r="H323" i="4"/>
  <c r="N318" i="4"/>
  <c r="E314" i="4"/>
  <c r="I309" i="4"/>
  <c r="N304" i="4"/>
  <c r="F300" i="4"/>
  <c r="L295" i="4"/>
  <c r="M290" i="4"/>
  <c r="C286" i="4"/>
  <c r="F281" i="4"/>
  <c r="J276" i="4"/>
  <c r="K271" i="4"/>
  <c r="K266" i="4"/>
  <c r="B262" i="4"/>
  <c r="E257" i="4"/>
  <c r="N401" i="4"/>
  <c r="E397" i="4"/>
  <c r="J392" i="4"/>
  <c r="A388" i="4"/>
  <c r="G383" i="4"/>
  <c r="M378" i="4"/>
  <c r="E374" i="4"/>
  <c r="H369" i="4"/>
  <c r="M364" i="4"/>
  <c r="C360" i="4"/>
  <c r="I355" i="4"/>
  <c r="A351" i="4"/>
  <c r="G346" i="4"/>
  <c r="M341" i="4"/>
  <c r="E337" i="4"/>
  <c r="K332" i="4"/>
  <c r="A328" i="4"/>
  <c r="G323" i="4"/>
  <c r="M318" i="4"/>
  <c r="D314" i="4"/>
  <c r="H309" i="4"/>
  <c r="M304" i="4"/>
  <c r="E300" i="4"/>
  <c r="K295" i="4"/>
  <c r="L290" i="4"/>
  <c r="A286" i="4"/>
  <c r="E281" i="4"/>
  <c r="I276" i="4"/>
  <c r="J271" i="4"/>
  <c r="J266" i="4"/>
  <c r="A262" i="4"/>
  <c r="D257" i="4"/>
  <c r="H252" i="4"/>
  <c r="N398" i="4"/>
  <c r="F394" i="4"/>
  <c r="K389" i="4"/>
  <c r="B385" i="4"/>
  <c r="H380" i="4"/>
  <c r="N375" i="4"/>
  <c r="C371" i="4"/>
  <c r="I366" i="4"/>
  <c r="M361" i="4"/>
  <c r="D357" i="4"/>
  <c r="J352" i="4"/>
  <c r="B348" i="4"/>
  <c r="H343" i="4"/>
  <c r="N338" i="4"/>
  <c r="F334" i="4"/>
  <c r="K329" i="4"/>
  <c r="B325" i="4"/>
  <c r="H320" i="4"/>
  <c r="M315" i="4"/>
  <c r="D311" i="4"/>
  <c r="I306" i="4"/>
  <c r="N301" i="4"/>
  <c r="F297" i="4"/>
  <c r="I292" i="4"/>
  <c r="L287" i="4"/>
  <c r="A283" i="4"/>
  <c r="E278" i="4"/>
  <c r="G273" i="4"/>
  <c r="G268" i="4"/>
  <c r="J263" i="4"/>
  <c r="M258" i="4"/>
  <c r="D254" i="4"/>
  <c r="I400" i="4"/>
  <c r="A396" i="4"/>
  <c r="F391" i="4"/>
  <c r="K386" i="4"/>
  <c r="C382" i="4"/>
  <c r="I377" i="4"/>
  <c r="I696" i="4"/>
  <c r="D616" i="4"/>
  <c r="M666" i="4"/>
  <c r="L517" i="4"/>
  <c r="M538" i="4"/>
  <c r="N492" i="4"/>
  <c r="L688" i="4"/>
  <c r="C565" i="4"/>
  <c r="H528" i="4"/>
  <c r="K491" i="4"/>
  <c r="G892" i="4"/>
  <c r="J576" i="4"/>
  <c r="M547" i="4"/>
  <c r="K518" i="4"/>
  <c r="K488" i="4"/>
  <c r="J758" i="4"/>
  <c r="G575" i="4"/>
  <c r="J546" i="4"/>
  <c r="H517" i="4"/>
  <c r="H487" i="4"/>
  <c r="H705" i="4"/>
  <c r="D574" i="4"/>
  <c r="G545" i="4"/>
  <c r="E516" i="4"/>
  <c r="E486" i="4"/>
  <c r="K699" i="4"/>
  <c r="G573" i="4"/>
  <c r="E545" i="4"/>
  <c r="E525" i="4"/>
  <c r="D509" i="4"/>
  <c r="L494" i="4"/>
  <c r="G480" i="4"/>
  <c r="H465" i="4"/>
  <c r="F537" i="4"/>
  <c r="M454" i="4"/>
  <c r="H440" i="4"/>
  <c r="B426" i="4"/>
  <c r="M410" i="4"/>
  <c r="M568" i="4"/>
  <c r="L458" i="4"/>
  <c r="G444" i="4"/>
  <c r="B430" i="4"/>
  <c r="N414" i="4"/>
  <c r="M582" i="4"/>
  <c r="I460" i="4"/>
  <c r="B446" i="4"/>
  <c r="K431" i="4"/>
  <c r="I416" i="4"/>
  <c r="L635" i="4"/>
  <c r="E471" i="4"/>
  <c r="K447" i="4"/>
  <c r="F433" i="4"/>
  <c r="J420" i="4"/>
  <c r="J410" i="4"/>
  <c r="J598" i="4"/>
  <c r="C512" i="4"/>
  <c r="M456" i="4"/>
  <c r="J447" i="4"/>
  <c r="N437" i="4"/>
  <c r="E429" i="4"/>
  <c r="K421" i="4"/>
  <c r="A413" i="4"/>
  <c r="M404" i="4"/>
  <c r="M552" i="4"/>
  <c r="H488" i="4"/>
  <c r="J455" i="4"/>
  <c r="C448" i="4"/>
  <c r="C440" i="4"/>
  <c r="D433" i="4"/>
  <c r="K425" i="4"/>
  <c r="K418" i="4"/>
  <c r="K411" i="4"/>
  <c r="L404" i="4"/>
  <c r="I570" i="4"/>
  <c r="J515" i="4"/>
  <c r="A461" i="4"/>
  <c r="E453" i="4"/>
  <c r="F446" i="4"/>
  <c r="H439" i="4"/>
  <c r="I432" i="4"/>
  <c r="J425" i="4"/>
  <c r="J418" i="4"/>
  <c r="J411" i="4"/>
  <c r="B594" i="4"/>
  <c r="F533" i="4"/>
  <c r="D478" i="4"/>
  <c r="B456" i="4"/>
  <c r="D449" i="4"/>
  <c r="E442" i="4"/>
  <c r="F435" i="4"/>
  <c r="M427" i="4"/>
  <c r="N420" i="4"/>
  <c r="N413" i="4"/>
  <c r="N406" i="4"/>
  <c r="N400" i="4"/>
  <c r="B394" i="4"/>
  <c r="B387" i="4"/>
  <c r="J379" i="4"/>
  <c r="J372" i="4"/>
  <c r="K365" i="4"/>
  <c r="J358" i="4"/>
  <c r="L351" i="4"/>
  <c r="N344" i="4"/>
  <c r="B338" i="4"/>
  <c r="A330" i="4"/>
  <c r="B323" i="4"/>
  <c r="C316" i="4"/>
  <c r="C309" i="4"/>
  <c r="D302" i="4"/>
  <c r="F295" i="4"/>
  <c r="C288" i="4"/>
  <c r="F280" i="4"/>
  <c r="C273" i="4"/>
  <c r="K399" i="4"/>
  <c r="L392" i="4"/>
  <c r="G386" i="4"/>
  <c r="K380" i="4"/>
  <c r="G374" i="4"/>
  <c r="N367" i="4"/>
  <c r="B362" i="4"/>
  <c r="K355" i="4"/>
  <c r="G349" i="4"/>
  <c r="K343" i="4"/>
  <c r="G337" i="4"/>
  <c r="C331" i="4"/>
  <c r="E325" i="4"/>
  <c r="A319" i="4"/>
  <c r="I312" i="4"/>
  <c r="L306" i="4"/>
  <c r="G300" i="4"/>
  <c r="A294" i="4"/>
  <c r="A288" i="4"/>
  <c r="G281" i="4"/>
  <c r="M274" i="4"/>
  <c r="M269" i="4"/>
  <c r="A265" i="4"/>
  <c r="F401" i="4"/>
  <c r="L396" i="4"/>
  <c r="C392" i="4"/>
  <c r="H387" i="4"/>
  <c r="N382" i="4"/>
  <c r="F378" i="4"/>
  <c r="K373" i="4"/>
  <c r="A369" i="4"/>
  <c r="E364" i="4"/>
  <c r="J359" i="4"/>
  <c r="B355" i="4"/>
  <c r="H350" i="4"/>
  <c r="N345" i="4"/>
  <c r="F341" i="4"/>
  <c r="L336" i="4"/>
  <c r="D332" i="4"/>
  <c r="H327" i="4"/>
  <c r="N322" i="4"/>
  <c r="F318" i="4"/>
  <c r="K313" i="4"/>
  <c r="A309" i="4"/>
  <c r="F304" i="4"/>
  <c r="L299" i="4"/>
  <c r="D295" i="4"/>
  <c r="E290" i="4"/>
  <c r="H285" i="4"/>
  <c r="L280" i="4"/>
  <c r="G899" i="4"/>
  <c r="G689" i="4"/>
  <c r="C617" i="4"/>
  <c r="N480" i="4"/>
  <c r="I520" i="4"/>
  <c r="K483" i="4"/>
  <c r="N614" i="4"/>
  <c r="A556" i="4"/>
  <c r="F519" i="4"/>
  <c r="H482" i="4"/>
  <c r="D665" i="4"/>
  <c r="J569" i="4"/>
  <c r="M539" i="4"/>
  <c r="D511" i="4"/>
  <c r="M481" i="4"/>
  <c r="G655" i="4"/>
  <c r="G568" i="4"/>
  <c r="J538" i="4"/>
  <c r="A510" i="4"/>
  <c r="J480" i="4"/>
  <c r="I645" i="4"/>
  <c r="D567" i="4"/>
  <c r="G537" i="4"/>
  <c r="L508" i="4"/>
  <c r="G479" i="4"/>
  <c r="M639" i="4"/>
  <c r="H566" i="4"/>
  <c r="C540" i="4"/>
  <c r="G522" i="4"/>
  <c r="B508" i="4"/>
  <c r="B493" i="4"/>
  <c r="K478" i="4"/>
  <c r="D463" i="4"/>
  <c r="B519" i="4"/>
  <c r="K453" i="4"/>
  <c r="L438" i="4"/>
  <c r="F424" i="4"/>
  <c r="I408" i="4"/>
  <c r="I550" i="4"/>
  <c r="J457" i="4"/>
  <c r="K442" i="4"/>
  <c r="E428" i="4"/>
  <c r="J412" i="4"/>
  <c r="K563" i="4"/>
  <c r="E459" i="4"/>
  <c r="F444" i="4"/>
  <c r="A430" i="4"/>
  <c r="E414" i="4"/>
  <c r="A577" i="4"/>
  <c r="C462" i="4"/>
  <c r="A446" i="4"/>
  <c r="J431" i="4"/>
  <c r="E418" i="4"/>
  <c r="N408" i="4"/>
  <c r="K571" i="4"/>
  <c r="H484" i="4"/>
  <c r="I454" i="4"/>
  <c r="L444" i="4"/>
  <c r="I435" i="4"/>
  <c r="B428" i="4"/>
  <c r="G419" i="4"/>
  <c r="I410" i="4"/>
  <c r="E700" i="4"/>
  <c r="H534" i="4"/>
  <c r="C470" i="4"/>
  <c r="N453" i="4"/>
  <c r="M445" i="4"/>
  <c r="M437" i="4"/>
  <c r="N430" i="4"/>
  <c r="A424" i="4"/>
  <c r="N416" i="4"/>
  <c r="N409" i="4"/>
  <c r="B403" i="4"/>
  <c r="M556" i="4"/>
  <c r="D497" i="4"/>
  <c r="G458" i="4"/>
  <c r="I451" i="4"/>
  <c r="J444" i="4"/>
  <c r="L437" i="4"/>
  <c r="M430" i="4"/>
  <c r="N423" i="4"/>
  <c r="E416" i="4"/>
  <c r="E409" i="4"/>
  <c r="E579" i="4"/>
  <c r="D524" i="4"/>
  <c r="A469" i="4"/>
  <c r="N454" i="4"/>
  <c r="A448" i="4"/>
  <c r="A440" i="4"/>
  <c r="B433" i="4"/>
  <c r="C426" i="4"/>
  <c r="D419" i="4"/>
  <c r="D412" i="4"/>
  <c r="D405" i="4"/>
  <c r="D399" i="4"/>
  <c r="K391" i="4"/>
  <c r="L384" i="4"/>
  <c r="N377" i="4"/>
  <c r="M370" i="4"/>
  <c r="M363" i="4"/>
  <c r="N356" i="4"/>
  <c r="B350" i="4"/>
  <c r="J342" i="4"/>
  <c r="L335" i="4"/>
  <c r="L328" i="4"/>
  <c r="N321" i="4"/>
  <c r="A315" i="4"/>
  <c r="A308" i="4"/>
  <c r="B301" i="4"/>
  <c r="M292" i="4"/>
  <c r="J285" i="4"/>
  <c r="I278" i="4"/>
  <c r="D271" i="4"/>
  <c r="A398" i="4"/>
  <c r="B391" i="4"/>
  <c r="E385" i="4"/>
  <c r="A379" i="4"/>
  <c r="I372" i="4"/>
  <c r="L366" i="4"/>
  <c r="A647" i="4"/>
  <c r="D522" i="4"/>
  <c r="K570" i="4"/>
  <c r="K481" i="4"/>
  <c r="N464" i="4"/>
  <c r="M443" i="4"/>
  <c r="M581" i="4"/>
  <c r="E456" i="4"/>
  <c r="K474" i="4"/>
  <c r="D404" i="4"/>
  <c r="H424" i="4"/>
  <c r="K441" i="4"/>
  <c r="F385" i="4"/>
  <c r="G329" i="4"/>
  <c r="H272" i="4"/>
  <c r="E360" i="4"/>
  <c r="K335" i="4"/>
  <c r="G311" i="4"/>
  <c r="D286" i="4"/>
  <c r="M263" i="4"/>
  <c r="F386" i="4"/>
  <c r="M367" i="4"/>
  <c r="F349" i="4"/>
  <c r="B331" i="4"/>
  <c r="H312" i="4"/>
  <c r="N293" i="4"/>
  <c r="G275" i="4"/>
  <c r="H261" i="4"/>
  <c r="C400" i="4"/>
  <c r="M386" i="4"/>
  <c r="J373" i="4"/>
  <c r="B363" i="4"/>
  <c r="M349" i="4"/>
  <c r="K336" i="4"/>
  <c r="E326" i="4"/>
  <c r="A313" i="4"/>
  <c r="K299" i="4"/>
  <c r="B289" i="4"/>
  <c r="F275" i="4"/>
  <c r="G261" i="4"/>
  <c r="M401" i="4"/>
  <c r="H388" i="4"/>
  <c r="F375" i="4"/>
  <c r="L364" i="4"/>
  <c r="H351" i="4"/>
  <c r="F338" i="4"/>
  <c r="N327" i="4"/>
  <c r="K314" i="4"/>
  <c r="F301" i="4"/>
  <c r="K290" i="4"/>
  <c r="B277" i="4"/>
  <c r="B263" i="4"/>
  <c r="G252" i="4"/>
  <c r="D390" i="4"/>
  <c r="A377" i="4"/>
  <c r="J367" i="4"/>
  <c r="E358" i="4"/>
  <c r="C349" i="4"/>
  <c r="A340" i="4"/>
  <c r="M330" i="4"/>
  <c r="I321" i="4"/>
  <c r="E312" i="4"/>
  <c r="A303" i="4"/>
  <c r="K293" i="4"/>
  <c r="C284" i="4"/>
  <c r="I274" i="4"/>
  <c r="K264" i="4"/>
  <c r="H400" i="4"/>
  <c r="E391" i="4"/>
  <c r="B382" i="4"/>
  <c r="L372" i="4"/>
  <c r="G363" i="4"/>
  <c r="D354" i="4"/>
  <c r="B345" i="4"/>
  <c r="N335" i="4"/>
  <c r="J326" i="4"/>
  <c r="G317" i="4"/>
  <c r="C308" i="4"/>
  <c r="N298" i="4"/>
  <c r="G289" i="4"/>
  <c r="N279" i="4"/>
  <c r="C270" i="4"/>
  <c r="I260" i="4"/>
  <c r="M399" i="4"/>
  <c r="J390" i="4"/>
  <c r="G381" i="4"/>
  <c r="C372" i="4"/>
  <c r="L362" i="4"/>
  <c r="I353" i="4"/>
  <c r="G344" i="4"/>
  <c r="E335" i="4"/>
  <c r="A326" i="4"/>
  <c r="L316" i="4"/>
  <c r="H307" i="4"/>
  <c r="E298" i="4"/>
  <c r="L288" i="4"/>
  <c r="E279" i="4"/>
  <c r="G269" i="4"/>
  <c r="M259" i="4"/>
  <c r="E255" i="4"/>
  <c r="J244" i="4"/>
  <c r="B235" i="4"/>
  <c r="F225" i="4"/>
  <c r="G215" i="4"/>
  <c r="J205" i="4"/>
  <c r="K195" i="4"/>
  <c r="I186" i="4"/>
  <c r="F177" i="4"/>
  <c r="L167" i="4"/>
  <c r="F158" i="4"/>
  <c r="B149" i="4"/>
  <c r="L139" i="4"/>
  <c r="G130" i="4"/>
  <c r="D121" i="4"/>
  <c r="L111" i="4"/>
  <c r="N263" i="4"/>
  <c r="M246" i="4"/>
  <c r="F237" i="4"/>
  <c r="L227" i="4"/>
  <c r="L217" i="4"/>
  <c r="C208" i="4"/>
  <c r="C198" i="4"/>
  <c r="L188" i="4"/>
  <c r="I179" i="4"/>
  <c r="A170" i="4"/>
  <c r="J160" i="4"/>
  <c r="E151" i="4"/>
  <c r="A142" i="4"/>
  <c r="K132" i="4"/>
  <c r="H123" i="4"/>
  <c r="D114" i="4"/>
  <c r="G260" i="4"/>
  <c r="D246" i="4"/>
  <c r="K236" i="4"/>
  <c r="C227" i="4"/>
  <c r="B217" i="4"/>
  <c r="F207" i="4"/>
  <c r="F197" i="4"/>
  <c r="C188" i="4"/>
  <c r="N178" i="4"/>
  <c r="F169" i="4"/>
  <c r="N159" i="4"/>
  <c r="J150" i="4"/>
  <c r="F141" i="4"/>
  <c r="A132" i="4"/>
  <c r="L122" i="4"/>
  <c r="H113" i="4"/>
  <c r="E256" i="4"/>
  <c r="A245" i="4"/>
  <c r="G235" i="4"/>
  <c r="K225" i="4"/>
  <c r="L215" i="4"/>
  <c r="B206" i="4"/>
  <c r="C196" i="4"/>
  <c r="N186" i="4"/>
  <c r="K177" i="4"/>
  <c r="C168" i="4"/>
  <c r="K158" i="4"/>
  <c r="G149" i="4"/>
  <c r="C140" i="4"/>
  <c r="L130" i="4"/>
  <c r="I121" i="4"/>
  <c r="C112" i="4"/>
  <c r="H253" i="4"/>
  <c r="L243" i="4"/>
  <c r="D234" i="4"/>
  <c r="G224" i="4"/>
  <c r="H214" i="4"/>
  <c r="J204" i="4"/>
  <c r="M194" i="4"/>
  <c r="K185" i="4"/>
  <c r="H176" i="4"/>
  <c r="M166" i="4"/>
  <c r="H157" i="4"/>
  <c r="D148" i="4"/>
  <c r="M138" i="4"/>
  <c r="I129" i="4"/>
  <c r="E120" i="4"/>
  <c r="N110" i="4"/>
  <c r="M251" i="4"/>
  <c r="H242" i="4"/>
  <c r="N232" i="4"/>
  <c r="C223" i="4"/>
  <c r="C213" i="4"/>
  <c r="E203" i="4"/>
  <c r="J193" i="4"/>
  <c r="H184" i="4"/>
  <c r="N174" i="4"/>
  <c r="A168" i="4"/>
  <c r="F160" i="4"/>
  <c r="D152" i="4"/>
  <c r="A147" i="4"/>
  <c r="E142" i="4"/>
  <c r="J137" i="4"/>
  <c r="A133" i="4"/>
  <c r="F128" i="4"/>
  <c r="L123" i="4"/>
  <c r="B119" i="4"/>
  <c r="H114" i="4"/>
  <c r="J109" i="4"/>
  <c r="D259" i="4"/>
  <c r="I250" i="4"/>
  <c r="F252" i="4"/>
  <c r="I247" i="4"/>
  <c r="N242" i="4"/>
  <c r="C238" i="4"/>
  <c r="G233" i="4"/>
  <c r="H228" i="4"/>
  <c r="J223" i="4"/>
  <c r="J218" i="4"/>
  <c r="I213" i="4"/>
  <c r="M208" i="4"/>
  <c r="K203" i="4"/>
  <c r="M198" i="4"/>
  <c r="B194" i="4"/>
  <c r="H189" i="4"/>
  <c r="N184" i="4"/>
  <c r="E180" i="4"/>
  <c r="F175" i="4"/>
  <c r="K170" i="4"/>
  <c r="B166" i="4"/>
  <c r="F161" i="4"/>
  <c r="K156" i="4"/>
  <c r="A152" i="4"/>
  <c r="G147" i="4"/>
  <c r="K142" i="4"/>
  <c r="B138" i="4"/>
  <c r="G133" i="4"/>
  <c r="L128" i="4"/>
  <c r="D124" i="4"/>
  <c r="H119" i="4"/>
  <c r="N114" i="4"/>
  <c r="C110" i="4"/>
  <c r="A250" i="4"/>
  <c r="E211" i="4"/>
  <c r="C173" i="4"/>
  <c r="L135" i="4"/>
  <c r="D105" i="4"/>
  <c r="E100" i="4"/>
  <c r="G95" i="4"/>
  <c r="H90" i="4"/>
  <c r="I85" i="4"/>
  <c r="L80" i="4"/>
  <c r="B76" i="4"/>
  <c r="G71" i="4"/>
  <c r="I66" i="4"/>
  <c r="I61" i="4"/>
  <c r="K56" i="4"/>
  <c r="M51" i="4"/>
  <c r="D47" i="4"/>
  <c r="D42" i="4"/>
  <c r="G37" i="4"/>
  <c r="I32" i="4"/>
  <c r="K27" i="4"/>
  <c r="K22" i="4"/>
  <c r="K17" i="4"/>
  <c r="F12" i="4"/>
  <c r="D7" i="4"/>
  <c r="B2" i="4"/>
  <c r="I220" i="4"/>
  <c r="C182" i="4"/>
  <c r="H144" i="4"/>
  <c r="E107" i="4"/>
  <c r="F101" i="4"/>
  <c r="I96" i="4"/>
  <c r="J91" i="4"/>
  <c r="K86" i="4"/>
  <c r="N81" i="4"/>
  <c r="D77" i="4"/>
  <c r="H72" i="4"/>
  <c r="K67" i="4"/>
  <c r="K62" i="4"/>
  <c r="I791" i="4"/>
  <c r="F485" i="4"/>
  <c r="B542" i="4"/>
  <c r="N662" i="4"/>
  <c r="J523" i="4"/>
  <c r="M428" i="4"/>
  <c r="K466" i="4"/>
  <c r="F445" i="4"/>
  <c r="B455" i="4"/>
  <c r="A566" i="4"/>
  <c r="G417" i="4"/>
  <c r="D434" i="4"/>
  <c r="H378" i="4"/>
  <c r="H322" i="4"/>
  <c r="C399" i="4"/>
  <c r="C355" i="4"/>
  <c r="I330" i="4"/>
  <c r="J305" i="4"/>
  <c r="M280" i="4"/>
  <c r="L400" i="4"/>
  <c r="F382" i="4"/>
  <c r="K363" i="4"/>
  <c r="F345" i="4"/>
  <c r="N326" i="4"/>
  <c r="G308" i="4"/>
  <c r="K289" i="4"/>
  <c r="L274" i="4"/>
  <c r="M260" i="4"/>
  <c r="K396" i="4"/>
  <c r="E386" i="4"/>
  <c r="A373" i="4"/>
  <c r="I359" i="4"/>
  <c r="E349" i="4"/>
  <c r="C336" i="4"/>
  <c r="M322" i="4"/>
  <c r="G312" i="4"/>
  <c r="C299" i="4"/>
  <c r="G285" i="4"/>
  <c r="K274" i="4"/>
  <c r="L260" i="4"/>
  <c r="F398" i="4"/>
  <c r="N387" i="4"/>
  <c r="L374" i="4"/>
  <c r="D361" i="4"/>
  <c r="N350" i="4"/>
  <c r="L337" i="4"/>
  <c r="H324" i="4"/>
  <c r="C314" i="4"/>
  <c r="L300" i="4"/>
  <c r="D287" i="4"/>
  <c r="H276" i="4"/>
  <c r="H262" i="4"/>
  <c r="A400" i="4"/>
  <c r="J389" i="4"/>
  <c r="G376" i="4"/>
  <c r="B367" i="4"/>
  <c r="K357" i="4"/>
  <c r="I348" i="4"/>
  <c r="G339" i="4"/>
  <c r="D330" i="4"/>
  <c r="A321" i="4"/>
  <c r="K311" i="4"/>
  <c r="G302" i="4"/>
  <c r="C293" i="4"/>
  <c r="H283" i="4"/>
  <c r="N273" i="4"/>
  <c r="C264" i="4"/>
  <c r="N399" i="4"/>
  <c r="K390" i="4"/>
  <c r="H381" i="4"/>
  <c r="D372" i="4"/>
  <c r="M362" i="4"/>
  <c r="J353" i="4"/>
  <c r="H344" i="4"/>
  <c r="F335" i="4"/>
  <c r="B326" i="4"/>
  <c r="M316" i="4"/>
  <c r="I307" i="4"/>
  <c r="F298" i="4"/>
  <c r="M288" i="4"/>
  <c r="F279" i="4"/>
  <c r="H269" i="4"/>
  <c r="N259" i="4"/>
  <c r="E399" i="4"/>
  <c r="B390" i="4"/>
  <c r="M380" i="4"/>
  <c r="H371" i="4"/>
  <c r="D362" i="4"/>
  <c r="A353" i="4"/>
  <c r="M343" i="4"/>
  <c r="K334" i="4"/>
  <c r="G325" i="4"/>
  <c r="D316" i="4"/>
  <c r="N306" i="4"/>
  <c r="K297" i="4"/>
  <c r="D288" i="4"/>
  <c r="J278" i="4"/>
  <c r="L268" i="4"/>
  <c r="E259" i="4"/>
  <c r="N253" i="4"/>
  <c r="B244" i="4"/>
  <c r="H234" i="4"/>
  <c r="K224" i="4"/>
  <c r="L214" i="4"/>
  <c r="N204" i="4"/>
  <c r="C195" i="4"/>
  <c r="A186" i="4"/>
  <c r="L176" i="4"/>
  <c r="D167" i="4"/>
  <c r="L157" i="4"/>
  <c r="H148" i="4"/>
  <c r="D139" i="4"/>
  <c r="M129" i="4"/>
  <c r="I120" i="4"/>
  <c r="D111" i="4"/>
  <c r="N260" i="4"/>
  <c r="E246" i="4"/>
  <c r="L236" i="4"/>
  <c r="D227" i="4"/>
  <c r="C217" i="4"/>
  <c r="H207" i="4"/>
  <c r="H197" i="4"/>
  <c r="D188" i="4"/>
  <c r="A179" i="4"/>
  <c r="G169" i="4"/>
  <c r="A160" i="4"/>
  <c r="K150" i="4"/>
  <c r="G141" i="4"/>
  <c r="B132" i="4"/>
  <c r="M122" i="4"/>
  <c r="I113" i="4"/>
  <c r="A258" i="4"/>
  <c r="J245" i="4"/>
  <c r="C236" i="4"/>
  <c r="H226" i="4"/>
  <c r="G216" i="4"/>
  <c r="K206" i="4"/>
  <c r="L196" i="4"/>
  <c r="I187" i="4"/>
  <c r="F178" i="4"/>
  <c r="L168" i="4"/>
  <c r="F159" i="4"/>
  <c r="B150" i="4"/>
  <c r="L140" i="4"/>
  <c r="G131" i="4"/>
  <c r="D122" i="4"/>
  <c r="M112" i="4"/>
  <c r="K254" i="4"/>
  <c r="G244" i="4"/>
  <c r="M234" i="4"/>
  <c r="C225" i="4"/>
  <c r="D215" i="4"/>
  <c r="F205" i="4"/>
  <c r="H195" i="4"/>
  <c r="F186" i="4"/>
  <c r="C177" i="4"/>
  <c r="I167" i="4"/>
  <c r="C158" i="4"/>
  <c r="M148" i="4"/>
  <c r="I139" i="4"/>
  <c r="D130" i="4"/>
  <c r="N120" i="4"/>
  <c r="I111" i="4"/>
  <c r="K252" i="4"/>
  <c r="D243" i="4"/>
  <c r="J233" i="4"/>
  <c r="M223" i="4"/>
  <c r="L213" i="4"/>
  <c r="N203" i="4"/>
  <c r="E194" i="4"/>
  <c r="C185" i="4"/>
  <c r="N175" i="4"/>
  <c r="E166" i="4"/>
  <c r="N156" i="4"/>
  <c r="J147" i="4"/>
  <c r="E138" i="4"/>
  <c r="A129" i="4"/>
  <c r="K119" i="4"/>
  <c r="F110" i="4"/>
  <c r="E251" i="4"/>
  <c r="M241" i="4"/>
  <c r="F232" i="4"/>
  <c r="H222" i="4"/>
  <c r="H212" i="4"/>
  <c r="K202" i="4"/>
  <c r="B193" i="4"/>
  <c r="N183" i="4"/>
  <c r="F174" i="4"/>
  <c r="D166" i="4"/>
  <c r="K159" i="4"/>
  <c r="I151" i="4"/>
  <c r="E146" i="4"/>
  <c r="K141" i="4"/>
  <c r="B137" i="4"/>
  <c r="F132" i="4"/>
  <c r="L127" i="4"/>
  <c r="C123" i="4"/>
  <c r="H118" i="4"/>
  <c r="M113" i="4"/>
  <c r="B109" i="4"/>
  <c r="F257" i="4"/>
  <c r="B265" i="4"/>
  <c r="K251" i="4"/>
  <c r="A247" i="4"/>
  <c r="F242" i="4"/>
  <c r="H237" i="4"/>
  <c r="L232" i="4"/>
  <c r="N227" i="4"/>
  <c r="N222" i="4"/>
  <c r="N217" i="4"/>
  <c r="N212" i="4"/>
  <c r="E208" i="4"/>
  <c r="C203" i="4"/>
  <c r="E198" i="4"/>
  <c r="H193" i="4"/>
  <c r="N188" i="4"/>
  <c r="F184" i="4"/>
  <c r="K179" i="4"/>
  <c r="L174" i="4"/>
  <c r="C170" i="4"/>
  <c r="H165" i="4"/>
  <c r="L160" i="4"/>
  <c r="C156" i="4"/>
  <c r="G151" i="4"/>
  <c r="M146" i="4"/>
  <c r="C142" i="4"/>
  <c r="H137" i="4"/>
  <c r="M132" i="4"/>
  <c r="D128" i="4"/>
  <c r="J123" i="4"/>
  <c r="N118" i="4"/>
  <c r="F114" i="4"/>
  <c r="H109" i="4"/>
  <c r="F245" i="4"/>
  <c r="G206" i="4"/>
  <c r="H168" i="4"/>
  <c r="C131" i="4"/>
  <c r="H104" i="4"/>
  <c r="K99" i="4"/>
  <c r="L94" i="4"/>
  <c r="M89" i="4"/>
  <c r="A85" i="4"/>
  <c r="D80" i="4"/>
  <c r="H75" i="4"/>
  <c r="M70" i="4"/>
  <c r="N65" i="4"/>
  <c r="M60" i="4"/>
  <c r="C56" i="4"/>
  <c r="E51" i="4"/>
  <c r="I46" i="4"/>
  <c r="I41" i="4"/>
  <c r="L36" i="4"/>
  <c r="N31" i="4"/>
  <c r="C27" i="4"/>
  <c r="C22" i="4"/>
  <c r="B17" i="4"/>
  <c r="K11" i="4"/>
  <c r="I6" i="4"/>
  <c r="G1" i="4"/>
  <c r="I215" i="4"/>
  <c r="H177" i="4"/>
  <c r="N139" i="4"/>
  <c r="L105" i="4"/>
  <c r="L100" i="4"/>
  <c r="N95" i="4"/>
  <c r="B91" i="4"/>
  <c r="C86" i="4"/>
  <c r="F81" i="4"/>
  <c r="I76" i="4"/>
  <c r="N71" i="4"/>
  <c r="C67" i="4"/>
  <c r="C62" i="4"/>
  <c r="E57" i="4"/>
  <c r="G52" i="4"/>
  <c r="K47" i="4"/>
  <c r="K42" i="4"/>
  <c r="N37" i="4"/>
  <c r="C33" i="4"/>
  <c r="E28" i="4"/>
  <c r="E23" i="4"/>
  <c r="E18" i="4"/>
  <c r="N12" i="4"/>
  <c r="B642" i="4"/>
  <c r="D688" i="4"/>
  <c r="M512" i="4"/>
  <c r="L568" i="4"/>
  <c r="E454" i="4"/>
  <c r="F414" i="4"/>
  <c r="C447" i="4"/>
  <c r="D436" i="4"/>
  <c r="G446" i="4"/>
  <c r="A511" i="4"/>
  <c r="M409" i="4"/>
  <c r="E427" i="4"/>
  <c r="G371" i="4"/>
  <c r="I315" i="4"/>
  <c r="D392" i="4"/>
  <c r="A354" i="4"/>
  <c r="N329" i="4"/>
  <c r="B305" i="4"/>
  <c r="K279" i="4"/>
  <c r="D400" i="4"/>
  <c r="L381" i="4"/>
  <c r="C363" i="4"/>
  <c r="L344" i="4"/>
  <c r="F326" i="4"/>
  <c r="M307" i="4"/>
  <c r="C289" i="4"/>
  <c r="B271" i="4"/>
  <c r="E260" i="4"/>
  <c r="C396" i="4"/>
  <c r="M382" i="4"/>
  <c r="G372" i="4"/>
  <c r="A359" i="4"/>
  <c r="M345" i="4"/>
  <c r="I335" i="4"/>
  <c r="E322" i="4"/>
  <c r="N308" i="4"/>
  <c r="I298" i="4"/>
  <c r="M284" i="4"/>
  <c r="N270" i="4"/>
  <c r="D260" i="4"/>
  <c r="L397" i="4"/>
  <c r="H384" i="4"/>
  <c r="D374" i="4"/>
  <c r="J360" i="4"/>
  <c r="H347" i="4"/>
  <c r="D337" i="4"/>
  <c r="N323" i="4"/>
  <c r="J310" i="4"/>
  <c r="D300" i="4"/>
  <c r="I286" i="4"/>
  <c r="L272" i="4"/>
  <c r="N261" i="4"/>
  <c r="G399" i="4"/>
  <c r="C386" i="4"/>
  <c r="M375" i="4"/>
  <c r="H366" i="4"/>
  <c r="C357" i="4"/>
  <c r="A348" i="4"/>
  <c r="M338" i="4"/>
  <c r="J329" i="4"/>
  <c r="G320" i="4"/>
  <c r="C311" i="4"/>
  <c r="M301" i="4"/>
  <c r="H292" i="4"/>
  <c r="N282" i="4"/>
  <c r="F273" i="4"/>
  <c r="I263" i="4"/>
  <c r="F399" i="4"/>
  <c r="C390" i="4"/>
  <c r="N380" i="4"/>
  <c r="I371" i="4"/>
  <c r="E362" i="4"/>
  <c r="B353" i="4"/>
  <c r="N343" i="4"/>
  <c r="L334" i="4"/>
  <c r="H325" i="4"/>
  <c r="E316" i="4"/>
  <c r="A307" i="4"/>
  <c r="L297" i="4"/>
  <c r="E288" i="4"/>
  <c r="K278" i="4"/>
  <c r="M268" i="4"/>
  <c r="F259" i="4"/>
  <c r="K398" i="4"/>
  <c r="H389" i="4"/>
  <c r="E380" i="4"/>
  <c r="N370" i="4"/>
  <c r="J361" i="4"/>
  <c r="G352" i="4"/>
  <c r="E343" i="4"/>
  <c r="C334" i="4"/>
  <c r="M324" i="4"/>
  <c r="J315" i="4"/>
  <c r="F306" i="4"/>
  <c r="C297" i="4"/>
  <c r="I287" i="4"/>
  <c r="A278" i="4"/>
  <c r="D268" i="4"/>
  <c r="J258" i="4"/>
  <c r="D253" i="4"/>
  <c r="H243" i="4"/>
  <c r="N233" i="4"/>
  <c r="C224" i="4"/>
  <c r="C214" i="4"/>
  <c r="E204" i="4"/>
  <c r="I194" i="4"/>
  <c r="G185" i="4"/>
  <c r="D176" i="4"/>
  <c r="I166" i="4"/>
  <c r="D157" i="4"/>
  <c r="N147" i="4"/>
  <c r="I138" i="4"/>
  <c r="E129" i="4"/>
  <c r="A120" i="4"/>
  <c r="J110" i="4"/>
  <c r="H258" i="4"/>
  <c r="K245" i="4"/>
  <c r="D236" i="4"/>
  <c r="I226" i="4"/>
  <c r="H216" i="4"/>
  <c r="L206" i="4"/>
  <c r="M196" i="4"/>
  <c r="J187" i="4"/>
  <c r="G178" i="4"/>
  <c r="M168" i="4"/>
  <c r="G159" i="4"/>
  <c r="C150" i="4"/>
  <c r="M140" i="4"/>
  <c r="H131" i="4"/>
  <c r="E122" i="4"/>
  <c r="N112" i="4"/>
  <c r="H256" i="4"/>
  <c r="B245" i="4"/>
  <c r="H235" i="4"/>
  <c r="L225" i="4"/>
  <c r="M215" i="4"/>
  <c r="C206" i="4"/>
  <c r="D196" i="4"/>
  <c r="A187" i="4"/>
  <c r="L177" i="4"/>
  <c r="D168" i="4"/>
  <c r="L158" i="4"/>
  <c r="H149" i="4"/>
  <c r="D140" i="4"/>
  <c r="M130" i="4"/>
  <c r="J121" i="4"/>
  <c r="D112" i="4"/>
  <c r="I253" i="4"/>
  <c r="M243" i="4"/>
  <c r="E234" i="4"/>
  <c r="H224" i="4"/>
  <c r="I214" i="4"/>
  <c r="K204" i="4"/>
  <c r="N194" i="4"/>
  <c r="L185" i="4"/>
  <c r="I176" i="4"/>
  <c r="N166" i="4"/>
  <c r="I157" i="4"/>
  <c r="E148" i="4"/>
  <c r="N138" i="4"/>
  <c r="J129" i="4"/>
  <c r="F120" i="4"/>
  <c r="A111" i="4"/>
  <c r="N251" i="4"/>
  <c r="I242" i="4"/>
  <c r="B233" i="4"/>
  <c r="D223" i="4"/>
  <c r="D213" i="4"/>
  <c r="F203" i="4"/>
  <c r="K193" i="4"/>
  <c r="I184" i="4"/>
  <c r="A175" i="4"/>
  <c r="K165" i="4"/>
  <c r="F156" i="4"/>
  <c r="B147" i="4"/>
  <c r="K137" i="4"/>
  <c r="G128" i="4"/>
  <c r="C119" i="4"/>
  <c r="K109" i="4"/>
  <c r="J250" i="4"/>
  <c r="E241" i="4"/>
  <c r="K231" i="4"/>
  <c r="M221" i="4"/>
  <c r="N211" i="4"/>
  <c r="C202" i="4"/>
  <c r="H192" i="4"/>
  <c r="F183" i="4"/>
  <c r="L173" i="4"/>
  <c r="J165" i="4"/>
  <c r="I158" i="4"/>
  <c r="A151" i="4"/>
  <c r="K145" i="4"/>
  <c r="C141" i="4"/>
  <c r="H136" i="4"/>
  <c r="L131" i="4"/>
  <c r="D127" i="4"/>
  <c r="I122" i="4"/>
  <c r="N117" i="4"/>
  <c r="E113" i="4"/>
  <c r="H108" i="4"/>
  <c r="J255" i="4"/>
  <c r="I261" i="4"/>
  <c r="C251" i="4"/>
  <c r="G246" i="4"/>
  <c r="K241" i="4"/>
  <c r="N236" i="4"/>
  <c r="D232" i="4"/>
  <c r="F227" i="4"/>
  <c r="F222" i="4"/>
  <c r="E217" i="4"/>
  <c r="F212" i="4"/>
  <c r="J207" i="4"/>
  <c r="I202" i="4"/>
  <c r="J197" i="4"/>
  <c r="N192" i="4"/>
  <c r="F188" i="4"/>
  <c r="L183" i="4"/>
  <c r="C179" i="4"/>
  <c r="D174" i="4"/>
  <c r="I169" i="4"/>
  <c r="M164" i="4"/>
  <c r="D160" i="4"/>
  <c r="I155" i="4"/>
  <c r="M150" i="4"/>
  <c r="C146" i="4"/>
  <c r="I141" i="4"/>
  <c r="N136" i="4"/>
  <c r="D132" i="4"/>
  <c r="J127" i="4"/>
  <c r="F499" i="4"/>
  <c r="N571" i="4"/>
  <c r="N482" i="4"/>
  <c r="K544" i="4"/>
  <c r="N439" i="4"/>
  <c r="E568" i="4"/>
  <c r="D432" i="4"/>
  <c r="J428" i="4"/>
  <c r="I439" i="4"/>
  <c r="A459" i="4"/>
  <c r="H585" i="4"/>
  <c r="F420" i="4"/>
  <c r="H364" i="4"/>
  <c r="I308" i="4"/>
  <c r="M385" i="4"/>
  <c r="M348" i="4"/>
  <c r="C324" i="4"/>
  <c r="M299" i="4"/>
  <c r="E274" i="4"/>
  <c r="D396" i="4"/>
  <c r="L377" i="4"/>
  <c r="B359" i="4"/>
  <c r="L340" i="4"/>
  <c r="F322" i="4"/>
  <c r="L303" i="4"/>
  <c r="N284" i="4"/>
  <c r="G270" i="4"/>
  <c r="K256" i="4"/>
  <c r="I395" i="4"/>
  <c r="E382" i="4"/>
  <c r="N368" i="4"/>
  <c r="G358" i="4"/>
  <c r="E345" i="4"/>
  <c r="C332" i="4"/>
  <c r="K321" i="4"/>
  <c r="F308" i="4"/>
  <c r="C295" i="4"/>
  <c r="E284" i="4"/>
  <c r="F270" i="4"/>
  <c r="J256" i="4"/>
  <c r="D397" i="4"/>
  <c r="N383" i="4"/>
  <c r="I370" i="4"/>
  <c r="B360" i="4"/>
  <c r="N346" i="4"/>
  <c r="L333" i="4"/>
  <c r="F323" i="4"/>
  <c r="B310" i="4"/>
  <c r="L296" i="4"/>
  <c r="N285" i="4"/>
  <c r="D272" i="4"/>
  <c r="E258" i="4"/>
  <c r="M398" i="4"/>
  <c r="I385" i="4"/>
  <c r="M372" i="4"/>
  <c r="H363" i="4"/>
  <c r="E354" i="4"/>
  <c r="C345" i="4"/>
  <c r="A336" i="4"/>
  <c r="K326" i="4"/>
  <c r="H317" i="4"/>
  <c r="D308" i="4"/>
  <c r="A299" i="4"/>
  <c r="H289" i="4"/>
  <c r="A280" i="4"/>
  <c r="D270" i="4"/>
  <c r="J260" i="4"/>
  <c r="H396" i="4"/>
  <c r="D387" i="4"/>
  <c r="B378" i="4"/>
  <c r="K368" i="4"/>
  <c r="F359" i="4"/>
  <c r="D350" i="4"/>
  <c r="B341" i="4"/>
  <c r="N331" i="4"/>
  <c r="J322" i="4"/>
  <c r="G313" i="4"/>
  <c r="B304" i="4"/>
  <c r="M294" i="4"/>
  <c r="D285" i="4"/>
  <c r="K275" i="4"/>
  <c r="L265" i="4"/>
  <c r="G256" i="4"/>
  <c r="M395" i="4"/>
  <c r="I386" i="4"/>
  <c r="G377" i="4"/>
  <c r="B368" i="4"/>
  <c r="K358" i="4"/>
  <c r="I349" i="4"/>
  <c r="G340" i="4"/>
  <c r="E331" i="4"/>
  <c r="A322" i="4"/>
  <c r="K312" i="4"/>
  <c r="G303" i="4"/>
  <c r="D294" i="4"/>
  <c r="I284" i="4"/>
  <c r="A275" i="4"/>
  <c r="C265" i="4"/>
  <c r="K255" i="4"/>
  <c r="M249" i="4"/>
  <c r="H240" i="4"/>
  <c r="M230" i="4"/>
  <c r="A221" i="4"/>
  <c r="C211" i="4"/>
  <c r="E201" i="4"/>
  <c r="K191" i="4"/>
  <c r="I182" i="4"/>
  <c r="A173" i="4"/>
  <c r="J163" i="4"/>
  <c r="E154" i="4"/>
  <c r="N144" i="4"/>
  <c r="J135" i="4"/>
  <c r="G126" i="4"/>
  <c r="C117" i="4"/>
  <c r="K107" i="4"/>
  <c r="D252" i="4"/>
  <c r="L242" i="4"/>
  <c r="E233" i="4"/>
  <c r="H223" i="4"/>
  <c r="G213" i="4"/>
  <c r="I203" i="4"/>
  <c r="N193" i="4"/>
  <c r="L184" i="4"/>
  <c r="D175" i="4"/>
  <c r="N165" i="4"/>
  <c r="I156" i="4"/>
  <c r="E147" i="4"/>
  <c r="N137" i="4"/>
  <c r="J128" i="4"/>
  <c r="F119" i="4"/>
  <c r="N109" i="4"/>
  <c r="H251" i="4"/>
  <c r="C242" i="4"/>
  <c r="I232" i="4"/>
  <c r="K222" i="4"/>
  <c r="K212" i="4"/>
  <c r="N202" i="4"/>
  <c r="E193" i="4"/>
  <c r="C184" i="4"/>
  <c r="I174" i="4"/>
  <c r="E165" i="4"/>
  <c r="N155" i="4"/>
  <c r="H146" i="4"/>
  <c r="E137" i="4"/>
  <c r="A128" i="4"/>
  <c r="K118" i="4"/>
  <c r="E109" i="4"/>
  <c r="D250" i="4"/>
  <c r="M240" i="4"/>
  <c r="E231" i="4"/>
  <c r="G221" i="4"/>
  <c r="H211" i="4"/>
  <c r="J201" i="4"/>
  <c r="B192" i="4"/>
  <c r="N182" i="4"/>
  <c r="F173" i="4"/>
  <c r="A164" i="4"/>
  <c r="K154" i="4"/>
  <c r="E145" i="4"/>
  <c r="A136" i="4"/>
  <c r="L126" i="4"/>
  <c r="H117" i="4"/>
  <c r="B108" i="4"/>
  <c r="N248" i="4"/>
  <c r="I239" i="4"/>
  <c r="A230" i="4"/>
  <c r="C220" i="4"/>
  <c r="D210" i="4"/>
  <c r="E200" i="4"/>
  <c r="M190" i="4"/>
  <c r="K181" i="4"/>
  <c r="C172" i="4"/>
  <c r="L162" i="4"/>
  <c r="G153" i="4"/>
  <c r="B144" i="4"/>
  <c r="L134" i="4"/>
  <c r="I125" i="4"/>
  <c r="E116" i="4"/>
  <c r="L106" i="4"/>
  <c r="K247" i="4"/>
  <c r="E238" i="4"/>
  <c r="J228" i="4"/>
  <c r="L218" i="4"/>
  <c r="A209" i="4"/>
  <c r="A199" i="4"/>
  <c r="J189" i="4"/>
  <c r="G180" i="4"/>
  <c r="J172" i="4"/>
  <c r="A165" i="4"/>
  <c r="M156" i="4"/>
  <c r="G150" i="4"/>
  <c r="C145" i="4"/>
  <c r="I140" i="4"/>
  <c r="M135" i="4"/>
  <c r="D131" i="4"/>
  <c r="J126" i="4"/>
  <c r="A122" i="4"/>
  <c r="F117" i="4"/>
  <c r="I112" i="4"/>
  <c r="N107" i="4"/>
  <c r="C254" i="4"/>
  <c r="C259" i="4"/>
  <c r="H250" i="4"/>
  <c r="M245" i="4"/>
  <c r="C241" i="4"/>
  <c r="F236" i="4"/>
  <c r="I231" i="4"/>
  <c r="K226" i="4"/>
  <c r="K221" i="4"/>
  <c r="J216" i="4"/>
  <c r="L211" i="4"/>
  <c r="N206" i="4"/>
  <c r="N201" i="4"/>
  <c r="A197" i="4"/>
  <c r="F192" i="4"/>
  <c r="L187" i="4"/>
  <c r="D183" i="4"/>
  <c r="I178" i="4"/>
  <c r="J173" i="4"/>
  <c r="A169" i="4"/>
  <c r="E164" i="4"/>
  <c r="I159" i="4"/>
  <c r="A155" i="4"/>
  <c r="E150" i="4"/>
  <c r="I145" i="4"/>
  <c r="A141" i="4"/>
  <c r="F136" i="4"/>
  <c r="J131" i="4"/>
  <c r="B127" i="4"/>
  <c r="G122" i="4"/>
  <c r="L117" i="4"/>
  <c r="C113" i="4"/>
  <c r="F108" i="4"/>
  <c r="L235" i="4"/>
  <c r="H196" i="4"/>
  <c r="B159" i="4"/>
  <c r="N121" i="4"/>
  <c r="D103" i="4"/>
  <c r="H98" i="4"/>
  <c r="I93" i="4"/>
  <c r="J88" i="4"/>
  <c r="M83" i="4"/>
  <c r="A79" i="4"/>
  <c r="F74" i="4"/>
  <c r="J69" i="4"/>
  <c r="J64" i="4"/>
  <c r="K59" i="4"/>
  <c r="M54" i="4"/>
  <c r="C50" i="4"/>
  <c r="E45" i="4"/>
  <c r="F40" i="4"/>
  <c r="I35" i="4"/>
  <c r="K30" i="4"/>
  <c r="M25" i="4"/>
  <c r="M20" i="4"/>
  <c r="L15" i="4"/>
  <c r="F10" i="4"/>
  <c r="D5" i="4"/>
  <c r="L244" i="4"/>
  <c r="L205" i="4"/>
  <c r="N167" i="4"/>
  <c r="I130" i="4"/>
  <c r="G104" i="4"/>
  <c r="J99" i="4"/>
  <c r="K94" i="4"/>
  <c r="L89" i="4"/>
  <c r="N84" i="4"/>
  <c r="C80" i="4"/>
  <c r="G75" i="4"/>
  <c r="L70" i="4"/>
  <c r="M65" i="4"/>
  <c r="L60" i="4"/>
  <c r="B56" i="4"/>
  <c r="I486" i="4"/>
  <c r="C514" i="4"/>
  <c r="H569" i="4"/>
  <c r="J508" i="4"/>
  <c r="E410" i="4"/>
  <c r="H445" i="4"/>
  <c r="B410" i="4"/>
  <c r="L411" i="4"/>
  <c r="C425" i="4"/>
  <c r="D445" i="4"/>
  <c r="I473" i="4"/>
  <c r="F406" i="4"/>
  <c r="J350" i="4"/>
  <c r="K294" i="4"/>
  <c r="L373" i="4"/>
  <c r="I342" i="4"/>
  <c r="G318" i="4"/>
  <c r="G293" i="4"/>
  <c r="E269" i="4"/>
  <c r="I391" i="4"/>
  <c r="C373" i="4"/>
  <c r="H354" i="4"/>
  <c r="D336" i="4"/>
  <c r="K317" i="4"/>
  <c r="D299" i="4"/>
  <c r="D280" i="4"/>
  <c r="C266" i="4"/>
  <c r="H255" i="4"/>
  <c r="H391" i="4"/>
  <c r="E378" i="4"/>
  <c r="L367" i="4"/>
  <c r="G354" i="4"/>
  <c r="E341" i="4"/>
  <c r="A331" i="4"/>
  <c r="J317" i="4"/>
  <c r="E304" i="4"/>
  <c r="M293" i="4"/>
  <c r="C280" i="4"/>
  <c r="A266" i="4"/>
  <c r="G255" i="4"/>
  <c r="D393" i="4"/>
  <c r="N379" i="4"/>
  <c r="G369" i="4"/>
  <c r="B356" i="4"/>
  <c r="N342" i="4"/>
  <c r="J332" i="4"/>
  <c r="F319" i="4"/>
  <c r="A306" i="4"/>
  <c r="J295" i="4"/>
  <c r="L281" i="4"/>
  <c r="L267" i="4"/>
  <c r="C257" i="4"/>
  <c r="M394" i="4"/>
  <c r="I381" i="4"/>
  <c r="J371" i="4"/>
  <c r="F362" i="4"/>
  <c r="C353" i="4"/>
  <c r="A344" i="4"/>
  <c r="M334" i="4"/>
  <c r="I325" i="4"/>
  <c r="F316" i="4"/>
  <c r="B307" i="4"/>
  <c r="M297" i="4"/>
  <c r="F288" i="4"/>
  <c r="L278" i="4"/>
  <c r="N268" i="4"/>
  <c r="G259" i="4"/>
  <c r="F395" i="4"/>
  <c r="B386" i="4"/>
  <c r="N376" i="4"/>
  <c r="I367" i="4"/>
  <c r="D358" i="4"/>
  <c r="B349" i="4"/>
  <c r="N339" i="4"/>
  <c r="L330" i="4"/>
  <c r="H321" i="4"/>
  <c r="D312" i="4"/>
  <c r="N302" i="4"/>
  <c r="J293" i="4"/>
  <c r="A284" i="4"/>
  <c r="H274" i="4"/>
  <c r="J264" i="4"/>
  <c r="D255" i="4"/>
  <c r="K394" i="4"/>
  <c r="G385" i="4"/>
  <c r="E376" i="4"/>
  <c r="N366" i="4"/>
  <c r="I357" i="4"/>
  <c r="G348" i="4"/>
  <c r="E339" i="4"/>
  <c r="B330" i="4"/>
  <c r="M320" i="4"/>
  <c r="I311" i="4"/>
  <c r="E302" i="4"/>
  <c r="N292" i="4"/>
  <c r="F283" i="4"/>
  <c r="L273" i="4"/>
  <c r="A264" i="4"/>
  <c r="I254" i="4"/>
  <c r="J248" i="4"/>
  <c r="E239" i="4"/>
  <c r="K229" i="4"/>
  <c r="L219" i="4"/>
  <c r="N209" i="4"/>
  <c r="N199" i="4"/>
  <c r="I190" i="4"/>
  <c r="F181" i="4"/>
  <c r="M171" i="4"/>
  <c r="H162" i="4"/>
  <c r="C153" i="4"/>
  <c r="L143" i="4"/>
  <c r="H134" i="4"/>
  <c r="E125" i="4"/>
  <c r="A116" i="4"/>
  <c r="H106" i="4"/>
  <c r="N250" i="4"/>
  <c r="I241" i="4"/>
  <c r="B232" i="4"/>
  <c r="D222" i="4"/>
  <c r="D212" i="4"/>
  <c r="G202" i="4"/>
  <c r="L192" i="4"/>
  <c r="J183" i="4"/>
  <c r="B174" i="4"/>
  <c r="K164" i="4"/>
  <c r="G155" i="4"/>
  <c r="A146" i="4"/>
  <c r="L136" i="4"/>
  <c r="H127" i="4"/>
  <c r="D118" i="4"/>
  <c r="L108" i="4"/>
  <c r="E250" i="4"/>
  <c r="N240" i="4"/>
  <c r="F231" i="4"/>
  <c r="H221" i="4"/>
  <c r="I211" i="4"/>
  <c r="K201" i="4"/>
  <c r="C192" i="4"/>
  <c r="A183" i="4"/>
  <c r="G173" i="4"/>
  <c r="B164" i="4"/>
  <c r="L154" i="4"/>
  <c r="F145" i="4"/>
  <c r="C136" i="4"/>
  <c r="M126" i="4"/>
  <c r="I117" i="4"/>
  <c r="C108" i="4"/>
  <c r="B249" i="4"/>
  <c r="J239" i="4"/>
  <c r="B230" i="4"/>
  <c r="D220" i="4"/>
  <c r="E210" i="4"/>
  <c r="F200" i="4"/>
  <c r="N190" i="4"/>
  <c r="L181" i="4"/>
  <c r="D172" i="4"/>
  <c r="M162" i="4"/>
  <c r="H153" i="4"/>
  <c r="C144" i="4"/>
  <c r="M134" i="4"/>
  <c r="J125" i="4"/>
  <c r="F116" i="4"/>
  <c r="M106" i="4"/>
  <c r="L247" i="4"/>
  <c r="F238" i="4"/>
  <c r="K228" i="4"/>
  <c r="M218" i="4"/>
  <c r="B209" i="4"/>
  <c r="B199" i="4"/>
  <c r="K189" i="4"/>
  <c r="H180" i="4"/>
  <c r="N170" i="4"/>
  <c r="I161" i="4"/>
  <c r="E152" i="4"/>
  <c r="N142" i="4"/>
  <c r="J133" i="4"/>
  <c r="G124" i="4"/>
  <c r="C115" i="4"/>
  <c r="C262" i="4"/>
  <c r="I246" i="4"/>
  <c r="B237" i="4"/>
  <c r="H227" i="4"/>
  <c r="H217" i="4"/>
  <c r="L207" i="4"/>
  <c r="L197" i="4"/>
  <c r="H188" i="4"/>
  <c r="E179" i="4"/>
  <c r="E170" i="4"/>
  <c r="E163" i="4"/>
  <c r="K155" i="4"/>
  <c r="K148" i="4"/>
  <c r="A144" i="4"/>
  <c r="G139" i="4"/>
  <c r="K134" i="4"/>
  <c r="B130" i="4"/>
  <c r="H125" i="4"/>
  <c r="L120" i="4"/>
  <c r="D116" i="4"/>
  <c r="G111" i="4"/>
  <c r="K106" i="4"/>
  <c r="I252" i="4"/>
  <c r="I255" i="4"/>
  <c r="F249" i="4"/>
  <c r="K244" i="4"/>
  <c r="N239" i="4"/>
  <c r="C235" i="4"/>
  <c r="F230" i="4"/>
  <c r="G225" i="4"/>
  <c r="H220" i="4"/>
  <c r="H215" i="4"/>
  <c r="I210" i="4"/>
  <c r="K205" i="4"/>
  <c r="K200" i="4"/>
  <c r="L195" i="4"/>
  <c r="D191" i="4"/>
  <c r="J186" i="4"/>
  <c r="B182" i="4"/>
  <c r="G177" i="4"/>
  <c r="H172" i="4"/>
  <c r="M167" i="4"/>
  <c r="C163" i="4"/>
  <c r="G158" i="4"/>
  <c r="L153" i="4"/>
  <c r="C149" i="4"/>
  <c r="G144" i="4"/>
  <c r="M139" i="4"/>
  <c r="C135" i="4"/>
  <c r="H130" i="4"/>
  <c r="N125" i="4"/>
  <c r="E121" i="4"/>
  <c r="J116" i="4"/>
  <c r="M111" i="4"/>
  <c r="D107" i="4"/>
  <c r="C226" i="4"/>
  <c r="E187" i="4"/>
  <c r="L149" i="4"/>
  <c r="H112" i="4"/>
  <c r="A102" i="4"/>
  <c r="E97" i="4"/>
  <c r="F92" i="4"/>
  <c r="G87" i="4"/>
  <c r="J82" i="4"/>
  <c r="M77" i="4"/>
  <c r="C73" i="4"/>
  <c r="G68" i="4"/>
  <c r="G63" i="4"/>
  <c r="I58" i="4"/>
  <c r="K53" i="4"/>
  <c r="N48" i="4"/>
  <c r="N43" i="4"/>
  <c r="D39" i="4"/>
  <c r="G34" i="4"/>
  <c r="H29" i="4"/>
  <c r="J24" i="4"/>
  <c r="J19" i="4"/>
  <c r="E14" i="4"/>
  <c r="C9" i="4"/>
  <c r="N3" i="4"/>
  <c r="D235" i="4"/>
  <c r="C638" i="4"/>
  <c r="C484" i="4"/>
  <c r="M540" i="4"/>
  <c r="D494" i="4"/>
  <c r="C555" i="4"/>
  <c r="I430" i="4"/>
  <c r="G576" i="4"/>
  <c r="K403" i="4"/>
  <c r="C418" i="4"/>
  <c r="F438" i="4"/>
  <c r="H455" i="4"/>
  <c r="F400" i="4"/>
  <c r="L343" i="4"/>
  <c r="M286" i="4"/>
  <c r="F367" i="4"/>
  <c r="A342" i="4"/>
  <c r="D317" i="4"/>
  <c r="L292" i="4"/>
  <c r="J268" i="4"/>
  <c r="A391" i="4"/>
  <c r="H372" i="4"/>
  <c r="N353" i="4"/>
  <c r="J335" i="4"/>
  <c r="C317" i="4"/>
  <c r="J298" i="4"/>
  <c r="J279" i="4"/>
  <c r="H265" i="4"/>
  <c r="E401" i="4"/>
  <c r="N390" i="4"/>
  <c r="K377" i="4"/>
  <c r="D364" i="4"/>
  <c r="M353" i="4"/>
  <c r="K340" i="4"/>
  <c r="G327" i="4"/>
  <c r="B317" i="4"/>
  <c r="K303" i="4"/>
  <c r="D290" i="4"/>
  <c r="I279" i="4"/>
  <c r="G265" i="4"/>
  <c r="F403" i="4"/>
  <c r="I392" i="4"/>
  <c r="F379" i="4"/>
  <c r="A366" i="4"/>
  <c r="H355" i="4"/>
  <c r="F342" i="4"/>
  <c r="C329" i="4"/>
  <c r="L318" i="4"/>
  <c r="G305" i="4"/>
  <c r="N291" i="4"/>
  <c r="D281" i="4"/>
  <c r="D267" i="4"/>
  <c r="J253" i="4"/>
  <c r="E394" i="4"/>
  <c r="A381" i="4"/>
  <c r="B371" i="4"/>
  <c r="L361" i="4"/>
  <c r="I352" i="4"/>
  <c r="G343" i="4"/>
  <c r="E334" i="4"/>
  <c r="A325" i="4"/>
  <c r="L315" i="4"/>
  <c r="H306" i="4"/>
  <c r="E297" i="4"/>
  <c r="K287" i="4"/>
  <c r="D278" i="4"/>
  <c r="F268" i="4"/>
  <c r="L258" i="4"/>
  <c r="L394" i="4"/>
  <c r="H385" i="4"/>
  <c r="F376" i="4"/>
  <c r="A367" i="4"/>
  <c r="J357" i="4"/>
  <c r="H348" i="4"/>
  <c r="F339" i="4"/>
  <c r="C330" i="4"/>
  <c r="N320" i="4"/>
  <c r="J311" i="4"/>
  <c r="F302" i="4"/>
  <c r="A293" i="4"/>
  <c r="G283" i="4"/>
  <c r="M273" i="4"/>
  <c r="B264" i="4"/>
  <c r="J254" i="4"/>
  <c r="C394" i="4"/>
  <c r="M384" i="4"/>
  <c r="K375" i="4"/>
  <c r="F366" i="4"/>
  <c r="A357" i="4"/>
  <c r="M347" i="4"/>
  <c r="K338" i="4"/>
  <c r="H329" i="4"/>
  <c r="E320" i="4"/>
  <c r="A311" i="4"/>
  <c r="K301" i="4"/>
  <c r="F292" i="4"/>
  <c r="L282" i="4"/>
  <c r="D273" i="4"/>
  <c r="G263" i="4"/>
  <c r="A254" i="4"/>
  <c r="B248" i="4"/>
  <c r="J238" i="4"/>
  <c r="B229" i="4"/>
  <c r="D219" i="4"/>
  <c r="F209" i="4"/>
  <c r="F199" i="4"/>
  <c r="A190" i="4"/>
  <c r="L180" i="4"/>
  <c r="D171" i="4"/>
  <c r="M161" i="4"/>
  <c r="I152" i="4"/>
  <c r="D143" i="4"/>
  <c r="N133" i="4"/>
  <c r="K124" i="4"/>
  <c r="G115" i="4"/>
  <c r="N105" i="4"/>
  <c r="F250" i="4"/>
  <c r="A241" i="4"/>
  <c r="G231" i="4"/>
  <c r="I221" i="4"/>
  <c r="J211" i="4"/>
  <c r="L201" i="4"/>
  <c r="D192" i="4"/>
  <c r="B183" i="4"/>
  <c r="H173" i="4"/>
  <c r="C164" i="4"/>
  <c r="M154" i="4"/>
  <c r="G145" i="4"/>
  <c r="D136" i="4"/>
  <c r="N126" i="4"/>
  <c r="J117" i="4"/>
  <c r="D108" i="4"/>
  <c r="K249" i="4"/>
  <c r="F240" i="4"/>
  <c r="K230" i="4"/>
  <c r="M220" i="4"/>
  <c r="N210" i="4"/>
  <c r="C201" i="4"/>
  <c r="I191" i="4"/>
  <c r="G182" i="4"/>
  <c r="M172" i="4"/>
  <c r="H163" i="4"/>
  <c r="C154" i="4"/>
  <c r="L144" i="4"/>
  <c r="H135" i="4"/>
  <c r="E126" i="4"/>
  <c r="A117" i="4"/>
  <c r="I107" i="4"/>
  <c r="G248" i="4"/>
  <c r="B239" i="4"/>
  <c r="H229" i="4"/>
  <c r="I219" i="4"/>
  <c r="K209" i="4"/>
  <c r="K199" i="4"/>
  <c r="F190" i="4"/>
  <c r="C181" i="4"/>
  <c r="I171" i="4"/>
  <c r="D162" i="4"/>
  <c r="N152" i="4"/>
  <c r="I143" i="4"/>
  <c r="E134" i="4"/>
  <c r="B125" i="4"/>
  <c r="L115" i="4"/>
  <c r="M266" i="4"/>
  <c r="D247" i="4"/>
  <c r="K237" i="4"/>
  <c r="C228" i="4"/>
  <c r="D218" i="4"/>
  <c r="H208" i="4"/>
  <c r="H198" i="4"/>
  <c r="C189" i="4"/>
  <c r="N179" i="4"/>
  <c r="F170" i="4"/>
  <c r="A161" i="4"/>
  <c r="J151" i="4"/>
  <c r="F142" i="4"/>
  <c r="B133" i="4"/>
  <c r="M123" i="4"/>
  <c r="I114" i="4"/>
  <c r="K259" i="4"/>
  <c r="A246" i="4"/>
  <c r="H236" i="4"/>
  <c r="M226" i="4"/>
  <c r="L216" i="4"/>
  <c r="C207" i="4"/>
  <c r="C197" i="4"/>
  <c r="N187" i="4"/>
  <c r="K178" i="4"/>
  <c r="K169" i="4"/>
  <c r="H161" i="4"/>
  <c r="C155" i="4"/>
  <c r="C148" i="4"/>
  <c r="G143" i="4"/>
  <c r="L138" i="4"/>
  <c r="C134" i="4"/>
  <c r="H129" i="4"/>
  <c r="N124" i="4"/>
  <c r="D120" i="4"/>
  <c r="J115" i="4"/>
  <c r="M110" i="4"/>
  <c r="J265" i="4"/>
  <c r="L251" i="4"/>
  <c r="B254" i="4"/>
  <c r="K248" i="4"/>
  <c r="C244" i="4"/>
  <c r="F239" i="4"/>
  <c r="I234" i="4"/>
  <c r="L229" i="4"/>
  <c r="L224" i="4"/>
  <c r="M219" i="4"/>
  <c r="M214" i="4"/>
  <c r="A210" i="4"/>
  <c r="B205" i="4"/>
  <c r="B200" i="4"/>
  <c r="D195" i="4"/>
  <c r="J190" i="4"/>
  <c r="B186" i="4"/>
  <c r="H181" i="4"/>
  <c r="M176" i="4"/>
  <c r="N171" i="4"/>
  <c r="E167" i="4"/>
  <c r="I162" i="4"/>
  <c r="M157" i="4"/>
  <c r="D153" i="4"/>
  <c r="I148" i="4"/>
  <c r="M143" i="4"/>
  <c r="E139" i="4"/>
  <c r="I134" i="4"/>
  <c r="N129" i="4"/>
  <c r="F125" i="4"/>
  <c r="J120" i="4"/>
  <c r="B116" i="4"/>
  <c r="E111" i="4"/>
  <c r="I106" i="4"/>
  <c r="D221" i="4"/>
  <c r="K182" i="4"/>
  <c r="B145" i="4"/>
  <c r="M107" i="4"/>
  <c r="G101" i="4"/>
  <c r="J96" i="4"/>
  <c r="K91" i="4"/>
  <c r="L86" i="4"/>
  <c r="B82" i="4"/>
  <c r="E77" i="4"/>
  <c r="I72" i="4"/>
  <c r="L67" i="4"/>
  <c r="L62" i="4"/>
  <c r="N57" i="4"/>
  <c r="C53" i="4"/>
  <c r="F48" i="4"/>
  <c r="F43" i="4"/>
  <c r="I38" i="4"/>
  <c r="L33" i="4"/>
  <c r="N28" i="4"/>
  <c r="B24" i="4"/>
  <c r="N18" i="4"/>
  <c r="K529" i="4"/>
  <c r="N424" i="4"/>
  <c r="B432" i="4"/>
  <c r="H357" i="4"/>
  <c r="I323" i="4"/>
  <c r="D377" i="4"/>
  <c r="D303" i="4"/>
  <c r="B392" i="4"/>
  <c r="K344" i="4"/>
  <c r="H294" i="4"/>
  <c r="L393" i="4"/>
  <c r="F346" i="4"/>
  <c r="D296" i="4"/>
  <c r="G395" i="4"/>
  <c r="K353" i="4"/>
  <c r="N316" i="4"/>
  <c r="G279" i="4"/>
  <c r="J386" i="4"/>
  <c r="J349" i="4"/>
  <c r="L312" i="4"/>
  <c r="C275" i="4"/>
  <c r="A386" i="4"/>
  <c r="A349" i="4"/>
  <c r="C312" i="4"/>
  <c r="G274" i="4"/>
  <c r="M239" i="4"/>
  <c r="J200" i="4"/>
  <c r="B163" i="4"/>
  <c r="M125" i="4"/>
  <c r="D242" i="4"/>
  <c r="A203" i="4"/>
  <c r="F165" i="4"/>
  <c r="B128" i="4"/>
  <c r="H241" i="4"/>
  <c r="F202" i="4"/>
  <c r="J164" i="4"/>
  <c r="G127" i="4"/>
  <c r="E240" i="4"/>
  <c r="B201" i="4"/>
  <c r="G163" i="4"/>
  <c r="D126" i="4"/>
  <c r="N238" i="4"/>
  <c r="J199" i="4"/>
  <c r="C162" i="4"/>
  <c r="A125" i="4"/>
  <c r="J237" i="4"/>
  <c r="G198" i="4"/>
  <c r="G164" i="4"/>
  <c r="A140" i="4"/>
  <c r="G121" i="4"/>
  <c r="F253" i="4"/>
  <c r="I240" i="4"/>
  <c r="C221" i="4"/>
  <c r="F201" i="4"/>
  <c r="J182" i="4"/>
  <c r="K163" i="4"/>
  <c r="A145" i="4"/>
  <c r="H126" i="4"/>
  <c r="K113" i="4"/>
  <c r="C216" i="4"/>
  <c r="E117" i="4"/>
  <c r="D94" i="4"/>
  <c r="G81" i="4"/>
  <c r="A69" i="4"/>
  <c r="H55" i="4"/>
  <c r="L42" i="4"/>
  <c r="C30" i="4"/>
  <c r="G16" i="4"/>
  <c r="M5" i="4"/>
  <c r="J210" i="4"/>
  <c r="M153" i="4"/>
  <c r="L103" i="4"/>
  <c r="D97" i="4"/>
  <c r="I88" i="4"/>
  <c r="K80" i="4"/>
  <c r="J73" i="4"/>
  <c r="D65" i="4"/>
  <c r="H58" i="4"/>
  <c r="L51" i="4"/>
  <c r="H46" i="4"/>
  <c r="M40" i="4"/>
  <c r="H35" i="4"/>
  <c r="A30" i="4"/>
  <c r="I24" i="4"/>
  <c r="M18" i="4"/>
  <c r="E12" i="4"/>
  <c r="C7" i="4"/>
  <c r="N1" i="4"/>
  <c r="N219" i="4"/>
  <c r="I181" i="4"/>
  <c r="N143" i="4"/>
  <c r="J106" i="4"/>
  <c r="E101" i="4"/>
  <c r="H96" i="4"/>
  <c r="I91" i="4"/>
  <c r="J86" i="4"/>
  <c r="M81" i="4"/>
  <c r="C77" i="4"/>
  <c r="G72" i="4"/>
  <c r="J67" i="4"/>
  <c r="J62" i="4"/>
  <c r="L57" i="4"/>
  <c r="N52" i="4"/>
  <c r="D48" i="4"/>
  <c r="D43" i="4"/>
  <c r="G38" i="4"/>
  <c r="J33" i="4"/>
  <c r="L28" i="4"/>
  <c r="M23" i="4"/>
  <c r="L18" i="4"/>
  <c r="H13" i="4"/>
  <c r="F8" i="4"/>
  <c r="C3" i="4"/>
  <c r="D229" i="4"/>
  <c r="C190" i="4"/>
  <c r="K152" i="4"/>
  <c r="I115" i="4"/>
  <c r="G102" i="4"/>
  <c r="J97" i="4"/>
  <c r="L92" i="4"/>
  <c r="L87" i="4"/>
  <c r="B83" i="4"/>
  <c r="D78" i="4"/>
  <c r="H73" i="4"/>
  <c r="L68" i="4"/>
  <c r="L63" i="4"/>
  <c r="N58" i="4"/>
  <c r="B54" i="4"/>
  <c r="E49" i="4"/>
  <c r="M558" i="4"/>
  <c r="D458" i="4"/>
  <c r="C411" i="4"/>
  <c r="F336" i="4"/>
  <c r="A312" i="4"/>
  <c r="G368" i="4"/>
  <c r="I294" i="4"/>
  <c r="G387" i="4"/>
  <c r="C340" i="4"/>
  <c r="J289" i="4"/>
  <c r="C389" i="4"/>
  <c r="L341" i="4"/>
  <c r="F291" i="4"/>
  <c r="L390" i="4"/>
  <c r="K349" i="4"/>
  <c r="M312" i="4"/>
  <c r="D275" i="4"/>
  <c r="J382" i="4"/>
  <c r="J345" i="4"/>
  <c r="K308" i="4"/>
  <c r="K270" i="4"/>
  <c r="A382" i="4"/>
  <c r="A345" i="4"/>
  <c r="B308" i="4"/>
  <c r="B270" i="4"/>
  <c r="J235" i="4"/>
  <c r="F196" i="4"/>
  <c r="N158" i="4"/>
  <c r="L121" i="4"/>
  <c r="N237" i="4"/>
  <c r="K198" i="4"/>
  <c r="D161" i="4"/>
  <c r="B124" i="4"/>
  <c r="E237" i="4"/>
  <c r="B198" i="4"/>
  <c r="I160" i="4"/>
  <c r="F123" i="4"/>
  <c r="A236" i="4"/>
  <c r="K196" i="4"/>
  <c r="E159" i="4"/>
  <c r="C122" i="4"/>
  <c r="L234" i="4"/>
  <c r="G195" i="4"/>
  <c r="B158" i="4"/>
  <c r="M120" i="4"/>
  <c r="I233" i="4"/>
  <c r="D194" i="4"/>
  <c r="N160" i="4"/>
  <c r="D138" i="4"/>
  <c r="J119" i="4"/>
  <c r="D251" i="4"/>
  <c r="K238" i="4"/>
  <c r="E219" i="4"/>
  <c r="G199" i="4"/>
  <c r="M180" i="4"/>
  <c r="N161" i="4"/>
  <c r="E143" i="4"/>
  <c r="L124" i="4"/>
  <c r="G112" i="4"/>
  <c r="G201" i="4"/>
  <c r="M105" i="4"/>
  <c r="A93" i="4"/>
  <c r="I79" i="4"/>
  <c r="D67" i="4"/>
  <c r="E54" i="4"/>
  <c r="N40" i="4"/>
  <c r="F28" i="4"/>
  <c r="D15" i="4"/>
  <c r="I4" i="4"/>
  <c r="L200" i="4"/>
  <c r="D149" i="4"/>
  <c r="C103" i="4"/>
  <c r="F95" i="4"/>
  <c r="N87" i="4"/>
  <c r="H79" i="4"/>
  <c r="B73" i="4"/>
  <c r="I64" i="4"/>
  <c r="M57" i="4"/>
  <c r="D51" i="4"/>
  <c r="M45" i="4"/>
  <c r="E40" i="4"/>
  <c r="N34" i="4"/>
  <c r="G29" i="4"/>
  <c r="N23" i="4"/>
  <c r="J17" i="4"/>
  <c r="J11" i="4"/>
  <c r="H6" i="4"/>
  <c r="F1" i="4"/>
  <c r="N214" i="4"/>
  <c r="N176" i="4"/>
  <c r="F139" i="4"/>
  <c r="K105" i="4"/>
  <c r="K100" i="4"/>
  <c r="M95" i="4"/>
  <c r="N90" i="4"/>
  <c r="B86" i="4"/>
  <c r="E81" i="4"/>
  <c r="H76" i="4"/>
  <c r="M71" i="4"/>
  <c r="B67" i="4"/>
  <c r="B62" i="4"/>
  <c r="D57" i="4"/>
  <c r="F52" i="4"/>
  <c r="J47" i="4"/>
  <c r="J42" i="4"/>
  <c r="M37" i="4"/>
  <c r="A33" i="4"/>
  <c r="D28" i="4"/>
  <c r="D23" i="4"/>
  <c r="D18" i="4"/>
  <c r="M12" i="4"/>
  <c r="K7" i="4"/>
  <c r="H2" i="4"/>
  <c r="E224" i="4"/>
  <c r="I185" i="4"/>
  <c r="B148" i="4"/>
  <c r="L110" i="4"/>
  <c r="L101" i="4"/>
  <c r="A97" i="4"/>
  <c r="C92" i="4"/>
  <c r="D87" i="4"/>
  <c r="G82" i="4"/>
  <c r="J77" i="4"/>
  <c r="N72" i="4"/>
  <c r="D68" i="4"/>
  <c r="D63" i="4"/>
  <c r="F58" i="4"/>
  <c r="H53" i="4"/>
  <c r="K48" i="4"/>
  <c r="E543" i="4"/>
  <c r="M459" i="4"/>
  <c r="C452" i="4"/>
  <c r="J301" i="4"/>
  <c r="K298" i="4"/>
  <c r="H358" i="4"/>
  <c r="F284" i="4"/>
  <c r="K381" i="4"/>
  <c r="I331" i="4"/>
  <c r="K280" i="4"/>
  <c r="F383" i="4"/>
  <c r="D333" i="4"/>
  <c r="G282" i="4"/>
  <c r="A385" i="4"/>
  <c r="I344" i="4"/>
  <c r="J307" i="4"/>
  <c r="I269" i="4"/>
  <c r="H377" i="4"/>
  <c r="H340" i="4"/>
  <c r="H303" i="4"/>
  <c r="D265" i="4"/>
  <c r="M376" i="4"/>
  <c r="M339" i="4"/>
  <c r="M302" i="4"/>
  <c r="I264" i="4"/>
  <c r="E230" i="4"/>
  <c r="C191" i="4"/>
  <c r="K153" i="4"/>
  <c r="I116" i="4"/>
  <c r="J232" i="4"/>
  <c r="F193" i="4"/>
  <c r="A156" i="4"/>
  <c r="L118" i="4"/>
  <c r="N231" i="4"/>
  <c r="K192" i="4"/>
  <c r="F155" i="4"/>
  <c r="C118" i="4"/>
  <c r="J230" i="4"/>
  <c r="H191" i="4"/>
  <c r="B154" i="4"/>
  <c r="N116" i="4"/>
  <c r="F229" i="4"/>
  <c r="E190" i="4"/>
  <c r="M152" i="4"/>
  <c r="K115" i="4"/>
  <c r="B228" i="4"/>
  <c r="B189" i="4"/>
  <c r="E156" i="4"/>
  <c r="E135" i="4"/>
  <c r="L116" i="4"/>
  <c r="B257" i="4"/>
  <c r="K235" i="4"/>
  <c r="B216" i="4"/>
  <c r="G196" i="4"/>
  <c r="A178" i="4"/>
  <c r="A159" i="4"/>
  <c r="G140" i="4"/>
  <c r="A123" i="4"/>
  <c r="K110" i="4"/>
  <c r="M191" i="4"/>
  <c r="M103" i="4"/>
  <c r="C91" i="4"/>
  <c r="G78" i="4"/>
  <c r="E65" i="4"/>
  <c r="H52" i="4"/>
  <c r="L39" i="4"/>
  <c r="H26" i="4"/>
  <c r="J13" i="4"/>
  <c r="E3" i="4"/>
  <c r="M195" i="4"/>
  <c r="D135" i="4"/>
  <c r="I102" i="4"/>
  <c r="C94" i="4"/>
  <c r="F87" i="4"/>
  <c r="N78" i="4"/>
  <c r="F71" i="4"/>
  <c r="N63" i="4"/>
  <c r="J56" i="4"/>
  <c r="J50" i="4"/>
  <c r="D45" i="4"/>
  <c r="K39" i="4"/>
  <c r="F34" i="4"/>
  <c r="M28" i="4"/>
  <c r="J22" i="4"/>
  <c r="N16" i="4"/>
  <c r="N10" i="4"/>
  <c r="L5" i="4"/>
  <c r="L248" i="4"/>
  <c r="B210" i="4"/>
  <c r="A172" i="4"/>
  <c r="J134" i="4"/>
  <c r="A105" i="4"/>
  <c r="C100" i="4"/>
  <c r="E95" i="4"/>
  <c r="F90" i="4"/>
  <c r="G85" i="4"/>
  <c r="J80" i="4"/>
  <c r="N75" i="4"/>
  <c r="E71" i="4"/>
  <c r="G66" i="4"/>
  <c r="F61" i="4"/>
  <c r="I56" i="4"/>
  <c r="K51" i="4"/>
  <c r="A47" i="4"/>
  <c r="B42" i="4"/>
  <c r="E37" i="4"/>
  <c r="G32" i="4"/>
  <c r="I27" i="4"/>
  <c r="I22" i="4"/>
  <c r="I17" i="4"/>
  <c r="D12" i="4"/>
  <c r="B7" i="4"/>
  <c r="M1" i="4"/>
  <c r="F219" i="4"/>
  <c r="N180" i="4"/>
  <c r="F143" i="4"/>
  <c r="F106" i="4"/>
  <c r="D101" i="4"/>
  <c r="G96" i="4"/>
  <c r="H91" i="4"/>
  <c r="I86" i="4"/>
  <c r="L81" i="4"/>
  <c r="B77" i="4"/>
  <c r="F72" i="4"/>
  <c r="I67" i="4"/>
  <c r="I62" i="4"/>
  <c r="K57" i="4"/>
  <c r="M52" i="4"/>
  <c r="C48" i="4"/>
  <c r="G678" i="4"/>
  <c r="A416" i="4"/>
  <c r="G431" i="4"/>
  <c r="L279" i="4"/>
  <c r="L286" i="4"/>
  <c r="N349" i="4"/>
  <c r="A276" i="4"/>
  <c r="C377" i="4"/>
  <c r="M326" i="4"/>
  <c r="N275" i="4"/>
  <c r="L378" i="4"/>
  <c r="H328" i="4"/>
  <c r="J277" i="4"/>
  <c r="G380" i="4"/>
  <c r="I340" i="4"/>
  <c r="I303" i="4"/>
  <c r="E265" i="4"/>
  <c r="G373" i="4"/>
  <c r="H336" i="4"/>
  <c r="H299" i="4"/>
  <c r="D261" i="4"/>
  <c r="K372" i="4"/>
  <c r="M335" i="4"/>
  <c r="M298" i="4"/>
  <c r="H260" i="4"/>
  <c r="N225" i="4"/>
  <c r="C187" i="4"/>
  <c r="J149" i="4"/>
  <c r="F112" i="4"/>
  <c r="F228" i="4"/>
  <c r="F189" i="4"/>
  <c r="M151" i="4"/>
  <c r="L114" i="4"/>
  <c r="K227" i="4"/>
  <c r="K188" i="4"/>
  <c r="D151" i="4"/>
  <c r="C114" i="4"/>
  <c r="F226" i="4"/>
  <c r="H187" i="4"/>
  <c r="A150" i="4"/>
  <c r="L112" i="4"/>
  <c r="B225" i="4"/>
  <c r="E186" i="4"/>
  <c r="L148" i="4"/>
  <c r="H111" i="4"/>
  <c r="L223" i="4"/>
  <c r="B185" i="4"/>
  <c r="N153" i="4"/>
  <c r="I133" i="4"/>
  <c r="B115" i="4"/>
  <c r="E253" i="4"/>
  <c r="A234" i="4"/>
  <c r="D214" i="4"/>
  <c r="J194" i="4"/>
  <c r="E176" i="4"/>
  <c r="E157" i="4"/>
  <c r="J138" i="4"/>
  <c r="M121" i="4"/>
  <c r="N108" i="4"/>
  <c r="B178" i="4"/>
  <c r="J102" i="4"/>
  <c r="E89" i="4"/>
  <c r="J76" i="4"/>
  <c r="B64" i="4"/>
  <c r="K50" i="4"/>
  <c r="A38" i="4"/>
  <c r="E25" i="4"/>
  <c r="B13" i="4"/>
  <c r="J2" i="4"/>
  <c r="E191" i="4"/>
  <c r="A126" i="4"/>
  <c r="N101" i="4"/>
  <c r="H93" i="4"/>
  <c r="H85" i="4"/>
  <c r="F78" i="4"/>
  <c r="D70" i="4"/>
  <c r="F63" i="4"/>
  <c r="G55" i="4"/>
  <c r="B50" i="4"/>
  <c r="I44" i="4"/>
  <c r="C39" i="4"/>
  <c r="K33" i="4"/>
  <c r="J27" i="4"/>
  <c r="B22" i="4"/>
  <c r="F16" i="4"/>
  <c r="E10" i="4"/>
  <c r="C5" i="4"/>
  <c r="D244" i="4"/>
  <c r="C205" i="4"/>
  <c r="F167" i="4"/>
  <c r="A130" i="4"/>
  <c r="F104" i="4"/>
  <c r="I99" i="4"/>
  <c r="J94" i="4"/>
  <c r="K89" i="4"/>
  <c r="M84" i="4"/>
  <c r="B80" i="4"/>
  <c r="F75" i="4"/>
  <c r="K70" i="4"/>
  <c r="L65" i="4"/>
  <c r="K60" i="4"/>
  <c r="N55" i="4"/>
  <c r="C51" i="4"/>
  <c r="G46" i="4"/>
  <c r="G41" i="4"/>
  <c r="J36" i="4"/>
  <c r="L31" i="4"/>
  <c r="N26" i="4"/>
  <c r="N21" i="4"/>
  <c r="M16" i="4"/>
  <c r="I11" i="4"/>
  <c r="F6" i="4"/>
  <c r="E1" i="4"/>
  <c r="E214" i="4"/>
  <c r="F176" i="4"/>
  <c r="K138" i="4"/>
  <c r="J105" i="4"/>
  <c r="J100" i="4"/>
  <c r="L95" i="4"/>
  <c r="J668" i="4"/>
  <c r="H419" i="4"/>
  <c r="L528" i="4"/>
  <c r="I379" i="4"/>
  <c r="J273" i="4"/>
  <c r="D340" i="4"/>
  <c r="L269" i="4"/>
  <c r="F368" i="4"/>
  <c r="E318" i="4"/>
  <c r="K269" i="4"/>
  <c r="A370" i="4"/>
  <c r="N319" i="4"/>
  <c r="I271" i="4"/>
  <c r="E372" i="4"/>
  <c r="G335" i="4"/>
  <c r="G298" i="4"/>
  <c r="B260" i="4"/>
  <c r="C368" i="4"/>
  <c r="F331" i="4"/>
  <c r="E294" i="4"/>
  <c r="L255" i="4"/>
  <c r="H367" i="4"/>
  <c r="K330" i="4"/>
  <c r="I293" i="4"/>
  <c r="C255" i="4"/>
  <c r="G220" i="4"/>
  <c r="A182" i="4"/>
  <c r="F144" i="4"/>
  <c r="C107" i="4"/>
  <c r="L222" i="4"/>
  <c r="D184" i="4"/>
  <c r="I146" i="4"/>
  <c r="F109" i="4"/>
  <c r="C222" i="4"/>
  <c r="I183" i="4"/>
  <c r="N145" i="4"/>
  <c r="K108" i="4"/>
  <c r="L220" i="4"/>
  <c r="F182" i="4"/>
  <c r="K144" i="4"/>
  <c r="H107" i="4"/>
  <c r="H219" i="4"/>
  <c r="B181" i="4"/>
  <c r="H143" i="4"/>
  <c r="E266" i="4"/>
  <c r="C218" i="4"/>
  <c r="M179" i="4"/>
  <c r="E149" i="4"/>
  <c r="J130" i="4"/>
  <c r="A112" i="4"/>
  <c r="N249" i="4"/>
  <c r="N230" i="4"/>
  <c r="D211" i="4"/>
  <c r="L191" i="4"/>
  <c r="B173" i="4"/>
  <c r="F154" i="4"/>
  <c r="K135" i="4"/>
  <c r="B120" i="4"/>
  <c r="L107" i="4"/>
  <c r="L163" i="4"/>
  <c r="M100" i="4"/>
  <c r="B88" i="4"/>
  <c r="N74" i="4"/>
  <c r="D62" i="4"/>
  <c r="H49" i="4"/>
  <c r="D36" i="4"/>
  <c r="F23" i="4"/>
  <c r="B11" i="4"/>
  <c r="G249" i="4"/>
  <c r="K186" i="4"/>
  <c r="F121" i="4"/>
  <c r="D100" i="4"/>
  <c r="N92" i="4"/>
  <c r="F84" i="4"/>
  <c r="L77" i="4"/>
  <c r="I69" i="4"/>
  <c r="H61" i="4"/>
  <c r="L54" i="4"/>
  <c r="G49" i="4"/>
  <c r="M43" i="4"/>
  <c r="H38" i="4"/>
  <c r="H32" i="4"/>
  <c r="B27" i="4"/>
  <c r="G21" i="4"/>
  <c r="K15" i="4"/>
  <c r="J9" i="4"/>
  <c r="H4" i="4"/>
  <c r="G239" i="4"/>
  <c r="C200" i="4"/>
  <c r="J162" i="4"/>
  <c r="G125" i="4"/>
  <c r="K103" i="4"/>
  <c r="N98" i="4"/>
  <c r="B94" i="4"/>
  <c r="C89" i="4"/>
  <c r="E84" i="4"/>
  <c r="G79" i="4"/>
  <c r="L74" i="4"/>
  <c r="C70" i="4"/>
  <c r="C65" i="4"/>
  <c r="C60" i="4"/>
  <c r="F55" i="4"/>
  <c r="I50" i="4"/>
  <c r="L45" i="4"/>
  <c r="L40" i="4"/>
  <c r="B36" i="4"/>
  <c r="D31" i="4"/>
  <c r="F26" i="4"/>
  <c r="F21" i="4"/>
  <c r="E16" i="4"/>
  <c r="M10" i="4"/>
  <c r="K5" i="4"/>
  <c r="D248" i="4"/>
  <c r="H209" i="4"/>
  <c r="F171" i="4"/>
  <c r="B134" i="4"/>
  <c r="N104" i="4"/>
  <c r="B100" i="4"/>
  <c r="D95" i="4"/>
  <c r="E90" i="4"/>
  <c r="F85" i="4"/>
  <c r="I80" i="4"/>
  <c r="M75" i="4"/>
  <c r="D71" i="4"/>
  <c r="F66" i="4"/>
  <c r="E61" i="4"/>
  <c r="H56" i="4"/>
  <c r="J511" i="4"/>
  <c r="F498" i="4"/>
  <c r="I448" i="4"/>
  <c r="M360" i="4"/>
  <c r="G264" i="4"/>
  <c r="J331" i="4"/>
  <c r="N264" i="4"/>
  <c r="J363" i="4"/>
  <c r="J313" i="4"/>
  <c r="M264" i="4"/>
  <c r="F365" i="4"/>
  <c r="E315" i="4"/>
  <c r="I266" i="4"/>
  <c r="D368" i="4"/>
  <c r="G331" i="4"/>
  <c r="F294" i="4"/>
  <c r="B401" i="4"/>
  <c r="A364" i="4"/>
  <c r="D327" i="4"/>
  <c r="A290" i="4"/>
  <c r="G400" i="4"/>
  <c r="F363" i="4"/>
  <c r="I326" i="4"/>
  <c r="F289" i="4"/>
  <c r="M256" i="4"/>
  <c r="A216" i="4"/>
  <c r="N177" i="4"/>
  <c r="F140" i="4"/>
  <c r="K268" i="4"/>
  <c r="H218" i="4"/>
  <c r="C180" i="4"/>
  <c r="I142" i="4"/>
  <c r="F263" i="4"/>
  <c r="K217" i="4"/>
  <c r="H179" i="4"/>
  <c r="N141" i="4"/>
  <c r="N257" i="4"/>
  <c r="F216" i="4"/>
  <c r="E178" i="4"/>
  <c r="K140" i="4"/>
  <c r="H254" i="4"/>
  <c r="C215" i="4"/>
  <c r="B177" i="4"/>
  <c r="H139" i="4"/>
  <c r="J252" i="4"/>
  <c r="K213" i="4"/>
  <c r="M175" i="4"/>
  <c r="I147" i="4"/>
  <c r="N128" i="4"/>
  <c r="E110" i="4"/>
  <c r="C248" i="4"/>
  <c r="C229" i="4"/>
  <c r="G209" i="4"/>
  <c r="B190" i="4"/>
  <c r="E171" i="4"/>
  <c r="J152" i="4"/>
  <c r="A134" i="4"/>
  <c r="F118" i="4"/>
  <c r="A106" i="4"/>
  <c r="H154" i="4"/>
  <c r="C99" i="4"/>
  <c r="D86" i="4"/>
  <c r="K73" i="4"/>
  <c r="E60" i="4"/>
  <c r="L47" i="4"/>
  <c r="A35" i="4"/>
  <c r="H21" i="4"/>
  <c r="K9" i="4"/>
  <c r="B240" i="4"/>
  <c r="I172" i="4"/>
  <c r="K116" i="4"/>
  <c r="A99" i="4"/>
  <c r="E92" i="4"/>
  <c r="L83" i="4"/>
  <c r="A76" i="4"/>
  <c r="N68" i="4"/>
  <c r="D60" i="4"/>
  <c r="D54" i="4"/>
  <c r="M48" i="4"/>
  <c r="E43" i="4"/>
  <c r="F37" i="4"/>
  <c r="M31" i="4"/>
  <c r="G26" i="4"/>
  <c r="L20" i="4"/>
  <c r="C15" i="4"/>
  <c r="B9" i="4"/>
  <c r="M3" i="4"/>
  <c r="J234" i="4"/>
  <c r="E195" i="4"/>
  <c r="N157" i="4"/>
  <c r="K120" i="4"/>
  <c r="B103" i="4"/>
  <c r="F98" i="4"/>
  <c r="G93" i="4"/>
  <c r="H88" i="4"/>
  <c r="K83" i="4"/>
  <c r="M78" i="4"/>
  <c r="D74" i="4"/>
  <c r="H69" i="4"/>
  <c r="H64" i="4"/>
  <c r="I59" i="4"/>
  <c r="K54" i="4"/>
  <c r="N49" i="4"/>
  <c r="C45" i="4"/>
  <c r="D40" i="4"/>
  <c r="G35" i="4"/>
  <c r="I30" i="4"/>
  <c r="K25" i="4"/>
  <c r="K20" i="4"/>
  <c r="J15" i="4"/>
  <c r="D10" i="4"/>
  <c r="B5" i="4"/>
  <c r="J243" i="4"/>
  <c r="H204" i="4"/>
  <c r="K166" i="4"/>
  <c r="G129" i="4"/>
  <c r="E104" i="4"/>
  <c r="H99" i="4"/>
  <c r="I94" i="4"/>
  <c r="J89" i="4"/>
  <c r="L84" i="4"/>
  <c r="N79" i="4"/>
  <c r="E75" i="4"/>
  <c r="J70" i="4"/>
  <c r="K65" i="4"/>
  <c r="J60" i="4"/>
  <c r="M55" i="4"/>
  <c r="B51" i="4"/>
  <c r="E479" i="4"/>
  <c r="J543" i="4"/>
  <c r="H393" i="4"/>
  <c r="M336" i="4"/>
  <c r="N386" i="4"/>
  <c r="C313" i="4"/>
  <c r="K400" i="4"/>
  <c r="G350" i="4"/>
  <c r="C303" i="4"/>
  <c r="I402" i="4"/>
  <c r="B352" i="4"/>
  <c r="L304" i="4"/>
  <c r="B253" i="4"/>
  <c r="M358" i="4"/>
  <c r="C322" i="4"/>
  <c r="K284" i="4"/>
  <c r="M391" i="4"/>
  <c r="L354" i="4"/>
  <c r="A318" i="4"/>
  <c r="H280" i="4"/>
  <c r="D391" i="4"/>
  <c r="C354" i="4"/>
  <c r="F317" i="4"/>
  <c r="M279" i="4"/>
  <c r="D245" i="4"/>
  <c r="E206" i="4"/>
  <c r="F168" i="4"/>
  <c r="A131" i="4"/>
  <c r="G247" i="4"/>
  <c r="K208" i="4"/>
  <c r="I170" i="4"/>
  <c r="E133" i="4"/>
  <c r="L246" i="4"/>
  <c r="A208" i="4"/>
  <c r="N169" i="4"/>
  <c r="J132" i="4"/>
  <c r="I245" i="4"/>
  <c r="J206" i="4"/>
  <c r="K168" i="4"/>
  <c r="F131" i="4"/>
  <c r="F244" i="4"/>
  <c r="E205" i="4"/>
  <c r="H167" i="4"/>
  <c r="C130" i="4"/>
  <c r="C243" i="4"/>
  <c r="M203" i="4"/>
  <c r="C169" i="4"/>
  <c r="M142" i="4"/>
  <c r="F124" i="4"/>
  <c r="J261" i="4"/>
  <c r="I243" i="4"/>
  <c r="D224" i="4"/>
  <c r="F204" i="4"/>
  <c r="H185" i="4"/>
  <c r="J166" i="4"/>
  <c r="A148" i="4"/>
  <c r="F129" i="4"/>
  <c r="H115" i="4"/>
  <c r="B231" i="4"/>
  <c r="I126" i="4"/>
  <c r="A96" i="4"/>
  <c r="E83" i="4"/>
  <c r="E70" i="4"/>
  <c r="F57" i="4"/>
  <c r="J44" i="4"/>
  <c r="F31" i="4"/>
  <c r="F18" i="4"/>
  <c r="M7" i="4"/>
  <c r="H225" i="4"/>
  <c r="H158" i="4"/>
  <c r="C105" i="4"/>
  <c r="L97" i="4"/>
  <c r="D89" i="4"/>
  <c r="I82" i="4"/>
  <c r="E74" i="4"/>
  <c r="H66" i="4"/>
  <c r="B59" i="4"/>
  <c r="B53" i="4"/>
  <c r="C47" i="4"/>
  <c r="H41" i="4"/>
  <c r="C36" i="4"/>
  <c r="J30" i="4"/>
  <c r="D25" i="4"/>
  <c r="I19" i="4"/>
  <c r="I13" i="4"/>
  <c r="L7" i="4"/>
  <c r="I2" i="4"/>
  <c r="M224" i="4"/>
  <c r="C186" i="4"/>
  <c r="J148" i="4"/>
  <c r="F111" i="4"/>
  <c r="M101" i="4"/>
  <c r="C97" i="4"/>
  <c r="D92" i="4"/>
  <c r="E87" i="4"/>
  <c r="H82" i="4"/>
  <c r="K77" i="4"/>
  <c r="A73" i="4"/>
  <c r="E68" i="4"/>
  <c r="E63" i="4"/>
  <c r="G58" i="4"/>
  <c r="I53" i="4"/>
  <c r="L48" i="4"/>
  <c r="L43" i="4"/>
  <c r="A39" i="4"/>
  <c r="E34" i="4"/>
  <c r="F29" i="4"/>
  <c r="H24" i="4"/>
  <c r="H19" i="4"/>
  <c r="C14" i="4"/>
  <c r="N8" i="4"/>
  <c r="L3" i="4"/>
  <c r="B234" i="4"/>
  <c r="K194" i="4"/>
  <c r="F157" i="4"/>
  <c r="C120" i="4"/>
  <c r="A103" i="4"/>
  <c r="E98" i="4"/>
  <c r="F93" i="4"/>
  <c r="G88" i="4"/>
  <c r="J83" i="4"/>
  <c r="L78" i="4"/>
  <c r="C74" i="4"/>
  <c r="G69" i="4"/>
  <c r="G64" i="4"/>
  <c r="H59" i="4"/>
  <c r="J54" i="4"/>
  <c r="A523" i="4"/>
  <c r="L307" i="4"/>
  <c r="N395" i="4"/>
  <c r="E249" i="4"/>
  <c r="M250" i="4"/>
  <c r="F248" i="4"/>
  <c r="B126" i="4"/>
  <c r="B131" i="4"/>
  <c r="N45" i="4"/>
  <c r="G90" i="4"/>
  <c r="K36" i="4"/>
  <c r="K190" i="4"/>
  <c r="E78" i="4"/>
  <c r="J39" i="4"/>
  <c r="L238" i="4"/>
  <c r="B89" i="4"/>
  <c r="B70" i="4"/>
  <c r="J51" i="4"/>
  <c r="F44" i="4"/>
  <c r="I39" i="4"/>
  <c r="L34" i="4"/>
  <c r="M29" i="4"/>
  <c r="B25" i="4"/>
  <c r="B20" i="4"/>
  <c r="N14" i="4"/>
  <c r="H9" i="4"/>
  <c r="F4" i="4"/>
  <c r="D238" i="4"/>
  <c r="N198" i="4"/>
  <c r="G161" i="4"/>
  <c r="E124" i="4"/>
  <c r="H103" i="4"/>
  <c r="L98" i="4"/>
  <c r="M93" i="4"/>
  <c r="N88" i="4"/>
  <c r="C84" i="4"/>
  <c r="E79" i="4"/>
  <c r="J74" i="4"/>
  <c r="N69" i="4"/>
  <c r="N64" i="4"/>
  <c r="A60" i="4"/>
  <c r="D55" i="4"/>
  <c r="G50" i="4"/>
  <c r="J45" i="4"/>
  <c r="J40" i="4"/>
  <c r="M35" i="4"/>
  <c r="A31" i="4"/>
  <c r="D26" i="4"/>
  <c r="D21" i="4"/>
  <c r="C16" i="4"/>
  <c r="K10" i="4"/>
  <c r="I5" i="4"/>
  <c r="B247" i="4"/>
  <c r="F208" i="4"/>
  <c r="D170" i="4"/>
  <c r="N132" i="4"/>
  <c r="L104" i="4"/>
  <c r="N99" i="4"/>
  <c r="A95" i="4"/>
  <c r="C90" i="4"/>
  <c r="D85" i="4"/>
  <c r="G80" i="4"/>
  <c r="K75" i="4"/>
  <c r="B71" i="4"/>
  <c r="D66" i="4"/>
  <c r="C61" i="4"/>
  <c r="F56" i="4"/>
  <c r="H51" i="4"/>
  <c r="L46" i="4"/>
  <c r="L41" i="4"/>
  <c r="A37" i="4"/>
  <c r="D32" i="4"/>
  <c r="F27" i="4"/>
  <c r="F22" i="4"/>
  <c r="E17" i="4"/>
  <c r="N11" i="4"/>
  <c r="L6" i="4"/>
  <c r="J1" i="4"/>
  <c r="F217" i="4"/>
  <c r="D179" i="4"/>
  <c r="J141" i="4"/>
  <c r="C106" i="4"/>
  <c r="A101" i="4"/>
  <c r="D96" i="4"/>
  <c r="E91" i="4"/>
  <c r="F86" i="4"/>
  <c r="I81" i="4"/>
  <c r="L76" i="4"/>
  <c r="C72" i="4"/>
  <c r="F67" i="4"/>
  <c r="F62" i="4"/>
  <c r="H57" i="4"/>
  <c r="J52" i="4"/>
  <c r="N47" i="4"/>
  <c r="N42" i="4"/>
  <c r="C38" i="4"/>
  <c r="F33" i="4"/>
  <c r="H28" i="4"/>
  <c r="I23" i="4"/>
  <c r="H18" i="4"/>
  <c r="D13" i="4"/>
  <c r="B8" i="4"/>
  <c r="L2" i="4"/>
  <c r="L226" i="4"/>
  <c r="M187" i="4"/>
  <c r="F150" i="4"/>
  <c r="D113" i="4"/>
  <c r="C102" i="4"/>
  <c r="F97" i="4"/>
  <c r="H92" i="4"/>
  <c r="H87" i="4"/>
  <c r="K82" i="4"/>
  <c r="N77" i="4"/>
  <c r="D73" i="4"/>
  <c r="H68" i="4"/>
  <c r="H63" i="4"/>
  <c r="J58" i="4"/>
  <c r="L53" i="4"/>
  <c r="A49" i="4"/>
  <c r="B44" i="4"/>
  <c r="E39" i="4"/>
  <c r="H34" i="4"/>
  <c r="I29" i="4"/>
  <c r="K24" i="4"/>
  <c r="K19" i="4"/>
  <c r="F14" i="4"/>
  <c r="D9" i="4"/>
  <c r="B4" i="4"/>
  <c r="D53" i="4"/>
  <c r="J38" i="4"/>
  <c r="A29" i="4"/>
  <c r="B19" i="4"/>
  <c r="I8" i="4"/>
  <c r="G136" i="4"/>
  <c r="H71" i="4"/>
  <c r="L56" i="4"/>
  <c r="E42" i="4"/>
  <c r="L27" i="4"/>
  <c r="L17" i="4"/>
  <c r="G321" i="4"/>
  <c r="J5" i="4"/>
  <c r="L75" i="4"/>
  <c r="E32" i="4"/>
  <c r="E96" i="4"/>
  <c r="K52" i="4"/>
  <c r="I18" i="4"/>
  <c r="M2" i="4"/>
  <c r="L82" i="4"/>
  <c r="M53" i="4"/>
  <c r="L24" i="4"/>
  <c r="H122" i="4"/>
  <c r="G74" i="4"/>
  <c r="F45" i="4"/>
  <c r="H10" i="4"/>
  <c r="A420" i="4"/>
  <c r="B256" i="4"/>
  <c r="L358" i="4"/>
  <c r="H210" i="4"/>
  <c r="C212" i="4"/>
  <c r="J209" i="4"/>
  <c r="F107" i="4"/>
  <c r="D117" i="4"/>
  <c r="D33" i="4"/>
  <c r="D83" i="4"/>
  <c r="E31" i="4"/>
  <c r="E153" i="4"/>
  <c r="I73" i="4"/>
  <c r="M34" i="4"/>
  <c r="H199" i="4"/>
  <c r="N85" i="4"/>
  <c r="N66" i="4"/>
  <c r="H50" i="4"/>
  <c r="K43" i="4"/>
  <c r="N38" i="4"/>
  <c r="D34" i="4"/>
  <c r="E29" i="4"/>
  <c r="G24" i="4"/>
  <c r="F19" i="4"/>
  <c r="B14" i="4"/>
  <c r="M8" i="4"/>
  <c r="K3" i="4"/>
  <c r="H233" i="4"/>
  <c r="C194" i="4"/>
  <c r="L156" i="4"/>
  <c r="I119" i="4"/>
  <c r="N102" i="4"/>
  <c r="D98" i="4"/>
  <c r="E93" i="4"/>
  <c r="F88" i="4"/>
  <c r="I83" i="4"/>
  <c r="K78" i="4"/>
  <c r="B74" i="4"/>
  <c r="F69" i="4"/>
  <c r="F64" i="4"/>
  <c r="G59" i="4"/>
  <c r="I54" i="4"/>
  <c r="L49" i="4"/>
  <c r="N44" i="4"/>
  <c r="B40" i="4"/>
  <c r="E35" i="4"/>
  <c r="G30" i="4"/>
  <c r="I25" i="4"/>
  <c r="I20" i="4"/>
  <c r="H15" i="4"/>
  <c r="B10" i="4"/>
  <c r="M4" i="4"/>
  <c r="G242" i="4"/>
  <c r="D203" i="4"/>
  <c r="I165" i="4"/>
  <c r="E128" i="4"/>
  <c r="B104" i="4"/>
  <c r="F99" i="4"/>
  <c r="G94" i="4"/>
  <c r="H89" i="4"/>
  <c r="J84" i="4"/>
  <c r="L79" i="4"/>
  <c r="C75" i="4"/>
  <c r="H70" i="4"/>
  <c r="I65" i="4"/>
  <c r="H60" i="4"/>
  <c r="K55" i="4"/>
  <c r="N50" i="4"/>
  <c r="D46" i="4"/>
  <c r="D41" i="4"/>
  <c r="G36" i="4"/>
  <c r="I31" i="4"/>
  <c r="K26" i="4"/>
  <c r="K21" i="4"/>
  <c r="J16" i="4"/>
  <c r="E11" i="4"/>
  <c r="C6" i="4"/>
  <c r="B1" i="4"/>
  <c r="G212" i="4"/>
  <c r="E174" i="4"/>
  <c r="A137" i="4"/>
  <c r="G105" i="4"/>
  <c r="G100" i="4"/>
  <c r="I95" i="4"/>
  <c r="J90" i="4"/>
  <c r="K85" i="4"/>
  <c r="N80" i="4"/>
  <c r="D76" i="4"/>
  <c r="I71" i="4"/>
  <c r="K66" i="4"/>
  <c r="K61" i="4"/>
  <c r="M56" i="4"/>
  <c r="A52" i="4"/>
  <c r="F47" i="4"/>
  <c r="F42" i="4"/>
  <c r="I37" i="4"/>
  <c r="K32" i="4"/>
  <c r="M27" i="4"/>
  <c r="M22" i="4"/>
  <c r="M17" i="4"/>
  <c r="I12" i="4"/>
  <c r="F7" i="4"/>
  <c r="D2" i="4"/>
  <c r="L221" i="4"/>
  <c r="E183" i="4"/>
  <c r="J145" i="4"/>
  <c r="G108" i="4"/>
  <c r="H101" i="4"/>
  <c r="K96" i="4"/>
  <c r="L91" i="4"/>
  <c r="M86" i="4"/>
  <c r="C82" i="4"/>
  <c r="F77" i="4"/>
  <c r="J72" i="4"/>
  <c r="M67" i="4"/>
  <c r="M62" i="4"/>
  <c r="B58" i="4"/>
  <c r="G48" i="4"/>
  <c r="G43" i="4"/>
  <c r="M33" i="4"/>
  <c r="C24" i="4"/>
  <c r="K13" i="4"/>
  <c r="F3" i="4"/>
  <c r="E105" i="4"/>
  <c r="J66" i="4"/>
  <c r="J32" i="4"/>
  <c r="H12" i="4"/>
  <c r="M170" i="4"/>
  <c r="A72" i="4"/>
  <c r="N111" i="4"/>
  <c r="D3" i="4"/>
  <c r="M87" i="4"/>
  <c r="I9" i="4"/>
  <c r="K74" i="4"/>
  <c r="K40" i="4"/>
  <c r="E21" i="4"/>
  <c r="L10" i="4"/>
  <c r="H133" i="4"/>
  <c r="D90" i="4"/>
  <c r="C71" i="4"/>
  <c r="M41" i="4"/>
  <c r="B12" i="4"/>
  <c r="B218" i="4"/>
  <c r="F91" i="4"/>
  <c r="G62" i="4"/>
  <c r="I28" i="4"/>
  <c r="G227" i="4"/>
  <c r="I92" i="4"/>
  <c r="I68" i="4"/>
  <c r="F39" i="4"/>
  <c r="G14" i="4"/>
  <c r="J159" i="4"/>
  <c r="B79" i="4"/>
  <c r="D50" i="4"/>
  <c r="M15" i="4"/>
  <c r="F413" i="4"/>
  <c r="J356" i="4"/>
  <c r="B322" i="4"/>
  <c r="G172" i="4"/>
  <c r="A174" i="4"/>
  <c r="H171" i="4"/>
  <c r="E245" i="4"/>
  <c r="J240" i="4"/>
  <c r="E20" i="4"/>
  <c r="M74" i="4"/>
  <c r="L25" i="4"/>
  <c r="C116" i="4"/>
  <c r="M68" i="4"/>
  <c r="N29" i="4"/>
  <c r="A162" i="4"/>
  <c r="D84" i="4"/>
  <c r="B65" i="4"/>
  <c r="M49" i="4"/>
  <c r="C43" i="4"/>
  <c r="F38" i="4"/>
  <c r="I33" i="4"/>
  <c r="K28" i="4"/>
  <c r="L23" i="4"/>
  <c r="K18" i="4"/>
  <c r="G13" i="4"/>
  <c r="E8" i="4"/>
  <c r="B3" i="4"/>
  <c r="I228" i="4"/>
  <c r="I189" i="4"/>
  <c r="C152" i="4"/>
  <c r="A115" i="4"/>
  <c r="F102" i="4"/>
  <c r="I97" i="4"/>
  <c r="K92" i="4"/>
  <c r="K87" i="4"/>
  <c r="N82" i="4"/>
  <c r="C78" i="4"/>
  <c r="G73" i="4"/>
  <c r="K68" i="4"/>
  <c r="K63" i="4"/>
  <c r="M58" i="4"/>
  <c r="A54" i="4"/>
  <c r="D49" i="4"/>
  <c r="E44" i="4"/>
  <c r="H39" i="4"/>
  <c r="K34" i="4"/>
  <c r="L29" i="4"/>
  <c r="N24" i="4"/>
  <c r="N19" i="4"/>
  <c r="M14" i="4"/>
  <c r="G9" i="4"/>
  <c r="E4" i="4"/>
  <c r="I237" i="4"/>
  <c r="F198" i="4"/>
  <c r="M160" i="4"/>
  <c r="K123" i="4"/>
  <c r="G103" i="4"/>
  <c r="K98" i="4"/>
  <c r="L93" i="4"/>
  <c r="M88" i="4"/>
  <c r="B84" i="4"/>
  <c r="D79" i="4"/>
  <c r="I74" i="4"/>
  <c r="M69" i="4"/>
  <c r="M64" i="4"/>
  <c r="N59" i="4"/>
  <c r="C55" i="4"/>
  <c r="F50" i="4"/>
  <c r="I45" i="4"/>
  <c r="I40" i="4"/>
  <c r="L35" i="4"/>
  <c r="N30" i="4"/>
  <c r="C26" i="4"/>
  <c r="C21" i="4"/>
  <c r="B16" i="4"/>
  <c r="J10" i="4"/>
  <c r="H5" i="4"/>
  <c r="H246" i="4"/>
  <c r="K207" i="4"/>
  <c r="J169" i="4"/>
  <c r="E132" i="4"/>
  <c r="J104" i="4"/>
  <c r="M99" i="4"/>
  <c r="N94" i="4"/>
  <c r="B90" i="4"/>
  <c r="C85" i="4"/>
  <c r="F80" i="4"/>
  <c r="J75" i="4"/>
  <c r="A71" i="4"/>
  <c r="C66" i="4"/>
  <c r="B61" i="4"/>
  <c r="E56" i="4"/>
  <c r="G51" i="4"/>
  <c r="K46" i="4"/>
  <c r="K41" i="4"/>
  <c r="N36" i="4"/>
  <c r="C32" i="4"/>
  <c r="E27" i="4"/>
  <c r="E22" i="4"/>
  <c r="D17" i="4"/>
  <c r="M11" i="4"/>
  <c r="K6" i="4"/>
  <c r="I1" i="4"/>
  <c r="K216" i="4"/>
  <c r="J178" i="4"/>
  <c r="B141" i="4"/>
  <c r="B106" i="4"/>
  <c r="N100" i="4"/>
  <c r="C96" i="4"/>
  <c r="D91" i="4"/>
  <c r="E86" i="4"/>
  <c r="H81" i="4"/>
  <c r="K76" i="4"/>
  <c r="B72" i="4"/>
  <c r="E67" i="4"/>
  <c r="E62" i="4"/>
  <c r="G57" i="4"/>
  <c r="I52" i="4"/>
  <c r="M47" i="4"/>
  <c r="M42" i="4"/>
  <c r="B38" i="4"/>
  <c r="E33" i="4"/>
  <c r="G28" i="4"/>
  <c r="H23" i="4"/>
  <c r="G18" i="4"/>
  <c r="C13" i="4"/>
  <c r="N7" i="4"/>
  <c r="K2" i="4"/>
  <c r="I16" i="4"/>
  <c r="H95" i="4"/>
  <c r="J85" i="4"/>
  <c r="C76" i="4"/>
  <c r="J61" i="4"/>
  <c r="N51" i="4"/>
  <c r="H37" i="4"/>
  <c r="L22" i="4"/>
  <c r="E7" i="4"/>
  <c r="C326" i="4"/>
  <c r="L170" i="4"/>
  <c r="D61" i="4"/>
  <c r="G27" i="4"/>
  <c r="B101" i="4"/>
  <c r="D72" i="4"/>
  <c r="A48" i="4"/>
  <c r="E13" i="4"/>
  <c r="D102" i="4"/>
  <c r="A78" i="4"/>
  <c r="B49" i="4"/>
  <c r="G236" i="4"/>
  <c r="J93" i="4"/>
  <c r="L59" i="4"/>
  <c r="L30" i="4"/>
  <c r="E348" i="4"/>
  <c r="G309" i="4"/>
  <c r="J284" i="4"/>
  <c r="B135" i="4"/>
  <c r="K136" i="4"/>
  <c r="D134" i="4"/>
  <c r="B226" i="4"/>
  <c r="H140" i="4"/>
  <c r="H8" i="4"/>
  <c r="F68" i="4"/>
  <c r="D20" i="4"/>
  <c r="H102" i="4"/>
  <c r="M63" i="4"/>
  <c r="C25" i="4"/>
  <c r="M124" i="4"/>
  <c r="D81" i="4"/>
  <c r="N61" i="4"/>
  <c r="I47" i="4"/>
  <c r="I42" i="4"/>
  <c r="L37" i="4"/>
  <c r="N32" i="4"/>
  <c r="C28" i="4"/>
  <c r="C23" i="4"/>
  <c r="C18" i="4"/>
  <c r="L12" i="4"/>
  <c r="J7" i="4"/>
  <c r="G2" i="4"/>
  <c r="K223" i="4"/>
  <c r="A185" i="4"/>
  <c r="H147" i="4"/>
  <c r="D110" i="4"/>
  <c r="K101" i="4"/>
  <c r="N96" i="4"/>
  <c r="B92" i="4"/>
  <c r="C87" i="4"/>
  <c r="F82" i="4"/>
  <c r="I77" i="4"/>
  <c r="M72" i="4"/>
  <c r="C68" i="4"/>
  <c r="C63" i="4"/>
  <c r="E58" i="4"/>
  <c r="G53" i="4"/>
  <c r="J48" i="4"/>
  <c r="J43" i="4"/>
  <c r="M38" i="4"/>
  <c r="C34" i="4"/>
  <c r="D29" i="4"/>
  <c r="F24" i="4"/>
  <c r="E19" i="4"/>
  <c r="N13" i="4"/>
  <c r="L8" i="4"/>
  <c r="J3" i="4"/>
  <c r="M232" i="4"/>
  <c r="I193" i="4"/>
  <c r="D156" i="4"/>
  <c r="A119" i="4"/>
  <c r="M102" i="4"/>
  <c r="C98" i="4"/>
  <c r="D93" i="4"/>
  <c r="E88" i="4"/>
  <c r="H83" i="4"/>
  <c r="J78" i="4"/>
  <c r="N73" i="4"/>
  <c r="E69" i="4"/>
  <c r="E64" i="4"/>
  <c r="F59" i="4"/>
  <c r="H54" i="4"/>
  <c r="K49" i="4"/>
  <c r="M44" i="4"/>
  <c r="A40" i="4"/>
  <c r="D35" i="4"/>
  <c r="F30" i="4"/>
  <c r="H25" i="4"/>
  <c r="H20" i="4"/>
  <c r="G15" i="4"/>
  <c r="N9" i="4"/>
  <c r="L4" i="4"/>
  <c r="L241" i="4"/>
  <c r="J202" i="4"/>
  <c r="N164" i="4"/>
  <c r="K127" i="4"/>
  <c r="A104" i="4"/>
  <c r="E99" i="4"/>
  <c r="F94" i="4"/>
  <c r="G89" i="4"/>
  <c r="I84" i="4"/>
  <c r="K79" i="4"/>
  <c r="B75" i="4"/>
  <c r="G70" i="4"/>
  <c r="H65" i="4"/>
  <c r="G60" i="4"/>
  <c r="J55" i="4"/>
  <c r="M50" i="4"/>
  <c r="C46" i="4"/>
  <c r="C41" i="4"/>
  <c r="F36" i="4"/>
  <c r="H31" i="4"/>
  <c r="J26" i="4"/>
  <c r="J21" i="4"/>
  <c r="D11" i="4"/>
  <c r="B6" i="4"/>
  <c r="A1" i="4"/>
  <c r="M211" i="4"/>
  <c r="K173" i="4"/>
  <c r="F100" i="4"/>
  <c r="I90" i="4"/>
  <c r="M80" i="4"/>
  <c r="E47" i="4"/>
  <c r="C2" i="4"/>
  <c r="G168" i="4"/>
  <c r="E26" i="4"/>
  <c r="C95" i="4"/>
  <c r="I51" i="4"/>
  <c r="K1" i="4"/>
  <c r="J81" i="4"/>
  <c r="A43" i="4"/>
  <c r="N150" i="4"/>
  <c r="K58" i="4"/>
  <c r="L19" i="4"/>
  <c r="N83" i="4"/>
  <c r="G40" i="4"/>
  <c r="J395" i="4"/>
  <c r="K257" i="4"/>
  <c r="E395" i="4"/>
  <c r="I251" i="4"/>
  <c r="J249" i="4"/>
  <c r="C247" i="4"/>
  <c r="F206" i="4"/>
  <c r="M97" i="4"/>
  <c r="G230" i="4"/>
  <c r="J59" i="4"/>
  <c r="D14" i="4"/>
  <c r="K97" i="4"/>
  <c r="A59" i="4"/>
  <c r="C20" i="4"/>
  <c r="J103" i="4"/>
  <c r="F79" i="4"/>
  <c r="B60" i="4"/>
  <c r="N46" i="4"/>
  <c r="N41" i="4"/>
  <c r="D37" i="4"/>
  <c r="F32" i="4"/>
  <c r="H27" i="4"/>
  <c r="H22" i="4"/>
  <c r="H17" i="4"/>
  <c r="C12" i="4"/>
  <c r="N6" i="4"/>
  <c r="L1" i="4"/>
  <c r="K218" i="4"/>
  <c r="F180" i="4"/>
  <c r="L142" i="4"/>
  <c r="E106" i="4"/>
  <c r="C101" i="4"/>
  <c r="F96" i="4"/>
  <c r="G91" i="4"/>
  <c r="H86" i="4"/>
  <c r="K81" i="4"/>
  <c r="N76" i="4"/>
  <c r="E72" i="4"/>
  <c r="H67" i="4"/>
  <c r="H62" i="4"/>
  <c r="J57" i="4"/>
  <c r="L52" i="4"/>
  <c r="B48" i="4"/>
  <c r="B43" i="4"/>
  <c r="E38" i="4"/>
  <c r="H33" i="4"/>
  <c r="J28" i="4"/>
  <c r="K23" i="4"/>
  <c r="J18" i="4"/>
  <c r="F13" i="4"/>
  <c r="D8" i="4"/>
  <c r="N2" i="4"/>
  <c r="A228" i="4"/>
  <c r="A189" i="4"/>
  <c r="H151" i="4"/>
  <c r="G114" i="4"/>
  <c r="E102" i="4"/>
  <c r="H97" i="4"/>
  <c r="J92" i="4"/>
  <c r="J87" i="4"/>
  <c r="M82" i="4"/>
  <c r="B78" i="4"/>
  <c r="F73" i="4"/>
  <c r="J68" i="4"/>
  <c r="J63" i="4"/>
  <c r="L58" i="4"/>
  <c r="N53" i="4"/>
  <c r="C49" i="4"/>
  <c r="D44" i="4"/>
  <c r="G39" i="4"/>
  <c r="J34" i="4"/>
  <c r="K29" i="4"/>
  <c r="M24" i="4"/>
  <c r="M19" i="4"/>
  <c r="L14" i="4"/>
  <c r="F9" i="4"/>
  <c r="D4" i="4"/>
  <c r="A237" i="4"/>
  <c r="K197" i="4"/>
  <c r="E160" i="4"/>
  <c r="B123" i="4"/>
  <c r="F103" i="4"/>
  <c r="J98" i="4"/>
  <c r="K93" i="4"/>
  <c r="L88" i="4"/>
  <c r="A84" i="4"/>
  <c r="C79" i="4"/>
  <c r="H74" i="4"/>
  <c r="L69" i="4"/>
  <c r="L64" i="4"/>
  <c r="M59" i="4"/>
  <c r="B55" i="4"/>
  <c r="E50" i="4"/>
  <c r="H45" i="4"/>
  <c r="H40" i="4"/>
  <c r="K35" i="4"/>
  <c r="M30" i="4"/>
  <c r="B26" i="4"/>
  <c r="B21" i="4"/>
  <c r="N15" i="4"/>
  <c r="I10" i="4"/>
  <c r="F5" i="4"/>
  <c r="N245" i="4"/>
  <c r="B207" i="4"/>
  <c r="B169" i="4"/>
  <c r="K131" i="4"/>
  <c r="I104" i="4"/>
  <c r="L99" i="4"/>
  <c r="M94" i="4"/>
  <c r="N89" i="4"/>
  <c r="B85" i="4"/>
  <c r="E80" i="4"/>
  <c r="I75" i="4"/>
  <c r="N70" i="4"/>
  <c r="B66" i="4"/>
  <c r="N60" i="4"/>
  <c r="D56" i="4"/>
  <c r="F51" i="4"/>
  <c r="J46" i="4"/>
  <c r="J41" i="4"/>
  <c r="M36" i="4"/>
  <c r="A32" i="4"/>
  <c r="D27" i="4"/>
  <c r="D22" i="4"/>
  <c r="C17" i="4"/>
  <c r="L11" i="4"/>
  <c r="J6" i="4"/>
  <c r="H1" i="4"/>
  <c r="L172" i="4"/>
  <c r="K45" i="4"/>
  <c r="N208" i="4"/>
  <c r="E85" i="4"/>
  <c r="M46" i="4"/>
  <c r="F17" i="4"/>
  <c r="D142" i="4"/>
  <c r="M76" i="4"/>
  <c r="D38" i="4"/>
  <c r="G188" i="4"/>
  <c r="I87" i="4"/>
  <c r="C44" i="4"/>
  <c r="C4" i="4"/>
  <c r="I98" i="4"/>
  <c r="K64" i="4"/>
  <c r="N25" i="4"/>
  <c r="L321" i="4"/>
  <c r="N362" i="4"/>
  <c r="C358" i="4"/>
  <c r="L212" i="4"/>
  <c r="M210" i="4"/>
  <c r="G208" i="4"/>
  <c r="D187" i="4"/>
  <c r="G84" i="4"/>
  <c r="D163" i="4"/>
  <c r="J53" i="4"/>
  <c r="G8" i="4"/>
  <c r="M92" i="4"/>
  <c r="C54" i="4"/>
  <c r="B15" i="4"/>
  <c r="M98" i="4"/>
  <c r="G76" i="4"/>
  <c r="C57" i="4"/>
  <c r="F46" i="4"/>
  <c r="F41" i="4"/>
  <c r="I36" i="4"/>
  <c r="K31" i="4"/>
  <c r="M26" i="4"/>
  <c r="M21" i="4"/>
  <c r="L16" i="4"/>
  <c r="H11" i="4"/>
  <c r="E6" i="4"/>
  <c r="D1" i="4"/>
  <c r="J213" i="4"/>
  <c r="G175" i="4"/>
  <c r="C138" i="4"/>
  <c r="I105" i="4"/>
  <c r="I100" i="4"/>
  <c r="K95" i="4"/>
  <c r="L90" i="4"/>
  <c r="M85" i="4"/>
  <c r="C81" i="4"/>
  <c r="F76" i="4"/>
  <c r="K71" i="4"/>
  <c r="M66" i="4"/>
  <c r="M61" i="4"/>
  <c r="B57" i="4"/>
  <c r="D52" i="4"/>
  <c r="H47" i="4"/>
  <c r="H42" i="4"/>
  <c r="K37" i="4"/>
  <c r="M32" i="4"/>
  <c r="A28" i="4"/>
  <c r="B23" i="4"/>
  <c r="B18" i="4"/>
  <c r="K12" i="4"/>
  <c r="I7" i="4"/>
  <c r="F2" i="4"/>
  <c r="B223" i="4"/>
  <c r="G184" i="4"/>
  <c r="N146" i="4"/>
  <c r="I109" i="4"/>
  <c r="J101" i="4"/>
  <c r="M96" i="4"/>
  <c r="N91" i="4"/>
  <c r="A87" i="4"/>
  <c r="E82" i="4"/>
  <c r="H77" i="4"/>
  <c r="L72" i="4"/>
  <c r="B68" i="4"/>
  <c r="B63" i="4"/>
  <c r="D58" i="4"/>
  <c r="F53" i="4"/>
  <c r="I48" i="4"/>
  <c r="I43" i="4"/>
  <c r="L38" i="4"/>
  <c r="A34" i="4"/>
  <c r="C29" i="4"/>
  <c r="E24" i="4"/>
  <c r="D19" i="4"/>
  <c r="M13" i="4"/>
  <c r="K8" i="4"/>
  <c r="I3" i="4"/>
  <c r="E232" i="4"/>
  <c r="A193" i="4"/>
  <c r="J155" i="4"/>
  <c r="G118" i="4"/>
  <c r="L102" i="4"/>
  <c r="A98" i="4"/>
  <c r="C93" i="4"/>
  <c r="D88" i="4"/>
  <c r="G83" i="4"/>
  <c r="I78" i="4"/>
  <c r="M73" i="4"/>
  <c r="D69" i="4"/>
  <c r="D64" i="4"/>
  <c r="E59" i="4"/>
  <c r="G54" i="4"/>
  <c r="J49" i="4"/>
  <c r="L44" i="4"/>
  <c r="N39" i="4"/>
  <c r="C35" i="4"/>
  <c r="E30" i="4"/>
  <c r="G25" i="4"/>
  <c r="G20" i="4"/>
  <c r="F15" i="4"/>
  <c r="M9" i="4"/>
  <c r="K4" i="4"/>
  <c r="D241" i="4"/>
  <c r="B202" i="4"/>
  <c r="F164" i="4"/>
  <c r="C127" i="4"/>
  <c r="N103" i="4"/>
  <c r="D99" i="4"/>
  <c r="E94" i="4"/>
  <c r="F89" i="4"/>
  <c r="H84" i="4"/>
  <c r="J79" i="4"/>
  <c r="A75" i="4"/>
  <c r="F70" i="4"/>
  <c r="F65" i="4"/>
  <c r="F60" i="4"/>
  <c r="I55" i="4"/>
  <c r="L50" i="4"/>
  <c r="A46" i="4"/>
  <c r="A41" i="4"/>
  <c r="E36" i="4"/>
  <c r="G31" i="4"/>
  <c r="I26" i="4"/>
  <c r="I21" i="4"/>
  <c r="H16" i="4"/>
  <c r="C11" i="4"/>
  <c r="N5" i="4"/>
  <c r="C256" i="4"/>
  <c r="E48" i="4"/>
  <c r="F49" i="4"/>
  <c r="N93" i="4"/>
  <c r="E55" i="4"/>
  <c r="N35" i="4"/>
  <c r="D16" i="4"/>
  <c r="J247" i="4"/>
  <c r="A100" i="4"/>
  <c r="H80" i="4"/>
  <c r="G56" i="4"/>
  <c r="C37" i="4"/>
  <c r="M6" i="4"/>
  <c r="L179" i="4"/>
  <c r="G86" i="4"/>
  <c r="I57" i="4"/>
  <c r="G33" i="4"/>
  <c r="C8" i="4"/>
  <c r="G97" i="4"/>
  <c r="I63" i="4"/>
  <c r="J29" i="4"/>
  <c r="E9" i="4"/>
  <c r="E103" i="4"/>
  <c r="K69" i="4"/>
  <c r="J35" i="4"/>
  <c r="E5" i="4"/>
  <c r="A355" i="4"/>
  <c r="N288" i="4"/>
  <c r="N283" i="4"/>
  <c r="F137" i="4"/>
  <c r="G135" i="4"/>
  <c r="I144" i="4"/>
  <c r="K149" i="4"/>
  <c r="C59" i="4"/>
  <c r="G98" i="4"/>
  <c r="C42" i="4"/>
  <c r="M229" i="4"/>
  <c r="C83" i="4"/>
  <c r="H44" i="4"/>
  <c r="G4" i="4"/>
  <c r="M90" i="4"/>
  <c r="L71" i="4"/>
  <c r="E52" i="4"/>
  <c r="B45" i="4"/>
  <c r="C40" i="4"/>
  <c r="F35" i="4"/>
  <c r="H30" i="4"/>
  <c r="J25" i="4"/>
  <c r="J20" i="4"/>
  <c r="I15" i="4"/>
  <c r="C10" i="4"/>
  <c r="N4" i="4"/>
  <c r="A243" i="4"/>
  <c r="L203" i="4"/>
  <c r="C166" i="4"/>
  <c r="M128" i="4"/>
  <c r="D104" i="4"/>
  <c r="G99" i="4"/>
  <c r="H94" i="4"/>
  <c r="I89" i="4"/>
  <c r="K84" i="4"/>
  <c r="M79" i="4"/>
  <c r="D75" i="4"/>
  <c r="I70" i="4"/>
  <c r="J65" i="4"/>
  <c r="I60" i="4"/>
  <c r="L55" i="4"/>
  <c r="A51" i="4"/>
  <c r="E46" i="4"/>
  <c r="E41" i="4"/>
  <c r="H36" i="4"/>
  <c r="J31" i="4"/>
  <c r="L26" i="4"/>
  <c r="L21" i="4"/>
  <c r="K16" i="4"/>
  <c r="F11" i="4"/>
  <c r="D6" i="4"/>
  <c r="C1" i="4"/>
  <c r="B213" i="4"/>
  <c r="M174" i="4"/>
  <c r="I137" i="4"/>
  <c r="H105" i="4"/>
  <c r="H100" i="4"/>
  <c r="J95" i="4"/>
  <c r="K90" i="4"/>
  <c r="L85" i="4"/>
  <c r="B81" i="4"/>
  <c r="E76" i="4"/>
  <c r="J71" i="4"/>
  <c r="L66" i="4"/>
  <c r="L61" i="4"/>
  <c r="N56" i="4"/>
  <c r="C52" i="4"/>
  <c r="G47" i="4"/>
  <c r="G42" i="4"/>
  <c r="J37" i="4"/>
  <c r="L32" i="4"/>
  <c r="N27" i="4"/>
  <c r="N22" i="4"/>
  <c r="N17" i="4"/>
  <c r="J12" i="4"/>
  <c r="H7" i="4"/>
  <c r="E2" i="4"/>
  <c r="G222" i="4"/>
  <c r="M183" i="4"/>
  <c r="D146" i="4"/>
  <c r="A109" i="4"/>
  <c r="I101" i="4"/>
  <c r="L96" i="4"/>
  <c r="M91" i="4"/>
  <c r="N86" i="4"/>
  <c r="D82" i="4"/>
  <c r="G77" i="4"/>
  <c r="K72" i="4"/>
  <c r="N67" i="4"/>
  <c r="N62" i="4"/>
  <c r="C58" i="4"/>
  <c r="E53" i="4"/>
  <c r="H48" i="4"/>
  <c r="H43" i="4"/>
  <c r="K38" i="4"/>
  <c r="N33" i="4"/>
  <c r="B29" i="4"/>
  <c r="D24" i="4"/>
  <c r="C19" i="4"/>
  <c r="L13" i="4"/>
  <c r="J8" i="4"/>
  <c r="H3" i="4"/>
  <c r="J231" i="4"/>
  <c r="G192" i="4"/>
  <c r="B155" i="4"/>
  <c r="M117" i="4"/>
  <c r="K102" i="4"/>
  <c r="N97" i="4"/>
  <c r="B93" i="4"/>
  <c r="C88" i="4"/>
  <c r="F83" i="4"/>
  <c r="H78" i="4"/>
  <c r="L73" i="4"/>
  <c r="C69" i="4"/>
  <c r="C64" i="4"/>
  <c r="D59" i="4"/>
  <c r="F54" i="4"/>
  <c r="I49" i="4"/>
  <c r="K44" i="4"/>
  <c r="M39" i="4"/>
  <c r="B35" i="4"/>
  <c r="D30" i="4"/>
  <c r="F25" i="4"/>
  <c r="F20" i="4"/>
  <c r="E15" i="4"/>
  <c r="L9" i="4"/>
  <c r="J4" i="4"/>
  <c r="J174" i="4"/>
  <c r="C31" i="4"/>
  <c r="M104" i="4"/>
  <c r="E66" i="4"/>
  <c r="G22" i="4"/>
  <c r="D106" i="4"/>
  <c r="G67" i="4"/>
  <c r="J23" i="4"/>
  <c r="L113" i="4"/>
  <c r="E73" i="4"/>
  <c r="I34" i="4"/>
  <c r="B197" i="4"/>
  <c r="K88" i="4"/>
  <c r="N54" i="4"/>
  <c r="N20" i="4"/>
</calcChain>
</file>

<file path=xl/sharedStrings.xml><?xml version="1.0" encoding="utf-8"?>
<sst xmlns="http://schemas.openxmlformats.org/spreadsheetml/2006/main" count="10085" uniqueCount="2251">
  <si>
    <t>TT/ 
 No.</t>
  </si>
  <si>
    <t>Mã nhân viên/ 
 Code</t>
  </si>
  <si>
    <t>Họ và tên/ 
 Full name</t>
  </si>
  <si>
    <t>Công ty/ 
 Enity</t>
  </si>
  <si>
    <t>Đơn vị/ 
 BU</t>
  </si>
  <si>
    <t>Phòng ban/ 
 Division</t>
  </si>
  <si>
    <t>Bộ phận/ 
 Department</t>
  </si>
  <si>
    <t>Nhóm/ 
 Funtion</t>
  </si>
  <si>
    <t>Chức danh/ 
 Position</t>
  </si>
  <si>
    <t>Loại nhân viên/ 
 Type</t>
  </si>
  <si>
    <t>Tình trạng/ 
 Status</t>
  </si>
  <si>
    <t>Ngày vào công ty/ 
 Join date</t>
  </si>
  <si>
    <t>Ngày làm việc cuối/</t>
  </si>
  <si>
    <t>C0141</t>
  </si>
  <si>
    <t>NGUYỄN TRƯỜNG TÍN</t>
  </si>
  <si>
    <t>Supervisor</t>
  </si>
  <si>
    <t>CÔNG TY TNHH THE LAB</t>
  </si>
  <si>
    <t>BLANK LOUNGE</t>
  </si>
  <si>
    <t>C0492</t>
  </si>
  <si>
    <t>HỒ THỊ HƯƠNG GIANG</t>
  </si>
  <si>
    <t>Senior Graphic Designer</t>
  </si>
  <si>
    <t>BDT</t>
  </si>
  <si>
    <t>C0544</t>
  </si>
  <si>
    <t>TRẦN MỸ LINH</t>
  </si>
  <si>
    <t>C&amp;B Executive</t>
  </si>
  <si>
    <t>HRD</t>
  </si>
  <si>
    <t>C0530</t>
  </si>
  <si>
    <t>NGUYỄN ĐĂNG KHOA</t>
  </si>
  <si>
    <t>Charista</t>
  </si>
  <si>
    <t>CÔNG TY TNHH MATTE</t>
  </si>
  <si>
    <t>MATTE D1</t>
  </si>
  <si>
    <t>C0668</t>
  </si>
  <si>
    <t>NGUYỄN PHƯƠNG ANH</t>
  </si>
  <si>
    <t>C0684</t>
  </si>
  <si>
    <t>NGUYỄN THÚY QUỲNH</t>
  </si>
  <si>
    <t>Marketing Executive</t>
  </si>
  <si>
    <t>BE</t>
  </si>
  <si>
    <t>C0703</t>
  </si>
  <si>
    <t>NGUYỄN THANH PHÚC</t>
  </si>
  <si>
    <t>MATTE D3</t>
  </si>
  <si>
    <t>C0734</t>
  </si>
  <si>
    <t>NGUYỄN ANH HÒA</t>
  </si>
  <si>
    <t>T0230</t>
  </si>
  <si>
    <t>NGUYỄN HOÀNG NAM</t>
  </si>
  <si>
    <t>Sous Chef</t>
  </si>
  <si>
    <t>CÔNG TY CỔ PHẦN YESHI</t>
  </si>
  <si>
    <t>YESHI D3</t>
  </si>
  <si>
    <t>C0288</t>
  </si>
  <si>
    <t>BÙI HOÀNG LONG</t>
  </si>
  <si>
    <t>C0393</t>
  </si>
  <si>
    <t>NGUYỄN NGỌC HƯƠNG QUỲNH</t>
  </si>
  <si>
    <t>Demi CDP</t>
  </si>
  <si>
    <t>C0333</t>
  </si>
  <si>
    <t>NGUYỄN THỊ NGUYÊN THẢO</t>
  </si>
  <si>
    <t>C0728</t>
  </si>
  <si>
    <t>NGUYỄN THANH NGÂN</t>
  </si>
  <si>
    <t>C0750</t>
  </si>
  <si>
    <t>HỒ KIM XUYẾN</t>
  </si>
  <si>
    <t>Cashier</t>
  </si>
  <si>
    <t>C0754</t>
  </si>
  <si>
    <t>NGUYỄN THỊ NGỌC BÍCH</t>
  </si>
  <si>
    <t>Waitstaff</t>
  </si>
  <si>
    <t>C0756</t>
  </si>
  <si>
    <t>TĂNG HOÀI MỸ TIÊN</t>
  </si>
  <si>
    <t>Waitstaff team Lead</t>
  </si>
  <si>
    <t>C0760</t>
  </si>
  <si>
    <t>VŨ GIA KHANG</t>
  </si>
  <si>
    <t>Commis</t>
  </si>
  <si>
    <t>C0773</t>
  </si>
  <si>
    <t>NGUYỄN TRƯỜNG HUY</t>
  </si>
  <si>
    <t>Bar Back</t>
  </si>
  <si>
    <t>C0471</t>
  </si>
  <si>
    <t>VŨ THỊ NHUNG</t>
  </si>
  <si>
    <t>Accountant Executive</t>
  </si>
  <si>
    <t>CÔNG TY CỔ PHẦN BAKES</t>
  </si>
  <si>
    <t>FIN</t>
  </si>
  <si>
    <t>C0506</t>
  </si>
  <si>
    <t>LÊ HỒNG CHI</t>
  </si>
  <si>
    <t>KITCHEN PASTRY</t>
  </si>
  <si>
    <t>C0407</t>
  </si>
  <si>
    <t>NGUYỄN THỊ THÙY DƯƠNG</t>
  </si>
  <si>
    <t>C0479</t>
  </si>
  <si>
    <t>NGUYỄN THIỆN NHUNG HUYỀN</t>
  </si>
  <si>
    <t>C0657</t>
  </si>
  <si>
    <t>NGUYỄN XUÂN HUY</t>
  </si>
  <si>
    <t>Commis Pastry</t>
  </si>
  <si>
    <t>C0659</t>
  </si>
  <si>
    <t>HUỲNH THỊ THÚY AN</t>
  </si>
  <si>
    <t>C0428</t>
  </si>
  <si>
    <t>ĐỖ THỊ HÀ MY</t>
  </si>
  <si>
    <t>General Accountant</t>
  </si>
  <si>
    <t>C0731</t>
  </si>
  <si>
    <t>PHẠM NGUYỄN HOÀNG THY</t>
  </si>
  <si>
    <t>C0732</t>
  </si>
  <si>
    <t>TRẦN NGUYỄN XUÂN LỘC</t>
  </si>
  <si>
    <t>BAKES D7</t>
  </si>
  <si>
    <t>C0745</t>
  </si>
  <si>
    <t>TRẦN THỊ THU THẢO</t>
  </si>
  <si>
    <t>C0746</t>
  </si>
  <si>
    <t>TỪ THỊ MỸ TIÊN</t>
  </si>
  <si>
    <t>Customer Service</t>
  </si>
  <si>
    <t>CUS</t>
  </si>
  <si>
    <t>C0748</t>
  </si>
  <si>
    <t>NGUYỄN HUỲNH ÁI TIÊN</t>
  </si>
  <si>
    <t>Acting Customer Service Manager</t>
  </si>
  <si>
    <t>C0755</t>
  </si>
  <si>
    <t>NGUYỄN THỊ NGỌC UYÊN</t>
  </si>
  <si>
    <t>Barista</t>
  </si>
  <si>
    <t>BAKES D2</t>
  </si>
  <si>
    <t>B3009</t>
  </si>
  <si>
    <t>NGÔ THỊ DIỆU</t>
  </si>
  <si>
    <t>C0725</t>
  </si>
  <si>
    <t>NGUYỄN NGỌC HIẾU</t>
  </si>
  <si>
    <t>Commis Bakery</t>
  </si>
  <si>
    <t>C0527</t>
  </si>
  <si>
    <t>TRƯƠNG NGUYỄN YẾN LINH</t>
  </si>
  <si>
    <t>CDP Baker</t>
  </si>
  <si>
    <t>C0388</t>
  </si>
  <si>
    <t>NGUYỄN TẤN QUỐC</t>
  </si>
  <si>
    <t>Waitstaff Team Lead</t>
  </si>
  <si>
    <t>BAKES HCR</t>
  </si>
  <si>
    <t>C0766</t>
  </si>
  <si>
    <t>LÊ NGỌC MINH CHÂU</t>
  </si>
  <si>
    <t>C0320</t>
  </si>
  <si>
    <t>NGUYỄN NGỌC QUỲNH NHI</t>
  </si>
  <si>
    <t>BAKES D9</t>
  </si>
  <si>
    <t>C0516</t>
  </si>
  <si>
    <t>LÊ TRẦN ĐĂNG SƠN</t>
  </si>
  <si>
    <t>Head Baker</t>
  </si>
  <si>
    <t>C0391</t>
  </si>
  <si>
    <t>NGUYỄN THỊ THANH XUÂN</t>
  </si>
  <si>
    <t>C0567</t>
  </si>
  <si>
    <t>NGUYỄN NHẬT VY</t>
  </si>
  <si>
    <t>C0427</t>
  </si>
  <si>
    <t>NGUYỄN THỊ PHƯỜNG</t>
  </si>
  <si>
    <t>Cleaner</t>
  </si>
  <si>
    <t>YESHI D2</t>
  </si>
  <si>
    <t>C0415</t>
  </si>
  <si>
    <t>LƯƠNG VĨNH PHÚC</t>
  </si>
  <si>
    <t>Head Bartender</t>
  </si>
  <si>
    <t>C0346</t>
  </si>
  <si>
    <t>TRẦN ĐỨC DƯƠNG HÙNG</t>
  </si>
  <si>
    <t>C0596</t>
  </si>
  <si>
    <t>CAO NGUYÊN ĐAN THỊNH</t>
  </si>
  <si>
    <t>T0199</t>
  </si>
  <si>
    <t>TRẦN NAM HƯNG</t>
  </si>
  <si>
    <t>C0154</t>
  </si>
  <si>
    <t>TRẦN LÝ MỸ UYÊN</t>
  </si>
  <si>
    <t>Event Planner</t>
  </si>
  <si>
    <t>C0768</t>
  </si>
  <si>
    <t>NGUYỄN HOÀNG THỦY TIÊN</t>
  </si>
  <si>
    <t>C0654</t>
  </si>
  <si>
    <t>LƯU HOÀNG PHÚC</t>
  </si>
  <si>
    <t>C0698</t>
  </si>
  <si>
    <t>TRẦN LAN VY</t>
  </si>
  <si>
    <t>C0780</t>
  </si>
  <si>
    <t>NGUYỄN THỊ THẢO HIỆP</t>
  </si>
  <si>
    <t>C0782</t>
  </si>
  <si>
    <t>HUỲNH MAI NGUYỆT</t>
  </si>
  <si>
    <t>C0810</t>
  </si>
  <si>
    <t>TẠ SƠN TÙNG</t>
  </si>
  <si>
    <t>C0764</t>
  </si>
  <si>
    <t>LÊ HOÀNG KIM NGÂN</t>
  </si>
  <si>
    <t>C0787</t>
  </si>
  <si>
    <t>TRẦN NGỌC HOÀNG TRINH</t>
  </si>
  <si>
    <t>B2032</t>
  </si>
  <si>
    <t>PHẠM LỆ XUÂN</t>
  </si>
  <si>
    <t>C0797</t>
  </si>
  <si>
    <t>NGÔ ĐỨC HƯNG</t>
  </si>
  <si>
    <t>C0833</t>
  </si>
  <si>
    <t>PHẠM MINH NGỌC</t>
  </si>
  <si>
    <t>C0834</t>
  </si>
  <si>
    <t>TRẦN QUỐC VINH</t>
  </si>
  <si>
    <t>C0837</t>
  </si>
  <si>
    <t>NGÔ MỸ HOA</t>
  </si>
  <si>
    <t>C0838</t>
  </si>
  <si>
    <t>TRẦN LÂM MINH THƯ</t>
  </si>
  <si>
    <t>C0194X</t>
  </si>
  <si>
    <t>NGUYỄN HUỲNH ĐỨC ANH</t>
  </si>
  <si>
    <t>C0765</t>
  </si>
  <si>
    <t>TRẦN KIM CƯƠNG</t>
  </si>
  <si>
    <t>C0785</t>
  </si>
  <si>
    <t>NGUYỄN HOÀNG ANH VŨ</t>
  </si>
  <si>
    <t>C0786</t>
  </si>
  <si>
    <t>NGUYỄN LƯU DIỄM XUÂN</t>
  </si>
  <si>
    <t>C0835</t>
  </si>
  <si>
    <t>NGUYỄN THỤY KIM UYÊN</t>
  </si>
  <si>
    <t>C0801</t>
  </si>
  <si>
    <t>PHẠM PHÚC THỊNH</t>
  </si>
  <si>
    <t>C0803</t>
  </si>
  <si>
    <t>NGUYỄN KHẮC HUY</t>
  </si>
  <si>
    <t>C0804</t>
  </si>
  <si>
    <t>LÊ THỊ THU THỦY</t>
  </si>
  <si>
    <t>C0041</t>
  </si>
  <si>
    <t>ĐOÀN NAM MỸ</t>
  </si>
  <si>
    <t>C0432</t>
  </si>
  <si>
    <t>PHAN VĂN HIẾU</t>
  </si>
  <si>
    <t>C0658</t>
  </si>
  <si>
    <t>TRẦN HOÀNG VĨNH AN</t>
  </si>
  <si>
    <t>C0549</t>
  </si>
  <si>
    <t>TRẦN THỊ NGỌC HÂN</t>
  </si>
  <si>
    <t>YESHI</t>
  </si>
  <si>
    <t>BAKES</t>
  </si>
  <si>
    <t>MATTE</t>
  </si>
  <si>
    <t>C0836</t>
  </si>
  <si>
    <t>TẠ GIA HÂN</t>
  </si>
  <si>
    <t>C0122</t>
  </si>
  <si>
    <t>HỒ THIÊN BẢO</t>
  </si>
  <si>
    <t>On</t>
  </si>
  <si>
    <t>LM001</t>
  </si>
  <si>
    <t>PHẠM NGUYỄN GIA VĨ</t>
  </si>
  <si>
    <t>TLC</t>
  </si>
  <si>
    <t>STORE</t>
  </si>
  <si>
    <t>KIT</t>
  </si>
  <si>
    <t>CDP</t>
  </si>
  <si>
    <t>FTE</t>
  </si>
  <si>
    <t>LM002</t>
  </si>
  <si>
    <t>NGUYỄN NGỌC HUYỀN</t>
  </si>
  <si>
    <t>WAITSTAFF</t>
  </si>
  <si>
    <t>Team Leader</t>
  </si>
  <si>
    <t>PTE</t>
  </si>
  <si>
    <t>Leave</t>
  </si>
  <si>
    <t>LM003</t>
  </si>
  <si>
    <t>NGÔ THỊ THANH THÚY</t>
  </si>
  <si>
    <t>CLEANER</t>
  </si>
  <si>
    <t>LM004</t>
  </si>
  <si>
    <t>NGUYỄN THỊ THANH THẢO</t>
  </si>
  <si>
    <t>LM005</t>
  </si>
  <si>
    <t>PHAN THỊ THANH</t>
  </si>
  <si>
    <t>LM007</t>
  </si>
  <si>
    <t>VÕ THỊ PHẤN</t>
  </si>
  <si>
    <t>CASHIER</t>
  </si>
  <si>
    <t>LM008</t>
  </si>
  <si>
    <t>NGUYỄN THỊ CẨM TÚ</t>
  </si>
  <si>
    <t>LM011</t>
  </si>
  <si>
    <t>NGUYỄN NGỌC ANH MINH</t>
  </si>
  <si>
    <t>LM012</t>
  </si>
  <si>
    <t>NGUYỄN TUẤN LĨNH</t>
  </si>
  <si>
    <t>LM013</t>
  </si>
  <si>
    <t>ĐÀO DUY THÀNH</t>
  </si>
  <si>
    <t>BAR</t>
  </si>
  <si>
    <t>Bartender</t>
  </si>
  <si>
    <t>LM015</t>
  </si>
  <si>
    <t>TRẦN DUY BẢO</t>
  </si>
  <si>
    <t>Bar Shift Leader</t>
  </si>
  <si>
    <t>LM017</t>
  </si>
  <si>
    <t>LÊ THỊ MAI ANH</t>
  </si>
  <si>
    <t>LM020</t>
  </si>
  <si>
    <t>NGUYỄN THỊ LỘC</t>
  </si>
  <si>
    <t>LM021</t>
  </si>
  <si>
    <t>TRẦN NGỌC PHƯƠNG LAN</t>
  </si>
  <si>
    <t>LM022</t>
  </si>
  <si>
    <t>PHẠM MINH ANH</t>
  </si>
  <si>
    <t>LM023</t>
  </si>
  <si>
    <t>VŨ NHÂN TRÍ</t>
  </si>
  <si>
    <t>LM025</t>
  </si>
  <si>
    <t>NGUYỄN ĐĂNG GIA HUY</t>
  </si>
  <si>
    <t>LM026</t>
  </si>
  <si>
    <t>PHẠM NGUYỄN MINH THY</t>
  </si>
  <si>
    <t>HO</t>
  </si>
  <si>
    <t>LM028</t>
  </si>
  <si>
    <t>NGUYỄN MINH NHỰT</t>
  </si>
  <si>
    <t>LM033</t>
  </si>
  <si>
    <t>ĐẶNG THỊ MINH NGUYỆT</t>
  </si>
  <si>
    <t>SP0002</t>
  </si>
  <si>
    <t>NGUYỄN TRẦN MINH THƯ</t>
  </si>
  <si>
    <t>Management team</t>
  </si>
  <si>
    <t>BOH Operation Executive</t>
  </si>
  <si>
    <t>SP0018</t>
  </si>
  <si>
    <t>CÔNG TY TNHH THƯƠNG MẠI DỊCH VỤ SHADOW</t>
  </si>
  <si>
    <t>SHADOW</t>
  </si>
  <si>
    <t>BAKES PASTEUR</t>
  </si>
  <si>
    <t>SP028</t>
  </si>
  <si>
    <t>VÕ MAI THIÊN KIM</t>
  </si>
  <si>
    <t>SP031</t>
  </si>
  <si>
    <t>LÊ HỮU TÀI</t>
  </si>
  <si>
    <t>Assistant Store Manager</t>
  </si>
  <si>
    <t>T0001</t>
  </si>
  <si>
    <t>LAURE DOMINIQUE MARIE CHEVALLIER</t>
  </si>
  <si>
    <t>BOD</t>
  </si>
  <si>
    <t>COO</t>
  </si>
  <si>
    <t>T0001X</t>
  </si>
  <si>
    <t>T0004</t>
  </si>
  <si>
    <t>HUỲNH THỊ HẢI UYÊN</t>
  </si>
  <si>
    <t>PRO</t>
  </si>
  <si>
    <t>Procurement Leader</t>
  </si>
  <si>
    <t>T0006</t>
  </si>
  <si>
    <t>TRẦN THI THƯ</t>
  </si>
  <si>
    <t>PASTRY</t>
  </si>
  <si>
    <t>Production Manager</t>
  </si>
  <si>
    <t>T0008</t>
  </si>
  <si>
    <t>HUỲNH VĂN MINH</t>
  </si>
  <si>
    <t>DRIVER</t>
  </si>
  <si>
    <t>Runner</t>
  </si>
  <si>
    <t>T0009</t>
  </si>
  <si>
    <t>PHẠM THỊ HỒNG LÀI</t>
  </si>
  <si>
    <t>R&amp;D</t>
  </si>
  <si>
    <t>R&amp;D Manager</t>
  </si>
  <si>
    <t>T0012</t>
  </si>
  <si>
    <t>LÊ QUỐC HẢO</t>
  </si>
  <si>
    <t>T0019</t>
  </si>
  <si>
    <t>PHẠM QUỐC THẮNG</t>
  </si>
  <si>
    <t>R&amp;D Executive</t>
  </si>
  <si>
    <t>T0020</t>
  </si>
  <si>
    <t>PHẠM THỊ NGỌC THƠ</t>
  </si>
  <si>
    <t>PET</t>
  </si>
  <si>
    <t>Seasonal R&amp;D &amp; Production Chef</t>
  </si>
  <si>
    <t>T0026</t>
  </si>
  <si>
    <t>PHẠM LƯƠNG BÌNH</t>
  </si>
  <si>
    <t>T0027</t>
  </si>
  <si>
    <t>MAI KHÁNH AN</t>
  </si>
  <si>
    <t>T0032</t>
  </si>
  <si>
    <t>NGUYỄN NGỌC PHƯƠNG ANH</t>
  </si>
  <si>
    <t>Acting Store Manager</t>
  </si>
  <si>
    <t>T0038</t>
  </si>
  <si>
    <t>NGUYỄN THỊ KIM TUYỀN</t>
  </si>
  <si>
    <t>R&amp;D Chef</t>
  </si>
  <si>
    <t>T0040</t>
  </si>
  <si>
    <t>TRỊNH MINH KHÔI</t>
  </si>
  <si>
    <t>Store Manager</t>
  </si>
  <si>
    <t>T0118</t>
  </si>
  <si>
    <t>GARTNER BRIAN JULIEN</t>
  </si>
  <si>
    <t>Head Pastry Chef</t>
  </si>
  <si>
    <t>T0142</t>
  </si>
  <si>
    <t>LÔI QUỐC HƯNG</t>
  </si>
  <si>
    <t>Head of Bartender</t>
  </si>
  <si>
    <t>T0196</t>
  </si>
  <si>
    <t>TRẦN MINH TRÍ</t>
  </si>
  <si>
    <t>T0213</t>
  </si>
  <si>
    <t>TRẦN DIỆP TRÂN CHÂU</t>
  </si>
  <si>
    <t>T0221</t>
  </si>
  <si>
    <t>HUỲNH QUAN QUÂN</t>
  </si>
  <si>
    <t>Procurement Executive</t>
  </si>
  <si>
    <t>T0222</t>
  </si>
  <si>
    <t>NGUYỄN THỊ BÌNH</t>
  </si>
  <si>
    <t>T0226</t>
  </si>
  <si>
    <t>VŨ MINH ANH</t>
  </si>
  <si>
    <t>Customer Service Executive</t>
  </si>
  <si>
    <t>T0227</t>
  </si>
  <si>
    <t>NGÔ MỸ NHƯ</t>
  </si>
  <si>
    <t>T0234</t>
  </si>
  <si>
    <t>NGUYỄN ĐOÀN NHƯ Ý</t>
  </si>
  <si>
    <t>B2007</t>
  </si>
  <si>
    <t>LÝ THỊ MỸ DUYÊN</t>
  </si>
  <si>
    <t>B2015</t>
  </si>
  <si>
    <t>LÊ THỊ HIỂN</t>
  </si>
  <si>
    <t>B2020</t>
  </si>
  <si>
    <t>TRẦN THỊ TUYẾT NHUNG</t>
  </si>
  <si>
    <t>B2023</t>
  </si>
  <si>
    <t>TRẦN THỊ THU NHÀN</t>
  </si>
  <si>
    <t>Preparation Ingredients Staff</t>
  </si>
  <si>
    <t>B2032X</t>
  </si>
  <si>
    <t>B2033</t>
  </si>
  <si>
    <t>ĐOÀN HỮU LONG</t>
  </si>
  <si>
    <t>Senior Bartender</t>
  </si>
  <si>
    <t>B2045</t>
  </si>
  <si>
    <t>NGUYỄN TUẤN ANH</t>
  </si>
  <si>
    <t>Truck Driver</t>
  </si>
  <si>
    <t>B2046</t>
  </si>
  <si>
    <t>NGUYỄN VĂN ĐIỀN</t>
  </si>
  <si>
    <t>B2053</t>
  </si>
  <si>
    <t>LÊ TRƯƠNG HỒNG ĐOAN</t>
  </si>
  <si>
    <t>B2055</t>
  </si>
  <si>
    <t>NGUYỄN TRẦN DUY KHANG</t>
  </si>
  <si>
    <t>B3003</t>
  </si>
  <si>
    <t>HỒ THỊ THU</t>
  </si>
  <si>
    <t>CDP Pastry</t>
  </si>
  <si>
    <t>B3004</t>
  </si>
  <si>
    <t>VŨ THỊ THẢO</t>
  </si>
  <si>
    <t>Junior CDP</t>
  </si>
  <si>
    <t>B3010</t>
  </si>
  <si>
    <t>NGÔ THỊ DÀNG</t>
  </si>
  <si>
    <t>B3012</t>
  </si>
  <si>
    <t>NGUYỄN HUỲNH HUY</t>
  </si>
  <si>
    <t>B3013</t>
  </si>
  <si>
    <t>LƯU THỊ NGỌC LOAN</t>
  </si>
  <si>
    <t>B3019</t>
  </si>
  <si>
    <t>NGUYỄN THỊ KIM NGÂN</t>
  </si>
  <si>
    <t>B3023</t>
  </si>
  <si>
    <t>DƯƠNG KHÁNH</t>
  </si>
  <si>
    <t>B3024</t>
  </si>
  <si>
    <t>HOÀNG MAI KIM NGÂN</t>
  </si>
  <si>
    <t>B3031</t>
  </si>
  <si>
    <t>TRẦN VŨ TRƯỜNG GIANG</t>
  </si>
  <si>
    <t>BIT001</t>
  </si>
  <si>
    <t>LÂM THỊ BÍCH TUYỀN</t>
  </si>
  <si>
    <t>Assistant Beverage Manager</t>
  </si>
  <si>
    <t>BIT002</t>
  </si>
  <si>
    <t>TRẦN HỒNG NGỌC</t>
  </si>
  <si>
    <t>C0001</t>
  </si>
  <si>
    <t>LÊ TUÂN</t>
  </si>
  <si>
    <t>CEO</t>
  </si>
  <si>
    <t>C0001X</t>
  </si>
  <si>
    <t>C0003</t>
  </si>
  <si>
    <t>NGUYỄN THỤY PHƯƠNG ANH</t>
  </si>
  <si>
    <t>Strategic Partnership Director</t>
  </si>
  <si>
    <t>C0003X</t>
  </si>
  <si>
    <t>C0004</t>
  </si>
  <si>
    <t>LÊ HUỲNH ANH THƯ</t>
  </si>
  <si>
    <t>CREATIVE</t>
  </si>
  <si>
    <t>SPA</t>
  </si>
  <si>
    <t>Senior Interior Designer</t>
  </si>
  <si>
    <t>C0006</t>
  </si>
  <si>
    <t>LÊ BÁ QUỐC HÙNG</t>
  </si>
  <si>
    <t>IAT</t>
  </si>
  <si>
    <t>Associate Partners</t>
  </si>
  <si>
    <t>C0008</t>
  </si>
  <si>
    <t>ĐẶNG THỊ THANH TRÂM</t>
  </si>
  <si>
    <t>CE</t>
  </si>
  <si>
    <t>Senior Spatial Designer</t>
  </si>
  <si>
    <t>C0014</t>
  </si>
  <si>
    <t>HÀ ANH TUẤN</t>
  </si>
  <si>
    <t>GRA</t>
  </si>
  <si>
    <t>C0015</t>
  </si>
  <si>
    <t>NGUYỄN THỊ NGỌC ÁNH</t>
  </si>
  <si>
    <t>SPD</t>
  </si>
  <si>
    <t>C0019</t>
  </si>
  <si>
    <t>PHAN NGUYỄN KIM XUÂN</t>
  </si>
  <si>
    <t>C0020</t>
  </si>
  <si>
    <t>NGÔ NGỌC MINH THÙY</t>
  </si>
  <si>
    <t>Midweight Interior Designer</t>
  </si>
  <si>
    <t>C0022</t>
  </si>
  <si>
    <t>BÙI VÂN ANH</t>
  </si>
  <si>
    <t>CMT</t>
  </si>
  <si>
    <t>C0025</t>
  </si>
  <si>
    <t>NGUYỄN BẢO TRANG</t>
  </si>
  <si>
    <t>Senior Brand Executive</t>
  </si>
  <si>
    <t>C0026</t>
  </si>
  <si>
    <t>TRẦN CAO MINH UYÊN</t>
  </si>
  <si>
    <t>Strategy Manager, Associate Partner</t>
  </si>
  <si>
    <t>C0026X</t>
  </si>
  <si>
    <t>Strategy Director</t>
  </si>
  <si>
    <t>C0032</t>
  </si>
  <si>
    <t>TRẦN GIA TÚ</t>
  </si>
  <si>
    <t>Managing Partner</t>
  </si>
  <si>
    <t>C0033</t>
  </si>
  <si>
    <t>VÕ THỦY TRÚC</t>
  </si>
  <si>
    <t>Producer</t>
  </si>
  <si>
    <t>Head of Finance</t>
  </si>
  <si>
    <t>C0047</t>
  </si>
  <si>
    <t>TRẦN HOÀNG PHÚC THỊNH</t>
  </si>
  <si>
    <t>Graphic Designer</t>
  </si>
  <si>
    <t>C0060</t>
  </si>
  <si>
    <t>TRẦN THẢO VY</t>
  </si>
  <si>
    <t>Acting Accounting Manager</t>
  </si>
  <si>
    <t>C0064</t>
  </si>
  <si>
    <t>NGUYỄN THIÊN THANH</t>
  </si>
  <si>
    <t>Interior Designer</t>
  </si>
  <si>
    <t>C0065</t>
  </si>
  <si>
    <t>NGUYỄN PHƯƠNG TRINH</t>
  </si>
  <si>
    <t>Art Director</t>
  </si>
  <si>
    <t>C0067</t>
  </si>
  <si>
    <t>LÊ THỊ THÙY LINH</t>
  </si>
  <si>
    <t>Junior Interior Designer</t>
  </si>
  <si>
    <t>C0074</t>
  </si>
  <si>
    <t>TRẦN HỮU NHÂN</t>
  </si>
  <si>
    <t>Talent Acquisition Executive</t>
  </si>
  <si>
    <t>C0076</t>
  </si>
  <si>
    <t>NGUYỄN THỊ THANH VY</t>
  </si>
  <si>
    <t>Acting HRM</t>
  </si>
  <si>
    <t>C0082</t>
  </si>
  <si>
    <t>PHAN THỊ THỦY NGỌC</t>
  </si>
  <si>
    <t>C0100</t>
  </si>
  <si>
    <t>ĐỖ THỊ PHƯƠNG THẢO</t>
  </si>
  <si>
    <t>MOONCAKE</t>
  </si>
  <si>
    <t>Leader Moulding Team</t>
  </si>
  <si>
    <t>C0106</t>
  </si>
  <si>
    <t>SƠN THỊ NGA</t>
  </si>
  <si>
    <t>C0113</t>
  </si>
  <si>
    <t>TẠ NGUYỄN BẢO NGỌC</t>
  </si>
  <si>
    <t>SCM Specialist</t>
  </si>
  <si>
    <t>SER</t>
  </si>
  <si>
    <t>C0120</t>
  </si>
  <si>
    <t>TÔ QUANG MINH</t>
  </si>
  <si>
    <t>C0121</t>
  </si>
  <si>
    <t>NGUYỄN NGỌC THẢO MINH</t>
  </si>
  <si>
    <t>TA Executive</t>
  </si>
  <si>
    <t>Gardener</t>
  </si>
  <si>
    <t>C0144</t>
  </si>
  <si>
    <t>HUỲNH THANH TUYỀN</t>
  </si>
  <si>
    <t>SAL</t>
  </si>
  <si>
    <t>Business Development Associate</t>
  </si>
  <si>
    <t>C0146</t>
  </si>
  <si>
    <t>LA THÀNH ĐỨC</t>
  </si>
  <si>
    <t>C0149</t>
  </si>
  <si>
    <t>PHẠM THỊ UYÊN THI</t>
  </si>
  <si>
    <t>C0166</t>
  </si>
  <si>
    <t>PHAN NGỌC DIỆU THU</t>
  </si>
  <si>
    <t>Brand Strategist</t>
  </si>
  <si>
    <t>C0167</t>
  </si>
  <si>
    <t>TRƯƠNG CHÍ HÀO</t>
  </si>
  <si>
    <t>Midweight Graphic Design</t>
  </si>
  <si>
    <t>C0174</t>
  </si>
  <si>
    <t>HUỲNH KHOA NAM</t>
  </si>
  <si>
    <t>C0175</t>
  </si>
  <si>
    <t>TRẦN KIM CHI</t>
  </si>
  <si>
    <t>C0185</t>
  </si>
  <si>
    <t>HUỲNH THÙY TUYÊN</t>
  </si>
  <si>
    <t>C0191</t>
  </si>
  <si>
    <t>ĐINH THỊ DIỄM QUỲNH</t>
  </si>
  <si>
    <t>C0193</t>
  </si>
  <si>
    <t>NGUYỄN ĐỨC MINH</t>
  </si>
  <si>
    <t>C0194</t>
  </si>
  <si>
    <t>C0196</t>
  </si>
  <si>
    <t>HUỲNH THỊ NGỌC NHI</t>
  </si>
  <si>
    <t>C0197</t>
  </si>
  <si>
    <t>VÕ THỊ NGỌC UYÊN</t>
  </si>
  <si>
    <t>C0205</t>
  </si>
  <si>
    <t>TRẦN QUỐC PHONG</t>
  </si>
  <si>
    <t>C0211</t>
  </si>
  <si>
    <t>TRẦN BẢO NGỌC</t>
  </si>
  <si>
    <t>C0216</t>
  </si>
  <si>
    <t>TRỊNH TÚ TRÌNH</t>
  </si>
  <si>
    <t>C0219</t>
  </si>
  <si>
    <t>NGUYỄN THỊ ÁNH NHƯ</t>
  </si>
  <si>
    <t>C0226</t>
  </si>
  <si>
    <t>PHẠM LÊ ĐỨC ANH</t>
  </si>
  <si>
    <t>C0227</t>
  </si>
  <si>
    <t>PHẠM THỊ CÔNG TUYÊN</t>
  </si>
  <si>
    <t>C0229</t>
  </si>
  <si>
    <t>BÙI DIỆU HUYỀN</t>
  </si>
  <si>
    <t>C0233</t>
  </si>
  <si>
    <t>NGUYỄN LÊ HOÀI NAM</t>
  </si>
  <si>
    <t>C0239</t>
  </si>
  <si>
    <t>BUN QUỐC HOÀNG</t>
  </si>
  <si>
    <t>C0241</t>
  </si>
  <si>
    <t>HUỲNH THỊ THU TUYẾN</t>
  </si>
  <si>
    <t>BAKER</t>
  </si>
  <si>
    <t>C0245</t>
  </si>
  <si>
    <t>LƯU MINH HIỀN</t>
  </si>
  <si>
    <t>C0246</t>
  </si>
  <si>
    <t>LÊ MINH NHỰT</t>
  </si>
  <si>
    <t>C0248</t>
  </si>
  <si>
    <t>TRỊNH DUY ANH</t>
  </si>
  <si>
    <t>C0250</t>
  </si>
  <si>
    <t>TRẦN THỊ THÚY LINH</t>
  </si>
  <si>
    <t>ADMIN</t>
  </si>
  <si>
    <t>Kitchen Admin</t>
  </si>
  <si>
    <t>C0253</t>
  </si>
  <si>
    <t>THIỀU THỊ THIÊN HÀ</t>
  </si>
  <si>
    <t>OPS</t>
  </si>
  <si>
    <t xml:space="preserve"> Product Experience Specialist</t>
  </si>
  <si>
    <t>C0254</t>
  </si>
  <si>
    <t>NGUYỄN THỊ NGỌC MINH</t>
  </si>
  <si>
    <t>MATTE D7</t>
  </si>
  <si>
    <t>C0256</t>
  </si>
  <si>
    <t>PHẠM NGUYỄN HUY HOÀNG</t>
  </si>
  <si>
    <t>C0260</t>
  </si>
  <si>
    <t>VÕ THỊ HỒNG ĐÀO</t>
  </si>
  <si>
    <t>C0261</t>
  </si>
  <si>
    <t>NGUYỄN ĐỨC HẬU</t>
  </si>
  <si>
    <t>Charista Trainer</t>
  </si>
  <si>
    <t>C0262</t>
  </si>
  <si>
    <t>VAN MANEN ANAIS CA DAO</t>
  </si>
  <si>
    <t>Partner</t>
  </si>
  <si>
    <t>C0262X</t>
  </si>
  <si>
    <t>C0266</t>
  </si>
  <si>
    <t>LÊ TRẦN HUYỀN LINH</t>
  </si>
  <si>
    <t>C0267</t>
  </si>
  <si>
    <t>LÊ TẤN THÔNG</t>
  </si>
  <si>
    <t>Multimedia</t>
  </si>
  <si>
    <t>C0268</t>
  </si>
  <si>
    <t>TRẦN ĐĂNG UYÊN PHƯƠNG</t>
  </si>
  <si>
    <t>C0269</t>
  </si>
  <si>
    <t>LÊ THỊ NHƯ HẢO</t>
  </si>
  <si>
    <t>C0270</t>
  </si>
  <si>
    <t>NGUYỄN VIẾT ĐẰNG</t>
  </si>
  <si>
    <t>C0272</t>
  </si>
  <si>
    <t>NGUYỄN NGỌC KIM THANH</t>
  </si>
  <si>
    <t>Account Payable</t>
  </si>
  <si>
    <t>C0277</t>
  </si>
  <si>
    <t>NGUYỄN LÊ PHƯƠNG LINH</t>
  </si>
  <si>
    <t>C0280</t>
  </si>
  <si>
    <t>NGUYỄN TRẦN HOÀNG BẢO</t>
  </si>
  <si>
    <t>C0283</t>
  </si>
  <si>
    <t>NGUYỄN THỊ HẠNH DUNG</t>
  </si>
  <si>
    <t>PACKAGING</t>
  </si>
  <si>
    <t>Packaging Mooncake</t>
  </si>
  <si>
    <t>C0284</t>
  </si>
  <si>
    <t>NGUYỄN KHÁNH CHI</t>
  </si>
  <si>
    <t>STU</t>
  </si>
  <si>
    <t>Content Creator</t>
  </si>
  <si>
    <t>C0294</t>
  </si>
  <si>
    <t>LÊ ANH NGỌC</t>
  </si>
  <si>
    <t>C0298</t>
  </si>
  <si>
    <t>TRẦN VĂN NHÂN</t>
  </si>
  <si>
    <t>Assistant Operation Manager</t>
  </si>
  <si>
    <t>C0299</t>
  </si>
  <si>
    <t>HỒNG VĂN VINH</t>
  </si>
  <si>
    <t>MKT</t>
  </si>
  <si>
    <t>Marketing Manager</t>
  </si>
  <si>
    <t>C0302</t>
  </si>
  <si>
    <t>NGUYỄN TRƯỜNG ĐAN THANH</t>
  </si>
  <si>
    <t>C0309</t>
  </si>
  <si>
    <t>PHẠM THỊ MINH NGUYỆT</t>
  </si>
  <si>
    <t>Account Executive</t>
  </si>
  <si>
    <t>C0313</t>
  </si>
  <si>
    <t>VÕ THANH LONG</t>
  </si>
  <si>
    <t>C0323</t>
  </si>
  <si>
    <t>NGUYỄN THỊ TƯỜNG VY</t>
  </si>
  <si>
    <t>C0326</t>
  </si>
  <si>
    <t>NGUYỄN MINH SÁNG</t>
  </si>
  <si>
    <t>C0327</t>
  </si>
  <si>
    <t>NGUYỄN ĐỨC HOÀNG</t>
  </si>
  <si>
    <t>C0329</t>
  </si>
  <si>
    <t>TRẦN GIA HUY</t>
  </si>
  <si>
    <t>C0331</t>
  </si>
  <si>
    <t>TRẦN THỊ TRÚC LINH</t>
  </si>
  <si>
    <t>Brand Executive</t>
  </si>
  <si>
    <t>C0334</t>
  </si>
  <si>
    <t>ĐẶNG MINH HIẾU</t>
  </si>
  <si>
    <t>Technician</t>
  </si>
  <si>
    <t>C0347</t>
  </si>
  <si>
    <t>TÔ HỒNG NGỌC</t>
  </si>
  <si>
    <t>C0348</t>
  </si>
  <si>
    <t>TRẦN TRỌNG NGHĨA</t>
  </si>
  <si>
    <t>C0364</t>
  </si>
  <si>
    <t>NGUYỄN NGỌC TÚ QUYÊN</t>
  </si>
  <si>
    <t>C0365</t>
  </si>
  <si>
    <t>NGUYỄN NGỌC MỸ KHÁNH</t>
  </si>
  <si>
    <t>C0366</t>
  </si>
  <si>
    <t>TRẦN MINH THƯƠNG</t>
  </si>
  <si>
    <t>C0367</t>
  </si>
  <si>
    <t>ĐÀO NHẬT QUANG</t>
  </si>
  <si>
    <t>Operation Director</t>
  </si>
  <si>
    <t>C0370</t>
  </si>
  <si>
    <t>NGUYỄN VÕ THANH TRÀ</t>
  </si>
  <si>
    <t>C0371</t>
  </si>
  <si>
    <t>TRẦN NHẬT HUY</t>
  </si>
  <si>
    <t>C0378</t>
  </si>
  <si>
    <t>LÝ MỸ ANH</t>
  </si>
  <si>
    <t>Casual Labour</t>
  </si>
  <si>
    <t>C0389</t>
  </si>
  <si>
    <t>ĐẶNG XUÂN NHI</t>
  </si>
  <si>
    <t>WOMEN DAY</t>
  </si>
  <si>
    <t>Commis Mooncake</t>
  </si>
  <si>
    <t>C0390</t>
  </si>
  <si>
    <t>LÊ NGUYỄN PHƯƠNG CHI</t>
  </si>
  <si>
    <t>C0399</t>
  </si>
  <si>
    <t>NGUYỄN HOÀNG NGỌC MAI</t>
  </si>
  <si>
    <t>XMAS</t>
  </si>
  <si>
    <t>Commis Xmas</t>
  </si>
  <si>
    <t>C0400</t>
  </si>
  <si>
    <t>PHẠM PHI HÙNG</t>
  </si>
  <si>
    <t>C0401</t>
  </si>
  <si>
    <t>VŨ THỊ KIM NGUYÊN</t>
  </si>
  <si>
    <t>C0402</t>
  </si>
  <si>
    <t>TRẦN TRUNG</t>
  </si>
  <si>
    <t>C0404</t>
  </si>
  <si>
    <t>NGUYỄN THỤC ANH</t>
  </si>
  <si>
    <t>Packaging mooncake</t>
  </si>
  <si>
    <t>C0406</t>
  </si>
  <si>
    <t>LÊ THÙY Ý NHI</t>
  </si>
  <si>
    <t>C0409</t>
  </si>
  <si>
    <t>VÕ THÙY NHI</t>
  </si>
  <si>
    <t>C0410</t>
  </si>
  <si>
    <t>CHIÊM ĐỨC LỢI</t>
  </si>
  <si>
    <t>C0418</t>
  </si>
  <si>
    <t>NGUYỄN THANH THẢO</t>
  </si>
  <si>
    <t>C0419</t>
  </si>
  <si>
    <t>ĐỖ NGUYỄN LAM THUYÊN</t>
  </si>
  <si>
    <t>C0420</t>
  </si>
  <si>
    <t>CHU NGUYỄN KIM DUNG</t>
  </si>
  <si>
    <t>C0421</t>
  </si>
  <si>
    <t>BÙI KHÁNH LÊ</t>
  </si>
  <si>
    <t>C0422</t>
  </si>
  <si>
    <t>NGUYỄN THỊ KIM CƯƠNG</t>
  </si>
  <si>
    <t>Print Producer</t>
  </si>
  <si>
    <t>C0426</t>
  </si>
  <si>
    <t>HÀ VĂN NHÍ EM</t>
  </si>
  <si>
    <t>Finance Excecutive</t>
  </si>
  <si>
    <t>Senior Accountant</t>
  </si>
  <si>
    <t>C0437</t>
  </si>
  <si>
    <t>TRẦN TUẤN KIỆT</t>
  </si>
  <si>
    <t>C0440</t>
  </si>
  <si>
    <t>PHẠM THỊ MINH PHƯỢNG</t>
  </si>
  <si>
    <t>C0441</t>
  </si>
  <si>
    <t>TRẦN MINH THƯ</t>
  </si>
  <si>
    <t>C0443</t>
  </si>
  <si>
    <t>NGUYỄN HIẾU NHI</t>
  </si>
  <si>
    <t>Midweight Strategic Partnership</t>
  </si>
  <si>
    <t>C0445</t>
  </si>
  <si>
    <t>CAO DI NHƯ MINH</t>
  </si>
  <si>
    <t>Strategic Partnership Manager</t>
  </si>
  <si>
    <t>C0446</t>
  </si>
  <si>
    <t>CÁI NGỌC SƠN</t>
  </si>
  <si>
    <t>NSO</t>
  </si>
  <si>
    <t>Project Manager</t>
  </si>
  <si>
    <t>C0447</t>
  </si>
  <si>
    <t>TRỊNH THỊ LỆ THU</t>
  </si>
  <si>
    <t>C0449</t>
  </si>
  <si>
    <t>ĐINH THỊ NGỌC ANH</t>
  </si>
  <si>
    <t>C0450</t>
  </si>
  <si>
    <t>TRẦN THỊ TUYẾT NGÂN</t>
  </si>
  <si>
    <t>C0451</t>
  </si>
  <si>
    <t>BÙI HOÀNG GIA HÂN</t>
  </si>
  <si>
    <t>Demi</t>
  </si>
  <si>
    <t>C0454</t>
  </si>
  <si>
    <t>NGUYỄN VĂN KHOA</t>
  </si>
  <si>
    <t>C0456</t>
  </si>
  <si>
    <t>LÊ THANH BÌNH</t>
  </si>
  <si>
    <t>C0458</t>
  </si>
  <si>
    <t>NGUYỄN HOÀNG PHƯƠNG NGÂN</t>
  </si>
  <si>
    <t>C0459</t>
  </si>
  <si>
    <t>LƯƠNG HẢI PHƯỢNG</t>
  </si>
  <si>
    <t>Trainer</t>
  </si>
  <si>
    <t>C0460</t>
  </si>
  <si>
    <t>VÕ THỊ MAI VÀNG</t>
  </si>
  <si>
    <t>C0462</t>
  </si>
  <si>
    <t>NGUYỄN NGỌC GIA HÂN</t>
  </si>
  <si>
    <t>C0464</t>
  </si>
  <si>
    <t>NGUYỄN PHƯƠNG BẢO TRÂN</t>
  </si>
  <si>
    <t>C0467</t>
  </si>
  <si>
    <t>NGUYỄN LÊ THẢO NGUYÊN</t>
  </si>
  <si>
    <t>C0468</t>
  </si>
  <si>
    <t>C0469</t>
  </si>
  <si>
    <t>TRẦN MINH NGUYỆT</t>
  </si>
  <si>
    <t>C0470</t>
  </si>
  <si>
    <t>NGUYỄN MAI HÂN</t>
  </si>
  <si>
    <t>C0472</t>
  </si>
  <si>
    <t>PHẠM NHẬT PHƯƠNG</t>
  </si>
  <si>
    <t>C0473</t>
  </si>
  <si>
    <t>PHẠM VIỆT ANH</t>
  </si>
  <si>
    <t>C0475</t>
  </si>
  <si>
    <t>NGUYỄN NGỌC NHƯ QUỲNH</t>
  </si>
  <si>
    <t>Accounting Intern</t>
  </si>
  <si>
    <t>C0477</t>
  </si>
  <si>
    <t>MACQUERON SOPHIE</t>
  </si>
  <si>
    <t>R&amp;D Chef Pastry</t>
  </si>
  <si>
    <t>C0478</t>
  </si>
  <si>
    <t>NGUYỄN THỊ HÀ THẢO</t>
  </si>
  <si>
    <t>Customer Service Team Lead</t>
  </si>
  <si>
    <t>Commis R&amp;D</t>
  </si>
  <si>
    <t>C0480</t>
  </si>
  <si>
    <t>NGUYỄN TRẦN ANH HUY</t>
  </si>
  <si>
    <t>C0481</t>
  </si>
  <si>
    <t>TRẦN QUỐC HOA</t>
  </si>
  <si>
    <t>C0482</t>
  </si>
  <si>
    <t>NGUYỄN NGỌC BIÊU LY</t>
  </si>
  <si>
    <t>C0483</t>
  </si>
  <si>
    <t>DƯƠNG NGỌC BẢO TRÂN</t>
  </si>
  <si>
    <t>C0485</t>
  </si>
  <si>
    <t>NGUYỄN THỊ KHÁNH UYÊN</t>
  </si>
  <si>
    <t>C0486</t>
  </si>
  <si>
    <t>NGUYỄN THỊ THỦY</t>
  </si>
  <si>
    <t>C0487</t>
  </si>
  <si>
    <t>ĐOÀN MINH KHOA</t>
  </si>
  <si>
    <t>C0488</t>
  </si>
  <si>
    <t>LƯƠNG KHÁNH LINH</t>
  </si>
  <si>
    <t>C0490</t>
  </si>
  <si>
    <t>PHẠM THỊ TÚ QUYÊN</t>
  </si>
  <si>
    <t>C0491</t>
  </si>
  <si>
    <t>NGUYỄN THỊ DIỄM MY</t>
  </si>
  <si>
    <t>C0493</t>
  </si>
  <si>
    <t>NGUYỄN THỊ NGỌC DIỆP</t>
  </si>
  <si>
    <t>C0494</t>
  </si>
  <si>
    <t>TẠ NGUYỄN TƯỜNG DUYÊN</t>
  </si>
  <si>
    <t>C0496</t>
  </si>
  <si>
    <t>HUỲNH THANH TOÀN</t>
  </si>
  <si>
    <t>C0497</t>
  </si>
  <si>
    <t>LÊ NGUYỄN TƯỜNG LY</t>
  </si>
  <si>
    <t>C0498</t>
  </si>
  <si>
    <t>NGUYỄN PHAN TẤN TÀI</t>
  </si>
  <si>
    <t>C0503</t>
  </si>
  <si>
    <t>VÕ QUỐC HƯNG</t>
  </si>
  <si>
    <t>C0505</t>
  </si>
  <si>
    <t>NGUYỄN THÚY VY</t>
  </si>
  <si>
    <t>C0507</t>
  </si>
  <si>
    <t>NGUYỄN QUANG THIỆN NHÂN</t>
  </si>
  <si>
    <t>C0508</t>
  </si>
  <si>
    <t>NGUYỄN XUÂN NHI</t>
  </si>
  <si>
    <t>C0509</t>
  </si>
  <si>
    <t>ĐOÀN NGỌC ANH THƯ</t>
  </si>
  <si>
    <t>C0512</t>
  </si>
  <si>
    <t>HUỲNH KỲ ĐẠT</t>
  </si>
  <si>
    <t>C0513</t>
  </si>
  <si>
    <t>TRẦN THỊ MỸ PHÚC</t>
  </si>
  <si>
    <t>Senior Talent Acquisition</t>
  </si>
  <si>
    <t>C0514</t>
  </si>
  <si>
    <t>LÊ UYÊN PHƯƠNG</t>
  </si>
  <si>
    <t>C0515</t>
  </si>
  <si>
    <t>LÂM NHƯ XUÂN KHOA</t>
  </si>
  <si>
    <t>C0518</t>
  </si>
  <si>
    <t>CAO HỒ BẢO THY</t>
  </si>
  <si>
    <t>C0520</t>
  </si>
  <si>
    <t>NGUYỄN HUỲNH KHÁNH NGỌC</t>
  </si>
  <si>
    <t>C0521</t>
  </si>
  <si>
    <t>TRẦN THỊ THẢO LINH</t>
  </si>
  <si>
    <t>C0522</t>
  </si>
  <si>
    <t>NGUYỄN THỊ THÚY HIỀN</t>
  </si>
  <si>
    <t>C0523</t>
  </si>
  <si>
    <t>NGUYỄN NGỌC QUYẾT THẮNG</t>
  </si>
  <si>
    <t>C0524</t>
  </si>
  <si>
    <t>TRƯƠNG QUỲNH CHI</t>
  </si>
  <si>
    <t>C0525</t>
  </si>
  <si>
    <t>LÊ THỊ HỒNG LINH</t>
  </si>
  <si>
    <t>C0526</t>
  </si>
  <si>
    <t>PHẠM THỊ THẢO PHƯƠNG</t>
  </si>
  <si>
    <t>C0528</t>
  </si>
  <si>
    <t>ĐÀNG THOẠI HUYỀN TRÂN</t>
  </si>
  <si>
    <t>C0529</t>
  </si>
  <si>
    <t>NGUYỄN NGỌC HÂN</t>
  </si>
  <si>
    <t>C0531</t>
  </si>
  <si>
    <t>NGUYỄN KIỀU VÂN CHI</t>
  </si>
  <si>
    <t>C0532</t>
  </si>
  <si>
    <t>KIỀU THỊ THẢO VI</t>
  </si>
  <si>
    <t>C0533</t>
  </si>
  <si>
    <t>NGUYỄN NGỌC NGUYÊN NGÂN</t>
  </si>
  <si>
    <t>C0534</t>
  </si>
  <si>
    <t>TRẦN HOÀNG KIỀU ANH</t>
  </si>
  <si>
    <t>C0535</t>
  </si>
  <si>
    <t>ĐÀO NGUYỄN PHƯƠNG VY</t>
  </si>
  <si>
    <t>C0538</t>
  </si>
  <si>
    <t>NGUYỄN NGỌC ANH THƯ</t>
  </si>
  <si>
    <t>C0539</t>
  </si>
  <si>
    <t>NGUYỄN ĐẶNG PHƯƠNG THY</t>
  </si>
  <si>
    <t>C0540</t>
  </si>
  <si>
    <t>LẠI KHIẾT ÂN</t>
  </si>
  <si>
    <t>C0541</t>
  </si>
  <si>
    <t>PHẠM BẢO PHÚC</t>
  </si>
  <si>
    <t>C0542</t>
  </si>
  <si>
    <t>ĐOÀN HUỲNH KHÁ</t>
  </si>
  <si>
    <t>C0543</t>
  </si>
  <si>
    <t>THÁI NGUYỄN KIỀU TRÂM</t>
  </si>
  <si>
    <t>C0545</t>
  </si>
  <si>
    <t>HỒ THỊ NGỌC CẦM</t>
  </si>
  <si>
    <t>C0546</t>
  </si>
  <si>
    <t>NGUYỄN TẤN HẬU</t>
  </si>
  <si>
    <t>C0547</t>
  </si>
  <si>
    <t>ĐÀO NGUYỄN THANH TRÚC</t>
  </si>
  <si>
    <t>C0550</t>
  </si>
  <si>
    <t>NGUYỄN KIỀU THIÊN NHI</t>
  </si>
  <si>
    <t>C0551</t>
  </si>
  <si>
    <t>TRỊNH TRUNG TUẤN</t>
  </si>
  <si>
    <t>CTV HTTT</t>
  </si>
  <si>
    <t>C0552</t>
  </si>
  <si>
    <t>VÕ HOÀNG PHI HÙNG</t>
  </si>
  <si>
    <t>C0554</t>
  </si>
  <si>
    <t>NGÔ NGỌC MAI THY</t>
  </si>
  <si>
    <t>BARISTA</t>
  </si>
  <si>
    <t>C0555</t>
  </si>
  <si>
    <t>LÊ PHẠM TRÂM ANH</t>
  </si>
  <si>
    <t>C0556</t>
  </si>
  <si>
    <t>LÊ PHƯƠNG HIẾU</t>
  </si>
  <si>
    <t>C0557</t>
  </si>
  <si>
    <t>NGUYỄN TIẾN DŨNG</t>
  </si>
  <si>
    <t>C0558</t>
  </si>
  <si>
    <t>LÊ TIẾN BẢO HUY</t>
  </si>
  <si>
    <t>C0559</t>
  </si>
  <si>
    <t>CHU THỊ HƯƠNG LAN</t>
  </si>
  <si>
    <t>C0561</t>
  </si>
  <si>
    <t>LÊ THUẬN AN</t>
  </si>
  <si>
    <t>C0562</t>
  </si>
  <si>
    <t>ĐINH THỊ THU NHUNG</t>
  </si>
  <si>
    <t>C0563</t>
  </si>
  <si>
    <t>LÊ ANH KHOA</t>
  </si>
  <si>
    <t>C0564</t>
  </si>
  <si>
    <t>NGÔ QUỐC ANH THƯ</t>
  </si>
  <si>
    <t>C0565</t>
  </si>
  <si>
    <t>BÙI HUỲNH THANH THẢO</t>
  </si>
  <si>
    <t>C0566</t>
  </si>
  <si>
    <t>LÊ NGUYỄN HOÀNG HÂN</t>
  </si>
  <si>
    <t>C0568</t>
  </si>
  <si>
    <t>NGUYỄN HUỲNH THÔNG</t>
  </si>
  <si>
    <t>C0569</t>
  </si>
  <si>
    <t>NGUYỄN LÊ HÀ ANH</t>
  </si>
  <si>
    <t>C0570</t>
  </si>
  <si>
    <t>TỐNG PHƯỚC CÁT NHẬT</t>
  </si>
  <si>
    <t>C0571</t>
  </si>
  <si>
    <t>KHƯƠNG THANH KHÁNH HÒA</t>
  </si>
  <si>
    <t>C0572</t>
  </si>
  <si>
    <t>NGUYỄN HOÀNG MINH THÔNG</t>
  </si>
  <si>
    <t>C0573</t>
  </si>
  <si>
    <t>TRẦN NHẬT SONG HÒA</t>
  </si>
  <si>
    <t>C0574</t>
  </si>
  <si>
    <t>VĂN TRÍ LÂM</t>
  </si>
  <si>
    <t>C0575</t>
  </si>
  <si>
    <t>ĐẶNG THỊ XUÂN MAI</t>
  </si>
  <si>
    <t>C0576</t>
  </si>
  <si>
    <t>PHAN TRANG NGÂN</t>
  </si>
  <si>
    <t>C0577</t>
  </si>
  <si>
    <t>C0578</t>
  </si>
  <si>
    <t>C0579</t>
  </si>
  <si>
    <t>NGUYỄN PHƯƠNG NAM</t>
  </si>
  <si>
    <t>C0580</t>
  </si>
  <si>
    <t>NGUYỄN THỊ KIỀU OANH</t>
  </si>
  <si>
    <t>C0581</t>
  </si>
  <si>
    <t>NGUYỄN HOÀNG THÙY NGÂN</t>
  </si>
  <si>
    <t>C0582</t>
  </si>
  <si>
    <t>LƯƠNG THỤC NHÀN</t>
  </si>
  <si>
    <t>C0583</t>
  </si>
  <si>
    <t>HỒ THỊ HÀ THƯ</t>
  </si>
  <si>
    <t>C0584</t>
  </si>
  <si>
    <t>NGUYỄN TUẤN HÙNG</t>
  </si>
  <si>
    <t>C0585</t>
  </si>
  <si>
    <t>NGUYỄN HOÀNG VÂN ANH</t>
  </si>
  <si>
    <t>C0586</t>
  </si>
  <si>
    <t>HOÀNG HẠNH NGUYÊN</t>
  </si>
  <si>
    <t>C0587</t>
  </si>
  <si>
    <t>BÙI NGỌC PHI YẾN</t>
  </si>
  <si>
    <t>C0588</t>
  </si>
  <si>
    <t>TRẦN BẢO LONG</t>
  </si>
  <si>
    <t>C0590</t>
  </si>
  <si>
    <t>PHẠM THÚY VY</t>
  </si>
  <si>
    <t>C0591</t>
  </si>
  <si>
    <t>NGUYỄN ĐÔN ĐỨC</t>
  </si>
  <si>
    <t>Data Analyst Intern</t>
  </si>
  <si>
    <t>C0592</t>
  </si>
  <si>
    <t>NGUYỄN NAM HẢI</t>
  </si>
  <si>
    <t>Talent Acquisition</t>
  </si>
  <si>
    <t>C0593</t>
  </si>
  <si>
    <t>LÝ HƯƠNG QUỲNH</t>
  </si>
  <si>
    <t>C0594</t>
  </si>
  <si>
    <t>VÕ QUANG NGHI</t>
  </si>
  <si>
    <t>C0595</t>
  </si>
  <si>
    <t>THÁI NGUYỄN BẢO YẾN</t>
  </si>
  <si>
    <t>C0597</t>
  </si>
  <si>
    <t>ĐẶNG BỬU KHOÁNH</t>
  </si>
  <si>
    <t>C0598</t>
  </si>
  <si>
    <t>TRỊNH TUYẾT NHI</t>
  </si>
  <si>
    <t>C0599</t>
  </si>
  <si>
    <t>VĂN TRẦN TRÚC THƯ</t>
  </si>
  <si>
    <t>C0600</t>
  </si>
  <si>
    <t>NGUYỄN QUỐC HIẾU</t>
  </si>
  <si>
    <t>C0601</t>
  </si>
  <si>
    <t>NGHIÊM TUẤN KIỆT</t>
  </si>
  <si>
    <t>C0602</t>
  </si>
  <si>
    <t>NGUYỄN TIẾN MINH QUÝ</t>
  </si>
  <si>
    <t>C0603</t>
  </si>
  <si>
    <t>NGUYỄN ANH KHOA</t>
  </si>
  <si>
    <t>C0604</t>
  </si>
  <si>
    <t>TRẦN VĂN NĂM</t>
  </si>
  <si>
    <t>C0605</t>
  </si>
  <si>
    <t>NGUYỄN HOÀNG PHƯƠNG VY</t>
  </si>
  <si>
    <t>C0606</t>
  </si>
  <si>
    <t>VÕ THỊ THƠM</t>
  </si>
  <si>
    <t>C0607</t>
  </si>
  <si>
    <t>NGUYỄN THANH THANH</t>
  </si>
  <si>
    <t>C0608</t>
  </si>
  <si>
    <t>NGUYỄN THỊ THU</t>
  </si>
  <si>
    <t>C0609</t>
  </si>
  <si>
    <t>TRƯƠNG MINH TIẾN</t>
  </si>
  <si>
    <t>C0610</t>
  </si>
  <si>
    <t>PHẠM THỊ BÍCH VÂN</t>
  </si>
  <si>
    <t>Junior CDP Pastry</t>
  </si>
  <si>
    <t>C0611</t>
  </si>
  <si>
    <t>NGUYỄN MỸ HẠNH</t>
  </si>
  <si>
    <t>C0612</t>
  </si>
  <si>
    <t>NGUYỄN HƯNG THỊNH</t>
  </si>
  <si>
    <t>C0613</t>
  </si>
  <si>
    <t>LÊ NGUYỄN KIỀU MY</t>
  </si>
  <si>
    <t>C0614</t>
  </si>
  <si>
    <t>NGÔ HẢI NAM</t>
  </si>
  <si>
    <t>CHARISTA</t>
  </si>
  <si>
    <t>C0615</t>
  </si>
  <si>
    <t>VÕ DUY QUANG</t>
  </si>
  <si>
    <t>C0616</t>
  </si>
  <si>
    <t>NGUYỄN QUẾ HƯƠNG</t>
  </si>
  <si>
    <t>C0617</t>
  </si>
  <si>
    <t>CAO ĐẠI GIA HY</t>
  </si>
  <si>
    <t>COMMIS PASTRY</t>
  </si>
  <si>
    <t>C0618</t>
  </si>
  <si>
    <t>ĐOÀN MINH HOÀNG</t>
  </si>
  <si>
    <t>C0619</t>
  </si>
  <si>
    <t>HÀ ĐẶNG UYÊN VY</t>
  </si>
  <si>
    <t>C0620</t>
  </si>
  <si>
    <t>LÊ NGỌC ANH QUÂN</t>
  </si>
  <si>
    <t>C0621</t>
  </si>
  <si>
    <t>NGUYỄN VĂN VIỆT</t>
  </si>
  <si>
    <t>C0622</t>
  </si>
  <si>
    <t>NGÔ LÊ DUY</t>
  </si>
  <si>
    <t>C0623</t>
  </si>
  <si>
    <t>Digital Marketing Executive</t>
  </si>
  <si>
    <t>C0624</t>
  </si>
  <si>
    <t>C0625</t>
  </si>
  <si>
    <t>TRẦN MAI TRÚC</t>
  </si>
  <si>
    <t>C0626</t>
  </si>
  <si>
    <t>TRẦN THY MẪN</t>
  </si>
  <si>
    <t>C0627</t>
  </si>
  <si>
    <t>TRẦN CHÂN NGUYÊN</t>
  </si>
  <si>
    <t>Matcha Admin</t>
  </si>
  <si>
    <t>C0628</t>
  </si>
  <si>
    <t>PHAN NHẬT KHÁNH QUỲNH</t>
  </si>
  <si>
    <t>C0629</t>
  </si>
  <si>
    <t>LÊ TRÀ AN THANH</t>
  </si>
  <si>
    <t>C0630</t>
  </si>
  <si>
    <t>TRẦN THÚY NGA</t>
  </si>
  <si>
    <t>C0631</t>
  </si>
  <si>
    <t>ĐỖ NHẬT NAM</t>
  </si>
  <si>
    <t>C0632</t>
  </si>
  <si>
    <t>ĐÀO THÚY NGA</t>
  </si>
  <si>
    <t>Product &amp; Experience Officer Assistant at Bakes</t>
  </si>
  <si>
    <t>C0633</t>
  </si>
  <si>
    <t>NGUYỄN THỊ NGỌC HIỆP</t>
  </si>
  <si>
    <t>C0634</t>
  </si>
  <si>
    <t>NGUYỄN THỊ THÙY TRANG</t>
  </si>
  <si>
    <t>Mooncake R&amp;D Chef</t>
  </si>
  <si>
    <t>C0635</t>
  </si>
  <si>
    <t>LÊ MINH HOÀNG BẢO</t>
  </si>
  <si>
    <t>C0636</t>
  </si>
  <si>
    <t>NGUYỄN THỊ NGỌC</t>
  </si>
  <si>
    <t>Admin Intern</t>
  </si>
  <si>
    <t>C0637</t>
  </si>
  <si>
    <t>NGUYỄN KHẢ TÚ</t>
  </si>
  <si>
    <t>C0638</t>
  </si>
  <si>
    <t>OLGA PETUKHOVA</t>
  </si>
  <si>
    <t>Executive Chef</t>
  </si>
  <si>
    <t>C0639</t>
  </si>
  <si>
    <t>TRẦN NGUYỄN KHÁNH LINH</t>
  </si>
  <si>
    <t>C0640</t>
  </si>
  <si>
    <t>ĐỖ LÂM KHÁNH TRUNG</t>
  </si>
  <si>
    <t>C0641</t>
  </si>
  <si>
    <t>NGUYỄN THÀNH ĐĂNG KHOA</t>
  </si>
  <si>
    <t>C0642</t>
  </si>
  <si>
    <t>PHẠM MINH QUÂN</t>
  </si>
  <si>
    <t>C0643</t>
  </si>
  <si>
    <t>LÊ THỊ DIỄM HÀ</t>
  </si>
  <si>
    <t>C0644</t>
  </si>
  <si>
    <t>GIẢNG HOÀNG BẢO YẾN</t>
  </si>
  <si>
    <t>C0645</t>
  </si>
  <si>
    <t>DOÃN HÙNG KIỆT</t>
  </si>
  <si>
    <t>C0647</t>
  </si>
  <si>
    <t>LƯƠNG THỊ THÚY ÁI</t>
  </si>
  <si>
    <t>C0648</t>
  </si>
  <si>
    <t>ĐINH LINH PHƯƠNG</t>
  </si>
  <si>
    <t>C0649</t>
  </si>
  <si>
    <t>ĐÀM THÙY LINH</t>
  </si>
  <si>
    <t>C0650</t>
  </si>
  <si>
    <t>ĐÀO THẾ ANH</t>
  </si>
  <si>
    <t>C0651</t>
  </si>
  <si>
    <t>NGUYỄN THỊ TRÂM ANH</t>
  </si>
  <si>
    <t>C0652</t>
  </si>
  <si>
    <t>NGÔ ĐỨC MINH</t>
  </si>
  <si>
    <t>C0653</t>
  </si>
  <si>
    <t>TRẦN THỊ MỸ LINH</t>
  </si>
  <si>
    <t>C0655</t>
  </si>
  <si>
    <t>DƯƠNG THỊ QUỲNH NHƯ</t>
  </si>
  <si>
    <t>C0396</t>
  </si>
  <si>
    <t>NGUYỄN BẢO TƯỜNG LAM</t>
  </si>
  <si>
    <t>Mooncake R&amp;D Commis</t>
  </si>
  <si>
    <t>C0660</t>
  </si>
  <si>
    <t>VÕ HOÀI THY</t>
  </si>
  <si>
    <t>C0661</t>
  </si>
  <si>
    <t>NGUYỄN THANH BÌNH</t>
  </si>
  <si>
    <t>C0662</t>
  </si>
  <si>
    <t>BÙI THỊ HỒNG NGỌC</t>
  </si>
  <si>
    <t>C0663</t>
  </si>
  <si>
    <t>HOÀNG DUY</t>
  </si>
  <si>
    <t>C0664</t>
  </si>
  <si>
    <t>TÔ THỊ DIỄM THÚY</t>
  </si>
  <si>
    <t>C0665</t>
  </si>
  <si>
    <t>NGUYỄN THỊ THẮM</t>
  </si>
  <si>
    <t>C0666</t>
  </si>
  <si>
    <t>PHẠM THỊ THANH NGA</t>
  </si>
  <si>
    <t>Content Executive</t>
  </si>
  <si>
    <t>C0667</t>
  </si>
  <si>
    <t>NGUYỄN TRẦN DUY BẢO</t>
  </si>
  <si>
    <t>C0669</t>
  </si>
  <si>
    <t>BÙI HỒ KHÁNH VÂN</t>
  </si>
  <si>
    <t>C0670</t>
  </si>
  <si>
    <t>LÊ MỸ UYÊN</t>
  </si>
  <si>
    <t>C0671</t>
  </si>
  <si>
    <t>NGUYỄN LƯU ĐỒNG</t>
  </si>
  <si>
    <t>C0672</t>
  </si>
  <si>
    <t>NGUYỄN THANH LUÂN</t>
  </si>
  <si>
    <t>C0673</t>
  </si>
  <si>
    <t>LÊ THÁI PHƯƠNG KHANH</t>
  </si>
  <si>
    <t>C0674</t>
  </si>
  <si>
    <t>KHÂU MINH THƯ</t>
  </si>
  <si>
    <t>C0675</t>
  </si>
  <si>
    <t>NGUYỄN THANH VŨ</t>
  </si>
  <si>
    <t>C0676</t>
  </si>
  <si>
    <t>TRƯƠNG MINH QUÂN</t>
  </si>
  <si>
    <t>Demi Bakery</t>
  </si>
  <si>
    <t>C0677</t>
  </si>
  <si>
    <t>NGUYỄN THỊ BÍCH NGỌC</t>
  </si>
  <si>
    <t>C0678</t>
  </si>
  <si>
    <t>NGUYỄN THỊ NHÃ TÂM</t>
  </si>
  <si>
    <t>Marketing Intern</t>
  </si>
  <si>
    <t>C0679</t>
  </si>
  <si>
    <t>NGUYỄN HOÀNG THÔNG</t>
  </si>
  <si>
    <t>C0680</t>
  </si>
  <si>
    <t>NGUYỄN KHUÊ TÚ</t>
  </si>
  <si>
    <t>C0681</t>
  </si>
  <si>
    <t>NGUYỄN NGỌC KHÁNH QUỲNH</t>
  </si>
  <si>
    <t>C0682</t>
  </si>
  <si>
    <t>LÂM HOÀNG THÁI TÚ</t>
  </si>
  <si>
    <t>C0683</t>
  </si>
  <si>
    <t>TRẦN NGỌC UYÊN TRÂM</t>
  </si>
  <si>
    <t>C0685</t>
  </si>
  <si>
    <t>THÁI QUANG HUY</t>
  </si>
  <si>
    <t>C0686</t>
  </si>
  <si>
    <t>LƯU THỊ PHƯƠNG HẬU</t>
  </si>
  <si>
    <t>C0687</t>
  </si>
  <si>
    <t>BÙI QUỐC TRUNG</t>
  </si>
  <si>
    <t>C0688</t>
  </si>
  <si>
    <t>PHẠM THỤY HƯƠNG THẢO</t>
  </si>
  <si>
    <t>C0689</t>
  </si>
  <si>
    <t>NGUYỄN THỊ NGỌC ANH</t>
  </si>
  <si>
    <t>Head Charista</t>
  </si>
  <si>
    <t>C0690</t>
  </si>
  <si>
    <t>NGUYỄN PHAN THÙY DUNG</t>
  </si>
  <si>
    <t>C0691</t>
  </si>
  <si>
    <t>TỪ NGỌC HÂN</t>
  </si>
  <si>
    <t>C0692</t>
  </si>
  <si>
    <t>BÙI THỊ TUYẾT NHI</t>
  </si>
  <si>
    <t>C0693</t>
  </si>
  <si>
    <t>HUỲNH LÊ XUÂN HẠNH</t>
  </si>
  <si>
    <t>C0694</t>
  </si>
  <si>
    <t>C0695</t>
  </si>
  <si>
    <t>VŨ VĂN DƯƠNG</t>
  </si>
  <si>
    <t>C0696</t>
  </si>
  <si>
    <t>TỪ KIM SÂM</t>
  </si>
  <si>
    <t>Dumpling</t>
  </si>
  <si>
    <t>C0697</t>
  </si>
  <si>
    <t>NGUYỄN ĐÔNG DUY</t>
  </si>
  <si>
    <t>Corporate Sales Associate</t>
  </si>
  <si>
    <t>C0699</t>
  </si>
  <si>
    <t>NGUYỄN ĐÌNH ĐẠT</t>
  </si>
  <si>
    <t>C0700</t>
  </si>
  <si>
    <t>NGUYỄN NGỌC HƯƠNG</t>
  </si>
  <si>
    <t>C0701</t>
  </si>
  <si>
    <t>PHAN NGỌC VI</t>
  </si>
  <si>
    <t>Ingredient Preparation</t>
  </si>
  <si>
    <t>C0702</t>
  </si>
  <si>
    <t>VŨ THỊ THU TUYẾT</t>
  </si>
  <si>
    <t>C0704</t>
  </si>
  <si>
    <t>NGUYỄN LÊ BẢO HÂN</t>
  </si>
  <si>
    <t>Graphic Design Intern</t>
  </si>
  <si>
    <t>C0705</t>
  </si>
  <si>
    <t>BÙI NGUYỄN QUỐC BẢO</t>
  </si>
  <si>
    <t>C0706</t>
  </si>
  <si>
    <t>ĐẶNG HỒ VINH HIỂN</t>
  </si>
  <si>
    <t>C0707</t>
  </si>
  <si>
    <t>PHÙNG THỊ YẾN NHI</t>
  </si>
  <si>
    <t>Cook Helper</t>
  </si>
  <si>
    <t>C0708</t>
  </si>
  <si>
    <t>ĐẶNG MINH NHẬT</t>
  </si>
  <si>
    <t>Warehouse</t>
  </si>
  <si>
    <t>C0709</t>
  </si>
  <si>
    <t>NGUYỄN HỒNG NHUNG</t>
  </si>
  <si>
    <t>Strategic Partnership Intern</t>
  </si>
  <si>
    <t>C0710</t>
  </si>
  <si>
    <t>LÊ PHƯƠNG ANH</t>
  </si>
  <si>
    <t>C0711</t>
  </si>
  <si>
    <t>TRƯƠNG HOÀNG CÔNG</t>
  </si>
  <si>
    <t>B2B Sales Manager</t>
  </si>
  <si>
    <t>C0712</t>
  </si>
  <si>
    <t>TRẦN THỊ NGỌC HẠNH</t>
  </si>
  <si>
    <t>C0713</t>
  </si>
  <si>
    <t>INDIA MERHIB</t>
  </si>
  <si>
    <t>Spatial Intern</t>
  </si>
  <si>
    <t>C0714</t>
  </si>
  <si>
    <t>LÊ THỊ KHÁNH HUYỀN</t>
  </si>
  <si>
    <t>Senior Corporate Sales</t>
  </si>
  <si>
    <t>C0715</t>
  </si>
  <si>
    <t>NGUYỄN THANH HUYỀN</t>
  </si>
  <si>
    <t>C0716</t>
  </si>
  <si>
    <t>TRẦN ĐẶNG BẢO KHA</t>
  </si>
  <si>
    <t>C0717</t>
  </si>
  <si>
    <t>LÊ TUẤN ANH</t>
  </si>
  <si>
    <t>C0718</t>
  </si>
  <si>
    <t>VÕ ĐÌNH TRÍ</t>
  </si>
  <si>
    <t>C0719</t>
  </si>
  <si>
    <t>TRẦN THỊ YẾN MY</t>
  </si>
  <si>
    <t>C0720</t>
  </si>
  <si>
    <t>ĐOÀN THỊ THU VÂN</t>
  </si>
  <si>
    <t>C0721</t>
  </si>
  <si>
    <t>PHÍ TẤN DU</t>
  </si>
  <si>
    <t>Interior-Architecture Intern</t>
  </si>
  <si>
    <t>C0722</t>
  </si>
  <si>
    <t>TÔ BỬU TRỌNG</t>
  </si>
  <si>
    <t>Sales Admin Intern</t>
  </si>
  <si>
    <t>C0723</t>
  </si>
  <si>
    <t>MẠNH HÀO TƯỜNG</t>
  </si>
  <si>
    <t>C0724</t>
  </si>
  <si>
    <t>PHẠM QUỐC ANH</t>
  </si>
  <si>
    <t>C0726</t>
  </si>
  <si>
    <t>TRẦN ANH DŨNG</t>
  </si>
  <si>
    <t>C0727</t>
  </si>
  <si>
    <t>NGUYỄN THỊ Ý NHƯ</t>
  </si>
  <si>
    <t>C0729</t>
  </si>
  <si>
    <t>PHẠM NGỌC NHI</t>
  </si>
  <si>
    <t>C0730</t>
  </si>
  <si>
    <t>MAI NHẬT ĐOAN TRANG</t>
  </si>
  <si>
    <t>C0733</t>
  </si>
  <si>
    <t>NGUYỄN MINH TÚ</t>
  </si>
  <si>
    <t>C0735</t>
  </si>
  <si>
    <t>LÊ NGUYỄN KHÁNH VY</t>
  </si>
  <si>
    <t>C0736</t>
  </si>
  <si>
    <t>LÊ NGUYỄN MỸ UYÊN</t>
  </si>
  <si>
    <t>C0737</t>
  </si>
  <si>
    <t>BÙI NGỌC QUỐC ANH</t>
  </si>
  <si>
    <t>C0738</t>
  </si>
  <si>
    <t>LÊ VĂN VINH</t>
  </si>
  <si>
    <t>C0740</t>
  </si>
  <si>
    <t>TRƯƠNG PHI TẤN TÀI</t>
  </si>
  <si>
    <t>C0741</t>
  </si>
  <si>
    <t>PHÍ HẢI LINH</t>
  </si>
  <si>
    <t>C0742</t>
  </si>
  <si>
    <t>NGUYỄN NGỌC TÂN</t>
  </si>
  <si>
    <t>C0743</t>
  </si>
  <si>
    <t>NGUYỄN LÊ CẨM LY</t>
  </si>
  <si>
    <t>C0744</t>
  </si>
  <si>
    <t>NGUYỄN THỊ MINH CHÂU</t>
  </si>
  <si>
    <t>C0747</t>
  </si>
  <si>
    <t>NGUYỄN HỒ THẢO LINH</t>
  </si>
  <si>
    <t>MKT Intern</t>
  </si>
  <si>
    <t>C0749</t>
  </si>
  <si>
    <t>LÊ VÕ MINH HUY</t>
  </si>
  <si>
    <t>C0751</t>
  </si>
  <si>
    <t>LÊ ĐĂNG KHOA</t>
  </si>
  <si>
    <t>C0752</t>
  </si>
  <si>
    <t>TÔ ĐINH TUYẾT ANH</t>
  </si>
  <si>
    <t>Bartender Lead</t>
  </si>
  <si>
    <t>C0753</t>
  </si>
  <si>
    <t>LÊ DUY TÙNG</t>
  </si>
  <si>
    <t>C0757</t>
  </si>
  <si>
    <t>PHAN HOÀNG LINH</t>
  </si>
  <si>
    <t>C0758</t>
  </si>
  <si>
    <t>TRẦN SANG</t>
  </si>
  <si>
    <t>Data Analyst</t>
  </si>
  <si>
    <t>C0759</t>
  </si>
  <si>
    <t>NGUYỄN DƯƠNG THANH NHÀN</t>
  </si>
  <si>
    <t>C0761</t>
  </si>
  <si>
    <t>VÕ THANH TÙNG</t>
  </si>
  <si>
    <t>C0762</t>
  </si>
  <si>
    <t>HUỲNH VŨ HUY</t>
  </si>
  <si>
    <t>C0763</t>
  </si>
  <si>
    <t>NGUYỄN HOÀNG QUỐC THIÊN</t>
  </si>
  <si>
    <t>Product Development</t>
  </si>
  <si>
    <t>C0767</t>
  </si>
  <si>
    <t>NGUYỄN HỒ MAI ANH</t>
  </si>
  <si>
    <t>C0769</t>
  </si>
  <si>
    <t>THỊ KIÊM</t>
  </si>
  <si>
    <t>C0770</t>
  </si>
  <si>
    <t>BÙI TRẦN TRINH NỮ</t>
  </si>
  <si>
    <t>C0771</t>
  </si>
  <si>
    <t>PHAN THỊ HỒNG HUỆ</t>
  </si>
  <si>
    <t>C0772</t>
  </si>
  <si>
    <t>ĐỖ QUANG TRUYỀN</t>
  </si>
  <si>
    <t>C0774</t>
  </si>
  <si>
    <t>TRẦN PHÚ TRIỆU</t>
  </si>
  <si>
    <t>C0775</t>
  </si>
  <si>
    <t>NGUYỄN NGỌC XUÂN AN</t>
  </si>
  <si>
    <t>Head Barista</t>
  </si>
  <si>
    <t>C0776</t>
  </si>
  <si>
    <t>PHẠM TRẦN THANH TUẤN</t>
  </si>
  <si>
    <t>C0777</t>
  </si>
  <si>
    <t>ĐẶNG NGUYỄN MỘNG HẰNG</t>
  </si>
  <si>
    <t>C0779</t>
  </si>
  <si>
    <t>TRẦN THỊ BẢO TRÂN</t>
  </si>
  <si>
    <t>C0781</t>
  </si>
  <si>
    <t>NGUYỄN THANH PHÚ</t>
  </si>
  <si>
    <t>C0783</t>
  </si>
  <si>
    <t>HỒ MINH NHẬT</t>
  </si>
  <si>
    <t>C0784</t>
  </si>
  <si>
    <t>MATTE D2</t>
  </si>
  <si>
    <t>C0789</t>
  </si>
  <si>
    <t>LƯ THÚY ANH</t>
  </si>
  <si>
    <t>C0790</t>
  </si>
  <si>
    <t>NGUYỄN THUẬN TÀI</t>
  </si>
  <si>
    <t>C0791</t>
  </si>
  <si>
    <t>NGÔ NGUYỄN MINH HIỀN</t>
  </si>
  <si>
    <t>C0792</t>
  </si>
  <si>
    <t>TRẦN THỊ Ý NHI</t>
  </si>
  <si>
    <t>C0793</t>
  </si>
  <si>
    <t>C0794</t>
  </si>
  <si>
    <t>VŨ DUY THUẦN</t>
  </si>
  <si>
    <t>C0795</t>
  </si>
  <si>
    <t>C0796</t>
  </si>
  <si>
    <t>TRẦN THỊ THANH TRÚC</t>
  </si>
  <si>
    <t>C0798</t>
  </si>
  <si>
    <t>NGUYỄN PHẠM NGỌC TRÂN</t>
  </si>
  <si>
    <t>C0799</t>
  </si>
  <si>
    <t>LÊ THỊ HỒNG NHUNG</t>
  </si>
  <si>
    <t>C0800</t>
  </si>
  <si>
    <t>NGUYỄN TRẦN HOÀNG NHÂN</t>
  </si>
  <si>
    <t>Beverage Manager</t>
  </si>
  <si>
    <t>C0802</t>
  </si>
  <si>
    <t>LÊ ĐẶNG MINH VY</t>
  </si>
  <si>
    <t>PREP</t>
  </si>
  <si>
    <t>C0805</t>
  </si>
  <si>
    <t>NGUYỄN HUY HOÀNG</t>
  </si>
  <si>
    <t>C0806</t>
  </si>
  <si>
    <t>HỒ NHỊP ĐỨC</t>
  </si>
  <si>
    <t>C0807</t>
  </si>
  <si>
    <t>LÊ BẢO NHI</t>
  </si>
  <si>
    <t>C0808</t>
  </si>
  <si>
    <t>VÕ KHÁNH VY</t>
  </si>
  <si>
    <t>C0811</t>
  </si>
  <si>
    <t>CHU MINH ĐẠI</t>
  </si>
  <si>
    <t>C0813</t>
  </si>
  <si>
    <t>NGUYỄN THỊ HOÀI PHƯƠNG</t>
  </si>
  <si>
    <t>C0815</t>
  </si>
  <si>
    <t>NGUYỄN HUỆ NGHI</t>
  </si>
  <si>
    <t>C0816</t>
  </si>
  <si>
    <t>TRỊNH PHƯƠNG UYÊN</t>
  </si>
  <si>
    <t>C0817</t>
  </si>
  <si>
    <t>NGUYỄN THÙY DUNG</t>
  </si>
  <si>
    <t>C0818</t>
  </si>
  <si>
    <t>NGUYỄN CẢNH TOÀN</t>
  </si>
  <si>
    <t>Operation Supervisor</t>
  </si>
  <si>
    <t>C0819</t>
  </si>
  <si>
    <t>VÕ QUỐC HUY</t>
  </si>
  <si>
    <t>Production Design Intern</t>
  </si>
  <si>
    <t>C0820</t>
  </si>
  <si>
    <t>DƯƠNG THÙY GIANG</t>
  </si>
  <si>
    <t>C0821</t>
  </si>
  <si>
    <t>NGUYỄN MINH QUÂN</t>
  </si>
  <si>
    <t>C0822</t>
  </si>
  <si>
    <t>TRẦN GIA HÂN</t>
  </si>
  <si>
    <t>C0825</t>
  </si>
  <si>
    <t>NGUYỄN THỊ TUYỀN PHƯƠNG</t>
  </si>
  <si>
    <t>C0826</t>
  </si>
  <si>
    <t>PHẠM THANH VY</t>
  </si>
  <si>
    <t>C0827</t>
  </si>
  <si>
    <t>NGUYỄN CHÍ CƯỜNG</t>
  </si>
  <si>
    <t>C0828</t>
  </si>
  <si>
    <t>TRẦN TÚ TÚ</t>
  </si>
  <si>
    <t>C0829</t>
  </si>
  <si>
    <t>NGUYỄN THỊ THẢO NHI</t>
  </si>
  <si>
    <t>C0830</t>
  </si>
  <si>
    <t>NGUYỄN THỊ KIM LOAN</t>
  </si>
  <si>
    <t>C0831</t>
  </si>
  <si>
    <t>HUỲNH THẢO NGUYÊN</t>
  </si>
  <si>
    <t>C0832</t>
  </si>
  <si>
    <t>C0839</t>
  </si>
  <si>
    <t>TRẦN THỊ BÍCH PHƯƠNG</t>
  </si>
  <si>
    <t>C0840</t>
  </si>
  <si>
    <t>NGUYỄN ĐÌNH DƯƠNG</t>
  </si>
  <si>
    <t>C0841</t>
  </si>
  <si>
    <t>NGUYỄN THỊ KIM THOA</t>
  </si>
  <si>
    <t>C0842</t>
  </si>
  <si>
    <t>NGUYỄN THỊ TRÚC LINH</t>
  </si>
  <si>
    <t>C0844</t>
  </si>
  <si>
    <t>MAI THANH HẬU</t>
  </si>
  <si>
    <t>C0846</t>
  </si>
  <si>
    <t>VĂN QUỐC HUY</t>
  </si>
  <si>
    <t>C0847</t>
  </si>
  <si>
    <t>NHỮ THỊ THÙY DƯƠNG</t>
  </si>
  <si>
    <t>C0848</t>
  </si>
  <si>
    <t>ĐỖ VĂN TIẾN</t>
  </si>
  <si>
    <t>C0849</t>
  </si>
  <si>
    <t>PHẠM NGUYỄN HOÀ BÌNH</t>
  </si>
  <si>
    <t>C0850</t>
  </si>
  <si>
    <t>PHAN TIỂU YẾN NHẢ</t>
  </si>
  <si>
    <t>C0851</t>
  </si>
  <si>
    <t>TRẦN THIÊN Ý NHƯ</t>
  </si>
  <si>
    <t>C0853</t>
  </si>
  <si>
    <t>NGÔ DƯƠNG KHANG</t>
  </si>
  <si>
    <t>C0856</t>
  </si>
  <si>
    <t>HỒ ANH NHI</t>
  </si>
  <si>
    <t>C&amp;B Specialist</t>
  </si>
  <si>
    <t>C0857</t>
  </si>
  <si>
    <t>TRẦN TUẤN ANH</t>
  </si>
  <si>
    <t>C0858</t>
  </si>
  <si>
    <t>PHẠM NGỌC MAI</t>
  </si>
  <si>
    <t>C0859</t>
  </si>
  <si>
    <t>CHÂU DIỆU THẢO</t>
  </si>
  <si>
    <t>C0860</t>
  </si>
  <si>
    <t>TRẦN PHƯƠNG THÙY</t>
  </si>
  <si>
    <t>C0861</t>
  </si>
  <si>
    <t>NGUYỄN NGỌC HOÀI TRÂM</t>
  </si>
  <si>
    <t>C0862</t>
  </si>
  <si>
    <t>NGUYỄN TRẦN PHƯƠNG THÚY</t>
  </si>
  <si>
    <t>C0863</t>
  </si>
  <si>
    <t>NGUYỄN KỲ QUÂN</t>
  </si>
  <si>
    <t>Data Analyst Specialist</t>
  </si>
  <si>
    <t>C0864</t>
  </si>
  <si>
    <t>QUÂN GIA DOANH</t>
  </si>
  <si>
    <t>Production Supervisor</t>
  </si>
  <si>
    <t>C0865</t>
  </si>
  <si>
    <t>C0866</t>
  </si>
  <si>
    <t>PHẠM THỊ THU HẰNG</t>
  </si>
  <si>
    <t>C0868</t>
  </si>
  <si>
    <t>PHAN NGUYỄN THIÊN KIM</t>
  </si>
  <si>
    <t>C0869</t>
  </si>
  <si>
    <t>HUỲNH NGỌC BẢO TRÂM</t>
  </si>
  <si>
    <t>C0871</t>
  </si>
  <si>
    <t>TRẦN CÔNG TÂN PHÁT</t>
  </si>
  <si>
    <t>C0872</t>
  </si>
  <si>
    <t>LẠI QUANG THỨC</t>
  </si>
  <si>
    <t>C0873</t>
  </si>
  <si>
    <t>NGUYỄN ĐỖ MINH DUY</t>
  </si>
  <si>
    <t>C0874</t>
  </si>
  <si>
    <t>KHỔNG THỊ HIẾU</t>
  </si>
  <si>
    <t>C0875</t>
  </si>
  <si>
    <t>HUỲNH NGUYỄN LINH VY</t>
  </si>
  <si>
    <t>C0877</t>
  </si>
  <si>
    <t>LÊ ĐINH THANH TRÚC</t>
  </si>
  <si>
    <t>C0878</t>
  </si>
  <si>
    <t>LÊ ĐẶNG TƯỜNG VY</t>
  </si>
  <si>
    <t>WOMEN'S DAY</t>
  </si>
  <si>
    <t>Packaging WMD</t>
  </si>
  <si>
    <t>PTEP</t>
  </si>
  <si>
    <t>C0879</t>
  </si>
  <si>
    <t>ĐỖ THỊ LAN HƯƠNG</t>
  </si>
  <si>
    <t>Accounts Receivable Executive</t>
  </si>
  <si>
    <t>C0880</t>
  </si>
  <si>
    <t>NGUYỄN THỊ MINH THƯ</t>
  </si>
  <si>
    <t>Training Executive</t>
  </si>
  <si>
    <t>C0881</t>
  </si>
  <si>
    <t>NGUYỄN LÝ BẢO VY</t>
  </si>
  <si>
    <t>C0882</t>
  </si>
  <si>
    <t>NGUYỄN THỊ NA</t>
  </si>
  <si>
    <t>SAIGON CENTRE</t>
  </si>
  <si>
    <t>Sales Mooncake</t>
  </si>
  <si>
    <t>C0883</t>
  </si>
  <si>
    <t>LÊ HUỲNH MAI TRÂM</t>
  </si>
  <si>
    <t>THISO</t>
  </si>
  <si>
    <t>C0885</t>
  </si>
  <si>
    <t>NGUYỄN VŨ PHƯƠNG THANH</t>
  </si>
  <si>
    <t>C0886</t>
  </si>
  <si>
    <t>DIỆP LÊ TUYẾT KHA</t>
  </si>
  <si>
    <t>C0887</t>
  </si>
  <si>
    <t>BÙI KHOA BẢO TÂM</t>
  </si>
  <si>
    <t>C0889</t>
  </si>
  <si>
    <t>PHẠM NGUYỄN BẠCH DƯƠNG</t>
  </si>
  <si>
    <t>C0890</t>
  </si>
  <si>
    <t>LƯƠNG MINH ANH THƯ</t>
  </si>
  <si>
    <t>C0891</t>
  </si>
  <si>
    <t>TRẦN LÊ NGỌC THUỶ</t>
  </si>
  <si>
    <t>C0892</t>
  </si>
  <si>
    <t>NGUYỄN THỊ HÀ</t>
  </si>
  <si>
    <t>C0893</t>
  </si>
  <si>
    <t>NGUYỄN THỊ THANH THỦY</t>
  </si>
  <si>
    <t>C0894</t>
  </si>
  <si>
    <t>NGUYỄN NGỌC HÒA</t>
  </si>
  <si>
    <t>C0895</t>
  </si>
  <si>
    <t>ĐẶNG HOÀNG YẾN NHI</t>
  </si>
  <si>
    <t>C0896</t>
  </si>
  <si>
    <t>ĐẶNG HOÀNG KHA</t>
  </si>
  <si>
    <t>C0897</t>
  </si>
  <si>
    <t>PHẠM TUYẾT MINH</t>
  </si>
  <si>
    <t>Admin Executive</t>
  </si>
  <si>
    <t>C0898</t>
  </si>
  <si>
    <t>LÊ TIẾN THÌN</t>
  </si>
  <si>
    <t>IT Support</t>
  </si>
  <si>
    <t>C0899</t>
  </si>
  <si>
    <t>TRẦN THỊ THANH HẰNG</t>
  </si>
  <si>
    <t>Corporate Sales Executive</t>
  </si>
  <si>
    <t>C0900</t>
  </si>
  <si>
    <t>DƯƠNG GIA HƯNG</t>
  </si>
  <si>
    <t>C0901</t>
  </si>
  <si>
    <t>VIVOCITY</t>
  </si>
  <si>
    <t>C0902</t>
  </si>
  <si>
    <t>CHUNG LÝ XUÂN THẢO</t>
  </si>
  <si>
    <t>C0903</t>
  </si>
  <si>
    <t>NGUYỄN MINH HUY</t>
  </si>
  <si>
    <t>C0905</t>
  </si>
  <si>
    <t>NGUYỄN SONG KHÁNH VÂN</t>
  </si>
  <si>
    <t>C0906</t>
  </si>
  <si>
    <t>KOAN TÚ VI</t>
  </si>
  <si>
    <t>C0907</t>
  </si>
  <si>
    <t>NGUYỄN NGỌC TRÂM ANH</t>
  </si>
  <si>
    <t>C0908</t>
  </si>
  <si>
    <t>GIANG THỊ THU HƯƠNG</t>
  </si>
  <si>
    <t>C0910</t>
  </si>
  <si>
    <t>DƯƠNG HOÀNG PHƯƠNG LINH</t>
  </si>
  <si>
    <t>C0911</t>
  </si>
  <si>
    <t>PHẠM LÊ XUÂN TRANG</t>
  </si>
  <si>
    <t>C0912</t>
  </si>
  <si>
    <t>DƯƠNG THỊ PHƯƠNG ANH</t>
  </si>
  <si>
    <t>C0913</t>
  </si>
  <si>
    <t>PHỤNG HOÀNG VIẾT THƯ</t>
  </si>
  <si>
    <t>C0914</t>
  </si>
  <si>
    <t>NGUYỄN MINH ANH</t>
  </si>
  <si>
    <t>C0916</t>
  </si>
  <si>
    <t>VŨ NGỌC THẢO ANH</t>
  </si>
  <si>
    <t>C0917</t>
  </si>
  <si>
    <t>NGUYỄN VĂN ANH</t>
  </si>
  <si>
    <t>C0919</t>
  </si>
  <si>
    <t>VŨ QUANG ĐÔNG NHI</t>
  </si>
  <si>
    <t>C0920</t>
  </si>
  <si>
    <t>HOÀNG THỊ NGỌC NGÀ</t>
  </si>
  <si>
    <t>Finance &amp; Accounting Manager</t>
  </si>
  <si>
    <t>C0921</t>
  </si>
  <si>
    <t>ĐẶNG GIA HUY</t>
  </si>
  <si>
    <t>C0922</t>
  </si>
  <si>
    <t>NGUYỄN THUỲ THIÊN ÂN</t>
  </si>
  <si>
    <t>C0923</t>
  </si>
  <si>
    <t>KHƯƠNG THANH KHÁNH HOÀ</t>
  </si>
  <si>
    <t>C0924</t>
  </si>
  <si>
    <t>LƯU ANH KIỆT</t>
  </si>
  <si>
    <t>C0925</t>
  </si>
  <si>
    <t>DƯ THẢO NGUYÊN</t>
  </si>
  <si>
    <t>C0926</t>
  </si>
  <si>
    <t>NGUYỄN THỊ MỸ DUYÊN</t>
  </si>
  <si>
    <t>C0927</t>
  </si>
  <si>
    <t>NGUYỄN VÕ PHƯƠNG UYÊN</t>
  </si>
  <si>
    <t>C0929</t>
  </si>
  <si>
    <t>LÊ NGUYỄN THẢO VÂN</t>
  </si>
  <si>
    <t>C0930</t>
  </si>
  <si>
    <t>HOÀNG THỊ MỸ UYÊN</t>
  </si>
  <si>
    <t>C0931</t>
  </si>
  <si>
    <t>NGUYỄN TRẦN BẢO HÂN</t>
  </si>
  <si>
    <t>C0932</t>
  </si>
  <si>
    <t>NGUYỄN PHÚC ANH</t>
  </si>
  <si>
    <t>C0933</t>
  </si>
  <si>
    <t>NGUYỄN THANH THUỶ TIÊN</t>
  </si>
  <si>
    <t>C0934</t>
  </si>
  <si>
    <t>NGUYỄN HOÀNG LONG</t>
  </si>
  <si>
    <t>C0935</t>
  </si>
  <si>
    <t>LÊ THỊ XUÂN MAI</t>
  </si>
  <si>
    <t>C0936</t>
  </si>
  <si>
    <t>NGUYỄN THỊ LỆ</t>
  </si>
  <si>
    <t>C0937</t>
  </si>
  <si>
    <t>NGUYỄN NGỌC BẢO HÂN</t>
  </si>
  <si>
    <t>C0939</t>
  </si>
  <si>
    <t>NGUYỄN THỊ HOA</t>
  </si>
  <si>
    <t>C0941</t>
  </si>
  <si>
    <t>LÃ MINH ANH KHÔI</t>
  </si>
  <si>
    <t>C0942</t>
  </si>
  <si>
    <t>VŨ TUẤN HƯNG</t>
  </si>
  <si>
    <t>Junior Strategic Partnership</t>
  </si>
  <si>
    <t>C0943</t>
  </si>
  <si>
    <t>ĐẶNG THÁI TRƯỜNG</t>
  </si>
  <si>
    <t>C0944</t>
  </si>
  <si>
    <t>VÕ ĐẶNG THÀNH ĐOÀN</t>
  </si>
  <si>
    <t>Baker Sous Chef</t>
  </si>
  <si>
    <t>C0945</t>
  </si>
  <si>
    <t>NGUYỄN TIẾN THẮNG</t>
  </si>
  <si>
    <t>C0946</t>
  </si>
  <si>
    <t>BÙI HOÀNG BẢO XUYẾN</t>
  </si>
  <si>
    <t>C0948</t>
  </si>
  <si>
    <t>HUỲNH MINH VY</t>
  </si>
  <si>
    <t>C0949</t>
  </si>
  <si>
    <t>NGUYỄN VŨ NGỌC MINH</t>
  </si>
  <si>
    <t>C0950</t>
  </si>
  <si>
    <t>NGUYỄN THỊ NGỌC MAI</t>
  </si>
  <si>
    <t>C0952</t>
  </si>
  <si>
    <t>LÊ THỊ THANH TRÀ</t>
  </si>
  <si>
    <t>C0956</t>
  </si>
  <si>
    <t>NGUYỄN THỊ THÙY NHI</t>
  </si>
  <si>
    <t>Legal Executive</t>
  </si>
  <si>
    <t>C0957</t>
  </si>
  <si>
    <t>NGÔ THANH TUẤN</t>
  </si>
  <si>
    <t>C0958</t>
  </si>
  <si>
    <t>NGUYỄN DƯƠNG ĐĂNG KHOA</t>
  </si>
  <si>
    <t>C0959</t>
  </si>
  <si>
    <t>HUỲNH PHẠM THANH THƯ</t>
  </si>
  <si>
    <t>C0960</t>
  </si>
  <si>
    <t>HUỲNH DIỆP THANH VY</t>
  </si>
  <si>
    <t>C0961</t>
  </si>
  <si>
    <t>NGUYỄN HOÀNG THU</t>
  </si>
  <si>
    <t>C0964</t>
  </si>
  <si>
    <t>VƯƠNG NGỌC MINH ANH</t>
  </si>
  <si>
    <t>C0967</t>
  </si>
  <si>
    <t>NGÔ BÍCH XUÂN</t>
  </si>
  <si>
    <t>C0968</t>
  </si>
  <si>
    <t>C0969</t>
  </si>
  <si>
    <t>NGUYỄN THỊ YẾN</t>
  </si>
  <si>
    <t>C0970</t>
  </si>
  <si>
    <t>LÊ THỊ PHƯƠNG</t>
  </si>
  <si>
    <t>C0971</t>
  </si>
  <si>
    <t>ĐỖ QUỲNH ANH</t>
  </si>
  <si>
    <t>C0972</t>
  </si>
  <si>
    <t>NGUYỄN MINH TRANG</t>
  </si>
  <si>
    <t>C0973</t>
  </si>
  <si>
    <t>DƯƠNG HOÀNG SƠN</t>
  </si>
  <si>
    <t>C0974</t>
  </si>
  <si>
    <t>ĐỖ THỊ HỒNG YẾN</t>
  </si>
  <si>
    <t>C0975</t>
  </si>
  <si>
    <t>ĐINH PHƯỚC THỊNH</t>
  </si>
  <si>
    <t>C0976</t>
  </si>
  <si>
    <t>TRỊNH QUỐC SƠN</t>
  </si>
  <si>
    <t>C0977</t>
  </si>
  <si>
    <t>TRẦN THỊ KIỀU OANH</t>
  </si>
  <si>
    <t>C0979</t>
  </si>
  <si>
    <t>TRẦN HÀ THANH NGÂN</t>
  </si>
  <si>
    <t>C0980</t>
  </si>
  <si>
    <t>BÀNH MINH CHÍ</t>
  </si>
  <si>
    <t>C0991</t>
  </si>
  <si>
    <t>NGUYỄN MINH THOẠI</t>
  </si>
  <si>
    <t>C0981</t>
  </si>
  <si>
    <t>NGUYỄN THỊ THANH NGÂN</t>
  </si>
  <si>
    <t>C0999</t>
  </si>
  <si>
    <t>NGUYỄN PHÚC KHANG</t>
  </si>
  <si>
    <t>C0985</t>
  </si>
  <si>
    <t>DƯƠNG NHƯ NGỌC</t>
  </si>
  <si>
    <t>C&amp;B Intern</t>
  </si>
  <si>
    <t>C0982</t>
  </si>
  <si>
    <t>TRẦN THỊ MINH THƯ</t>
  </si>
  <si>
    <t>Senior C&amp;B</t>
  </si>
  <si>
    <t>C0984</t>
  </si>
  <si>
    <t>VŨ TRẦN THỤC HOAN</t>
  </si>
  <si>
    <t>C0983</t>
  </si>
  <si>
    <t>TẠ PHÚC HY</t>
  </si>
  <si>
    <t>Junior Graphic Designer</t>
  </si>
  <si>
    <t>C1007</t>
  </si>
  <si>
    <t>HUỲNH PHẠM BẢO PHƯƠNG</t>
  </si>
  <si>
    <t>Customer Service Manager</t>
  </si>
  <si>
    <t>C1010</t>
  </si>
  <si>
    <t>NGUYỄN THỊ THU TRANG</t>
  </si>
  <si>
    <t>C1013</t>
  </si>
  <si>
    <t>NGUYỄN VŨ NGỌC HÀ</t>
  </si>
  <si>
    <t>C1011</t>
  </si>
  <si>
    <t>NGUYỄN PHAN MINH TRÂN</t>
  </si>
  <si>
    <t>C0876</t>
  </si>
  <si>
    <t>NGUYỄN THÙY GIANG</t>
  </si>
  <si>
    <t>C1019</t>
  </si>
  <si>
    <t>ĐỖ THỊ LINH KHA</t>
  </si>
  <si>
    <t>C1020</t>
  </si>
  <si>
    <t>LÊ THỊ NHƯ TRANG</t>
  </si>
  <si>
    <t>C0814</t>
  </si>
  <si>
    <t>VÕ VIẾT ANH HÙNG</t>
  </si>
  <si>
    <t>C1022</t>
  </si>
  <si>
    <t>MAI NHƯ THIÊN ANH</t>
  </si>
  <si>
    <t>C1023</t>
  </si>
  <si>
    <t>PHAN THỊ TRÀ MY</t>
  </si>
  <si>
    <t>C1024</t>
  </si>
  <si>
    <t>LÊ HỒNG NHO</t>
  </si>
  <si>
    <t>C1025</t>
  </si>
  <si>
    <t>ĐÀO TRUNG HIẾU</t>
  </si>
  <si>
    <t>C1026</t>
  </si>
  <si>
    <t>TRẦN NGỌC KHÁNH</t>
  </si>
  <si>
    <t>C1012</t>
  </si>
  <si>
    <t>NGÔ THANH TÚ</t>
  </si>
  <si>
    <t>C1027</t>
  </si>
  <si>
    <t>VƯƠNG ĐÌNH THÙY ANH</t>
  </si>
  <si>
    <t>C1028</t>
  </si>
  <si>
    <t>LÊ XUÂN MAI</t>
  </si>
  <si>
    <t>C1030</t>
  </si>
  <si>
    <t>TĂNG BẢO NHI</t>
  </si>
  <si>
    <t>C1031</t>
  </si>
  <si>
    <t>PHAN THỊ HỒNG ĐOAN</t>
  </si>
  <si>
    <t>C1032</t>
  </si>
  <si>
    <t>QUÁCH THỊ DIỆU ÁI</t>
  </si>
  <si>
    <t>C1033</t>
  </si>
  <si>
    <t>HUỲNH VŨ TRƯỜNG</t>
  </si>
  <si>
    <t>C1034</t>
  </si>
  <si>
    <t>TRẦN THÚY LÀNH</t>
  </si>
  <si>
    <t>C1035</t>
  </si>
  <si>
    <t>ĐỖ THÀNH THANH VY</t>
  </si>
  <si>
    <t>Receiver</t>
  </si>
  <si>
    <t>C1036</t>
  </si>
  <si>
    <t>C1037</t>
  </si>
  <si>
    <t>NGUYỄN THỊ THU THẢO</t>
  </si>
  <si>
    <t>C1038</t>
  </si>
  <si>
    <t>NGUYỄN ANH SANG</t>
  </si>
  <si>
    <t>C1039</t>
  </si>
  <si>
    <t>LÊ TRẦN KIM TRANG</t>
  </si>
  <si>
    <t>C0173</t>
  </si>
  <si>
    <t>ĐÀO NGỌC HIỀN</t>
  </si>
  <si>
    <t>C1042</t>
  </si>
  <si>
    <t>BÙI MINH ĐÔNG ANH</t>
  </si>
  <si>
    <t>C1044</t>
  </si>
  <si>
    <t>TRẦN HUỲNH THANH VÂN</t>
  </si>
  <si>
    <t>C1045</t>
  </si>
  <si>
    <t>TRƯƠNG THỊ MỸ ANH</t>
  </si>
  <si>
    <t>C1046</t>
  </si>
  <si>
    <t>LÝ MỸ NHI</t>
  </si>
  <si>
    <t>C1047</t>
  </si>
  <si>
    <t>VŨ HOÀNG YẾN NHI</t>
  </si>
  <si>
    <t>C0788</t>
  </si>
  <si>
    <t>VÕ THẢO NHƯ</t>
  </si>
  <si>
    <t>C1049</t>
  </si>
  <si>
    <t>MAI LAN NGỌC</t>
  </si>
  <si>
    <t>Midweight Graphic Designer</t>
  </si>
  <si>
    <t>C0852</t>
  </si>
  <si>
    <t>ĐỖ HUỲNH NHƯ</t>
  </si>
  <si>
    <t>C1053</t>
  </si>
  <si>
    <t>VÕ HOÀNG ANH THƯ</t>
  </si>
  <si>
    <t>C1054</t>
  </si>
  <si>
    <t>NGUYỄN NHẬT HOÀNG KIM</t>
  </si>
  <si>
    <t>C1055</t>
  </si>
  <si>
    <t>NGUYỄN NGUYÊN LINH MỸ</t>
  </si>
  <si>
    <t>C1048</t>
  </si>
  <si>
    <t>ĐẶNG TRẦN ÁNH THƯ</t>
  </si>
  <si>
    <t>Sales Admin Executive</t>
  </si>
  <si>
    <t>C1058</t>
  </si>
  <si>
    <t>NGÔ HOÀNG GIA</t>
  </si>
  <si>
    <t>C0855</t>
  </si>
  <si>
    <t>NGUYỄN HOÀNG QUỲNH NHƯ</t>
  </si>
  <si>
    <t>C0904</t>
  </si>
  <si>
    <t>NGUYỄN THỊ MỸ HUYỀN</t>
  </si>
  <si>
    <t>C1065</t>
  </si>
  <si>
    <t>C1067</t>
  </si>
  <si>
    <t>PHAN VĂN KHẢI</t>
  </si>
  <si>
    <t>C1060</t>
  </si>
  <si>
    <t>NGUYỄN ĐẶNG NHƯ Ý</t>
  </si>
  <si>
    <t>C1068</t>
  </si>
  <si>
    <t>C1081</t>
  </si>
  <si>
    <t>TRẦN NGUYỄN THẢO VY</t>
  </si>
  <si>
    <t>C0376</t>
  </si>
  <si>
    <t>LÊ HOÀNG GIA LINH</t>
  </si>
  <si>
    <t>TET</t>
  </si>
  <si>
    <t>Commis Tet</t>
  </si>
  <si>
    <t>C0778</t>
  </si>
  <si>
    <t>NGUYỄN VŨ YẾN PHƯƠNG</t>
  </si>
  <si>
    <t>C1085</t>
  </si>
  <si>
    <t>PHẠM THỊ NGỌC MAI</t>
  </si>
  <si>
    <t>C1084</t>
  </si>
  <si>
    <t>NGUYỄN VŨ LONG</t>
  </si>
  <si>
    <t>C1070</t>
  </si>
  <si>
    <t>LÊ BẢO NGỌC</t>
  </si>
  <si>
    <t>C0824</t>
  </si>
  <si>
    <t>TRẦN MINH ĐỨC</t>
  </si>
  <si>
    <t>C0966</t>
  </si>
  <si>
    <t>ĐINH THỊ KHÁNH PHƯƠNG</t>
  </si>
  <si>
    <t>C0915</t>
  </si>
  <si>
    <t>NGUYỄN THỊ THU HỒNG</t>
  </si>
  <si>
    <t>Packaging Tet</t>
  </si>
  <si>
    <t>C0843</t>
  </si>
  <si>
    <t>DƯƠNG QUỲNH NHƯ</t>
  </si>
  <si>
    <t>C1098</t>
  </si>
  <si>
    <t>MAI NGỌC TRÂM</t>
  </si>
  <si>
    <t>Corporate Sales Manager</t>
  </si>
  <si>
    <t>C1091</t>
  </si>
  <si>
    <t>VÕ BÍCH QUYÊN</t>
  </si>
  <si>
    <t>C1096</t>
  </si>
  <si>
    <t>LÊ HỒNG NGỌC</t>
  </si>
  <si>
    <t>C1088</t>
  </si>
  <si>
    <t>TRẦN MINH HOÀNG</t>
  </si>
  <si>
    <t>C1099</t>
  </si>
  <si>
    <t>NGUYỄN VĂN KHANG</t>
  </si>
  <si>
    <t>Corporate Sales Support</t>
  </si>
  <si>
    <t>C1093</t>
  </si>
  <si>
    <t>C1090</t>
  </si>
  <si>
    <t xml:space="preserve">PHẠM TRẦN NGỌC THANH </t>
  </si>
  <si>
    <t>C0918</t>
  </si>
  <si>
    <t>VÕ HỒNG NHƯ MAI</t>
  </si>
  <si>
    <t>C1100</t>
  </si>
  <si>
    <t>NGUYỄN ĐOÀN XUÂN NGUYÊN</t>
  </si>
  <si>
    <t>C1101</t>
  </si>
  <si>
    <t>NGUYỄN THỊ PHƯƠNG MAI</t>
  </si>
  <si>
    <t>C1102</t>
  </si>
  <si>
    <t>NGUYỄN THỊ KIM SÁCH</t>
  </si>
  <si>
    <t>C0963</t>
  </si>
  <si>
    <t>VÕ THỊ THÚY NGA</t>
  </si>
  <si>
    <t>C0888</t>
  </si>
  <si>
    <t>THÁI HUỲNH TRÚC TÂM</t>
  </si>
  <si>
    <t>C0867</t>
  </si>
  <si>
    <t>TRẦN HỒ QUỲNH HƯƠNG</t>
  </si>
  <si>
    <t>C1105</t>
  </si>
  <si>
    <t>LÔ QUỐC HÒA</t>
  </si>
  <si>
    <t>C1095</t>
  </si>
  <si>
    <t>TRẦN LÊ THẢO NGUYÊN</t>
  </si>
  <si>
    <t>C1103</t>
  </si>
  <si>
    <t>TRẦN XUÂN CƯỜNG</t>
  </si>
  <si>
    <t>C1104</t>
  </si>
  <si>
    <t>NGUYỄN THỊ MINH TUYẾN</t>
  </si>
  <si>
    <t>Senior Procurement &amp; Finance Analyst</t>
  </si>
  <si>
    <t>C0955</t>
  </si>
  <si>
    <t>LÊ THU HUYỀN</t>
  </si>
  <si>
    <t>C0845</t>
  </si>
  <si>
    <t>C0870</t>
  </si>
  <si>
    <t>LÊ HOÀNG ANH KIỆT</t>
  </si>
  <si>
    <t>C1111</t>
  </si>
  <si>
    <t>HUỲNH DƯƠNG GIA HÂN</t>
  </si>
  <si>
    <t>C1112</t>
  </si>
  <si>
    <t>NGUYỄN THỊ HUYỀN</t>
  </si>
  <si>
    <t>C1113</t>
  </si>
  <si>
    <t>ĐẶNG LÊ HỒNG PHÚC</t>
  </si>
  <si>
    <t>C1115</t>
  </si>
  <si>
    <t>ĐINH NGUYỄN HOÀNG THẢO NHI</t>
  </si>
  <si>
    <t>C0387</t>
  </si>
  <si>
    <t>TRẦN VŨ NGỌC THẢO</t>
  </si>
  <si>
    <t>C1122</t>
  </si>
  <si>
    <t>HUỲNH THỊ THẢO TRANG</t>
  </si>
  <si>
    <t>C1125</t>
  </si>
  <si>
    <t>HUỲNH NGÔ ANH THƯ</t>
  </si>
  <si>
    <t>C1127</t>
  </si>
  <si>
    <t>NGUYỄN NGỌC NHƯ Ý</t>
  </si>
  <si>
    <t>C0823</t>
  </si>
  <si>
    <t>NGUYỄN ĐÌNH MINH HOÀNG</t>
  </si>
  <si>
    <t>C1129</t>
  </si>
  <si>
    <t>Commis Chef</t>
  </si>
  <si>
    <t>C1135</t>
  </si>
  <si>
    <t>ĐỖ KHÁNH TÙNG</t>
  </si>
  <si>
    <t>C1136</t>
  </si>
  <si>
    <t>NGUYỄN MAI NGUYÊN</t>
  </si>
  <si>
    <t>C1138</t>
  </si>
  <si>
    <t>HỒ ĐĂNG PHƯƠNG THẢO</t>
  </si>
  <si>
    <t>C1133</t>
  </si>
  <si>
    <t>NGUYỄN THANH KIM NGÂN</t>
  </si>
  <si>
    <t>C1141</t>
  </si>
  <si>
    <t>KIM NHẬT THÀNH</t>
  </si>
  <si>
    <t>C0809</t>
  </si>
  <si>
    <t>NGUYỄN VĂN SINH</t>
  </si>
  <si>
    <t>C1041</t>
  </si>
  <si>
    <t>TRẦN BÁ BỘI</t>
  </si>
  <si>
    <t>C1154</t>
  </si>
  <si>
    <t>C1151</t>
  </si>
  <si>
    <t>NGUYỄN TUẤN SANG</t>
  </si>
  <si>
    <t>C1150</t>
  </si>
  <si>
    <t>C1153</t>
  </si>
  <si>
    <t>NGUYỄN HẢI Ý NHI</t>
  </si>
  <si>
    <t>C1152</t>
  </si>
  <si>
    <t>ĐẶNG QUANG HIỆP</t>
  </si>
  <si>
    <t>C1144</t>
  </si>
  <si>
    <t>CHUNG ĐẶNG MINH HOÀNG</t>
  </si>
  <si>
    <t>C1146</t>
  </si>
  <si>
    <t>LÊ QUỲNH GIẢNG UYÊN</t>
  </si>
  <si>
    <t>C1148</t>
  </si>
  <si>
    <t>C1159</t>
  </si>
  <si>
    <t>TRẦN THỊ CẨM TÚ</t>
  </si>
  <si>
    <t>C1147</t>
  </si>
  <si>
    <t>ĐẶNG THỊ NGỌC TRÂM</t>
  </si>
  <si>
    <t>C1156</t>
  </si>
  <si>
    <t>TRƯƠNG HOÀNG VŨ</t>
  </si>
  <si>
    <t>C1157</t>
  </si>
  <si>
    <t>PHẠM ĐÌNH PHÁT</t>
  </si>
  <si>
    <t>C1161</t>
  </si>
  <si>
    <t>TRẦN NHƯ QUỲNH</t>
  </si>
  <si>
    <t>C1160</t>
  </si>
  <si>
    <t>NGUYỄN THỊ MỸ NGỌC</t>
  </si>
  <si>
    <t>C1166</t>
  </si>
  <si>
    <t>NGUYỄN DANH HIẾU</t>
  </si>
  <si>
    <t>C0854</t>
  </si>
  <si>
    <t xml:space="preserve">TRƯƠNG LONG CAN </t>
  </si>
  <si>
    <t>C0656</t>
  </si>
  <si>
    <t>C1145</t>
  </si>
  <si>
    <t>TRẦN VĂN HÒA</t>
  </si>
  <si>
    <t>QA/QC Manager</t>
  </si>
  <si>
    <t>C1149</t>
  </si>
  <si>
    <t>BÙI HIỂN VINH</t>
  </si>
  <si>
    <t>C1158</t>
  </si>
  <si>
    <t>C1168</t>
  </si>
  <si>
    <t>TRẦN GIA KIỆN</t>
  </si>
  <si>
    <t>C0339</t>
  </si>
  <si>
    <t>NGUYỄN HỒNG QUÂN</t>
  </si>
  <si>
    <t>C1165</t>
  </si>
  <si>
    <t>PHẠM THỊ MINH TÂM</t>
  </si>
  <si>
    <t>C1169</t>
  </si>
  <si>
    <t>C0928</t>
  </si>
  <si>
    <t>PHẠM THỊ NGỌC HIỀN</t>
  </si>
  <si>
    <t>C1171</t>
  </si>
  <si>
    <t>TRẦN NGỌC HÂN</t>
  </si>
  <si>
    <t>Sales Tet</t>
  </si>
  <si>
    <t>C0560</t>
  </si>
  <si>
    <t>NGUYỄN THỊ QUỲNH MAI</t>
  </si>
  <si>
    <t>C1180</t>
  </si>
  <si>
    <t>TRẦN BẢO TRÂN</t>
  </si>
  <si>
    <t>C1177</t>
  </si>
  <si>
    <t>THẠCH THÁI TOÀN</t>
  </si>
  <si>
    <t>C1183</t>
  </si>
  <si>
    <t>TRẦN LÊ KHANH</t>
  </si>
  <si>
    <t>C1172</t>
  </si>
  <si>
    <t>PHẠM THỊ BÍCH HẰNG</t>
  </si>
  <si>
    <t>C1173</t>
  </si>
  <si>
    <t>PHẠM NGỌC ANH KHOA</t>
  </si>
  <si>
    <t>C1174</t>
  </si>
  <si>
    <t>NGUYỄN THUỴ DIỄM THI</t>
  </si>
  <si>
    <t>C1176</t>
  </si>
  <si>
    <t>VÕ NGUYỄN THỤC NHƯ</t>
  </si>
  <si>
    <t>C1178</t>
  </si>
  <si>
    <t>NGUYỄN HOÀNG MINH THƯ</t>
  </si>
  <si>
    <t>C0909</t>
  </si>
  <si>
    <t>NGUYỄN LÊ QUỐC BẢO</t>
  </si>
  <si>
    <t>C1187</t>
  </si>
  <si>
    <t>LƯƠNG GIA BẢO</t>
  </si>
  <si>
    <t>C1185</t>
  </si>
  <si>
    <t>NGUYỄN GIA HIẾU NHÂN</t>
  </si>
  <si>
    <t>C1186</t>
  </si>
  <si>
    <t>NGUYỄN NGỌC KIM NGÂN</t>
  </si>
  <si>
    <t>Sales Executive</t>
  </si>
  <si>
    <t>C1193</t>
  </si>
  <si>
    <t>TRƯƠNG HOA XUÂN QUỲNH</t>
  </si>
  <si>
    <t>C1198</t>
  </si>
  <si>
    <t xml:space="preserve">NGUYỄN NGỌC QUỲNH NHI </t>
  </si>
  <si>
    <t>C1197</t>
  </si>
  <si>
    <t>BÙI PHƯƠNG ANH</t>
  </si>
  <si>
    <t>C1199</t>
  </si>
  <si>
    <t>LÊ ANH NGHI</t>
  </si>
  <si>
    <t>C1192</t>
  </si>
  <si>
    <t>HỒ NGUYỄN ĐẮC THỊNH</t>
  </si>
  <si>
    <t>C1188</t>
  </si>
  <si>
    <t>ĐẶNG HOÀNG KHÁNH QUỲNH</t>
  </si>
  <si>
    <t>C1191</t>
  </si>
  <si>
    <t>NGUYỄN ĐĂNG NAM KHA</t>
  </si>
  <si>
    <t>C1190</t>
  </si>
  <si>
    <t>NGUYỄN ĐẶNG SONG TOÀN</t>
  </si>
  <si>
    <t>C1195</t>
  </si>
  <si>
    <t>NGUYỄN THỊ NGỌC HÂN</t>
  </si>
  <si>
    <t>C1194</t>
  </si>
  <si>
    <t>LÊ KIM HẰNG</t>
  </si>
  <si>
    <t>C1200</t>
  </si>
  <si>
    <t>NGUYỄN THỊ NGỌC TỐT</t>
  </si>
  <si>
    <t>C1189</t>
  </si>
  <si>
    <t>DE MECQUENEM PIERE ANTOINE MARC</t>
  </si>
  <si>
    <t>Production Chef</t>
  </si>
  <si>
    <t>C1202</t>
  </si>
  <si>
    <t>ĐOÀN BẢO TUẤN</t>
  </si>
  <si>
    <t>C1203</t>
  </si>
  <si>
    <t>NGUYỄN QUỲNH NHẬT LAM</t>
  </si>
  <si>
    <t>C1204</t>
  </si>
  <si>
    <t>NGUYỄN TẤN DUY AN</t>
  </si>
  <si>
    <t>C0940</t>
  </si>
  <si>
    <t>HUỲNH NGUYỄN MỸ DUYÊN</t>
  </si>
  <si>
    <t>C0354</t>
  </si>
  <si>
    <t>HUỲNH THỊ CẨM THÚY</t>
  </si>
  <si>
    <t>C1221</t>
  </si>
  <si>
    <t>ĐẶNG NGUYỄN PHƯƠNG UYÊN</t>
  </si>
  <si>
    <t>C1227</t>
  </si>
  <si>
    <t>TỪ VẬN ĐÌNH</t>
  </si>
  <si>
    <t>C1220</t>
  </si>
  <si>
    <t>NGUYỄN HOÀNG VŨ</t>
  </si>
  <si>
    <t>Barista Tet</t>
  </si>
  <si>
    <t>C1206</t>
  </si>
  <si>
    <t>TRẦN THỊ NGỌC MẪN</t>
  </si>
  <si>
    <t>C1225</t>
  </si>
  <si>
    <t>NGUYỄN NGỌC THẢO NHI</t>
  </si>
  <si>
    <t>C1218</t>
  </si>
  <si>
    <t>NGUYỄN HUỲNH THẢO VY</t>
  </si>
  <si>
    <t>C1223</t>
  </si>
  <si>
    <t>LÊ HỮU LỘC</t>
  </si>
  <si>
    <t>C0536</t>
  </si>
  <si>
    <t>BẠCH HUỲNH ĐỨC</t>
  </si>
  <si>
    <t>C1216</t>
  </si>
  <si>
    <t>ĐỖ THANH HOÀNG</t>
  </si>
  <si>
    <t>C1208</t>
  </si>
  <si>
    <t>TRẦN QUỐC KHÁNH</t>
  </si>
  <si>
    <t>Bartender Tet</t>
  </si>
  <si>
    <t>C1214</t>
  </si>
  <si>
    <t>NGUYỄN THỊ THU HÀ</t>
  </si>
  <si>
    <t>Waitstaff Tet</t>
  </si>
  <si>
    <t>C1215</t>
  </si>
  <si>
    <t>PHẠM TRỌNG NGUYỄN</t>
  </si>
  <si>
    <t>C1209</t>
  </si>
  <si>
    <t>C1210</t>
  </si>
  <si>
    <t>C1211</t>
  </si>
  <si>
    <t>C1212</t>
  </si>
  <si>
    <t>NGUYẾN PHƯƠNG NAM</t>
  </si>
  <si>
    <t>C0231</t>
  </si>
  <si>
    <t>NGUYỄN TƯỜNG THẢO NGUYÊN</t>
  </si>
  <si>
    <t>C1231</t>
  </si>
  <si>
    <t>TRỊNH MAI TRINH</t>
  </si>
  <si>
    <t>C1238</t>
  </si>
  <si>
    <t>NGUYỄN THÀNH TRUNG</t>
  </si>
  <si>
    <t>C1240</t>
  </si>
  <si>
    <t>PHẠM THẢO NGUYÊN</t>
  </si>
  <si>
    <t>C1232</t>
  </si>
  <si>
    <t>C1239</t>
  </si>
  <si>
    <t>LƯƠNG ÁI HƯƠNG ESTELLE</t>
  </si>
  <si>
    <t>C1205</t>
  </si>
  <si>
    <t>HOÀNG THIÊN TRANG</t>
  </si>
  <si>
    <t>C1234</t>
  </si>
  <si>
    <t>PHẠM BẢO HÂN</t>
  </si>
  <si>
    <t>C1244</t>
  </si>
  <si>
    <t>TRẦN GIA KHÁNH HẰNG</t>
  </si>
  <si>
    <t>C1245</t>
  </si>
  <si>
    <t>TRẦN ĐÌNH VÂN KHANH</t>
  </si>
  <si>
    <t>C1246</t>
  </si>
  <si>
    <t>TRẦN THỊ BÍCH NGỌC</t>
  </si>
  <si>
    <t>C1132</t>
  </si>
  <si>
    <t>NGUYỄN LÊ MINH XUÂN</t>
  </si>
  <si>
    <t>Packaging Wmd</t>
  </si>
  <si>
    <t>C1242</t>
  </si>
  <si>
    <t>C1249</t>
  </si>
  <si>
    <t>PHAN HUY ĐẠT</t>
  </si>
  <si>
    <t>C1247</t>
  </si>
  <si>
    <t>DƯƠNG BẢO TRANG</t>
  </si>
  <si>
    <t>C1253</t>
  </si>
  <si>
    <t>TRẦN THỊ UYỂN NHI</t>
  </si>
  <si>
    <t>C1252</t>
  </si>
  <si>
    <t>LÊ MAI ANH THI</t>
  </si>
  <si>
    <t>C1254</t>
  </si>
  <si>
    <t>HỒ HOÀNG VÂN</t>
  </si>
  <si>
    <t>C1255</t>
  </si>
  <si>
    <t>NGUYỄN TẤN PHÁT</t>
  </si>
  <si>
    <t>C1264</t>
  </si>
  <si>
    <t>NGUYỄN MINH LẬP</t>
  </si>
  <si>
    <t>C1261</t>
  </si>
  <si>
    <t>ĐOÀN THỊ QUỲNH HÂN</t>
  </si>
  <si>
    <t>C1250</t>
  </si>
  <si>
    <t>VŨ AN NHIÊN</t>
  </si>
  <si>
    <t>C1257</t>
  </si>
  <si>
    <t>LÊ THỊ XUÂN</t>
  </si>
  <si>
    <t>C1260</t>
  </si>
  <si>
    <t>LÊ XUÂN LAN</t>
  </si>
  <si>
    <t>C1259</t>
  </si>
  <si>
    <t>LÊ ÁI TRÂN</t>
  </si>
  <si>
    <t>C1256</t>
  </si>
  <si>
    <t>C1258</t>
  </si>
  <si>
    <t>Commis Mooncake R&amp;D</t>
  </si>
  <si>
    <t>C1262</t>
  </si>
  <si>
    <t>LƯU KIM LONG</t>
  </si>
  <si>
    <t>C1248</t>
  </si>
  <si>
    <t>NGUYỄN ĐĂNG DƯƠNG</t>
  </si>
  <si>
    <t>C1266</t>
  </si>
  <si>
    <t>HOÀNG MINH HOÀNG</t>
  </si>
  <si>
    <t>CDP Mooncake R&amp;D</t>
  </si>
  <si>
    <t>C1263</t>
  </si>
  <si>
    <t>LÊ TUẤN VỸ</t>
  </si>
  <si>
    <t>C1272</t>
  </si>
  <si>
    <t>C1268</t>
  </si>
  <si>
    <t>NGUYỄN THIÊN DUY KHANG</t>
  </si>
  <si>
    <t>C1269</t>
  </si>
  <si>
    <t>NGÔ BẢO TRINH</t>
  </si>
  <si>
    <t>C1265</t>
  </si>
  <si>
    <t xml:space="preserve">PHẠM NGUYỄN MỸ TÚ </t>
  </si>
  <si>
    <t>C1274</t>
  </si>
  <si>
    <t>PHẠM LÊ ANH TÍNH</t>
  </si>
  <si>
    <t>BAKES HAM NGHI</t>
  </si>
  <si>
    <t>Sales Staff</t>
  </si>
  <si>
    <t>C1275</t>
  </si>
  <si>
    <t>HỒ NGỌC BẢO NGÂN</t>
  </si>
  <si>
    <t>C1273</t>
  </si>
  <si>
    <t>NGUYỄN DUY TIÊN</t>
  </si>
  <si>
    <t>C1284</t>
  </si>
  <si>
    <t>ĐẶNG THANH NHI</t>
  </si>
  <si>
    <t>C1279</t>
  </si>
  <si>
    <t>HOÀNG HÀ LINH</t>
  </si>
  <si>
    <t>C1281</t>
  </si>
  <si>
    <t>NGUYỄN ĐÌNH HUY</t>
  </si>
  <si>
    <t>C1286</t>
  </si>
  <si>
    <t>ĐỖ VĂN TUẤN ANH</t>
  </si>
  <si>
    <t>C1280</t>
  </si>
  <si>
    <t>PHẠM NGUYỄN MINH THƯ</t>
  </si>
  <si>
    <t>C1282</t>
  </si>
  <si>
    <t>ĐỒNG THỊ HOA</t>
  </si>
  <si>
    <t>C1291</t>
  </si>
  <si>
    <t>ĐOÀN TRƯỜNG PHI</t>
  </si>
  <si>
    <t>C1300</t>
  </si>
  <si>
    <t>HOÀNG CHÂN YẾN LINH</t>
  </si>
  <si>
    <t>C1288</t>
  </si>
  <si>
    <t>CAO THỊ THU THẢO</t>
  </si>
  <si>
    <t>C1243</t>
  </si>
  <si>
    <t>TRẦN THANH THẢO</t>
  </si>
  <si>
    <t>Content Creator - Tiktok Specialization</t>
  </si>
  <si>
    <t>C1277</t>
  </si>
  <si>
    <t>NGUYỄN GIA HÀO</t>
  </si>
  <si>
    <t>C1296</t>
  </si>
  <si>
    <t>VŨ NHẬT LINH</t>
  </si>
  <si>
    <t>Hr Intern</t>
  </si>
  <si>
    <t>C1292</t>
  </si>
  <si>
    <t>BÙI LÊ PHÚC THỊNH</t>
  </si>
  <si>
    <t>C1293</t>
  </si>
  <si>
    <t>NGUYỄN QUANG KỲ ANH</t>
  </si>
  <si>
    <t>C1303</t>
  </si>
  <si>
    <t>VÕ THUỲ DƯƠNG</t>
  </si>
  <si>
    <t>C1308</t>
  </si>
  <si>
    <t>LÊ CAO QUANG NGỌC LINH</t>
  </si>
  <si>
    <t>C1290</t>
  </si>
  <si>
    <t>NGUYỄN THỊ HOÀI THƯƠNG</t>
  </si>
  <si>
    <t>C1301</t>
  </si>
  <si>
    <t>ĐỖ PHƯƠNG LINH</t>
  </si>
  <si>
    <t>C1309</t>
  </si>
  <si>
    <t>TRỊNH THANH KHÁNH NGUYÊN</t>
  </si>
  <si>
    <t>Team Member</t>
  </si>
  <si>
    <t>C1310</t>
  </si>
  <si>
    <t>TRẦN THỊ NGUYỆT HẰNG</t>
  </si>
  <si>
    <t>C1304</t>
  </si>
  <si>
    <t>VŨ MAI ANH</t>
  </si>
  <si>
    <t>C1318</t>
  </si>
  <si>
    <t>DƯƠNG THỊ THU TRÂM</t>
  </si>
  <si>
    <t>C1305</t>
  </si>
  <si>
    <t>ĐOÀN KHẮC HUY</t>
  </si>
  <si>
    <t>C1311</t>
  </si>
  <si>
    <t>VÕ NGUYỄN SONG NHƯ</t>
  </si>
  <si>
    <t>C1312</t>
  </si>
  <si>
    <t>NGUYỄN MINH THÀNH PHƯƠNG</t>
  </si>
  <si>
    <t>C1316</t>
  </si>
  <si>
    <t>LÊ HỒNG HẠNH</t>
  </si>
  <si>
    <t>C1313</t>
  </si>
  <si>
    <t>HỒ THỊ THANH TÂM</t>
  </si>
  <si>
    <t>C1320</t>
  </si>
  <si>
    <t>LÊ HOÀNG YẾN</t>
  </si>
  <si>
    <t>Sales Leader</t>
  </si>
  <si>
    <t>C1283</t>
  </si>
  <si>
    <t>ĐẶNG TUYẾT QUÂN</t>
  </si>
  <si>
    <t>C1319</t>
  </si>
  <si>
    <t>TRẦN TẤN NHẪN</t>
  </si>
  <si>
    <t>C1321</t>
  </si>
  <si>
    <t>HOÀNG VĂN TRUNG</t>
  </si>
  <si>
    <t>CTV Sales</t>
  </si>
  <si>
    <t>C1314</t>
  </si>
  <si>
    <t>NGUYỄN NGỌC QUÝ TIÊN</t>
  </si>
  <si>
    <t>C1315</t>
  </si>
  <si>
    <t>PHAN TRẦN HỮU NHƠN</t>
  </si>
  <si>
    <t>C1324</t>
  </si>
  <si>
    <t>TRẦN THỊ UYÊN THI</t>
  </si>
  <si>
    <t>C1327</t>
  </si>
  <si>
    <t>HUỲNH QUẾ BÌNH</t>
  </si>
  <si>
    <t>C1329</t>
  </si>
  <si>
    <t>ĐẶNG NGUYỄN YÊN THẢO</t>
  </si>
  <si>
    <t>C1331</t>
  </si>
  <si>
    <t>MAI KHÁNH DU</t>
  </si>
  <si>
    <t>C1298</t>
  </si>
  <si>
    <t>TRẦN THUÝ LÀNH</t>
  </si>
  <si>
    <t>C1339</t>
  </si>
  <si>
    <t>NGUYỄN THANH TIỀN</t>
  </si>
  <si>
    <t>C1332</t>
  </si>
  <si>
    <t>NGUYỄN ANH VŨ</t>
  </si>
  <si>
    <t>C1325</t>
  </si>
  <si>
    <t>TẤT NGŨ KIM PHƯƠNG</t>
  </si>
  <si>
    <t>C1333</t>
  </si>
  <si>
    <t>CHU QUÁCH PHÚC LINH</t>
  </si>
  <si>
    <t>C1323</t>
  </si>
  <si>
    <t>TRỊNH VÂN ANH</t>
  </si>
  <si>
    <t>C1344</t>
  </si>
  <si>
    <t>LÊ HUỲNH HUÊ</t>
  </si>
  <si>
    <t>C1326</t>
  </si>
  <si>
    <t>NGUYỄN VĂN THANH</t>
  </si>
  <si>
    <t>SHIPPER</t>
  </si>
  <si>
    <t>Shipper</t>
  </si>
  <si>
    <t>C1341</t>
  </si>
  <si>
    <t>TRẦN GIA BẢO</t>
  </si>
  <si>
    <t>C1340</t>
  </si>
  <si>
    <t>VŨ LÊ THANH TÂM</t>
  </si>
  <si>
    <t>C1334</t>
  </si>
  <si>
    <t>NGUYỄN THỊ THÚY VY</t>
  </si>
  <si>
    <t>C1335</t>
  </si>
  <si>
    <t>NGUYỄN THỊ THANH YẾN VY</t>
  </si>
  <si>
    <t>C1336</t>
  </si>
  <si>
    <t>LÊ PHƯƠNG QUYÊN</t>
  </si>
  <si>
    <t>C1352</t>
  </si>
  <si>
    <t>NGUYỄN THANH SANG</t>
  </si>
  <si>
    <t>BAR ROM</t>
  </si>
  <si>
    <t>C1354</t>
  </si>
  <si>
    <t>HOÀNG THỊ BẢO TRÂM</t>
  </si>
  <si>
    <t>C1355</t>
  </si>
  <si>
    <t>C1322</t>
  </si>
  <si>
    <t>ĐÀO NGUYỄN THIÊN Ý</t>
  </si>
  <si>
    <t>C1358</t>
  </si>
  <si>
    <t>ĐẶNG BÍCH TRÂM</t>
  </si>
  <si>
    <t>C1357</t>
  </si>
  <si>
    <t>BUI TRUNG NGHIA</t>
  </si>
  <si>
    <t>C1359</t>
  </si>
  <si>
    <t>HỒ HUỲNH NHƯ</t>
  </si>
  <si>
    <t>C1366</t>
  </si>
  <si>
    <t>HOÀNG TRỌNG LUẬT</t>
  </si>
  <si>
    <t>Bar Manager</t>
  </si>
  <si>
    <t>C1295</t>
  </si>
  <si>
    <t>CAZIN SIMON CLEMENT</t>
  </si>
  <si>
    <t>C1342</t>
  </si>
  <si>
    <t>NGUYỄN HỒNG SƠN</t>
  </si>
  <si>
    <t>Operator</t>
  </si>
  <si>
    <t>C1349</t>
  </si>
  <si>
    <t>C1345</t>
  </si>
  <si>
    <t>C1347</t>
  </si>
  <si>
    <t>NGÔ VÕ BÍCH NGÂN</t>
  </si>
  <si>
    <t>C1337</t>
  </si>
  <si>
    <t>ĐỖ THANH VŨ</t>
  </si>
  <si>
    <t>C1343</t>
  </si>
  <si>
    <t>NGUYỄN HOÀNG PHÚC</t>
  </si>
  <si>
    <t>C1350</t>
  </si>
  <si>
    <t>C1351</t>
  </si>
  <si>
    <t>BÙI LÊ ANH KHOA</t>
  </si>
  <si>
    <t>C1353</t>
  </si>
  <si>
    <t>ĐỖ MINH HIẾU</t>
  </si>
  <si>
    <t>C1356</t>
  </si>
  <si>
    <t>ĐỚI THỊ KIM PHỤNG</t>
  </si>
  <si>
    <t>C1361</t>
  </si>
  <si>
    <t>CHÂU QUỐC NHẬT QUANG</t>
  </si>
  <si>
    <t>C1360</t>
  </si>
  <si>
    <t>NGUYỄN ĐÌNH KHÁNH VY</t>
  </si>
  <si>
    <t>C1371</t>
  </si>
  <si>
    <t>NGUYỄN MẪN NHƯ</t>
  </si>
  <si>
    <t>C1374</t>
  </si>
  <si>
    <t>TRƯƠNG NGỌC ĐẠI</t>
  </si>
  <si>
    <t>Cook</t>
  </si>
  <si>
    <t>C1368</t>
  </si>
  <si>
    <t>BÙI YẾN TRANG</t>
  </si>
  <si>
    <t>C1369</t>
  </si>
  <si>
    <t>NGUYỄN BÍCH NGỌC</t>
  </si>
  <si>
    <t>C1365</t>
  </si>
  <si>
    <t>NGUYỄN NGỌC MINH TRANG</t>
  </si>
  <si>
    <t>C1364</t>
  </si>
  <si>
    <t>PHAN TRẦN THÀNH CÔNG</t>
  </si>
  <si>
    <t>C1370</t>
  </si>
  <si>
    <t>C1372</t>
  </si>
  <si>
    <t>VŨ MẠNH QUANG</t>
  </si>
  <si>
    <t>C1377</t>
  </si>
  <si>
    <t>NGUYỄN PHÚC TOÀN</t>
  </si>
  <si>
    <t>C1379</t>
  </si>
  <si>
    <t xml:space="preserve">HOÀNG ĐÀO ÂN ÂN </t>
  </si>
  <si>
    <t>C1382</t>
  </si>
  <si>
    <t>TRẦN THỊ HOÀI NHƯ</t>
  </si>
  <si>
    <t>C1392</t>
  </si>
  <si>
    <t>DƯƠNG NGUYỄN QUỲNH GIAO</t>
  </si>
  <si>
    <t>C1385</t>
  </si>
  <si>
    <t>C1381</t>
  </si>
  <si>
    <t>HUỲNH MINH ĐĂNG</t>
  </si>
  <si>
    <t>C1383</t>
  </si>
  <si>
    <t>NGUYỄN TRẦN ANH DUY</t>
  </si>
  <si>
    <t>C1389</t>
  </si>
  <si>
    <t>LÂM HỮU TUẤN</t>
  </si>
  <si>
    <t>C1387</t>
  </si>
  <si>
    <t>NGUYỄN NGỌC KIM TUYỀN</t>
  </si>
  <si>
    <t>C1386</t>
  </si>
  <si>
    <t>CHÂU TRẦN BẢO NHI</t>
  </si>
  <si>
    <t>C1390</t>
  </si>
  <si>
    <t>LÝ KIM XUÂN</t>
  </si>
  <si>
    <t>C1391</t>
  </si>
  <si>
    <t>LÊ NGUYỄN PHÚC LÂN</t>
  </si>
  <si>
    <t>C1367</t>
  </si>
  <si>
    <t>NGUYỄN YẾN TRÀ</t>
  </si>
  <si>
    <t>C1396</t>
  </si>
  <si>
    <t>TRẦN MINH ĐĂNG</t>
  </si>
  <si>
    <t>C1402</t>
  </si>
  <si>
    <t>HỒ LÊ HUYỀN LINH</t>
  </si>
  <si>
    <t>C1380</t>
  </si>
  <si>
    <t>VŨ DIỆU THƯƠNG</t>
  </si>
  <si>
    <t>Brand Designer Intern</t>
  </si>
  <si>
    <t>C1401</t>
  </si>
  <si>
    <t>NGUYỄN HỮU KHANG</t>
  </si>
  <si>
    <t>Beverage Executive</t>
  </si>
  <si>
    <t>C1400</t>
  </si>
  <si>
    <t>LÊ THỊ ÁNH KIỀU</t>
  </si>
  <si>
    <t>Product Development Intern</t>
  </si>
  <si>
    <t>C1405</t>
  </si>
  <si>
    <t>ĐẶNG THÁI THIÊN KHẢI</t>
  </si>
  <si>
    <t>C1393</t>
  </si>
  <si>
    <t>C1397</t>
  </si>
  <si>
    <t>NGUYỄN NGỌC LAN ANH</t>
  </si>
  <si>
    <t>C1398</t>
  </si>
  <si>
    <t>NGUYỄN VÂN NHI</t>
  </si>
  <si>
    <t>C1404</t>
  </si>
  <si>
    <t>TRẦN PHƯƠNG ANH</t>
  </si>
  <si>
    <t>C1384</t>
  </si>
  <si>
    <t>HUỲNH NGỌC THẢO UYÊN</t>
  </si>
  <si>
    <t>C1338</t>
  </si>
  <si>
    <t>TRỊNH NGỌC PHƯƠNG THẢO</t>
  </si>
  <si>
    <t>Senior Trainer</t>
  </si>
  <si>
    <t>C1376</t>
  </si>
  <si>
    <t>PHẠM TÚ QUYÊN</t>
  </si>
  <si>
    <t>C1409</t>
  </si>
  <si>
    <t>C1414</t>
  </si>
  <si>
    <t>NGUYỄN HUỲNH THÁI HUY</t>
  </si>
  <si>
    <t>C1412</t>
  </si>
  <si>
    <t>NGUYỄN TUẤN KIỆT</t>
  </si>
  <si>
    <t>C1407</t>
  </si>
  <si>
    <t>NGUYỄN ĐỨC LỘC</t>
  </si>
  <si>
    <t>Demi Chef</t>
  </si>
  <si>
    <t>C1413</t>
  </si>
  <si>
    <t>LÊ THỊ DI</t>
  </si>
  <si>
    <t>C1417</t>
  </si>
  <si>
    <t>NGUYỄN CAO HOÀNG PHÚC</t>
  </si>
  <si>
    <t>C1421</t>
  </si>
  <si>
    <t>HUỲNH MINH KHA</t>
  </si>
  <si>
    <t>C1419</t>
  </si>
  <si>
    <t>LÊ THẠCH DUY TRƯỜNG</t>
  </si>
  <si>
    <t>C1420</t>
  </si>
  <si>
    <t>NGUYỄN QUỐC ANH CƯỜNG</t>
  </si>
  <si>
    <t>C1410</t>
  </si>
  <si>
    <t>LƯƠNG THUỴ HOÀNG MY</t>
  </si>
  <si>
    <t>C1423</t>
  </si>
  <si>
    <t>HỒ BẢO NGHI</t>
  </si>
  <si>
    <t>Sales Admin</t>
  </si>
  <si>
    <t>C1422</t>
  </si>
  <si>
    <t>TRẦN NGỌC THIÊN</t>
  </si>
  <si>
    <t>C1436</t>
  </si>
  <si>
    <t>C1425</t>
  </si>
  <si>
    <t>PHAN HUỲNH PHI HỔ</t>
  </si>
  <si>
    <t>Cdp</t>
  </si>
  <si>
    <t>C1437</t>
  </si>
  <si>
    <t>C1440</t>
  </si>
  <si>
    <t>VŨ THỊ PHƯƠNG 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</si>
</sst>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12">
    <font>
      <sz val="12"/>
      <color theme="1"/>
      <name val="Calibri"/>
      <scheme val="minor"/>
    </font>
    <font>
      <sz val="9"/>
      <color rgb="FFFFFFFF"/>
      <name val="&quot;Times New Roman&quot;"/>
    </font>
    <font>
      <b/>
      <sz val="9"/>
      <color rgb="FFFFFFFF"/>
      <name val="&quot;Times New Roman&quot;"/>
    </font>
    <font>
      <sz val="9"/>
      <color rgb="FFFF0000"/>
      <name val="Times New Roman"/>
    </font>
    <font>
      <sz val="9"/>
      <color theme="1"/>
      <name val="Times New Roman"/>
    </font>
    <font>
      <sz val="9"/>
      <color rgb="FF000000"/>
      <name val="Times New Roman"/>
    </font>
    <font>
      <b/>
      <sz val="9"/>
      <color theme="4"/>
      <name val="Times New Roman"/>
    </font>
    <font>
      <b/>
      <sz val="9"/>
      <color rgb="FF4472C4"/>
      <name val="Times New Roman"/>
    </font>
    <font>
      <sz val="12"/>
      <color theme="1"/>
      <name val="Calibri"/>
      <scheme val="minor"/>
    </font>
    <font>
      <b/>
      <sz val="12"/>
      <color theme="1"/>
      <name val="Calibri"/>
    </font>
    <font>
      <b/>
      <sz val="9"/>
      <name val="&quot;Times New Roman&quot;"/>
    </font>
    <font>
      <sz val="9"/>
      <name val="&quot;Times New Roman&quot;"/>
    </font>
  </fonts>
  <fills count="8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80808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2" borderId="0" xfId="0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3" fontId="1" fillId="0" borderId="0" xfId="0" applyNumberFormat="1" applyFont="1" applyAlignment="1">
      <alignment horizontal="center" vertical="top" wrapText="1"/>
    </xf>
    <xf numFmtId="0" fontId="4" fillId="3" borderId="1" xfId="0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14" fontId="5" fillId="3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14" fontId="3" fillId="5" borderId="1" xfId="0" applyNumberFormat="1" applyFont="1" applyFill="1" applyBorder="1" applyAlignment="1">
      <alignment horizontal="left" vertical="center" wrapText="1"/>
    </xf>
    <xf numFmtId="14" fontId="5" fillId="5" borderId="1" xfId="0" applyNumberFormat="1" applyFont="1" applyFill="1" applyBorder="1" applyAlignment="1">
      <alignment horizontal="left" vertical="center" wrapText="1"/>
    </xf>
    <xf numFmtId="3" fontId="4" fillId="3" borderId="0" xfId="0" applyNumberFormat="1" applyFont="1" applyFill="1" applyAlignment="1">
      <alignment horizontal="left" vertical="center"/>
    </xf>
    <xf numFmtId="14" fontId="3" fillId="5" borderId="1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/>
    </xf>
    <xf numFmtId="14" fontId="5" fillId="5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4" fillId="5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14" fontId="5" fillId="5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14" fontId="6" fillId="4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14" fontId="5" fillId="5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14" fontId="4" fillId="3" borderId="1" xfId="0" applyNumberFormat="1" applyFont="1" applyFill="1" applyBorder="1" applyAlignment="1">
      <alignment wrapText="1"/>
    </xf>
    <xf numFmtId="49" fontId="8" fillId="0" borderId="0" xfId="0" applyNumberFormat="1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14" fontId="9" fillId="6" borderId="0" xfId="0" applyNumberFormat="1" applyFont="1" applyFill="1" applyAlignment="1">
      <alignment vertical="center" wrapText="1"/>
    </xf>
    <xf numFmtId="14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49" fontId="9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/>
    <xf numFmtId="0" fontId="8" fillId="0" borderId="0" xfId="0" applyFont="1"/>
    <xf numFmtId="49" fontId="8" fillId="0" borderId="0" xfId="0" applyNumberFormat="1" applyFont="1"/>
    <xf numFmtId="14" fontId="8" fillId="0" borderId="0" xfId="0" applyNumberFormat="1" applyFont="1"/>
    <xf numFmtId="49" fontId="10" fillId="7" borderId="0" xfId="0" applyNumberFormat="1" applyFont="1" applyFill="1" applyAlignment="1">
      <alignment horizontal="center" vertical="top" wrapText="1"/>
    </xf>
    <xf numFmtId="49" fontId="11" fillId="7" borderId="0" xfId="0" applyNumberFormat="1" applyFont="1" applyFill="1" applyAlignment="1">
      <alignment horizontal="center" vertical="top" wrapText="1"/>
    </xf>
    <xf numFmtId="0" fontId="11" fillId="7" borderId="0" xfId="0" applyFont="1" applyFill="1" applyAlignment="1">
      <alignment horizontal="center" vertical="top" wrapText="1"/>
    </xf>
  </cellXfs>
  <cellStyles count="1">
    <cellStyle name="Normal" xfId="0" builtinId="0"/>
  </cellStyles>
  <dxfs count="1"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73"/>
  <sheetViews>
    <sheetView showGridLines="0" tabSelected="1" workbookViewId="0">
      <pane xSplit="3" ySplit="3" topLeftCell="D4" activePane="bottomRight" state="frozen"/>
      <selection pane="topRight" activeCell="F1" sqref="F1"/>
      <selection pane="bottomLeft" activeCell="A4" sqref="A4"/>
      <selection pane="bottomRight" activeCell="L1" sqref="L1:M1"/>
    </sheetView>
  </sheetViews>
  <sheetFormatPr defaultColWidth="11.25" defaultRowHeight="15" customHeight="1"/>
  <cols>
    <col min="1" max="1" width="5.25" customWidth="1"/>
    <col min="2" max="2" width="7.625" customWidth="1"/>
    <col min="3" max="3" width="30.875" customWidth="1"/>
    <col min="4" max="4" width="27" customWidth="1"/>
    <col min="5" max="5" width="16.875" customWidth="1"/>
    <col min="6" max="6" width="22.375" customWidth="1"/>
    <col min="7" max="7" width="22" customWidth="1"/>
    <col min="8" max="8" width="18.25" customWidth="1"/>
    <col min="9" max="9" width="27.125" customWidth="1"/>
    <col min="10" max="10" width="10.375" customWidth="1"/>
    <col min="11" max="11" width="13.75" customWidth="1"/>
    <col min="12" max="12" width="17.5" customWidth="1"/>
    <col min="13" max="13" width="9.625" customWidth="1"/>
  </cols>
  <sheetData>
    <row r="1" spans="1:18" ht="42" customHeight="1">
      <c r="A1" s="1" t="s">
        <v>0</v>
      </c>
      <c r="B1" s="2" t="s">
        <v>1</v>
      </c>
      <c r="C1" s="2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3" t="s">
        <v>7</v>
      </c>
      <c r="I1" s="3" t="s">
        <v>8</v>
      </c>
      <c r="J1" s="50" t="s">
        <v>9</v>
      </c>
      <c r="K1" s="2" t="s">
        <v>10</v>
      </c>
      <c r="L1" s="51" t="s">
        <v>11</v>
      </c>
      <c r="M1" s="51" t="s">
        <v>12</v>
      </c>
      <c r="N1" s="4"/>
      <c r="O1" s="4"/>
      <c r="P1" s="4"/>
      <c r="Q1" s="4"/>
      <c r="R1" s="4"/>
    </row>
    <row r="2" spans="1:18" ht="14.25" customHeight="1">
      <c r="A2" s="5"/>
      <c r="B2" s="6"/>
      <c r="C2" s="7"/>
      <c r="D2" s="10"/>
      <c r="E2" s="10"/>
      <c r="F2" s="10"/>
      <c r="G2" s="10"/>
      <c r="H2" s="10"/>
      <c r="I2" s="11"/>
      <c r="J2" s="12"/>
      <c r="K2" s="12" t="s">
        <v>208</v>
      </c>
      <c r="L2" s="13"/>
      <c r="M2" s="14"/>
      <c r="N2" s="15"/>
      <c r="O2" s="15"/>
      <c r="P2" s="15"/>
      <c r="Q2" s="15"/>
      <c r="R2" s="15"/>
    </row>
    <row r="3" spans="1:18" ht="14.25" customHeight="1">
      <c r="A3" s="5"/>
      <c r="B3" s="8"/>
      <c r="C3" s="7"/>
      <c r="D3" s="10"/>
      <c r="E3" s="10"/>
      <c r="F3" s="10"/>
      <c r="G3" s="10"/>
      <c r="H3" s="10"/>
      <c r="I3" s="11"/>
      <c r="J3" s="12"/>
      <c r="K3" s="12" t="s">
        <v>208</v>
      </c>
      <c r="L3" s="13"/>
      <c r="M3" s="14"/>
      <c r="N3" s="15"/>
      <c r="O3" s="15"/>
      <c r="P3" s="15"/>
      <c r="Q3" s="15"/>
      <c r="R3" s="15"/>
    </row>
    <row r="4" spans="1:18" ht="14.25" customHeight="1">
      <c r="A4" s="5">
        <v>29</v>
      </c>
      <c r="B4" s="8" t="s">
        <v>209</v>
      </c>
      <c r="C4" s="7" t="s">
        <v>210</v>
      </c>
      <c r="D4" s="10" t="s">
        <v>16</v>
      </c>
      <c r="E4" s="10" t="s">
        <v>211</v>
      </c>
      <c r="F4" s="10" t="s">
        <v>212</v>
      </c>
      <c r="G4" s="10" t="s">
        <v>17</v>
      </c>
      <c r="H4" s="10" t="s">
        <v>213</v>
      </c>
      <c r="I4" s="11" t="s">
        <v>214</v>
      </c>
      <c r="J4" s="12" t="s">
        <v>215</v>
      </c>
      <c r="K4" s="12" t="s">
        <v>208</v>
      </c>
      <c r="L4" s="13">
        <v>43735.583333333299</v>
      </c>
      <c r="M4" s="14"/>
      <c r="N4" s="15"/>
      <c r="O4" s="15"/>
      <c r="P4" s="15"/>
      <c r="Q4" s="15"/>
      <c r="R4" s="15"/>
    </row>
    <row r="5" spans="1:18" ht="14.25" customHeight="1">
      <c r="A5" s="5">
        <v>30</v>
      </c>
      <c r="B5" s="8" t="s">
        <v>216</v>
      </c>
      <c r="C5" s="7" t="s">
        <v>217</v>
      </c>
      <c r="D5" s="10" t="s">
        <v>16</v>
      </c>
      <c r="E5" s="10" t="s">
        <v>211</v>
      </c>
      <c r="F5" s="10" t="s">
        <v>212</v>
      </c>
      <c r="G5" s="10" t="s">
        <v>17</v>
      </c>
      <c r="H5" s="10" t="s">
        <v>218</v>
      </c>
      <c r="I5" s="11" t="s">
        <v>219</v>
      </c>
      <c r="J5" s="12" t="s">
        <v>220</v>
      </c>
      <c r="K5" s="12" t="s">
        <v>221</v>
      </c>
      <c r="L5" s="13">
        <v>44326.583333333299</v>
      </c>
      <c r="M5" s="14">
        <v>46173.583333333299</v>
      </c>
      <c r="N5" s="15"/>
      <c r="O5" s="15"/>
      <c r="P5" s="15"/>
      <c r="Q5" s="15"/>
      <c r="R5" s="15"/>
    </row>
    <row r="6" spans="1:18" ht="14.25" customHeight="1">
      <c r="A6" s="5">
        <v>31</v>
      </c>
      <c r="B6" s="8" t="s">
        <v>222</v>
      </c>
      <c r="C6" s="7" t="s">
        <v>223</v>
      </c>
      <c r="D6" s="10" t="s">
        <v>16</v>
      </c>
      <c r="E6" s="10" t="s">
        <v>211</v>
      </c>
      <c r="F6" s="10" t="s">
        <v>212</v>
      </c>
      <c r="G6" s="10" t="s">
        <v>17</v>
      </c>
      <c r="H6" s="10" t="s">
        <v>224</v>
      </c>
      <c r="I6" s="11" t="s">
        <v>135</v>
      </c>
      <c r="J6" s="12" t="s">
        <v>215</v>
      </c>
      <c r="K6" s="12" t="s">
        <v>208</v>
      </c>
      <c r="L6" s="13">
        <v>43631.583333333299</v>
      </c>
      <c r="M6" s="14"/>
      <c r="N6" s="15"/>
      <c r="O6" s="15"/>
      <c r="P6" s="15"/>
      <c r="Q6" s="15"/>
      <c r="R6" s="15"/>
    </row>
    <row r="7" spans="1:18" ht="14.25" customHeight="1">
      <c r="A7" s="5">
        <v>32</v>
      </c>
      <c r="B7" s="8" t="s">
        <v>225</v>
      </c>
      <c r="C7" s="7" t="s">
        <v>226</v>
      </c>
      <c r="D7" s="10" t="s">
        <v>16</v>
      </c>
      <c r="E7" s="10" t="s">
        <v>211</v>
      </c>
      <c r="F7" s="10" t="s">
        <v>212</v>
      </c>
      <c r="G7" s="10" t="s">
        <v>17</v>
      </c>
      <c r="H7" s="10" t="s">
        <v>224</v>
      </c>
      <c r="I7" s="11" t="s">
        <v>135</v>
      </c>
      <c r="J7" s="12" t="s">
        <v>215</v>
      </c>
      <c r="K7" s="12" t="s">
        <v>208</v>
      </c>
      <c r="L7" s="13">
        <v>43667.583333333299</v>
      </c>
      <c r="M7" s="14"/>
      <c r="N7" s="15"/>
      <c r="O7" s="15"/>
      <c r="P7" s="15"/>
      <c r="Q7" s="15"/>
      <c r="R7" s="15"/>
    </row>
    <row r="8" spans="1:18" ht="14.25" customHeight="1">
      <c r="A8" s="5">
        <v>33</v>
      </c>
      <c r="B8" s="8" t="s">
        <v>227</v>
      </c>
      <c r="C8" s="7" t="s">
        <v>228</v>
      </c>
      <c r="D8" s="10" t="s">
        <v>16</v>
      </c>
      <c r="E8" s="10" t="s">
        <v>211</v>
      </c>
      <c r="F8" s="10" t="s">
        <v>212</v>
      </c>
      <c r="G8" s="10" t="s">
        <v>17</v>
      </c>
      <c r="H8" s="10" t="s">
        <v>224</v>
      </c>
      <c r="I8" s="11" t="s">
        <v>135</v>
      </c>
      <c r="J8" s="12" t="s">
        <v>215</v>
      </c>
      <c r="K8" s="12" t="s">
        <v>208</v>
      </c>
      <c r="L8" s="13">
        <v>43780.625</v>
      </c>
      <c r="M8" s="14"/>
      <c r="N8" s="15"/>
      <c r="O8" s="15"/>
      <c r="P8" s="15"/>
      <c r="Q8" s="15"/>
      <c r="R8" s="15"/>
    </row>
    <row r="9" spans="1:18" ht="14.25" customHeight="1">
      <c r="A9" s="5">
        <v>34</v>
      </c>
      <c r="B9" s="8" t="s">
        <v>229</v>
      </c>
      <c r="C9" s="7" t="s">
        <v>230</v>
      </c>
      <c r="D9" s="10" t="s">
        <v>16</v>
      </c>
      <c r="E9" s="10" t="s">
        <v>211</v>
      </c>
      <c r="F9" s="10" t="s">
        <v>212</v>
      </c>
      <c r="G9" s="10" t="s">
        <v>17</v>
      </c>
      <c r="H9" s="10" t="s">
        <v>231</v>
      </c>
      <c r="I9" s="11" t="s">
        <v>58</v>
      </c>
      <c r="J9" s="12" t="s">
        <v>215</v>
      </c>
      <c r="K9" s="12" t="s">
        <v>208</v>
      </c>
      <c r="L9" s="13">
        <v>44549.625</v>
      </c>
      <c r="M9" s="14"/>
      <c r="N9" s="15"/>
      <c r="O9" s="15"/>
      <c r="P9" s="15"/>
      <c r="Q9" s="15"/>
      <c r="R9" s="15"/>
    </row>
    <row r="10" spans="1:18" ht="14.25" customHeight="1">
      <c r="A10" s="5">
        <v>35</v>
      </c>
      <c r="B10" s="8" t="s">
        <v>232</v>
      </c>
      <c r="C10" s="7" t="s">
        <v>233</v>
      </c>
      <c r="D10" s="10" t="s">
        <v>16</v>
      </c>
      <c r="E10" s="10" t="s">
        <v>211</v>
      </c>
      <c r="F10" s="10" t="s">
        <v>212</v>
      </c>
      <c r="G10" s="10" t="s">
        <v>17</v>
      </c>
      <c r="H10" s="10" t="s">
        <v>231</v>
      </c>
      <c r="I10" s="11" t="s">
        <v>58</v>
      </c>
      <c r="J10" s="12" t="s">
        <v>215</v>
      </c>
      <c r="K10" s="12" t="s">
        <v>208</v>
      </c>
      <c r="L10" s="13">
        <v>44655.583333333299</v>
      </c>
      <c r="M10" s="14"/>
      <c r="N10" s="15"/>
      <c r="O10" s="15"/>
      <c r="P10" s="15"/>
      <c r="Q10" s="15"/>
      <c r="R10" s="15"/>
    </row>
    <row r="11" spans="1:18" ht="14.25" customHeight="1">
      <c r="A11" s="5">
        <v>38</v>
      </c>
      <c r="B11" s="8" t="s">
        <v>234</v>
      </c>
      <c r="C11" s="7" t="s">
        <v>235</v>
      </c>
      <c r="D11" s="10" t="s">
        <v>16</v>
      </c>
      <c r="E11" s="10" t="s">
        <v>211</v>
      </c>
      <c r="F11" s="10" t="s">
        <v>212</v>
      </c>
      <c r="G11" s="10" t="s">
        <v>17</v>
      </c>
      <c r="H11" s="10" t="s">
        <v>218</v>
      </c>
      <c r="I11" s="11" t="s">
        <v>61</v>
      </c>
      <c r="J11" s="12" t="s">
        <v>215</v>
      </c>
      <c r="K11" s="12" t="s">
        <v>208</v>
      </c>
      <c r="L11" s="13">
        <v>44767.583333333299</v>
      </c>
      <c r="M11" s="14"/>
      <c r="N11" s="15"/>
      <c r="O11" s="15"/>
      <c r="P11" s="15"/>
      <c r="Q11" s="15"/>
      <c r="R11" s="15"/>
    </row>
    <row r="12" spans="1:18" ht="14.25" customHeight="1">
      <c r="A12" s="5">
        <v>39</v>
      </c>
      <c r="B12" s="8" t="s">
        <v>236</v>
      </c>
      <c r="C12" s="7" t="s">
        <v>237</v>
      </c>
      <c r="D12" s="10" t="s">
        <v>16</v>
      </c>
      <c r="E12" s="10" t="s">
        <v>211</v>
      </c>
      <c r="F12" s="10" t="s">
        <v>212</v>
      </c>
      <c r="G12" s="10" t="s">
        <v>17</v>
      </c>
      <c r="H12" s="10" t="s">
        <v>218</v>
      </c>
      <c r="I12" s="11" t="s">
        <v>61</v>
      </c>
      <c r="J12" s="12" t="s">
        <v>220</v>
      </c>
      <c r="K12" s="12" t="s">
        <v>221</v>
      </c>
      <c r="L12" s="13">
        <v>44859.583333333299</v>
      </c>
      <c r="M12" s="14">
        <v>45672.625</v>
      </c>
      <c r="N12" s="15"/>
      <c r="O12" s="15"/>
      <c r="P12" s="15"/>
      <c r="Q12" s="15"/>
      <c r="R12" s="15"/>
    </row>
    <row r="13" spans="1:18" ht="14.25" customHeight="1">
      <c r="A13" s="5">
        <v>40</v>
      </c>
      <c r="B13" s="8" t="s">
        <v>238</v>
      </c>
      <c r="C13" s="7" t="s">
        <v>239</v>
      </c>
      <c r="D13" s="10" t="s">
        <v>16</v>
      </c>
      <c r="E13" s="10" t="s">
        <v>211</v>
      </c>
      <c r="F13" s="10" t="s">
        <v>212</v>
      </c>
      <c r="G13" s="10" t="s">
        <v>17</v>
      </c>
      <c r="H13" s="10" t="s">
        <v>240</v>
      </c>
      <c r="I13" s="11" t="s">
        <v>241</v>
      </c>
      <c r="J13" s="12" t="s">
        <v>215</v>
      </c>
      <c r="K13" s="12" t="s">
        <v>208</v>
      </c>
      <c r="L13" s="13">
        <v>44776.583333333299</v>
      </c>
      <c r="M13" s="14"/>
      <c r="N13" s="15"/>
      <c r="O13" s="15"/>
      <c r="P13" s="15"/>
      <c r="Q13" s="15"/>
      <c r="R13" s="15"/>
    </row>
    <row r="14" spans="1:18" ht="14.25" customHeight="1">
      <c r="A14" s="5">
        <v>42</v>
      </c>
      <c r="B14" s="8" t="s">
        <v>242</v>
      </c>
      <c r="C14" s="7" t="s">
        <v>243</v>
      </c>
      <c r="D14" s="10" t="s">
        <v>16</v>
      </c>
      <c r="E14" s="10" t="s">
        <v>211</v>
      </c>
      <c r="F14" s="10" t="s">
        <v>212</v>
      </c>
      <c r="G14" s="10" t="s">
        <v>17</v>
      </c>
      <c r="H14" s="10" t="s">
        <v>240</v>
      </c>
      <c r="I14" s="11" t="s">
        <v>244</v>
      </c>
      <c r="J14" s="12" t="s">
        <v>215</v>
      </c>
      <c r="K14" s="12" t="s">
        <v>208</v>
      </c>
      <c r="L14" s="13">
        <v>44937.625</v>
      </c>
      <c r="M14" s="14"/>
      <c r="N14" s="15"/>
      <c r="O14" s="15"/>
      <c r="P14" s="15"/>
      <c r="Q14" s="15"/>
      <c r="R14" s="15"/>
    </row>
    <row r="15" spans="1:18" ht="14.25" customHeight="1">
      <c r="A15" s="5">
        <v>44</v>
      </c>
      <c r="B15" s="8" t="s">
        <v>245</v>
      </c>
      <c r="C15" s="7" t="s">
        <v>246</v>
      </c>
      <c r="D15" s="10" t="s">
        <v>16</v>
      </c>
      <c r="E15" s="10" t="s">
        <v>211</v>
      </c>
      <c r="F15" s="10" t="s">
        <v>212</v>
      </c>
      <c r="G15" s="10" t="s">
        <v>17</v>
      </c>
      <c r="H15" s="10" t="s">
        <v>240</v>
      </c>
      <c r="I15" s="11" t="s">
        <v>241</v>
      </c>
      <c r="J15" s="12" t="s">
        <v>220</v>
      </c>
      <c r="K15" s="12" t="s">
        <v>221</v>
      </c>
      <c r="L15" s="13">
        <v>44970.625</v>
      </c>
      <c r="M15" s="14">
        <v>46145.583333333299</v>
      </c>
      <c r="N15" s="15"/>
      <c r="O15" s="15"/>
      <c r="P15" s="15"/>
      <c r="Q15" s="15"/>
      <c r="R15" s="15"/>
    </row>
    <row r="16" spans="1:18" ht="14.25" customHeight="1">
      <c r="A16" s="5">
        <v>47</v>
      </c>
      <c r="B16" s="8" t="s">
        <v>247</v>
      </c>
      <c r="C16" s="7" t="s">
        <v>248</v>
      </c>
      <c r="D16" s="10" t="s">
        <v>16</v>
      </c>
      <c r="E16" s="10" t="s">
        <v>211</v>
      </c>
      <c r="F16" s="10" t="s">
        <v>212</v>
      </c>
      <c r="G16" s="10" t="s">
        <v>17</v>
      </c>
      <c r="H16" s="10" t="s">
        <v>224</v>
      </c>
      <c r="I16" s="11" t="s">
        <v>135</v>
      </c>
      <c r="J16" s="12" t="s">
        <v>220</v>
      </c>
      <c r="K16" s="12" t="s">
        <v>208</v>
      </c>
      <c r="L16" s="13">
        <v>44981.625</v>
      </c>
      <c r="M16" s="14"/>
      <c r="N16" s="15"/>
      <c r="O16" s="15"/>
      <c r="P16" s="15"/>
      <c r="Q16" s="15"/>
      <c r="R16" s="15"/>
    </row>
    <row r="17" spans="1:18" ht="14.25" customHeight="1">
      <c r="A17" s="5">
        <v>48</v>
      </c>
      <c r="B17" s="8" t="s">
        <v>249</v>
      </c>
      <c r="C17" s="7" t="s">
        <v>250</v>
      </c>
      <c r="D17" s="10" t="s">
        <v>16</v>
      </c>
      <c r="E17" s="10" t="s">
        <v>211</v>
      </c>
      <c r="F17" s="10" t="s">
        <v>212</v>
      </c>
      <c r="G17" s="10" t="s">
        <v>17</v>
      </c>
      <c r="H17" s="10" t="s">
        <v>240</v>
      </c>
      <c r="I17" s="11" t="s">
        <v>244</v>
      </c>
      <c r="J17" s="12" t="s">
        <v>215</v>
      </c>
      <c r="K17" s="12" t="s">
        <v>208</v>
      </c>
      <c r="L17" s="13">
        <v>44982.625</v>
      </c>
      <c r="M17" s="14"/>
      <c r="N17" s="15"/>
      <c r="O17" s="15"/>
      <c r="P17" s="15"/>
      <c r="Q17" s="15"/>
      <c r="R17" s="15"/>
    </row>
    <row r="18" spans="1:18" ht="14.25" customHeight="1">
      <c r="A18" s="5">
        <v>49</v>
      </c>
      <c r="B18" s="8" t="s">
        <v>251</v>
      </c>
      <c r="C18" s="7" t="s">
        <v>252</v>
      </c>
      <c r="D18" s="10" t="s">
        <v>16</v>
      </c>
      <c r="E18" s="10" t="s">
        <v>211</v>
      </c>
      <c r="F18" s="10" t="s">
        <v>212</v>
      </c>
      <c r="G18" s="10" t="s">
        <v>17</v>
      </c>
      <c r="H18" s="10" t="s">
        <v>218</v>
      </c>
      <c r="I18" s="11" t="s">
        <v>61</v>
      </c>
      <c r="J18" s="12" t="s">
        <v>220</v>
      </c>
      <c r="K18" s="12" t="s">
        <v>221</v>
      </c>
      <c r="L18" s="13">
        <v>45003.583333333299</v>
      </c>
      <c r="M18" s="14">
        <v>45704.625</v>
      </c>
      <c r="N18" s="15"/>
      <c r="O18" s="15"/>
      <c r="P18" s="15"/>
      <c r="Q18" s="15"/>
      <c r="R18" s="15"/>
    </row>
    <row r="19" spans="1:18" ht="14.25" customHeight="1">
      <c r="A19" s="5">
        <v>50</v>
      </c>
      <c r="B19" s="8" t="s">
        <v>253</v>
      </c>
      <c r="C19" s="7" t="s">
        <v>254</v>
      </c>
      <c r="D19" s="10" t="s">
        <v>16</v>
      </c>
      <c r="E19" s="10" t="s">
        <v>211</v>
      </c>
      <c r="F19" s="10" t="s">
        <v>212</v>
      </c>
      <c r="G19" s="10" t="s">
        <v>17</v>
      </c>
      <c r="H19" s="10" t="s">
        <v>213</v>
      </c>
      <c r="I19" s="11" t="s">
        <v>67</v>
      </c>
      <c r="J19" s="12" t="s">
        <v>220</v>
      </c>
      <c r="K19" s="12" t="s">
        <v>221</v>
      </c>
      <c r="L19" s="13">
        <v>45012.583333333299</v>
      </c>
      <c r="M19" s="14">
        <v>45899.583333333299</v>
      </c>
      <c r="N19" s="15"/>
      <c r="O19" s="15"/>
      <c r="P19" s="15"/>
      <c r="Q19" s="15"/>
      <c r="R19" s="15"/>
    </row>
    <row r="20" spans="1:18" ht="14.25" customHeight="1">
      <c r="A20" s="5">
        <v>52</v>
      </c>
      <c r="B20" s="8" t="s">
        <v>255</v>
      </c>
      <c r="C20" s="7" t="s">
        <v>256</v>
      </c>
      <c r="D20" s="10" t="s">
        <v>16</v>
      </c>
      <c r="E20" s="10" t="s">
        <v>211</v>
      </c>
      <c r="F20" s="10" t="s">
        <v>212</v>
      </c>
      <c r="G20" s="10" t="s">
        <v>17</v>
      </c>
      <c r="H20" s="10" t="s">
        <v>240</v>
      </c>
      <c r="I20" s="11" t="s">
        <v>241</v>
      </c>
      <c r="J20" s="12" t="s">
        <v>215</v>
      </c>
      <c r="K20" s="12" t="s">
        <v>221</v>
      </c>
      <c r="L20" s="13">
        <v>45007.583333333299</v>
      </c>
      <c r="M20" s="14">
        <v>45983.625</v>
      </c>
      <c r="N20" s="15"/>
      <c r="O20" s="15"/>
      <c r="P20" s="15"/>
      <c r="Q20" s="15"/>
      <c r="R20" s="15"/>
    </row>
    <row r="21" spans="1:18" ht="14.25" customHeight="1">
      <c r="A21" s="5">
        <v>53</v>
      </c>
      <c r="B21" s="8" t="s">
        <v>257</v>
      </c>
      <c r="C21" s="7" t="s">
        <v>258</v>
      </c>
      <c r="D21" s="10" t="s">
        <v>74</v>
      </c>
      <c r="E21" s="10" t="s">
        <v>202</v>
      </c>
      <c r="F21" s="10" t="s">
        <v>259</v>
      </c>
      <c r="G21" s="10" t="s">
        <v>101</v>
      </c>
      <c r="H21" s="10" t="s">
        <v>101</v>
      </c>
      <c r="I21" s="11" t="s">
        <v>100</v>
      </c>
      <c r="J21" s="12" t="s">
        <v>220</v>
      </c>
      <c r="K21" s="12" t="s">
        <v>208</v>
      </c>
      <c r="L21" s="13">
        <v>45803.583333333299</v>
      </c>
      <c r="M21" s="14"/>
      <c r="N21" s="15"/>
      <c r="O21" s="15"/>
      <c r="P21" s="15"/>
      <c r="Q21" s="15"/>
      <c r="R21" s="15"/>
    </row>
    <row r="22" spans="1:18" ht="14.25" customHeight="1">
      <c r="A22" s="5">
        <v>55</v>
      </c>
      <c r="B22" s="8" t="s">
        <v>260</v>
      </c>
      <c r="C22" s="7" t="s">
        <v>261</v>
      </c>
      <c r="D22" s="10" t="s">
        <v>16</v>
      </c>
      <c r="E22" s="10" t="s">
        <v>211</v>
      </c>
      <c r="F22" s="10" t="s">
        <v>212</v>
      </c>
      <c r="G22" s="10" t="s">
        <v>17</v>
      </c>
      <c r="H22" s="10" t="s">
        <v>240</v>
      </c>
      <c r="I22" s="11" t="s">
        <v>241</v>
      </c>
      <c r="J22" s="12" t="s">
        <v>220</v>
      </c>
      <c r="K22" s="12" t="s">
        <v>221</v>
      </c>
      <c r="L22" s="13">
        <v>45012.583333333299</v>
      </c>
      <c r="M22" s="14">
        <v>46142.583333333299</v>
      </c>
      <c r="N22" s="15"/>
      <c r="O22" s="15"/>
      <c r="P22" s="15"/>
      <c r="Q22" s="15"/>
      <c r="R22" s="15"/>
    </row>
    <row r="23" spans="1:18" ht="14.25" customHeight="1">
      <c r="A23" s="5">
        <v>60</v>
      </c>
      <c r="B23" s="8" t="s">
        <v>262</v>
      </c>
      <c r="C23" s="7" t="s">
        <v>263</v>
      </c>
      <c r="D23" s="10" t="s">
        <v>16</v>
      </c>
      <c r="E23" s="10" t="s">
        <v>211</v>
      </c>
      <c r="F23" s="10" t="s">
        <v>212</v>
      </c>
      <c r="G23" s="10" t="s">
        <v>17</v>
      </c>
      <c r="H23" s="10" t="s">
        <v>218</v>
      </c>
      <c r="I23" s="11" t="s">
        <v>61</v>
      </c>
      <c r="J23" s="12" t="s">
        <v>220</v>
      </c>
      <c r="K23" s="12" t="s">
        <v>221</v>
      </c>
      <c r="L23" s="13">
        <v>45558.583333333299</v>
      </c>
      <c r="M23" s="14">
        <v>45781.583333333299</v>
      </c>
      <c r="N23" s="15"/>
      <c r="O23" s="15"/>
      <c r="P23" s="15"/>
      <c r="Q23" s="15"/>
      <c r="R23" s="15"/>
    </row>
    <row r="24" spans="1:18" ht="14.25" customHeight="1">
      <c r="A24" s="5">
        <v>70</v>
      </c>
      <c r="B24" s="8" t="s">
        <v>264</v>
      </c>
      <c r="C24" s="7" t="s">
        <v>265</v>
      </c>
      <c r="D24" s="10" t="s">
        <v>74</v>
      </c>
      <c r="E24" s="10" t="s">
        <v>78</v>
      </c>
      <c r="F24" s="10" t="s">
        <v>78</v>
      </c>
      <c r="G24" s="10" t="s">
        <v>78</v>
      </c>
      <c r="H24" s="10" t="s">
        <v>266</v>
      </c>
      <c r="I24" s="11" t="s">
        <v>267</v>
      </c>
      <c r="J24" s="12" t="s">
        <v>215</v>
      </c>
      <c r="K24" s="12" t="s">
        <v>208</v>
      </c>
      <c r="L24" s="13">
        <v>44788.583333333299</v>
      </c>
      <c r="M24" s="14"/>
      <c r="N24" s="15"/>
      <c r="O24" s="15"/>
      <c r="P24" s="15"/>
      <c r="Q24" s="15"/>
      <c r="R24" s="15"/>
    </row>
    <row r="25" spans="1:18" ht="14.25" customHeight="1">
      <c r="A25" s="5">
        <v>77</v>
      </c>
      <c r="B25" s="8" t="s">
        <v>268</v>
      </c>
      <c r="C25" s="7" t="s">
        <v>228</v>
      </c>
      <c r="D25" s="10" t="s">
        <v>269</v>
      </c>
      <c r="E25" s="10" t="s">
        <v>270</v>
      </c>
      <c r="F25" s="10" t="s">
        <v>212</v>
      </c>
      <c r="G25" s="10" t="s">
        <v>271</v>
      </c>
      <c r="H25" s="10" t="s">
        <v>224</v>
      </c>
      <c r="I25" s="11" t="s">
        <v>135</v>
      </c>
      <c r="J25" s="12" t="s">
        <v>220</v>
      </c>
      <c r="K25" s="12" t="s">
        <v>221</v>
      </c>
      <c r="L25" s="13">
        <v>43780.625</v>
      </c>
      <c r="M25" s="14">
        <v>45836.583333333299</v>
      </c>
      <c r="N25" s="15"/>
      <c r="O25" s="15"/>
      <c r="P25" s="15"/>
      <c r="Q25" s="15"/>
      <c r="R25" s="15"/>
    </row>
    <row r="26" spans="1:18" ht="14.25" customHeight="1">
      <c r="A26" s="5">
        <v>86</v>
      </c>
      <c r="B26" s="8" t="s">
        <v>272</v>
      </c>
      <c r="C26" s="7" t="s">
        <v>273</v>
      </c>
      <c r="D26" s="10" t="s">
        <v>269</v>
      </c>
      <c r="E26" s="10" t="s">
        <v>270</v>
      </c>
      <c r="F26" s="10" t="s">
        <v>212</v>
      </c>
      <c r="G26" s="10" t="s">
        <v>271</v>
      </c>
      <c r="H26" s="10" t="s">
        <v>218</v>
      </c>
      <c r="I26" s="11" t="s">
        <v>61</v>
      </c>
      <c r="J26" s="12" t="s">
        <v>220</v>
      </c>
      <c r="K26" s="12" t="s">
        <v>221</v>
      </c>
      <c r="L26" s="13">
        <v>45024.583333333299</v>
      </c>
      <c r="M26" s="14">
        <v>45767.583333333299</v>
      </c>
      <c r="N26" s="15"/>
      <c r="O26" s="15"/>
      <c r="P26" s="15"/>
      <c r="Q26" s="15"/>
      <c r="R26" s="15"/>
    </row>
    <row r="27" spans="1:18" ht="14.25" customHeight="1">
      <c r="A27" s="5">
        <v>88</v>
      </c>
      <c r="B27" s="8" t="s">
        <v>274</v>
      </c>
      <c r="C27" s="7" t="s">
        <v>275</v>
      </c>
      <c r="D27" s="10" t="s">
        <v>74</v>
      </c>
      <c r="E27" s="10" t="s">
        <v>202</v>
      </c>
      <c r="F27" s="10" t="s">
        <v>212</v>
      </c>
      <c r="G27" s="10" t="s">
        <v>108</v>
      </c>
      <c r="H27" s="10" t="s">
        <v>266</v>
      </c>
      <c r="I27" s="11" t="s">
        <v>276</v>
      </c>
      <c r="J27" s="12" t="s">
        <v>215</v>
      </c>
      <c r="K27" s="12" t="s">
        <v>208</v>
      </c>
      <c r="L27" s="13">
        <v>45040.583333333299</v>
      </c>
      <c r="M27" s="14"/>
      <c r="N27" s="15"/>
      <c r="O27" s="15"/>
      <c r="P27" s="15"/>
      <c r="Q27" s="15"/>
      <c r="R27" s="15"/>
    </row>
    <row r="28" spans="1:18" ht="14.25" customHeight="1">
      <c r="A28" s="5">
        <v>96</v>
      </c>
      <c r="B28" s="8" t="s">
        <v>277</v>
      </c>
      <c r="C28" s="7" t="s">
        <v>278</v>
      </c>
      <c r="D28" s="10" t="s">
        <v>16</v>
      </c>
      <c r="E28" s="10" t="s">
        <v>211</v>
      </c>
      <c r="F28" s="10" t="s">
        <v>259</v>
      </c>
      <c r="G28" s="10" t="s">
        <v>279</v>
      </c>
      <c r="H28" s="10" t="s">
        <v>279</v>
      </c>
      <c r="I28" s="11" t="s">
        <v>280</v>
      </c>
      <c r="J28" s="12" t="s">
        <v>215</v>
      </c>
      <c r="K28" s="12" t="s">
        <v>208</v>
      </c>
      <c r="L28" s="13">
        <v>41501.583333333299</v>
      </c>
      <c r="M28" s="14"/>
      <c r="N28" s="15"/>
      <c r="O28" s="15"/>
      <c r="P28" s="15"/>
      <c r="Q28" s="15"/>
      <c r="R28" s="15"/>
    </row>
    <row r="29" spans="1:18" ht="14.25" customHeight="1">
      <c r="A29" s="5">
        <v>97</v>
      </c>
      <c r="B29" s="8" t="s">
        <v>281</v>
      </c>
      <c r="C29" s="7" t="s">
        <v>278</v>
      </c>
      <c r="D29" s="10" t="s">
        <v>45</v>
      </c>
      <c r="E29" s="10" t="s">
        <v>201</v>
      </c>
      <c r="F29" s="10" t="s">
        <v>259</v>
      </c>
      <c r="G29" s="10" t="s">
        <v>279</v>
      </c>
      <c r="H29" s="10" t="s">
        <v>279</v>
      </c>
      <c r="I29" s="11" t="s">
        <v>280</v>
      </c>
      <c r="J29" s="12" t="s">
        <v>215</v>
      </c>
      <c r="K29" s="12" t="s">
        <v>208</v>
      </c>
      <c r="L29" s="13">
        <v>45870.583333333299</v>
      </c>
      <c r="M29" s="14"/>
      <c r="N29" s="15"/>
      <c r="O29" s="15"/>
      <c r="P29" s="15"/>
      <c r="Q29" s="15"/>
      <c r="R29" s="15"/>
    </row>
    <row r="30" spans="1:18" ht="14.25" customHeight="1">
      <c r="A30" s="5">
        <v>98</v>
      </c>
      <c r="B30" s="8" t="s">
        <v>282</v>
      </c>
      <c r="C30" s="7" t="s">
        <v>283</v>
      </c>
      <c r="D30" s="10" t="s">
        <v>16</v>
      </c>
      <c r="E30" s="10" t="s">
        <v>211</v>
      </c>
      <c r="F30" s="10" t="s">
        <v>259</v>
      </c>
      <c r="G30" s="10" t="s">
        <v>284</v>
      </c>
      <c r="H30" s="10" t="s">
        <v>284</v>
      </c>
      <c r="I30" s="11" t="s">
        <v>285</v>
      </c>
      <c r="J30" s="12" t="s">
        <v>215</v>
      </c>
      <c r="K30" s="12" t="s">
        <v>208</v>
      </c>
      <c r="L30" s="13">
        <v>43304.583333333299</v>
      </c>
      <c r="M30" s="14"/>
      <c r="N30" s="15"/>
      <c r="O30" s="15"/>
      <c r="P30" s="15"/>
      <c r="Q30" s="15"/>
      <c r="R30" s="15"/>
    </row>
    <row r="31" spans="1:18" ht="14.25" customHeight="1">
      <c r="A31" s="5">
        <v>99</v>
      </c>
      <c r="B31" s="8" t="s">
        <v>286</v>
      </c>
      <c r="C31" s="7" t="s">
        <v>287</v>
      </c>
      <c r="D31" s="10" t="s">
        <v>74</v>
      </c>
      <c r="E31" s="10" t="s">
        <v>78</v>
      </c>
      <c r="F31" s="10" t="s">
        <v>78</v>
      </c>
      <c r="G31" s="10" t="s">
        <v>78</v>
      </c>
      <c r="H31" s="10" t="s">
        <v>288</v>
      </c>
      <c r="I31" s="11" t="s">
        <v>289</v>
      </c>
      <c r="J31" s="12" t="s">
        <v>215</v>
      </c>
      <c r="K31" s="12" t="s">
        <v>208</v>
      </c>
      <c r="L31" s="13">
        <v>43410.625</v>
      </c>
      <c r="M31" s="14"/>
      <c r="N31" s="15"/>
      <c r="O31" s="15"/>
      <c r="P31" s="15"/>
      <c r="Q31" s="15"/>
      <c r="R31" s="15"/>
    </row>
    <row r="32" spans="1:18" ht="14.25" customHeight="1">
      <c r="A32" s="5">
        <v>100</v>
      </c>
      <c r="B32" s="8" t="s">
        <v>290</v>
      </c>
      <c r="C32" s="7" t="s">
        <v>291</v>
      </c>
      <c r="D32" s="10" t="s">
        <v>16</v>
      </c>
      <c r="E32" s="10" t="s">
        <v>211</v>
      </c>
      <c r="F32" s="10" t="s">
        <v>78</v>
      </c>
      <c r="G32" s="10" t="s">
        <v>78</v>
      </c>
      <c r="H32" s="10" t="s">
        <v>292</v>
      </c>
      <c r="I32" s="11" t="s">
        <v>293</v>
      </c>
      <c r="J32" s="12" t="s">
        <v>215</v>
      </c>
      <c r="K32" s="12" t="s">
        <v>208</v>
      </c>
      <c r="L32" s="13">
        <v>43488.625</v>
      </c>
      <c r="M32" s="14"/>
      <c r="N32" s="15"/>
      <c r="O32" s="15"/>
      <c r="P32" s="15"/>
      <c r="Q32" s="15"/>
      <c r="R32" s="15"/>
    </row>
    <row r="33" spans="1:18" ht="14.25" customHeight="1">
      <c r="A33" s="5">
        <v>101</v>
      </c>
      <c r="B33" s="8" t="s">
        <v>294</v>
      </c>
      <c r="C33" s="7" t="s">
        <v>295</v>
      </c>
      <c r="D33" s="10" t="s">
        <v>16</v>
      </c>
      <c r="E33" s="10" t="s">
        <v>211</v>
      </c>
      <c r="F33" s="10" t="s">
        <v>259</v>
      </c>
      <c r="G33" s="10" t="s">
        <v>296</v>
      </c>
      <c r="H33" s="10" t="s">
        <v>296</v>
      </c>
      <c r="I33" s="11" t="s">
        <v>297</v>
      </c>
      <c r="J33" s="12" t="s">
        <v>215</v>
      </c>
      <c r="K33" s="12" t="s">
        <v>221</v>
      </c>
      <c r="L33" s="13">
        <v>43599.583333333299</v>
      </c>
      <c r="M33" s="14">
        <v>45808.583333333299</v>
      </c>
      <c r="N33" s="15"/>
      <c r="O33" s="15"/>
      <c r="P33" s="15"/>
      <c r="Q33" s="15"/>
      <c r="R33" s="15"/>
    </row>
    <row r="34" spans="1:18" ht="14.25" customHeight="1">
      <c r="A34" s="5">
        <v>103</v>
      </c>
      <c r="B34" s="8" t="s">
        <v>298</v>
      </c>
      <c r="C34" s="7" t="s">
        <v>299</v>
      </c>
      <c r="D34" s="10" t="s">
        <v>16</v>
      </c>
      <c r="E34" s="10" t="s">
        <v>211</v>
      </c>
      <c r="F34" s="10" t="s">
        <v>212</v>
      </c>
      <c r="G34" s="10" t="s">
        <v>17</v>
      </c>
      <c r="H34" s="10" t="s">
        <v>213</v>
      </c>
      <c r="I34" s="11" t="s">
        <v>44</v>
      </c>
      <c r="J34" s="12" t="s">
        <v>215</v>
      </c>
      <c r="K34" s="12" t="s">
        <v>208</v>
      </c>
      <c r="L34" s="13">
        <v>43622.583333333299</v>
      </c>
      <c r="M34" s="14"/>
      <c r="N34" s="15"/>
      <c r="O34" s="15"/>
      <c r="P34" s="15"/>
      <c r="Q34" s="15"/>
      <c r="R34" s="15"/>
    </row>
    <row r="35" spans="1:18" ht="14.25" customHeight="1">
      <c r="A35" s="5">
        <v>105</v>
      </c>
      <c r="B35" s="8" t="s">
        <v>300</v>
      </c>
      <c r="C35" s="7" t="s">
        <v>301</v>
      </c>
      <c r="D35" s="10" t="s">
        <v>16</v>
      </c>
      <c r="E35" s="10" t="s">
        <v>211</v>
      </c>
      <c r="F35" s="10" t="s">
        <v>259</v>
      </c>
      <c r="G35" s="10" t="s">
        <v>296</v>
      </c>
      <c r="H35" s="10" t="s">
        <v>296</v>
      </c>
      <c r="I35" s="11" t="s">
        <v>302</v>
      </c>
      <c r="J35" s="12" t="s">
        <v>215</v>
      </c>
      <c r="K35" s="12" t="s">
        <v>221</v>
      </c>
      <c r="L35" s="13">
        <v>43724.583333333299</v>
      </c>
      <c r="M35" s="14">
        <v>45828.583333333299</v>
      </c>
      <c r="N35" s="15"/>
      <c r="O35" s="15"/>
      <c r="P35" s="15"/>
      <c r="Q35" s="15"/>
      <c r="R35" s="15"/>
    </row>
    <row r="36" spans="1:18" ht="14.25" customHeight="1">
      <c r="A36" s="5">
        <v>106</v>
      </c>
      <c r="B36" s="8" t="s">
        <v>303</v>
      </c>
      <c r="C36" s="7" t="s">
        <v>304</v>
      </c>
      <c r="D36" s="10" t="s">
        <v>74</v>
      </c>
      <c r="E36" s="10" t="s">
        <v>202</v>
      </c>
      <c r="F36" s="10" t="s">
        <v>259</v>
      </c>
      <c r="G36" s="10" t="s">
        <v>305</v>
      </c>
      <c r="H36" s="10" t="s">
        <v>305</v>
      </c>
      <c r="I36" s="11" t="s">
        <v>306</v>
      </c>
      <c r="J36" s="12" t="s">
        <v>215</v>
      </c>
      <c r="K36" s="12" t="s">
        <v>208</v>
      </c>
      <c r="L36" s="13">
        <v>43749.583333333299</v>
      </c>
      <c r="M36" s="14"/>
      <c r="N36" s="15"/>
      <c r="O36" s="15"/>
      <c r="P36" s="15"/>
      <c r="Q36" s="15"/>
      <c r="R36" s="15"/>
    </row>
    <row r="37" spans="1:18" ht="14.25" customHeight="1">
      <c r="A37" s="5">
        <v>108</v>
      </c>
      <c r="B37" s="8" t="s">
        <v>307</v>
      </c>
      <c r="C37" s="7" t="s">
        <v>308</v>
      </c>
      <c r="D37" s="10" t="s">
        <v>16</v>
      </c>
      <c r="E37" s="10" t="s">
        <v>211</v>
      </c>
      <c r="F37" s="10" t="s">
        <v>78</v>
      </c>
      <c r="G37" s="10" t="s">
        <v>78</v>
      </c>
      <c r="H37" s="10" t="s">
        <v>292</v>
      </c>
      <c r="I37" s="11" t="s">
        <v>293</v>
      </c>
      <c r="J37" s="12" t="s">
        <v>215</v>
      </c>
      <c r="K37" s="12" t="s">
        <v>208</v>
      </c>
      <c r="L37" s="13">
        <v>43867.625</v>
      </c>
      <c r="M37" s="14"/>
      <c r="N37" s="15"/>
      <c r="O37" s="15"/>
      <c r="P37" s="15"/>
      <c r="Q37" s="15"/>
      <c r="R37" s="15"/>
    </row>
    <row r="38" spans="1:18" ht="14.25" customHeight="1">
      <c r="A38" s="5">
        <v>109</v>
      </c>
      <c r="B38" s="8" t="s">
        <v>309</v>
      </c>
      <c r="C38" s="7" t="s">
        <v>310</v>
      </c>
      <c r="D38" s="10" t="s">
        <v>16</v>
      </c>
      <c r="E38" s="10" t="s">
        <v>211</v>
      </c>
      <c r="F38" s="10" t="s">
        <v>259</v>
      </c>
      <c r="G38" s="10" t="s">
        <v>296</v>
      </c>
      <c r="H38" s="10" t="s">
        <v>296</v>
      </c>
      <c r="I38" s="11" t="s">
        <v>302</v>
      </c>
      <c r="J38" s="12" t="s">
        <v>215</v>
      </c>
      <c r="K38" s="12" t="s">
        <v>221</v>
      </c>
      <c r="L38" s="13">
        <v>43872.625</v>
      </c>
      <c r="M38" s="14">
        <v>45828.583333333299</v>
      </c>
      <c r="N38" s="15"/>
      <c r="O38" s="15"/>
      <c r="P38" s="15"/>
      <c r="Q38" s="15"/>
      <c r="R38" s="15"/>
    </row>
    <row r="39" spans="1:18" ht="14.25" customHeight="1">
      <c r="A39" s="5">
        <v>111</v>
      </c>
      <c r="B39" s="8" t="s">
        <v>311</v>
      </c>
      <c r="C39" s="7" t="s">
        <v>312</v>
      </c>
      <c r="D39" s="10" t="s">
        <v>16</v>
      </c>
      <c r="E39" s="10" t="s">
        <v>211</v>
      </c>
      <c r="F39" s="10" t="s">
        <v>212</v>
      </c>
      <c r="G39" s="10" t="s">
        <v>17</v>
      </c>
      <c r="H39" s="10" t="s">
        <v>266</v>
      </c>
      <c r="I39" s="11" t="s">
        <v>313</v>
      </c>
      <c r="J39" s="12" t="s">
        <v>215</v>
      </c>
      <c r="K39" s="12" t="s">
        <v>208</v>
      </c>
      <c r="L39" s="13">
        <v>44009.583333333299</v>
      </c>
      <c r="M39" s="14"/>
      <c r="N39" s="15"/>
      <c r="O39" s="15"/>
      <c r="P39" s="15"/>
      <c r="Q39" s="15"/>
      <c r="R39" s="15"/>
    </row>
    <row r="40" spans="1:18" ht="14.25" customHeight="1">
      <c r="A40" s="5">
        <v>114</v>
      </c>
      <c r="B40" s="8" t="s">
        <v>314</v>
      </c>
      <c r="C40" s="7" t="s">
        <v>315</v>
      </c>
      <c r="D40" s="10" t="s">
        <v>74</v>
      </c>
      <c r="E40" s="10" t="s">
        <v>202</v>
      </c>
      <c r="F40" s="10" t="s">
        <v>259</v>
      </c>
      <c r="G40" s="10" t="s">
        <v>305</v>
      </c>
      <c r="H40" s="10" t="s">
        <v>305</v>
      </c>
      <c r="I40" s="11" t="s">
        <v>316</v>
      </c>
      <c r="J40" s="12" t="s">
        <v>215</v>
      </c>
      <c r="K40" s="12" t="s">
        <v>208</v>
      </c>
      <c r="L40" s="13">
        <v>44144.625</v>
      </c>
      <c r="M40" s="14"/>
      <c r="N40" s="15"/>
      <c r="O40" s="15"/>
      <c r="P40" s="15"/>
      <c r="Q40" s="15"/>
      <c r="R40" s="15"/>
    </row>
    <row r="41" spans="1:18" ht="14.25" customHeight="1">
      <c r="A41" s="5">
        <v>115</v>
      </c>
      <c r="B41" s="8" t="s">
        <v>317</v>
      </c>
      <c r="C41" s="7" t="s">
        <v>318</v>
      </c>
      <c r="D41" s="10" t="s">
        <v>74</v>
      </c>
      <c r="E41" s="10" t="s">
        <v>202</v>
      </c>
      <c r="F41" s="10" t="s">
        <v>212</v>
      </c>
      <c r="G41" s="10" t="s">
        <v>120</v>
      </c>
      <c r="H41" s="10" t="s">
        <v>266</v>
      </c>
      <c r="I41" s="11" t="s">
        <v>319</v>
      </c>
      <c r="J41" s="12" t="s">
        <v>215</v>
      </c>
      <c r="K41" s="12" t="s">
        <v>208</v>
      </c>
      <c r="L41" s="13">
        <v>44194.625</v>
      </c>
      <c r="M41" s="14"/>
      <c r="N41" s="15"/>
      <c r="O41" s="15"/>
      <c r="P41" s="15"/>
      <c r="Q41" s="15"/>
      <c r="R41" s="15"/>
    </row>
    <row r="42" spans="1:18" ht="14.25" customHeight="1">
      <c r="A42" s="5">
        <v>120</v>
      </c>
      <c r="B42" s="8" t="s">
        <v>320</v>
      </c>
      <c r="C42" s="7" t="s">
        <v>321</v>
      </c>
      <c r="D42" s="10" t="s">
        <v>74</v>
      </c>
      <c r="E42" s="10" t="s">
        <v>78</v>
      </c>
      <c r="F42" s="10" t="s">
        <v>78</v>
      </c>
      <c r="G42" s="10" t="s">
        <v>78</v>
      </c>
      <c r="H42" s="10" t="s">
        <v>266</v>
      </c>
      <c r="I42" s="11" t="s">
        <v>322</v>
      </c>
      <c r="J42" s="12" t="s">
        <v>215</v>
      </c>
      <c r="K42" s="12" t="s">
        <v>221</v>
      </c>
      <c r="L42" s="13">
        <v>44735.583333333299</v>
      </c>
      <c r="M42" s="14">
        <v>45716.625</v>
      </c>
      <c r="N42" s="15"/>
      <c r="O42" s="15"/>
      <c r="P42" s="15"/>
      <c r="Q42" s="15"/>
      <c r="R42" s="15"/>
    </row>
    <row r="43" spans="1:18" ht="14.25" customHeight="1">
      <c r="A43" s="5">
        <v>122</v>
      </c>
      <c r="B43" s="8" t="s">
        <v>323</v>
      </c>
      <c r="C43" s="7" t="s">
        <v>324</v>
      </c>
      <c r="D43" s="10" t="s">
        <v>16</v>
      </c>
      <c r="E43" s="10" t="s">
        <v>211</v>
      </c>
      <c r="F43" s="10" t="s">
        <v>212</v>
      </c>
      <c r="G43" s="10" t="s">
        <v>17</v>
      </c>
      <c r="H43" s="10" t="s">
        <v>240</v>
      </c>
      <c r="I43" s="11" t="s">
        <v>325</v>
      </c>
      <c r="J43" s="12" t="s">
        <v>215</v>
      </c>
      <c r="K43" s="12" t="s">
        <v>208</v>
      </c>
      <c r="L43" s="13">
        <v>44776.583333333299</v>
      </c>
      <c r="M43" s="14"/>
      <c r="N43" s="15"/>
      <c r="O43" s="15"/>
      <c r="P43" s="15"/>
      <c r="Q43" s="15"/>
      <c r="R43" s="15"/>
    </row>
    <row r="44" spans="1:18" ht="14.25" customHeight="1">
      <c r="A44" s="5">
        <v>137</v>
      </c>
      <c r="B44" s="8" t="s">
        <v>326</v>
      </c>
      <c r="C44" s="7" t="s">
        <v>327</v>
      </c>
      <c r="D44" s="10" t="s">
        <v>45</v>
      </c>
      <c r="E44" s="10" t="s">
        <v>201</v>
      </c>
      <c r="F44" s="10" t="s">
        <v>212</v>
      </c>
      <c r="G44" s="10" t="s">
        <v>46</v>
      </c>
      <c r="H44" s="10" t="s">
        <v>266</v>
      </c>
      <c r="I44" s="11" t="s">
        <v>319</v>
      </c>
      <c r="J44" s="12" t="s">
        <v>215</v>
      </c>
      <c r="K44" s="12" t="s">
        <v>208</v>
      </c>
      <c r="L44" s="13">
        <v>44973.625</v>
      </c>
      <c r="M44" s="14"/>
      <c r="N44" s="15"/>
      <c r="O44" s="15"/>
      <c r="P44" s="15"/>
      <c r="Q44" s="15"/>
      <c r="R44" s="15"/>
    </row>
    <row r="45" spans="1:18" ht="14.25" customHeight="1">
      <c r="A45" s="5">
        <v>140</v>
      </c>
      <c r="B45" s="8" t="s">
        <v>144</v>
      </c>
      <c r="C45" s="7" t="s">
        <v>145</v>
      </c>
      <c r="D45" s="10" t="s">
        <v>45</v>
      </c>
      <c r="E45" s="10" t="s">
        <v>201</v>
      </c>
      <c r="F45" s="10" t="s">
        <v>212</v>
      </c>
      <c r="G45" s="10" t="s">
        <v>136</v>
      </c>
      <c r="H45" s="10" t="s">
        <v>266</v>
      </c>
      <c r="I45" s="11" t="s">
        <v>15</v>
      </c>
      <c r="J45" s="12" t="s">
        <v>215</v>
      </c>
      <c r="K45" s="12" t="s">
        <v>208</v>
      </c>
      <c r="L45" s="13">
        <v>44982.625</v>
      </c>
      <c r="M45" s="14"/>
      <c r="N45" s="15"/>
      <c r="O45" s="15"/>
      <c r="P45" s="15"/>
      <c r="Q45" s="15"/>
      <c r="R45" s="15"/>
    </row>
    <row r="46" spans="1:18" ht="14.25" customHeight="1">
      <c r="A46" s="5">
        <v>153</v>
      </c>
      <c r="B46" s="8" t="s">
        <v>328</v>
      </c>
      <c r="C46" s="7" t="s">
        <v>329</v>
      </c>
      <c r="D46" s="10" t="s">
        <v>74</v>
      </c>
      <c r="E46" s="10" t="s">
        <v>202</v>
      </c>
      <c r="F46" s="10" t="s">
        <v>212</v>
      </c>
      <c r="G46" s="10" t="s">
        <v>108</v>
      </c>
      <c r="H46" s="10" t="s">
        <v>266</v>
      </c>
      <c r="I46" s="11" t="s">
        <v>276</v>
      </c>
      <c r="J46" s="12" t="s">
        <v>215</v>
      </c>
      <c r="K46" s="12" t="s">
        <v>208</v>
      </c>
      <c r="L46" s="13">
        <v>45012.583333333299</v>
      </c>
      <c r="M46" s="14"/>
      <c r="N46" s="15"/>
      <c r="O46" s="15"/>
      <c r="P46" s="15"/>
      <c r="Q46" s="15"/>
      <c r="R46" s="15"/>
    </row>
    <row r="47" spans="1:18" ht="14.25" customHeight="1">
      <c r="A47" s="5">
        <v>160</v>
      </c>
      <c r="B47" s="8" t="s">
        <v>330</v>
      </c>
      <c r="C47" s="7" t="s">
        <v>331</v>
      </c>
      <c r="D47" s="10" t="s">
        <v>74</v>
      </c>
      <c r="E47" s="10" t="s">
        <v>202</v>
      </c>
      <c r="F47" s="10" t="s">
        <v>259</v>
      </c>
      <c r="G47" s="10" t="s">
        <v>284</v>
      </c>
      <c r="H47" s="10" t="s">
        <v>284</v>
      </c>
      <c r="I47" s="11" t="s">
        <v>332</v>
      </c>
      <c r="J47" s="12" t="s">
        <v>215</v>
      </c>
      <c r="K47" s="12" t="s">
        <v>221</v>
      </c>
      <c r="L47" s="13">
        <v>45510.583333333299</v>
      </c>
      <c r="M47" s="14">
        <v>46173.583333333299</v>
      </c>
      <c r="N47" s="15"/>
      <c r="O47" s="15"/>
      <c r="P47" s="15"/>
      <c r="Q47" s="15"/>
      <c r="R47" s="15"/>
    </row>
    <row r="48" spans="1:18" ht="14.25" customHeight="1">
      <c r="A48" s="5">
        <v>161</v>
      </c>
      <c r="B48" s="8" t="s">
        <v>333</v>
      </c>
      <c r="C48" s="7" t="s">
        <v>334</v>
      </c>
      <c r="D48" s="10" t="s">
        <v>74</v>
      </c>
      <c r="E48" s="10" t="s">
        <v>202</v>
      </c>
      <c r="F48" s="10" t="s">
        <v>212</v>
      </c>
      <c r="G48" s="10" t="s">
        <v>95</v>
      </c>
      <c r="H48" s="10" t="s">
        <v>266</v>
      </c>
      <c r="I48" s="11" t="s">
        <v>15</v>
      </c>
      <c r="J48" s="12" t="s">
        <v>215</v>
      </c>
      <c r="K48" s="12" t="s">
        <v>208</v>
      </c>
      <c r="L48" s="13">
        <v>45061.583333333299</v>
      </c>
      <c r="M48" s="14"/>
      <c r="N48" s="15"/>
      <c r="O48" s="15"/>
      <c r="P48" s="15"/>
      <c r="Q48" s="15"/>
      <c r="R48" s="15"/>
    </row>
    <row r="49" spans="1:18" ht="14.25" customHeight="1">
      <c r="A49" s="5">
        <v>165</v>
      </c>
      <c r="B49" s="8" t="s">
        <v>335</v>
      </c>
      <c r="C49" s="7" t="s">
        <v>336</v>
      </c>
      <c r="D49" s="10" t="s">
        <v>16</v>
      </c>
      <c r="E49" s="10" t="s">
        <v>211</v>
      </c>
      <c r="F49" s="10" t="s">
        <v>259</v>
      </c>
      <c r="G49" s="10" t="s">
        <v>101</v>
      </c>
      <c r="H49" s="10" t="s">
        <v>101</v>
      </c>
      <c r="I49" s="11" t="s">
        <v>337</v>
      </c>
      <c r="J49" s="12" t="s">
        <v>215</v>
      </c>
      <c r="K49" s="12" t="s">
        <v>221</v>
      </c>
      <c r="L49" s="13">
        <v>45078.583333333299</v>
      </c>
      <c r="M49" s="14">
        <v>45872.583333333299</v>
      </c>
      <c r="N49" s="15"/>
      <c r="O49" s="15"/>
      <c r="P49" s="15"/>
      <c r="Q49" s="15"/>
      <c r="R49" s="15"/>
    </row>
    <row r="50" spans="1:18" ht="14.25" customHeight="1">
      <c r="A50" s="5">
        <v>166</v>
      </c>
      <c r="B50" s="8" t="s">
        <v>338</v>
      </c>
      <c r="C50" s="7" t="s">
        <v>339</v>
      </c>
      <c r="D50" s="10" t="s">
        <v>16</v>
      </c>
      <c r="E50" s="10" t="s">
        <v>211</v>
      </c>
      <c r="F50" s="10" t="s">
        <v>212</v>
      </c>
      <c r="G50" s="10" t="s">
        <v>17</v>
      </c>
      <c r="H50" s="10" t="s">
        <v>266</v>
      </c>
      <c r="I50" s="11" t="s">
        <v>319</v>
      </c>
      <c r="J50" s="12" t="s">
        <v>215</v>
      </c>
      <c r="K50" s="12" t="s">
        <v>208</v>
      </c>
      <c r="L50" s="13">
        <v>45083.583333333299</v>
      </c>
      <c r="M50" s="14"/>
      <c r="N50" s="15"/>
      <c r="O50" s="15"/>
      <c r="P50" s="15"/>
      <c r="Q50" s="15"/>
      <c r="R50" s="15"/>
    </row>
    <row r="51" spans="1:18" ht="14.25" customHeight="1">
      <c r="A51" s="5">
        <v>168</v>
      </c>
      <c r="B51" s="8" t="s">
        <v>42</v>
      </c>
      <c r="C51" s="7" t="s">
        <v>43</v>
      </c>
      <c r="D51" s="10" t="s">
        <v>45</v>
      </c>
      <c r="E51" s="10" t="s">
        <v>201</v>
      </c>
      <c r="F51" s="10" t="s">
        <v>212</v>
      </c>
      <c r="G51" s="10" t="s">
        <v>46</v>
      </c>
      <c r="H51" s="10" t="s">
        <v>213</v>
      </c>
      <c r="I51" s="11" t="s">
        <v>44</v>
      </c>
      <c r="J51" s="12" t="s">
        <v>215</v>
      </c>
      <c r="K51" s="12" t="s">
        <v>208</v>
      </c>
      <c r="L51" s="13">
        <v>45078.583333333299</v>
      </c>
      <c r="M51" s="14"/>
      <c r="N51" s="15"/>
      <c r="O51" s="15"/>
      <c r="P51" s="15"/>
      <c r="Q51" s="15"/>
      <c r="R51" s="15"/>
    </row>
    <row r="52" spans="1:18" ht="14.25" customHeight="1">
      <c r="A52" s="5">
        <v>171</v>
      </c>
      <c r="B52" s="8" t="s">
        <v>340</v>
      </c>
      <c r="C52" s="7" t="s">
        <v>341</v>
      </c>
      <c r="D52" s="10" t="s">
        <v>16</v>
      </c>
      <c r="E52" s="10" t="s">
        <v>211</v>
      </c>
      <c r="F52" s="10" t="s">
        <v>212</v>
      </c>
      <c r="G52" s="10" t="s">
        <v>17</v>
      </c>
      <c r="H52" s="10" t="s">
        <v>266</v>
      </c>
      <c r="I52" s="11" t="s">
        <v>15</v>
      </c>
      <c r="J52" s="12" t="s">
        <v>215</v>
      </c>
      <c r="K52" s="12" t="s">
        <v>221</v>
      </c>
      <c r="L52" s="13">
        <v>45047.583333333299</v>
      </c>
      <c r="M52" s="14">
        <v>45869.583333333299</v>
      </c>
      <c r="N52" s="15"/>
      <c r="O52" s="15"/>
      <c r="P52" s="15"/>
      <c r="Q52" s="15"/>
      <c r="R52" s="15"/>
    </row>
    <row r="53" spans="1:18" ht="14.25" customHeight="1">
      <c r="A53" s="5">
        <v>185</v>
      </c>
      <c r="B53" s="8" t="s">
        <v>342</v>
      </c>
      <c r="C53" s="7" t="s">
        <v>343</v>
      </c>
      <c r="D53" s="10" t="s">
        <v>74</v>
      </c>
      <c r="E53" s="10" t="s">
        <v>202</v>
      </c>
      <c r="F53" s="10" t="s">
        <v>212</v>
      </c>
      <c r="G53" s="10" t="s">
        <v>108</v>
      </c>
      <c r="H53" s="10" t="s">
        <v>231</v>
      </c>
      <c r="I53" s="11" t="s">
        <v>58</v>
      </c>
      <c r="J53" s="12" t="s">
        <v>220</v>
      </c>
      <c r="K53" s="12" t="s">
        <v>221</v>
      </c>
      <c r="L53" s="13">
        <v>44998.583333333299</v>
      </c>
      <c r="M53" s="14">
        <v>45689.625</v>
      </c>
      <c r="N53" s="15"/>
      <c r="O53" s="15"/>
      <c r="P53" s="15"/>
      <c r="Q53" s="15"/>
      <c r="R53" s="15"/>
    </row>
    <row r="54" spans="1:18" ht="14.25" customHeight="1">
      <c r="A54" s="5">
        <v>192</v>
      </c>
      <c r="B54" s="8" t="s">
        <v>344</v>
      </c>
      <c r="C54" s="7" t="s">
        <v>345</v>
      </c>
      <c r="D54" s="10" t="s">
        <v>74</v>
      </c>
      <c r="E54" s="10" t="s">
        <v>202</v>
      </c>
      <c r="F54" s="10" t="s">
        <v>212</v>
      </c>
      <c r="G54" s="10" t="s">
        <v>108</v>
      </c>
      <c r="H54" s="10" t="s">
        <v>240</v>
      </c>
      <c r="I54" s="11" t="s">
        <v>241</v>
      </c>
      <c r="J54" s="12" t="s">
        <v>220</v>
      </c>
      <c r="K54" s="12" t="s">
        <v>221</v>
      </c>
      <c r="L54" s="13">
        <v>44983.625</v>
      </c>
      <c r="M54" s="14">
        <v>45746.583333333299</v>
      </c>
      <c r="N54" s="15"/>
      <c r="O54" s="15"/>
      <c r="P54" s="15"/>
      <c r="Q54" s="15"/>
      <c r="R54" s="15"/>
    </row>
    <row r="55" spans="1:18" ht="14.25" customHeight="1">
      <c r="A55" s="5">
        <v>197</v>
      </c>
      <c r="B55" s="8" t="s">
        <v>346</v>
      </c>
      <c r="C55" s="7" t="s">
        <v>347</v>
      </c>
      <c r="D55" s="10" t="s">
        <v>74</v>
      </c>
      <c r="E55" s="10" t="s">
        <v>78</v>
      </c>
      <c r="F55" s="10" t="s">
        <v>78</v>
      </c>
      <c r="G55" s="10" t="s">
        <v>78</v>
      </c>
      <c r="H55" s="10" t="s">
        <v>224</v>
      </c>
      <c r="I55" s="11" t="s">
        <v>135</v>
      </c>
      <c r="J55" s="12" t="s">
        <v>215</v>
      </c>
      <c r="K55" s="12" t="s">
        <v>208</v>
      </c>
      <c r="L55" s="13">
        <v>44991.625</v>
      </c>
      <c r="M55" s="14"/>
      <c r="N55" s="15"/>
      <c r="O55" s="15"/>
      <c r="P55" s="15"/>
      <c r="Q55" s="15"/>
      <c r="R55" s="15"/>
    </row>
    <row r="56" spans="1:18" ht="14.25" customHeight="1">
      <c r="A56" s="5">
        <v>200</v>
      </c>
      <c r="B56" s="8" t="s">
        <v>348</v>
      </c>
      <c r="C56" s="7" t="s">
        <v>349</v>
      </c>
      <c r="D56" s="10" t="s">
        <v>16</v>
      </c>
      <c r="E56" s="10" t="s">
        <v>211</v>
      </c>
      <c r="F56" s="10" t="s">
        <v>259</v>
      </c>
      <c r="G56" s="10" t="s">
        <v>296</v>
      </c>
      <c r="H56" s="10" t="s">
        <v>296</v>
      </c>
      <c r="I56" s="11" t="s">
        <v>350</v>
      </c>
      <c r="J56" s="12" t="s">
        <v>215</v>
      </c>
      <c r="K56" s="12" t="s">
        <v>221</v>
      </c>
      <c r="L56" s="13">
        <v>44963.625</v>
      </c>
      <c r="M56" s="14">
        <v>45777.583333333299</v>
      </c>
      <c r="N56" s="15"/>
      <c r="O56" s="15"/>
      <c r="P56" s="15"/>
      <c r="Q56" s="15"/>
      <c r="R56" s="15"/>
    </row>
    <row r="57" spans="1:18" ht="14.25" customHeight="1">
      <c r="A57" s="5">
        <v>209</v>
      </c>
      <c r="B57" s="8" t="s">
        <v>165</v>
      </c>
      <c r="C57" s="7" t="s">
        <v>166</v>
      </c>
      <c r="D57" s="10" t="s">
        <v>45</v>
      </c>
      <c r="E57" s="10" t="s">
        <v>201</v>
      </c>
      <c r="F57" s="10" t="s">
        <v>212</v>
      </c>
      <c r="G57" s="10" t="s">
        <v>46</v>
      </c>
      <c r="H57" s="10" t="s">
        <v>224</v>
      </c>
      <c r="I57" s="11" t="s">
        <v>135</v>
      </c>
      <c r="J57" s="12" t="s">
        <v>215</v>
      </c>
      <c r="K57" s="12" t="s">
        <v>208</v>
      </c>
      <c r="L57" s="13">
        <v>45006.583333333299</v>
      </c>
      <c r="M57" s="14"/>
      <c r="N57" s="15"/>
      <c r="O57" s="15"/>
      <c r="P57" s="15"/>
      <c r="Q57" s="15"/>
      <c r="R57" s="15"/>
    </row>
    <row r="58" spans="1:18" ht="14.25" customHeight="1">
      <c r="A58" s="5">
        <v>210</v>
      </c>
      <c r="B58" s="8" t="s">
        <v>351</v>
      </c>
      <c r="C58" s="7" t="s">
        <v>166</v>
      </c>
      <c r="D58" s="10" t="s">
        <v>29</v>
      </c>
      <c r="E58" s="10" t="s">
        <v>203</v>
      </c>
      <c r="F58" s="10" t="s">
        <v>212</v>
      </c>
      <c r="G58" s="10" t="s">
        <v>39</v>
      </c>
      <c r="H58" s="10" t="s">
        <v>224</v>
      </c>
      <c r="I58" s="11" t="s">
        <v>135</v>
      </c>
      <c r="J58" s="12" t="s">
        <v>220</v>
      </c>
      <c r="K58" s="12" t="s">
        <v>221</v>
      </c>
      <c r="L58" s="13">
        <v>45803.583333333299</v>
      </c>
      <c r="M58" s="14">
        <v>45818.583333333299</v>
      </c>
      <c r="N58" s="15"/>
      <c r="O58" s="15"/>
      <c r="P58" s="15"/>
      <c r="Q58" s="15"/>
      <c r="R58" s="15"/>
    </row>
    <row r="59" spans="1:18" ht="14.25" customHeight="1">
      <c r="A59" s="5">
        <v>211</v>
      </c>
      <c r="B59" s="8" t="s">
        <v>352</v>
      </c>
      <c r="C59" s="7" t="s">
        <v>353</v>
      </c>
      <c r="D59" s="10" t="s">
        <v>74</v>
      </c>
      <c r="E59" s="10" t="s">
        <v>201</v>
      </c>
      <c r="F59" s="10" t="s">
        <v>212</v>
      </c>
      <c r="G59" s="10" t="s">
        <v>136</v>
      </c>
      <c r="H59" s="10" t="s">
        <v>240</v>
      </c>
      <c r="I59" s="10" t="s">
        <v>354</v>
      </c>
      <c r="J59" s="12" t="s">
        <v>215</v>
      </c>
      <c r="K59" s="12" t="s">
        <v>221</v>
      </c>
      <c r="L59" s="16">
        <v>45200.583333333299</v>
      </c>
      <c r="M59" s="14">
        <v>45760.583333333299</v>
      </c>
      <c r="N59" s="15"/>
      <c r="O59" s="15"/>
      <c r="P59" s="15"/>
      <c r="Q59" s="15"/>
      <c r="R59" s="15"/>
    </row>
    <row r="60" spans="1:18" ht="14.25" customHeight="1">
      <c r="A60" s="5">
        <v>221</v>
      </c>
      <c r="B60" s="8" t="s">
        <v>355</v>
      </c>
      <c r="C60" s="7" t="s">
        <v>356</v>
      </c>
      <c r="D60" s="10" t="s">
        <v>74</v>
      </c>
      <c r="E60" s="10" t="s">
        <v>78</v>
      </c>
      <c r="F60" s="10" t="s">
        <v>78</v>
      </c>
      <c r="G60" s="10" t="s">
        <v>78</v>
      </c>
      <c r="H60" s="10" t="s">
        <v>292</v>
      </c>
      <c r="I60" s="11" t="s">
        <v>357</v>
      </c>
      <c r="J60" s="12" t="s">
        <v>215</v>
      </c>
      <c r="K60" s="12" t="s">
        <v>208</v>
      </c>
      <c r="L60" s="13">
        <v>45017.583333333299</v>
      </c>
      <c r="M60" s="14"/>
      <c r="N60" s="15"/>
      <c r="O60" s="15"/>
      <c r="P60" s="15"/>
      <c r="Q60" s="15"/>
      <c r="R60" s="15"/>
    </row>
    <row r="61" spans="1:18" ht="14.25" customHeight="1">
      <c r="A61" s="5">
        <v>222</v>
      </c>
      <c r="B61" s="8" t="s">
        <v>358</v>
      </c>
      <c r="C61" s="7" t="s">
        <v>359</v>
      </c>
      <c r="D61" s="10" t="s">
        <v>74</v>
      </c>
      <c r="E61" s="10" t="s">
        <v>78</v>
      </c>
      <c r="F61" s="10" t="s">
        <v>78</v>
      </c>
      <c r="G61" s="10" t="s">
        <v>78</v>
      </c>
      <c r="H61" s="10" t="s">
        <v>292</v>
      </c>
      <c r="I61" s="11" t="s">
        <v>357</v>
      </c>
      <c r="J61" s="12" t="s">
        <v>215</v>
      </c>
      <c r="K61" s="12" t="s">
        <v>208</v>
      </c>
      <c r="L61" s="13">
        <v>45017.583333333299</v>
      </c>
      <c r="M61" s="14"/>
      <c r="N61" s="15"/>
      <c r="O61" s="15"/>
      <c r="P61" s="15"/>
      <c r="Q61" s="15"/>
      <c r="R61" s="15"/>
    </row>
    <row r="62" spans="1:18" ht="14.25" customHeight="1">
      <c r="A62" s="5">
        <v>229</v>
      </c>
      <c r="B62" s="8" t="s">
        <v>360</v>
      </c>
      <c r="C62" s="7" t="s">
        <v>361</v>
      </c>
      <c r="D62" s="10" t="s">
        <v>74</v>
      </c>
      <c r="E62" s="10" t="s">
        <v>202</v>
      </c>
      <c r="F62" s="10" t="s">
        <v>212</v>
      </c>
      <c r="G62" s="10" t="s">
        <v>108</v>
      </c>
      <c r="H62" s="10" t="s">
        <v>240</v>
      </c>
      <c r="I62" s="11" t="s">
        <v>107</v>
      </c>
      <c r="J62" s="12" t="s">
        <v>215</v>
      </c>
      <c r="K62" s="12" t="s">
        <v>221</v>
      </c>
      <c r="L62" s="13">
        <v>45084.583333333299</v>
      </c>
      <c r="M62" s="14">
        <v>45691.625</v>
      </c>
      <c r="N62" s="15"/>
      <c r="O62" s="15"/>
      <c r="P62" s="15"/>
      <c r="Q62" s="15"/>
      <c r="R62" s="15"/>
    </row>
    <row r="63" spans="1:18" ht="14.25" customHeight="1">
      <c r="A63" s="5">
        <v>231</v>
      </c>
      <c r="B63" s="8" t="s">
        <v>362</v>
      </c>
      <c r="C63" s="7" t="s">
        <v>363</v>
      </c>
      <c r="D63" s="10" t="s">
        <v>45</v>
      </c>
      <c r="E63" s="10" t="s">
        <v>201</v>
      </c>
      <c r="F63" s="10" t="s">
        <v>212</v>
      </c>
      <c r="G63" s="10" t="s">
        <v>46</v>
      </c>
      <c r="H63" s="10" t="s">
        <v>213</v>
      </c>
      <c r="I63" s="11" t="s">
        <v>214</v>
      </c>
      <c r="J63" s="12" t="s">
        <v>215</v>
      </c>
      <c r="K63" s="12" t="s">
        <v>221</v>
      </c>
      <c r="L63" s="13">
        <v>45414.583333333299</v>
      </c>
      <c r="M63" s="14">
        <v>46091.583333333299</v>
      </c>
      <c r="N63" s="15"/>
      <c r="O63" s="15"/>
      <c r="P63" s="15"/>
      <c r="Q63" s="15"/>
      <c r="R63" s="15"/>
    </row>
    <row r="64" spans="1:18" ht="14.25" customHeight="1">
      <c r="A64" s="5">
        <v>237</v>
      </c>
      <c r="B64" s="8" t="s">
        <v>364</v>
      </c>
      <c r="C64" s="7" t="s">
        <v>365</v>
      </c>
      <c r="D64" s="10" t="s">
        <v>74</v>
      </c>
      <c r="E64" s="10" t="s">
        <v>78</v>
      </c>
      <c r="F64" s="10" t="s">
        <v>78</v>
      </c>
      <c r="G64" s="10" t="s">
        <v>78</v>
      </c>
      <c r="H64" s="10" t="s">
        <v>288</v>
      </c>
      <c r="I64" s="11" t="s">
        <v>366</v>
      </c>
      <c r="J64" s="12" t="s">
        <v>215</v>
      </c>
      <c r="K64" s="12" t="s">
        <v>208</v>
      </c>
      <c r="L64" s="13">
        <v>45857.583333333299</v>
      </c>
      <c r="M64" s="14"/>
      <c r="N64" s="15"/>
      <c r="O64" s="15"/>
      <c r="P64" s="15"/>
      <c r="Q64" s="15"/>
      <c r="R64" s="15"/>
    </row>
    <row r="65" spans="1:18" ht="14.25" customHeight="1">
      <c r="A65" s="5">
        <v>238</v>
      </c>
      <c r="B65" s="8" t="s">
        <v>367</v>
      </c>
      <c r="C65" s="7" t="s">
        <v>368</v>
      </c>
      <c r="D65" s="10" t="s">
        <v>74</v>
      </c>
      <c r="E65" s="10" t="s">
        <v>78</v>
      </c>
      <c r="F65" s="10" t="s">
        <v>78</v>
      </c>
      <c r="G65" s="10" t="s">
        <v>78</v>
      </c>
      <c r="H65" s="10" t="s">
        <v>288</v>
      </c>
      <c r="I65" s="11" t="s">
        <v>369</v>
      </c>
      <c r="J65" s="12" t="s">
        <v>215</v>
      </c>
      <c r="K65" s="12" t="s">
        <v>221</v>
      </c>
      <c r="L65" s="13">
        <v>44637.583333333299</v>
      </c>
      <c r="M65" s="14">
        <v>45754.583333333299</v>
      </c>
      <c r="N65" s="15"/>
      <c r="O65" s="15"/>
      <c r="P65" s="15"/>
      <c r="Q65" s="15"/>
      <c r="R65" s="15"/>
    </row>
    <row r="66" spans="1:18" ht="14.25" customHeight="1">
      <c r="A66" s="5">
        <v>243</v>
      </c>
      <c r="B66" s="8" t="s">
        <v>109</v>
      </c>
      <c r="C66" s="7" t="s">
        <v>110</v>
      </c>
      <c r="D66" s="10" t="s">
        <v>74</v>
      </c>
      <c r="E66" s="10" t="s">
        <v>78</v>
      </c>
      <c r="F66" s="10" t="s">
        <v>78</v>
      </c>
      <c r="G66" s="10" t="s">
        <v>78</v>
      </c>
      <c r="H66" s="10" t="s">
        <v>288</v>
      </c>
      <c r="I66" s="11" t="s">
        <v>51</v>
      </c>
      <c r="J66" s="12" t="s">
        <v>215</v>
      </c>
      <c r="K66" s="12" t="s">
        <v>208</v>
      </c>
      <c r="L66" s="13">
        <v>45514.583333333299</v>
      </c>
      <c r="M66" s="14"/>
      <c r="N66" s="15"/>
      <c r="O66" s="15"/>
      <c r="P66" s="15"/>
      <c r="Q66" s="15"/>
      <c r="R66" s="15"/>
    </row>
    <row r="67" spans="1:18" ht="14.25" customHeight="1">
      <c r="A67" s="5">
        <v>244</v>
      </c>
      <c r="B67" s="8" t="s">
        <v>370</v>
      </c>
      <c r="C67" s="7" t="s">
        <v>371</v>
      </c>
      <c r="D67" s="10" t="s">
        <v>74</v>
      </c>
      <c r="E67" s="10" t="s">
        <v>78</v>
      </c>
      <c r="F67" s="10" t="s">
        <v>78</v>
      </c>
      <c r="G67" s="10" t="s">
        <v>78</v>
      </c>
      <c r="H67" s="10" t="s">
        <v>288</v>
      </c>
      <c r="I67" s="11" t="s">
        <v>51</v>
      </c>
      <c r="J67" s="12" t="s">
        <v>215</v>
      </c>
      <c r="K67" s="12" t="s">
        <v>208</v>
      </c>
      <c r="L67" s="13">
        <v>45485.583333333299</v>
      </c>
      <c r="M67" s="14"/>
      <c r="N67" s="15"/>
      <c r="O67" s="15"/>
      <c r="P67" s="15"/>
      <c r="Q67" s="15"/>
      <c r="R67" s="15"/>
    </row>
    <row r="68" spans="1:18" ht="14.25" customHeight="1">
      <c r="A68" s="5">
        <v>246</v>
      </c>
      <c r="B68" s="8" t="s">
        <v>372</v>
      </c>
      <c r="C68" s="7" t="s">
        <v>373</v>
      </c>
      <c r="D68" s="10" t="s">
        <v>16</v>
      </c>
      <c r="E68" s="10" t="s">
        <v>211</v>
      </c>
      <c r="F68" s="10" t="s">
        <v>212</v>
      </c>
      <c r="G68" s="10" t="s">
        <v>120</v>
      </c>
      <c r="H68" s="10" t="s">
        <v>224</v>
      </c>
      <c r="I68" s="11" t="s">
        <v>135</v>
      </c>
      <c r="J68" s="12" t="s">
        <v>220</v>
      </c>
      <c r="K68" s="12" t="s">
        <v>221</v>
      </c>
      <c r="L68" s="13">
        <v>44083.583333333299</v>
      </c>
      <c r="M68" s="14">
        <v>45777.583333333299</v>
      </c>
      <c r="N68" s="15"/>
      <c r="O68" s="15"/>
      <c r="P68" s="15"/>
      <c r="Q68" s="15"/>
      <c r="R68" s="15"/>
    </row>
    <row r="69" spans="1:18" ht="14.25" customHeight="1">
      <c r="A69" s="5">
        <v>247</v>
      </c>
      <c r="B69" s="8" t="s">
        <v>374</v>
      </c>
      <c r="C69" s="7" t="s">
        <v>375</v>
      </c>
      <c r="D69" s="10" t="s">
        <v>74</v>
      </c>
      <c r="E69" s="10" t="s">
        <v>202</v>
      </c>
      <c r="F69" s="10" t="s">
        <v>212</v>
      </c>
      <c r="G69" s="10" t="s">
        <v>108</v>
      </c>
      <c r="H69" s="10" t="s">
        <v>224</v>
      </c>
      <c r="I69" s="11" t="s">
        <v>135</v>
      </c>
      <c r="J69" s="12" t="s">
        <v>220</v>
      </c>
      <c r="K69" s="12" t="s">
        <v>221</v>
      </c>
      <c r="L69" s="13">
        <v>44310.583333333299</v>
      </c>
      <c r="M69" s="14">
        <v>45782.583333333299</v>
      </c>
      <c r="N69" s="15"/>
      <c r="O69" s="15"/>
      <c r="P69" s="15"/>
      <c r="Q69" s="15"/>
      <c r="R69" s="15"/>
    </row>
    <row r="70" spans="1:18" ht="14.25" customHeight="1">
      <c r="A70" s="5">
        <v>251</v>
      </c>
      <c r="B70" s="8" t="s">
        <v>376</v>
      </c>
      <c r="C70" s="7" t="s">
        <v>377</v>
      </c>
      <c r="D70" s="10" t="s">
        <v>16</v>
      </c>
      <c r="E70" s="10" t="s">
        <v>211</v>
      </c>
      <c r="F70" s="10" t="s">
        <v>259</v>
      </c>
      <c r="G70" s="10" t="s">
        <v>101</v>
      </c>
      <c r="H70" s="10" t="s">
        <v>101</v>
      </c>
      <c r="I70" s="11" t="s">
        <v>337</v>
      </c>
      <c r="J70" s="12" t="s">
        <v>215</v>
      </c>
      <c r="K70" s="12" t="s">
        <v>221</v>
      </c>
      <c r="L70" s="13">
        <v>45170.583333333299</v>
      </c>
      <c r="M70" s="14">
        <v>45878.583333333299</v>
      </c>
      <c r="N70" s="15"/>
      <c r="O70" s="15"/>
      <c r="P70" s="15"/>
      <c r="Q70" s="15"/>
      <c r="R70" s="15"/>
    </row>
    <row r="71" spans="1:18" ht="14.25" customHeight="1">
      <c r="A71" s="5">
        <v>255</v>
      </c>
      <c r="B71" s="8" t="s">
        <v>378</v>
      </c>
      <c r="C71" s="7" t="s">
        <v>379</v>
      </c>
      <c r="D71" s="10" t="s">
        <v>16</v>
      </c>
      <c r="E71" s="10" t="s">
        <v>211</v>
      </c>
      <c r="F71" s="10" t="s">
        <v>212</v>
      </c>
      <c r="G71" s="10" t="s">
        <v>120</v>
      </c>
      <c r="H71" s="10" t="s">
        <v>218</v>
      </c>
      <c r="I71" s="11" t="s">
        <v>61</v>
      </c>
      <c r="J71" s="12" t="s">
        <v>220</v>
      </c>
      <c r="K71" s="12" t="s">
        <v>221</v>
      </c>
      <c r="L71" s="13">
        <v>44991.625</v>
      </c>
      <c r="M71" s="14">
        <v>45792.583333333299</v>
      </c>
      <c r="N71" s="15"/>
      <c r="O71" s="15"/>
      <c r="P71" s="15"/>
      <c r="Q71" s="15"/>
      <c r="R71" s="15"/>
    </row>
    <row r="72" spans="1:18" ht="14.25" customHeight="1">
      <c r="A72" s="5">
        <v>256</v>
      </c>
      <c r="B72" s="8" t="s">
        <v>380</v>
      </c>
      <c r="C72" s="7" t="s">
        <v>381</v>
      </c>
      <c r="D72" s="10" t="s">
        <v>16</v>
      </c>
      <c r="E72" s="10" t="s">
        <v>211</v>
      </c>
      <c r="F72" s="10" t="s">
        <v>212</v>
      </c>
      <c r="G72" s="10" t="s">
        <v>120</v>
      </c>
      <c r="H72" s="10" t="s">
        <v>218</v>
      </c>
      <c r="I72" s="11" t="s">
        <v>61</v>
      </c>
      <c r="J72" s="12" t="s">
        <v>220</v>
      </c>
      <c r="K72" s="12" t="s">
        <v>221</v>
      </c>
      <c r="L72" s="13">
        <v>45002.583333333299</v>
      </c>
      <c r="M72" s="14">
        <v>45816.583333333299</v>
      </c>
      <c r="N72" s="15"/>
      <c r="O72" s="15"/>
      <c r="P72" s="15"/>
      <c r="Q72" s="15"/>
      <c r="R72" s="15"/>
    </row>
    <row r="73" spans="1:18" ht="14.25" customHeight="1">
      <c r="A73" s="5">
        <v>263</v>
      </c>
      <c r="B73" s="8" t="s">
        <v>382</v>
      </c>
      <c r="C73" s="7" t="s">
        <v>383</v>
      </c>
      <c r="D73" s="10" t="s">
        <v>74</v>
      </c>
      <c r="E73" s="10" t="s">
        <v>78</v>
      </c>
      <c r="F73" s="10" t="s">
        <v>78</v>
      </c>
      <c r="G73" s="10" t="s">
        <v>78</v>
      </c>
      <c r="H73" s="10" t="s">
        <v>288</v>
      </c>
      <c r="I73" s="11" t="s">
        <v>369</v>
      </c>
      <c r="J73" s="12" t="s">
        <v>220</v>
      </c>
      <c r="K73" s="12" t="s">
        <v>221</v>
      </c>
      <c r="L73" s="13">
        <v>45062.583333333299</v>
      </c>
      <c r="M73" s="14">
        <v>45755.583333333299</v>
      </c>
      <c r="N73" s="15"/>
      <c r="O73" s="15"/>
      <c r="P73" s="15"/>
      <c r="Q73" s="15"/>
      <c r="R73" s="15"/>
    </row>
    <row r="74" spans="1:18" ht="14.25" customHeight="1">
      <c r="A74" s="5">
        <v>266</v>
      </c>
      <c r="B74" s="8" t="s">
        <v>384</v>
      </c>
      <c r="C74" s="7" t="s">
        <v>385</v>
      </c>
      <c r="D74" s="10" t="s">
        <v>16</v>
      </c>
      <c r="E74" s="10" t="s">
        <v>211</v>
      </c>
      <c r="F74" s="10" t="s">
        <v>259</v>
      </c>
      <c r="G74" s="10" t="s">
        <v>305</v>
      </c>
      <c r="H74" s="10" t="s">
        <v>305</v>
      </c>
      <c r="I74" s="11" t="s">
        <v>386</v>
      </c>
      <c r="J74" s="12" t="s">
        <v>215</v>
      </c>
      <c r="K74" s="12" t="s">
        <v>221</v>
      </c>
      <c r="L74" s="13">
        <v>45170.583333333299</v>
      </c>
      <c r="M74" s="14">
        <v>46114.583333333299</v>
      </c>
      <c r="N74" s="15"/>
      <c r="O74" s="15"/>
      <c r="P74" s="15"/>
      <c r="Q74" s="15"/>
      <c r="R74" s="15"/>
    </row>
    <row r="75" spans="1:18" ht="14.25" customHeight="1">
      <c r="A75" s="5">
        <v>267</v>
      </c>
      <c r="B75" s="8" t="s">
        <v>387</v>
      </c>
      <c r="C75" s="7" t="s">
        <v>388</v>
      </c>
      <c r="D75" s="10" t="s">
        <v>16</v>
      </c>
      <c r="E75" s="10" t="s">
        <v>211</v>
      </c>
      <c r="F75" s="10" t="s">
        <v>212</v>
      </c>
      <c r="G75" s="10" t="s">
        <v>17</v>
      </c>
      <c r="H75" s="10" t="s">
        <v>240</v>
      </c>
      <c r="I75" s="11" t="s">
        <v>241</v>
      </c>
      <c r="J75" s="12" t="s">
        <v>215</v>
      </c>
      <c r="K75" s="12" t="s">
        <v>208</v>
      </c>
      <c r="L75" s="13">
        <v>44697.583333333299</v>
      </c>
      <c r="M75" s="14"/>
      <c r="N75" s="15"/>
      <c r="O75" s="15"/>
      <c r="P75" s="15"/>
      <c r="Q75" s="15"/>
      <c r="R75" s="15"/>
    </row>
    <row r="76" spans="1:18" ht="14.25" customHeight="1">
      <c r="A76" s="5">
        <v>274</v>
      </c>
      <c r="B76" s="8" t="s">
        <v>389</v>
      </c>
      <c r="C76" s="7" t="s">
        <v>390</v>
      </c>
      <c r="D76" s="10" t="s">
        <v>16</v>
      </c>
      <c r="E76" s="10" t="s">
        <v>211</v>
      </c>
      <c r="F76" s="10" t="s">
        <v>259</v>
      </c>
      <c r="G76" s="10" t="s">
        <v>279</v>
      </c>
      <c r="H76" s="10" t="s">
        <v>279</v>
      </c>
      <c r="I76" s="11" t="s">
        <v>391</v>
      </c>
      <c r="J76" s="12" t="s">
        <v>215</v>
      </c>
      <c r="K76" s="12" t="s">
        <v>208</v>
      </c>
      <c r="L76" s="13">
        <v>41501.583333333299</v>
      </c>
      <c r="M76" s="14"/>
      <c r="N76" s="15"/>
      <c r="O76" s="15"/>
      <c r="P76" s="15"/>
      <c r="Q76" s="15"/>
      <c r="R76" s="15"/>
    </row>
    <row r="77" spans="1:18" ht="14.25" customHeight="1">
      <c r="A77" s="5">
        <v>275</v>
      </c>
      <c r="B77" s="8" t="s">
        <v>392</v>
      </c>
      <c r="C77" s="7" t="s">
        <v>390</v>
      </c>
      <c r="D77" s="10" t="s">
        <v>45</v>
      </c>
      <c r="E77" s="10" t="s">
        <v>201</v>
      </c>
      <c r="F77" s="10" t="s">
        <v>259</v>
      </c>
      <c r="G77" s="10" t="s">
        <v>279</v>
      </c>
      <c r="H77" s="10" t="s">
        <v>279</v>
      </c>
      <c r="I77" s="11" t="s">
        <v>391</v>
      </c>
      <c r="J77" s="12" t="s">
        <v>215</v>
      </c>
      <c r="K77" s="12" t="s">
        <v>208</v>
      </c>
      <c r="L77" s="13">
        <v>45870.583333333299</v>
      </c>
      <c r="M77" s="14"/>
      <c r="N77" s="15"/>
      <c r="O77" s="15"/>
      <c r="P77" s="15"/>
      <c r="Q77" s="15"/>
      <c r="R77" s="15"/>
    </row>
    <row r="78" spans="1:18" ht="14.25" customHeight="1">
      <c r="A78" s="5">
        <v>276</v>
      </c>
      <c r="B78" s="8" t="s">
        <v>393</v>
      </c>
      <c r="C78" s="7" t="s">
        <v>394</v>
      </c>
      <c r="D78" s="10" t="s">
        <v>16</v>
      </c>
      <c r="E78" s="10" t="s">
        <v>211</v>
      </c>
      <c r="F78" s="10" t="s">
        <v>259</v>
      </c>
      <c r="G78" s="10" t="s">
        <v>279</v>
      </c>
      <c r="H78" s="10" t="s">
        <v>279</v>
      </c>
      <c r="I78" s="17" t="s">
        <v>395</v>
      </c>
      <c r="J78" s="12" t="s">
        <v>215</v>
      </c>
      <c r="K78" s="12" t="s">
        <v>208</v>
      </c>
      <c r="L78" s="13">
        <v>43095.625</v>
      </c>
      <c r="M78" s="14"/>
      <c r="N78" s="15"/>
      <c r="O78" s="15"/>
      <c r="P78" s="15"/>
      <c r="Q78" s="15"/>
      <c r="R78" s="15"/>
    </row>
    <row r="79" spans="1:18" ht="14.25" customHeight="1">
      <c r="A79" s="5">
        <v>277</v>
      </c>
      <c r="B79" s="8" t="s">
        <v>396</v>
      </c>
      <c r="C79" s="7" t="s">
        <v>394</v>
      </c>
      <c r="D79" s="10" t="s">
        <v>45</v>
      </c>
      <c r="E79" s="10" t="s">
        <v>201</v>
      </c>
      <c r="F79" s="10" t="s">
        <v>259</v>
      </c>
      <c r="G79" s="10" t="s">
        <v>279</v>
      </c>
      <c r="H79" s="10" t="s">
        <v>279</v>
      </c>
      <c r="I79" s="11" t="s">
        <v>395</v>
      </c>
      <c r="J79" s="12" t="s">
        <v>215</v>
      </c>
      <c r="K79" s="12" t="s">
        <v>208</v>
      </c>
      <c r="L79" s="13">
        <v>45870.583333333299</v>
      </c>
      <c r="M79" s="14"/>
      <c r="N79" s="15"/>
      <c r="O79" s="15"/>
      <c r="P79" s="15"/>
      <c r="Q79" s="15"/>
      <c r="R79" s="15"/>
    </row>
    <row r="80" spans="1:18" ht="14.25" customHeight="1">
      <c r="A80" s="5">
        <v>278</v>
      </c>
      <c r="B80" s="8" t="s">
        <v>397</v>
      </c>
      <c r="C80" s="7" t="s">
        <v>398</v>
      </c>
      <c r="D80" s="10" t="s">
        <v>16</v>
      </c>
      <c r="E80" s="10" t="s">
        <v>399</v>
      </c>
      <c r="F80" s="10" t="s">
        <v>259</v>
      </c>
      <c r="G80" s="10" t="s">
        <v>400</v>
      </c>
      <c r="H80" s="10" t="s">
        <v>400</v>
      </c>
      <c r="I80" s="11" t="s">
        <v>401</v>
      </c>
      <c r="J80" s="12" t="s">
        <v>215</v>
      </c>
      <c r="K80" s="12" t="s">
        <v>221</v>
      </c>
      <c r="L80" s="13">
        <v>43291.583333333299</v>
      </c>
      <c r="M80" s="14">
        <v>45778.583333333299</v>
      </c>
      <c r="N80" s="15"/>
      <c r="O80" s="15"/>
      <c r="P80" s="15"/>
      <c r="Q80" s="15"/>
      <c r="R80" s="15"/>
    </row>
    <row r="81" spans="1:18" ht="14.25" customHeight="1">
      <c r="A81" s="5">
        <v>279</v>
      </c>
      <c r="B81" s="8" t="s">
        <v>402</v>
      </c>
      <c r="C81" s="7" t="s">
        <v>403</v>
      </c>
      <c r="D81" s="10" t="s">
        <v>16</v>
      </c>
      <c r="E81" s="10" t="s">
        <v>399</v>
      </c>
      <c r="F81" s="10" t="s">
        <v>259</v>
      </c>
      <c r="G81" s="10" t="s">
        <v>404</v>
      </c>
      <c r="H81" s="10" t="s">
        <v>404</v>
      </c>
      <c r="I81" s="11" t="s">
        <v>405</v>
      </c>
      <c r="J81" s="12" t="s">
        <v>215</v>
      </c>
      <c r="K81" s="12" t="s">
        <v>208</v>
      </c>
      <c r="L81" s="13">
        <v>43571.583333333299</v>
      </c>
      <c r="M81" s="14"/>
      <c r="N81" s="15"/>
      <c r="O81" s="15"/>
      <c r="P81" s="15"/>
      <c r="Q81" s="15"/>
      <c r="R81" s="15"/>
    </row>
    <row r="82" spans="1:18" ht="14.25" customHeight="1">
      <c r="A82" s="5">
        <v>280</v>
      </c>
      <c r="B82" s="8" t="s">
        <v>406</v>
      </c>
      <c r="C82" s="7" t="s">
        <v>407</v>
      </c>
      <c r="D82" s="10" t="s">
        <v>16</v>
      </c>
      <c r="E82" s="10" t="s">
        <v>211</v>
      </c>
      <c r="F82" s="10" t="s">
        <v>259</v>
      </c>
      <c r="G82" s="10" t="s">
        <v>408</v>
      </c>
      <c r="H82" s="10" t="s">
        <v>408</v>
      </c>
      <c r="I82" s="11" t="s">
        <v>409</v>
      </c>
      <c r="J82" s="12" t="s">
        <v>215</v>
      </c>
      <c r="K82" s="12" t="s">
        <v>208</v>
      </c>
      <c r="L82" s="13">
        <v>43766.583333333299</v>
      </c>
      <c r="M82" s="14"/>
      <c r="N82" s="15"/>
      <c r="O82" s="15"/>
      <c r="P82" s="15"/>
      <c r="Q82" s="15"/>
      <c r="R82" s="15"/>
    </row>
    <row r="83" spans="1:18" ht="14.25" customHeight="1">
      <c r="A83" s="5">
        <v>284</v>
      </c>
      <c r="B83" s="8" t="s">
        <v>410</v>
      </c>
      <c r="C83" s="7" t="s">
        <v>411</v>
      </c>
      <c r="D83" s="10" t="s">
        <v>16</v>
      </c>
      <c r="E83" s="10" t="s">
        <v>399</v>
      </c>
      <c r="F83" s="10" t="s">
        <v>259</v>
      </c>
      <c r="G83" s="10" t="s">
        <v>412</v>
      </c>
      <c r="H83" s="10" t="s">
        <v>412</v>
      </c>
      <c r="I83" s="11" t="s">
        <v>20</v>
      </c>
      <c r="J83" s="12" t="s">
        <v>215</v>
      </c>
      <c r="K83" s="12" t="s">
        <v>221</v>
      </c>
      <c r="L83" s="13">
        <v>44249.625</v>
      </c>
      <c r="M83" s="14">
        <v>45684.625</v>
      </c>
      <c r="N83" s="15"/>
      <c r="O83" s="15"/>
      <c r="P83" s="15"/>
      <c r="Q83" s="15"/>
      <c r="R83" s="15"/>
    </row>
    <row r="84" spans="1:18" ht="14.25" customHeight="1">
      <c r="A84" s="5">
        <v>285</v>
      </c>
      <c r="B84" s="8" t="s">
        <v>413</v>
      </c>
      <c r="C84" s="7" t="s">
        <v>414</v>
      </c>
      <c r="D84" s="10" t="s">
        <v>16</v>
      </c>
      <c r="E84" s="10" t="s">
        <v>399</v>
      </c>
      <c r="F84" s="10" t="s">
        <v>259</v>
      </c>
      <c r="G84" s="10" t="s">
        <v>415</v>
      </c>
      <c r="H84" s="10" t="s">
        <v>415</v>
      </c>
      <c r="I84" s="17" t="s">
        <v>405</v>
      </c>
      <c r="J84" s="12" t="s">
        <v>215</v>
      </c>
      <c r="K84" s="12" t="s">
        <v>208</v>
      </c>
      <c r="L84" s="13">
        <v>44298.583333333299</v>
      </c>
      <c r="M84" s="14"/>
      <c r="N84" s="15"/>
      <c r="O84" s="15"/>
      <c r="P84" s="15"/>
      <c r="Q84" s="15"/>
      <c r="R84" s="15"/>
    </row>
    <row r="85" spans="1:18" ht="14.25" customHeight="1">
      <c r="A85" s="5">
        <v>287</v>
      </c>
      <c r="B85" s="8" t="s">
        <v>416</v>
      </c>
      <c r="C85" s="7" t="s">
        <v>417</v>
      </c>
      <c r="D85" s="10" t="s">
        <v>16</v>
      </c>
      <c r="E85" s="10" t="s">
        <v>399</v>
      </c>
      <c r="F85" s="10" t="s">
        <v>259</v>
      </c>
      <c r="G85" s="10" t="s">
        <v>21</v>
      </c>
      <c r="H85" s="10" t="s">
        <v>21</v>
      </c>
      <c r="I85" s="11" t="s">
        <v>405</v>
      </c>
      <c r="J85" s="12" t="s">
        <v>215</v>
      </c>
      <c r="K85" s="12" t="s">
        <v>208</v>
      </c>
      <c r="L85" s="13">
        <v>44501.583333333299</v>
      </c>
      <c r="M85" s="14"/>
      <c r="N85" s="15"/>
      <c r="O85" s="15"/>
      <c r="P85" s="15"/>
      <c r="Q85" s="15"/>
      <c r="R85" s="15"/>
    </row>
    <row r="86" spans="1:18" ht="14.25" customHeight="1">
      <c r="A86" s="5">
        <v>288</v>
      </c>
      <c r="B86" s="8" t="s">
        <v>418</v>
      </c>
      <c r="C86" s="7" t="s">
        <v>419</v>
      </c>
      <c r="D86" s="10" t="s">
        <v>16</v>
      </c>
      <c r="E86" s="10" t="s">
        <v>399</v>
      </c>
      <c r="F86" s="10" t="s">
        <v>259</v>
      </c>
      <c r="G86" s="10" t="s">
        <v>404</v>
      </c>
      <c r="H86" s="10" t="s">
        <v>404</v>
      </c>
      <c r="I86" s="11" t="s">
        <v>420</v>
      </c>
      <c r="J86" s="12" t="s">
        <v>215</v>
      </c>
      <c r="K86" s="12" t="s">
        <v>208</v>
      </c>
      <c r="L86" s="13">
        <v>44518.625</v>
      </c>
      <c r="M86" s="14"/>
      <c r="N86" s="15"/>
      <c r="O86" s="15"/>
      <c r="P86" s="15"/>
      <c r="Q86" s="15"/>
      <c r="R86" s="15"/>
    </row>
    <row r="87" spans="1:18" ht="14.25" customHeight="1">
      <c r="A87" s="5">
        <v>289</v>
      </c>
      <c r="B87" s="8" t="s">
        <v>421</v>
      </c>
      <c r="C87" s="7" t="s">
        <v>422</v>
      </c>
      <c r="D87" s="10" t="s">
        <v>16</v>
      </c>
      <c r="E87" s="10" t="s">
        <v>399</v>
      </c>
      <c r="F87" s="10" t="s">
        <v>259</v>
      </c>
      <c r="G87" s="10" t="s">
        <v>423</v>
      </c>
      <c r="H87" s="10" t="s">
        <v>423</v>
      </c>
      <c r="I87" s="11" t="s">
        <v>405</v>
      </c>
      <c r="J87" s="12" t="s">
        <v>215</v>
      </c>
      <c r="K87" s="12" t="s">
        <v>208</v>
      </c>
      <c r="L87" s="13">
        <v>44543.625</v>
      </c>
      <c r="M87" s="14"/>
      <c r="N87" s="15"/>
      <c r="O87" s="15"/>
      <c r="P87" s="15"/>
      <c r="Q87" s="15"/>
      <c r="R87" s="15"/>
    </row>
    <row r="88" spans="1:18" ht="14.25" customHeight="1">
      <c r="A88" s="5">
        <v>292</v>
      </c>
      <c r="B88" s="8" t="s">
        <v>424</v>
      </c>
      <c r="C88" s="7" t="s">
        <v>425</v>
      </c>
      <c r="D88" s="10" t="s">
        <v>16</v>
      </c>
      <c r="E88" s="10" t="s">
        <v>211</v>
      </c>
      <c r="F88" s="10" t="s">
        <v>259</v>
      </c>
      <c r="G88" s="10" t="s">
        <v>36</v>
      </c>
      <c r="H88" s="10" t="s">
        <v>36</v>
      </c>
      <c r="I88" s="11" t="s">
        <v>426</v>
      </c>
      <c r="J88" s="12" t="s">
        <v>215</v>
      </c>
      <c r="K88" s="12" t="s">
        <v>208</v>
      </c>
      <c r="L88" s="13">
        <v>44601.625</v>
      </c>
      <c r="M88" s="14"/>
      <c r="N88" s="15"/>
      <c r="O88" s="15"/>
      <c r="P88" s="15"/>
      <c r="Q88" s="15"/>
      <c r="R88" s="15"/>
    </row>
    <row r="89" spans="1:18" ht="14.25" customHeight="1">
      <c r="A89" s="5">
        <v>293</v>
      </c>
      <c r="B89" s="8" t="s">
        <v>427</v>
      </c>
      <c r="C89" s="7" t="s">
        <v>428</v>
      </c>
      <c r="D89" s="10" t="s">
        <v>16</v>
      </c>
      <c r="E89" s="10" t="s">
        <v>211</v>
      </c>
      <c r="F89" s="10" t="s">
        <v>259</v>
      </c>
      <c r="G89" s="10" t="s">
        <v>36</v>
      </c>
      <c r="H89" s="10" t="s">
        <v>36</v>
      </c>
      <c r="I89" s="11" t="s">
        <v>429</v>
      </c>
      <c r="J89" s="12" t="s">
        <v>215</v>
      </c>
      <c r="K89" s="12" t="s">
        <v>208</v>
      </c>
      <c r="L89" s="13">
        <v>44606.625</v>
      </c>
      <c r="M89" s="14"/>
      <c r="N89" s="15"/>
      <c r="O89" s="15"/>
      <c r="P89" s="15"/>
      <c r="Q89" s="15"/>
      <c r="R89" s="15"/>
    </row>
    <row r="90" spans="1:18" ht="14.25" customHeight="1">
      <c r="A90" s="5">
        <v>294</v>
      </c>
      <c r="B90" s="8" t="s">
        <v>430</v>
      </c>
      <c r="C90" s="7" t="s">
        <v>428</v>
      </c>
      <c r="D90" s="10" t="s">
        <v>29</v>
      </c>
      <c r="E90" s="10" t="s">
        <v>203</v>
      </c>
      <c r="F90" s="10" t="s">
        <v>259</v>
      </c>
      <c r="G90" s="10" t="s">
        <v>279</v>
      </c>
      <c r="H90" s="10" t="s">
        <v>279</v>
      </c>
      <c r="I90" s="11" t="s">
        <v>431</v>
      </c>
      <c r="J90" s="12" t="s">
        <v>215</v>
      </c>
      <c r="K90" s="12" t="s">
        <v>208</v>
      </c>
      <c r="L90" s="13">
        <v>45748.583333333299</v>
      </c>
      <c r="M90" s="14"/>
      <c r="N90" s="15"/>
      <c r="O90" s="15"/>
      <c r="P90" s="15"/>
      <c r="Q90" s="15"/>
      <c r="R90" s="15"/>
    </row>
    <row r="91" spans="1:18" ht="14.25" customHeight="1">
      <c r="A91" s="5">
        <v>295</v>
      </c>
      <c r="B91" s="8" t="s">
        <v>432</v>
      </c>
      <c r="C91" s="7" t="s">
        <v>433</v>
      </c>
      <c r="D91" s="10" t="s">
        <v>16</v>
      </c>
      <c r="E91" s="10" t="s">
        <v>399</v>
      </c>
      <c r="F91" s="10" t="s">
        <v>259</v>
      </c>
      <c r="G91" s="10" t="s">
        <v>404</v>
      </c>
      <c r="H91" s="10" t="s">
        <v>404</v>
      </c>
      <c r="I91" s="11" t="s">
        <v>434</v>
      </c>
      <c r="J91" s="12" t="s">
        <v>215</v>
      </c>
      <c r="K91" s="12" t="s">
        <v>208</v>
      </c>
      <c r="L91" s="13">
        <v>44676.583333333299</v>
      </c>
      <c r="M91" s="14"/>
      <c r="N91" s="15"/>
      <c r="O91" s="15"/>
      <c r="P91" s="15"/>
      <c r="Q91" s="15"/>
      <c r="R91" s="15"/>
    </row>
    <row r="92" spans="1:18" ht="14.25" customHeight="1">
      <c r="A92" s="5">
        <v>296</v>
      </c>
      <c r="B92" s="8" t="s">
        <v>435</v>
      </c>
      <c r="C92" s="7" t="s">
        <v>436</v>
      </c>
      <c r="D92" s="10" t="s">
        <v>16</v>
      </c>
      <c r="E92" s="10" t="s">
        <v>211</v>
      </c>
      <c r="F92" s="10" t="s">
        <v>259</v>
      </c>
      <c r="G92" s="10" t="s">
        <v>408</v>
      </c>
      <c r="H92" s="10" t="s">
        <v>408</v>
      </c>
      <c r="I92" s="11" t="s">
        <v>437</v>
      </c>
      <c r="J92" s="12" t="s">
        <v>215</v>
      </c>
      <c r="K92" s="12" t="s">
        <v>208</v>
      </c>
      <c r="L92" s="13">
        <v>44685.583333333299</v>
      </c>
      <c r="M92" s="14"/>
      <c r="N92" s="15"/>
      <c r="O92" s="15"/>
      <c r="P92" s="15"/>
      <c r="Q92" s="15"/>
      <c r="R92" s="15"/>
    </row>
    <row r="93" spans="1:18" ht="14.25" customHeight="1">
      <c r="A93" s="5">
        <v>302</v>
      </c>
      <c r="B93" s="8" t="s">
        <v>193</v>
      </c>
      <c r="C93" s="7" t="s">
        <v>194</v>
      </c>
      <c r="D93" s="10" t="s">
        <v>16</v>
      </c>
      <c r="E93" s="10" t="s">
        <v>211</v>
      </c>
      <c r="F93" s="10" t="s">
        <v>259</v>
      </c>
      <c r="G93" s="10" t="s">
        <v>75</v>
      </c>
      <c r="H93" s="10" t="s">
        <v>75</v>
      </c>
      <c r="I93" s="11" t="s">
        <v>438</v>
      </c>
      <c r="J93" s="12" t="s">
        <v>215</v>
      </c>
      <c r="K93" s="12" t="s">
        <v>221</v>
      </c>
      <c r="L93" s="13">
        <v>44733.583333333299</v>
      </c>
      <c r="M93" s="14">
        <v>45912.583333333299</v>
      </c>
      <c r="N93" s="15"/>
      <c r="O93" s="15"/>
      <c r="P93" s="15"/>
      <c r="Q93" s="15"/>
      <c r="R93" s="15"/>
    </row>
    <row r="94" spans="1:18" ht="14.25" customHeight="1">
      <c r="A94" s="5">
        <v>304</v>
      </c>
      <c r="B94" s="8" t="s">
        <v>439</v>
      </c>
      <c r="C94" s="7" t="s">
        <v>440</v>
      </c>
      <c r="D94" s="10" t="s">
        <v>16</v>
      </c>
      <c r="E94" s="10" t="s">
        <v>399</v>
      </c>
      <c r="F94" s="10" t="s">
        <v>259</v>
      </c>
      <c r="G94" s="10" t="s">
        <v>21</v>
      </c>
      <c r="H94" s="10" t="s">
        <v>21</v>
      </c>
      <c r="I94" s="11" t="s">
        <v>441</v>
      </c>
      <c r="J94" s="12" t="s">
        <v>215</v>
      </c>
      <c r="K94" s="12" t="s">
        <v>221</v>
      </c>
      <c r="L94" s="13">
        <v>44757.583333333299</v>
      </c>
      <c r="M94" s="14">
        <v>45869.583333333299</v>
      </c>
      <c r="N94" s="15"/>
      <c r="O94" s="15"/>
      <c r="P94" s="15"/>
      <c r="Q94" s="15"/>
      <c r="R94" s="15"/>
    </row>
    <row r="95" spans="1:18" ht="14.25" customHeight="1">
      <c r="A95" s="5">
        <v>314</v>
      </c>
      <c r="B95" s="8" t="s">
        <v>442</v>
      </c>
      <c r="C95" s="7" t="s">
        <v>443</v>
      </c>
      <c r="D95" s="10" t="s">
        <v>16</v>
      </c>
      <c r="E95" s="10" t="s">
        <v>211</v>
      </c>
      <c r="F95" s="10" t="s">
        <v>259</v>
      </c>
      <c r="G95" s="10" t="s">
        <v>75</v>
      </c>
      <c r="H95" s="10" t="s">
        <v>75</v>
      </c>
      <c r="I95" s="11" t="s">
        <v>444</v>
      </c>
      <c r="J95" s="12" t="s">
        <v>215</v>
      </c>
      <c r="K95" s="12" t="s">
        <v>208</v>
      </c>
      <c r="L95" s="13">
        <v>44928.625</v>
      </c>
      <c r="M95" s="14"/>
      <c r="N95" s="15"/>
      <c r="O95" s="15"/>
      <c r="P95" s="15"/>
      <c r="Q95" s="15"/>
      <c r="R95" s="15"/>
    </row>
    <row r="96" spans="1:18" ht="14.25" customHeight="1">
      <c r="A96" s="5">
        <v>318</v>
      </c>
      <c r="B96" s="8" t="s">
        <v>445</v>
      </c>
      <c r="C96" s="7" t="s">
        <v>446</v>
      </c>
      <c r="D96" s="10" t="s">
        <v>16</v>
      </c>
      <c r="E96" s="10" t="s">
        <v>399</v>
      </c>
      <c r="F96" s="10" t="s">
        <v>259</v>
      </c>
      <c r="G96" s="10" t="s">
        <v>400</v>
      </c>
      <c r="H96" s="10" t="s">
        <v>400</v>
      </c>
      <c r="I96" s="11" t="s">
        <v>447</v>
      </c>
      <c r="J96" s="12" t="s">
        <v>215</v>
      </c>
      <c r="K96" s="12" t="s">
        <v>221</v>
      </c>
      <c r="L96" s="13">
        <v>44991.625</v>
      </c>
      <c r="M96" s="14">
        <v>45789.583333333299</v>
      </c>
      <c r="N96" s="15"/>
      <c r="O96" s="15"/>
      <c r="P96" s="15"/>
      <c r="Q96" s="15"/>
      <c r="R96" s="15"/>
    </row>
    <row r="97" spans="1:18" ht="14.25" customHeight="1">
      <c r="A97" s="5">
        <v>319</v>
      </c>
      <c r="B97" s="8" t="s">
        <v>448</v>
      </c>
      <c r="C97" s="7" t="s">
        <v>449</v>
      </c>
      <c r="D97" s="10" t="s">
        <v>16</v>
      </c>
      <c r="E97" s="10" t="s">
        <v>211</v>
      </c>
      <c r="F97" s="10" t="s">
        <v>259</v>
      </c>
      <c r="G97" s="10" t="s">
        <v>408</v>
      </c>
      <c r="H97" s="10" t="s">
        <v>408</v>
      </c>
      <c r="I97" s="11" t="s">
        <v>450</v>
      </c>
      <c r="J97" s="12" t="s">
        <v>215</v>
      </c>
      <c r="K97" s="12" t="s">
        <v>208</v>
      </c>
      <c r="L97" s="13">
        <v>45510.583333333299</v>
      </c>
      <c r="M97" s="14"/>
      <c r="N97" s="15"/>
      <c r="O97" s="15"/>
      <c r="P97" s="15"/>
      <c r="Q97" s="15"/>
      <c r="R97" s="15"/>
    </row>
    <row r="98" spans="1:18" ht="14.25" customHeight="1">
      <c r="A98" s="5">
        <v>321</v>
      </c>
      <c r="B98" s="8" t="s">
        <v>451</v>
      </c>
      <c r="C98" s="7" t="s">
        <v>452</v>
      </c>
      <c r="D98" s="10" t="s">
        <v>16</v>
      </c>
      <c r="E98" s="10" t="s">
        <v>399</v>
      </c>
      <c r="F98" s="10" t="s">
        <v>259</v>
      </c>
      <c r="G98" s="10" t="s">
        <v>404</v>
      </c>
      <c r="H98" s="10" t="s">
        <v>404</v>
      </c>
      <c r="I98" s="11" t="s">
        <v>453</v>
      </c>
      <c r="J98" s="12" t="s">
        <v>215</v>
      </c>
      <c r="K98" s="12" t="s">
        <v>221</v>
      </c>
      <c r="L98" s="13">
        <v>45033.583333333299</v>
      </c>
      <c r="M98" s="14">
        <v>46127.583333333299</v>
      </c>
      <c r="N98" s="15"/>
      <c r="O98" s="15"/>
      <c r="P98" s="15"/>
      <c r="Q98" s="15"/>
      <c r="R98" s="15"/>
    </row>
    <row r="99" spans="1:18" ht="14.25" customHeight="1">
      <c r="A99" s="5">
        <v>328</v>
      </c>
      <c r="B99" s="8" t="s">
        <v>454</v>
      </c>
      <c r="C99" s="7" t="s">
        <v>455</v>
      </c>
      <c r="D99" s="10" t="s">
        <v>16</v>
      </c>
      <c r="E99" s="10" t="s">
        <v>399</v>
      </c>
      <c r="F99" s="10" t="s">
        <v>259</v>
      </c>
      <c r="G99" s="10" t="s">
        <v>25</v>
      </c>
      <c r="H99" s="10" t="s">
        <v>25</v>
      </c>
      <c r="I99" s="11" t="s">
        <v>456</v>
      </c>
      <c r="J99" s="12" t="s">
        <v>215</v>
      </c>
      <c r="K99" s="12" t="s">
        <v>221</v>
      </c>
      <c r="L99" s="13">
        <v>45110.583333333299</v>
      </c>
      <c r="M99" s="14">
        <v>45667.625</v>
      </c>
      <c r="N99" s="15"/>
      <c r="O99" s="15"/>
      <c r="P99" s="15"/>
      <c r="Q99" s="15"/>
      <c r="R99" s="15"/>
    </row>
    <row r="100" spans="1:18" ht="14.25" customHeight="1">
      <c r="A100" s="5">
        <v>330</v>
      </c>
      <c r="B100" s="8" t="s">
        <v>457</v>
      </c>
      <c r="C100" s="7" t="s">
        <v>458</v>
      </c>
      <c r="D100" s="10" t="s">
        <v>16</v>
      </c>
      <c r="E100" s="10" t="s">
        <v>211</v>
      </c>
      <c r="F100" s="10" t="s">
        <v>259</v>
      </c>
      <c r="G100" s="10" t="s">
        <v>25</v>
      </c>
      <c r="H100" s="10" t="s">
        <v>25</v>
      </c>
      <c r="I100" s="11" t="s">
        <v>459</v>
      </c>
      <c r="J100" s="12" t="s">
        <v>215</v>
      </c>
      <c r="K100" s="12" t="s">
        <v>208</v>
      </c>
      <c r="L100" s="13">
        <v>45117.583333333299</v>
      </c>
      <c r="M100" s="14"/>
      <c r="N100" s="15"/>
      <c r="O100" s="15"/>
      <c r="P100" s="15"/>
      <c r="Q100" s="15"/>
      <c r="R100" s="15"/>
    </row>
    <row r="101" spans="1:18" ht="14.25" customHeight="1">
      <c r="A101" s="5">
        <v>336</v>
      </c>
      <c r="B101" s="8" t="s">
        <v>460</v>
      </c>
      <c r="C101" s="7" t="s">
        <v>461</v>
      </c>
      <c r="D101" s="10" t="s">
        <v>16</v>
      </c>
      <c r="E101" s="10" t="s">
        <v>211</v>
      </c>
      <c r="F101" s="10" t="s">
        <v>212</v>
      </c>
      <c r="G101" s="10" t="s">
        <v>17</v>
      </c>
      <c r="H101" s="10" t="s">
        <v>218</v>
      </c>
      <c r="I101" s="11" t="s">
        <v>61</v>
      </c>
      <c r="J101" s="12" t="s">
        <v>220</v>
      </c>
      <c r="K101" s="12" t="s">
        <v>221</v>
      </c>
      <c r="L101" s="13">
        <v>45127.583333333299</v>
      </c>
      <c r="M101" s="14">
        <v>45822.583333333299</v>
      </c>
      <c r="N101" s="15"/>
      <c r="O101" s="15"/>
      <c r="P101" s="15"/>
      <c r="Q101" s="15"/>
      <c r="R101" s="15"/>
    </row>
    <row r="102" spans="1:18" ht="14.25" customHeight="1">
      <c r="A102" s="5">
        <v>354</v>
      </c>
      <c r="B102" s="8" t="s">
        <v>462</v>
      </c>
      <c r="C102" s="7" t="s">
        <v>463</v>
      </c>
      <c r="D102" s="10" t="s">
        <v>74</v>
      </c>
      <c r="E102" s="10" t="s">
        <v>464</v>
      </c>
      <c r="F102" s="10" t="s">
        <v>78</v>
      </c>
      <c r="G102" s="10" t="s">
        <v>78</v>
      </c>
      <c r="H102" s="10" t="s">
        <v>288</v>
      </c>
      <c r="I102" s="11" t="s">
        <v>465</v>
      </c>
      <c r="J102" s="12" t="s">
        <v>220</v>
      </c>
      <c r="K102" s="12" t="s">
        <v>221</v>
      </c>
      <c r="L102" s="13">
        <v>45785.583333333299</v>
      </c>
      <c r="M102" s="14">
        <v>45931.583333333299</v>
      </c>
      <c r="N102" s="15"/>
      <c r="O102" s="15"/>
      <c r="P102" s="15"/>
      <c r="Q102" s="15"/>
      <c r="R102" s="15"/>
    </row>
    <row r="103" spans="1:18" ht="14.25" customHeight="1">
      <c r="A103" s="5">
        <v>360</v>
      </c>
      <c r="B103" s="8" t="s">
        <v>466</v>
      </c>
      <c r="C103" s="7" t="s">
        <v>467</v>
      </c>
      <c r="D103" s="10" t="s">
        <v>74</v>
      </c>
      <c r="E103" s="10" t="s">
        <v>202</v>
      </c>
      <c r="F103" s="10" t="s">
        <v>212</v>
      </c>
      <c r="G103" s="10" t="s">
        <v>108</v>
      </c>
      <c r="H103" s="10" t="s">
        <v>224</v>
      </c>
      <c r="I103" s="11" t="s">
        <v>135</v>
      </c>
      <c r="J103" s="12" t="s">
        <v>220</v>
      </c>
      <c r="K103" s="12" t="s">
        <v>221</v>
      </c>
      <c r="L103" s="13">
        <v>45133.583333333299</v>
      </c>
      <c r="M103" s="14">
        <v>45789.583333333299</v>
      </c>
      <c r="N103" s="15"/>
      <c r="O103" s="15"/>
      <c r="P103" s="15"/>
      <c r="Q103" s="15"/>
      <c r="R103" s="15"/>
    </row>
    <row r="104" spans="1:18" ht="14.25" customHeight="1">
      <c r="A104" s="5">
        <v>367</v>
      </c>
      <c r="B104" s="8" t="s">
        <v>468</v>
      </c>
      <c r="C104" s="7" t="s">
        <v>469</v>
      </c>
      <c r="D104" s="10" t="s">
        <v>16</v>
      </c>
      <c r="E104" s="10" t="s">
        <v>211</v>
      </c>
      <c r="F104" s="10" t="s">
        <v>259</v>
      </c>
      <c r="G104" s="10" t="s">
        <v>284</v>
      </c>
      <c r="H104" s="10" t="s">
        <v>284</v>
      </c>
      <c r="I104" s="11" t="s">
        <v>470</v>
      </c>
      <c r="J104" s="12" t="s">
        <v>471</v>
      </c>
      <c r="K104" s="12" t="s">
        <v>221</v>
      </c>
      <c r="L104" s="13">
        <v>45139.583333333299</v>
      </c>
      <c r="M104" s="14">
        <v>46053.625</v>
      </c>
      <c r="N104" s="15"/>
      <c r="O104" s="15"/>
      <c r="P104" s="15"/>
      <c r="Q104" s="15"/>
      <c r="R104" s="15"/>
    </row>
    <row r="105" spans="1:18" ht="14.25" customHeight="1">
      <c r="A105" s="5">
        <v>373</v>
      </c>
      <c r="B105" s="8" t="s">
        <v>472</v>
      </c>
      <c r="C105" s="7" t="s">
        <v>473</v>
      </c>
      <c r="D105" s="10" t="s">
        <v>16</v>
      </c>
      <c r="E105" s="10" t="s">
        <v>211</v>
      </c>
      <c r="F105" s="10" t="s">
        <v>259</v>
      </c>
      <c r="G105" s="10" t="s">
        <v>284</v>
      </c>
      <c r="H105" s="10" t="s">
        <v>284</v>
      </c>
      <c r="I105" s="11" t="s">
        <v>332</v>
      </c>
      <c r="J105" s="12" t="s">
        <v>215</v>
      </c>
      <c r="K105" s="12" t="s">
        <v>208</v>
      </c>
      <c r="L105" s="13">
        <v>45153.583333333299</v>
      </c>
      <c r="M105" s="14"/>
      <c r="N105" s="15"/>
      <c r="O105" s="15"/>
      <c r="P105" s="15"/>
      <c r="Q105" s="15"/>
      <c r="R105" s="15"/>
    </row>
    <row r="106" spans="1:18" ht="14.25" customHeight="1">
      <c r="A106" s="5">
        <v>374</v>
      </c>
      <c r="B106" s="8" t="s">
        <v>474</v>
      </c>
      <c r="C106" s="7" t="s">
        <v>475</v>
      </c>
      <c r="D106" s="10" t="s">
        <v>16</v>
      </c>
      <c r="E106" s="10" t="s">
        <v>211</v>
      </c>
      <c r="F106" s="10" t="s">
        <v>259</v>
      </c>
      <c r="G106" s="10" t="s">
        <v>25</v>
      </c>
      <c r="H106" s="10" t="s">
        <v>25</v>
      </c>
      <c r="I106" s="11" t="s">
        <v>476</v>
      </c>
      <c r="J106" s="12" t="s">
        <v>215</v>
      </c>
      <c r="K106" s="12" t="s">
        <v>208</v>
      </c>
      <c r="L106" s="13">
        <v>45152.583333333299</v>
      </c>
      <c r="M106" s="14"/>
      <c r="N106" s="15"/>
      <c r="O106" s="15"/>
      <c r="P106" s="15"/>
      <c r="Q106" s="15"/>
      <c r="R106" s="15"/>
    </row>
    <row r="107" spans="1:18" ht="14.25" customHeight="1">
      <c r="A107" s="5">
        <v>375</v>
      </c>
      <c r="B107" s="8" t="s">
        <v>206</v>
      </c>
      <c r="C107" s="7" t="s">
        <v>207</v>
      </c>
      <c r="D107" s="10" t="s">
        <v>16</v>
      </c>
      <c r="E107" s="10" t="s">
        <v>211</v>
      </c>
      <c r="F107" s="10" t="s">
        <v>259</v>
      </c>
      <c r="G107" s="10" t="s">
        <v>25</v>
      </c>
      <c r="H107" s="10" t="s">
        <v>25</v>
      </c>
      <c r="I107" s="11" t="s">
        <v>477</v>
      </c>
      <c r="J107" s="12" t="s">
        <v>215</v>
      </c>
      <c r="K107" s="12" t="s">
        <v>208</v>
      </c>
      <c r="L107" s="13">
        <v>45139.583333333299</v>
      </c>
      <c r="M107" s="14"/>
      <c r="N107" s="15"/>
      <c r="O107" s="15"/>
      <c r="P107" s="15"/>
      <c r="Q107" s="15"/>
      <c r="R107" s="15"/>
    </row>
    <row r="108" spans="1:18" ht="14.25" customHeight="1">
      <c r="A108" s="5">
        <v>390</v>
      </c>
      <c r="B108" s="8" t="s">
        <v>13</v>
      </c>
      <c r="C108" s="7" t="s">
        <v>14</v>
      </c>
      <c r="D108" s="10" t="s">
        <v>16</v>
      </c>
      <c r="E108" s="10" t="s">
        <v>211</v>
      </c>
      <c r="F108" s="10" t="s">
        <v>212</v>
      </c>
      <c r="G108" s="10" t="s">
        <v>17</v>
      </c>
      <c r="H108" s="10" t="s">
        <v>266</v>
      </c>
      <c r="I108" s="11" t="s">
        <v>15</v>
      </c>
      <c r="J108" s="12" t="s">
        <v>215</v>
      </c>
      <c r="K108" s="12" t="s">
        <v>208</v>
      </c>
      <c r="L108" s="13">
        <v>45139.583333333299</v>
      </c>
      <c r="M108" s="14"/>
      <c r="N108" s="15"/>
      <c r="O108" s="15"/>
      <c r="P108" s="15"/>
      <c r="Q108" s="15"/>
      <c r="R108" s="15"/>
    </row>
    <row r="109" spans="1:18" ht="14.25" customHeight="1">
      <c r="A109" s="5">
        <v>393</v>
      </c>
      <c r="B109" s="8" t="s">
        <v>478</v>
      </c>
      <c r="C109" s="7" t="s">
        <v>479</v>
      </c>
      <c r="D109" s="10" t="s">
        <v>74</v>
      </c>
      <c r="E109" s="10" t="s">
        <v>202</v>
      </c>
      <c r="F109" s="10" t="s">
        <v>259</v>
      </c>
      <c r="G109" s="10" t="s">
        <v>480</v>
      </c>
      <c r="H109" s="10" t="s">
        <v>480</v>
      </c>
      <c r="I109" s="11" t="s">
        <v>481</v>
      </c>
      <c r="J109" s="12" t="s">
        <v>215</v>
      </c>
      <c r="K109" s="12" t="s">
        <v>221</v>
      </c>
      <c r="L109" s="13">
        <v>45174.583333333299</v>
      </c>
      <c r="M109" s="14">
        <v>45800.583333333299</v>
      </c>
      <c r="N109" s="15"/>
      <c r="O109" s="15"/>
      <c r="P109" s="15"/>
      <c r="Q109" s="15"/>
      <c r="R109" s="15"/>
    </row>
    <row r="110" spans="1:18" ht="14.25" customHeight="1">
      <c r="A110" s="5">
        <v>395</v>
      </c>
      <c r="B110" s="8" t="s">
        <v>482</v>
      </c>
      <c r="C110" s="7" t="s">
        <v>483</v>
      </c>
      <c r="D110" s="10" t="s">
        <v>16</v>
      </c>
      <c r="E110" s="10" t="s">
        <v>211</v>
      </c>
      <c r="F110" s="10" t="s">
        <v>212</v>
      </c>
      <c r="G110" s="10" t="s">
        <v>17</v>
      </c>
      <c r="H110" s="10" t="s">
        <v>218</v>
      </c>
      <c r="I110" s="11" t="s">
        <v>61</v>
      </c>
      <c r="J110" s="12" t="s">
        <v>220</v>
      </c>
      <c r="K110" s="12" t="s">
        <v>221</v>
      </c>
      <c r="L110" s="13">
        <v>45492.583333333299</v>
      </c>
      <c r="M110" s="14">
        <v>46106.583333333299</v>
      </c>
      <c r="N110" s="15"/>
      <c r="O110" s="15"/>
      <c r="P110" s="15"/>
      <c r="Q110" s="15"/>
      <c r="R110" s="15"/>
    </row>
    <row r="111" spans="1:18" ht="14.25" customHeight="1">
      <c r="A111" s="5">
        <v>398</v>
      </c>
      <c r="B111" s="8" t="s">
        <v>484</v>
      </c>
      <c r="C111" s="7" t="s">
        <v>485</v>
      </c>
      <c r="D111" s="10" t="s">
        <v>74</v>
      </c>
      <c r="E111" s="10" t="s">
        <v>202</v>
      </c>
      <c r="F111" s="10" t="s">
        <v>212</v>
      </c>
      <c r="G111" s="10" t="s">
        <v>108</v>
      </c>
      <c r="H111" s="10" t="s">
        <v>240</v>
      </c>
      <c r="I111" s="11" t="s">
        <v>107</v>
      </c>
      <c r="J111" s="12" t="s">
        <v>220</v>
      </c>
      <c r="K111" s="12" t="s">
        <v>221</v>
      </c>
      <c r="L111" s="13">
        <v>45186.583333333299</v>
      </c>
      <c r="M111" s="14">
        <v>45723.625</v>
      </c>
      <c r="N111" s="15"/>
      <c r="O111" s="15"/>
      <c r="P111" s="15"/>
      <c r="Q111" s="15"/>
      <c r="R111" s="15"/>
    </row>
    <row r="112" spans="1:18" ht="14.25" customHeight="1">
      <c r="A112" s="5">
        <v>402</v>
      </c>
      <c r="B112" s="8" t="s">
        <v>146</v>
      </c>
      <c r="C112" s="7" t="s">
        <v>147</v>
      </c>
      <c r="D112" s="10" t="s">
        <v>74</v>
      </c>
      <c r="E112" s="10" t="s">
        <v>202</v>
      </c>
      <c r="F112" s="10" t="s">
        <v>259</v>
      </c>
      <c r="G112" s="10" t="s">
        <v>36</v>
      </c>
      <c r="H112" s="10" t="s">
        <v>36</v>
      </c>
      <c r="I112" s="11" t="s">
        <v>148</v>
      </c>
      <c r="J112" s="12" t="s">
        <v>215</v>
      </c>
      <c r="K112" s="12" t="s">
        <v>221</v>
      </c>
      <c r="L112" s="13">
        <v>45229.583333333299</v>
      </c>
      <c r="M112" s="14">
        <v>45912.583333333299</v>
      </c>
      <c r="N112" s="15"/>
      <c r="O112" s="15"/>
      <c r="P112" s="15"/>
      <c r="Q112" s="15"/>
      <c r="R112" s="15"/>
    </row>
    <row r="113" spans="1:18" ht="14.25" customHeight="1">
      <c r="A113" s="5">
        <v>412</v>
      </c>
      <c r="B113" s="8" t="s">
        <v>486</v>
      </c>
      <c r="C113" s="7" t="s">
        <v>487</v>
      </c>
      <c r="D113" s="10" t="s">
        <v>16</v>
      </c>
      <c r="E113" s="10" t="s">
        <v>211</v>
      </c>
      <c r="F113" s="10" t="s">
        <v>259</v>
      </c>
      <c r="G113" s="10" t="s">
        <v>36</v>
      </c>
      <c r="H113" s="10" t="s">
        <v>36</v>
      </c>
      <c r="I113" s="10" t="s">
        <v>488</v>
      </c>
      <c r="J113" s="12" t="s">
        <v>215</v>
      </c>
      <c r="K113" s="12" t="s">
        <v>208</v>
      </c>
      <c r="L113" s="13">
        <v>45243.625</v>
      </c>
      <c r="M113" s="14"/>
      <c r="N113" s="15"/>
      <c r="O113" s="15"/>
      <c r="P113" s="15"/>
      <c r="Q113" s="15"/>
      <c r="R113" s="15"/>
    </row>
    <row r="114" spans="1:18" ht="14.25" customHeight="1">
      <c r="A114" s="5">
        <v>413</v>
      </c>
      <c r="B114" s="8" t="s">
        <v>489</v>
      </c>
      <c r="C114" s="7" t="s">
        <v>490</v>
      </c>
      <c r="D114" s="10" t="s">
        <v>16</v>
      </c>
      <c r="E114" s="10" t="s">
        <v>399</v>
      </c>
      <c r="F114" s="10" t="s">
        <v>259</v>
      </c>
      <c r="G114" s="10" t="s">
        <v>21</v>
      </c>
      <c r="H114" s="10" t="s">
        <v>21</v>
      </c>
      <c r="I114" s="10" t="s">
        <v>491</v>
      </c>
      <c r="J114" s="12" t="s">
        <v>215</v>
      </c>
      <c r="K114" s="12" t="s">
        <v>208</v>
      </c>
      <c r="L114" s="13">
        <v>45245.625</v>
      </c>
      <c r="M114" s="14"/>
      <c r="N114" s="15"/>
      <c r="O114" s="15"/>
      <c r="P114" s="15"/>
      <c r="Q114" s="15"/>
      <c r="R114" s="15"/>
    </row>
    <row r="115" spans="1:18" ht="14.25" customHeight="1">
      <c r="A115" s="5">
        <v>419</v>
      </c>
      <c r="B115" s="8" t="s">
        <v>492</v>
      </c>
      <c r="C115" s="7" t="s">
        <v>493</v>
      </c>
      <c r="D115" s="10" t="s">
        <v>16</v>
      </c>
      <c r="E115" s="10" t="s">
        <v>211</v>
      </c>
      <c r="F115" s="10" t="s">
        <v>212</v>
      </c>
      <c r="G115" s="10" t="s">
        <v>17</v>
      </c>
      <c r="H115" s="10" t="s">
        <v>218</v>
      </c>
      <c r="I115" s="10" t="s">
        <v>61</v>
      </c>
      <c r="J115" s="12" t="s">
        <v>220</v>
      </c>
      <c r="K115" s="12" t="s">
        <v>208</v>
      </c>
      <c r="L115" s="13">
        <v>45243.625</v>
      </c>
      <c r="M115" s="14"/>
      <c r="N115" s="15"/>
      <c r="O115" s="15"/>
      <c r="P115" s="15"/>
      <c r="Q115" s="15"/>
      <c r="R115" s="15"/>
    </row>
    <row r="116" spans="1:18" ht="14.25" customHeight="1">
      <c r="A116" s="5">
        <v>420</v>
      </c>
      <c r="B116" s="8" t="s">
        <v>494</v>
      </c>
      <c r="C116" s="7" t="s">
        <v>495</v>
      </c>
      <c r="D116" s="10" t="s">
        <v>16</v>
      </c>
      <c r="E116" s="10" t="s">
        <v>211</v>
      </c>
      <c r="F116" s="10" t="s">
        <v>259</v>
      </c>
      <c r="G116" s="10" t="s">
        <v>408</v>
      </c>
      <c r="H116" s="10" t="s">
        <v>408</v>
      </c>
      <c r="I116" s="10" t="s">
        <v>441</v>
      </c>
      <c r="J116" s="12" t="s">
        <v>215</v>
      </c>
      <c r="K116" s="12" t="s">
        <v>208</v>
      </c>
      <c r="L116" s="13">
        <v>45271.625</v>
      </c>
      <c r="M116" s="14"/>
      <c r="N116" s="15"/>
      <c r="O116" s="15"/>
      <c r="P116" s="15"/>
      <c r="Q116" s="15"/>
      <c r="R116" s="15"/>
    </row>
    <row r="117" spans="1:18" ht="14.25" customHeight="1">
      <c r="A117" s="5">
        <v>430</v>
      </c>
      <c r="B117" s="8" t="s">
        <v>496</v>
      </c>
      <c r="C117" s="7" t="s">
        <v>497</v>
      </c>
      <c r="D117" s="10" t="s">
        <v>16</v>
      </c>
      <c r="E117" s="10" t="s">
        <v>211</v>
      </c>
      <c r="F117" s="10" t="s">
        <v>212</v>
      </c>
      <c r="G117" s="10" t="s">
        <v>17</v>
      </c>
      <c r="H117" s="10" t="s">
        <v>218</v>
      </c>
      <c r="I117" s="10" t="s">
        <v>61</v>
      </c>
      <c r="J117" s="12" t="s">
        <v>215</v>
      </c>
      <c r="K117" s="12" t="s">
        <v>208</v>
      </c>
      <c r="L117" s="13">
        <v>45284.625</v>
      </c>
      <c r="M117" s="14"/>
      <c r="N117" s="15"/>
      <c r="O117" s="15"/>
      <c r="P117" s="15"/>
      <c r="Q117" s="15"/>
      <c r="R117" s="15"/>
    </row>
    <row r="118" spans="1:18" ht="14.25" customHeight="1">
      <c r="A118" s="5">
        <v>436</v>
      </c>
      <c r="B118" s="8" t="s">
        <v>498</v>
      </c>
      <c r="C118" s="7" t="s">
        <v>499</v>
      </c>
      <c r="D118" s="10" t="s">
        <v>74</v>
      </c>
      <c r="E118" s="10" t="s">
        <v>202</v>
      </c>
      <c r="F118" s="10" t="s">
        <v>212</v>
      </c>
      <c r="G118" s="10" t="s">
        <v>108</v>
      </c>
      <c r="H118" s="10" t="s">
        <v>231</v>
      </c>
      <c r="I118" s="10" t="s">
        <v>58</v>
      </c>
      <c r="J118" s="12" t="s">
        <v>220</v>
      </c>
      <c r="K118" s="12" t="s">
        <v>221</v>
      </c>
      <c r="L118" s="13">
        <v>45302.625</v>
      </c>
      <c r="M118" s="14">
        <v>45747.583333333299</v>
      </c>
      <c r="N118" s="15"/>
      <c r="O118" s="15"/>
      <c r="P118" s="15"/>
      <c r="Q118" s="15"/>
      <c r="R118" s="15"/>
    </row>
    <row r="119" spans="1:18" ht="14.25" customHeight="1">
      <c r="A119" s="5">
        <v>437</v>
      </c>
      <c r="B119" s="8" t="s">
        <v>500</v>
      </c>
      <c r="C119" s="7" t="s">
        <v>501</v>
      </c>
      <c r="D119" s="10" t="s">
        <v>16</v>
      </c>
      <c r="E119" s="10" t="s">
        <v>211</v>
      </c>
      <c r="F119" s="10" t="s">
        <v>212</v>
      </c>
      <c r="G119" s="10" t="s">
        <v>17</v>
      </c>
      <c r="H119" s="10" t="s">
        <v>218</v>
      </c>
      <c r="I119" s="10" t="s">
        <v>61</v>
      </c>
      <c r="J119" s="12" t="s">
        <v>220</v>
      </c>
      <c r="K119" s="12" t="s">
        <v>208</v>
      </c>
      <c r="L119" s="13">
        <v>45297.625</v>
      </c>
      <c r="M119" s="18"/>
      <c r="N119" s="15"/>
      <c r="O119" s="15"/>
      <c r="P119" s="15"/>
      <c r="Q119" s="15"/>
      <c r="R119" s="15"/>
    </row>
    <row r="120" spans="1:18" ht="14.25" customHeight="1">
      <c r="A120" s="5">
        <v>438</v>
      </c>
      <c r="B120" s="8" t="s">
        <v>502</v>
      </c>
      <c r="C120" s="7" t="s">
        <v>178</v>
      </c>
      <c r="D120" s="10" t="s">
        <v>269</v>
      </c>
      <c r="E120" s="10" t="s">
        <v>270</v>
      </c>
      <c r="F120" s="10" t="s">
        <v>212</v>
      </c>
      <c r="G120" s="10" t="s">
        <v>271</v>
      </c>
      <c r="H120" s="10" t="s">
        <v>266</v>
      </c>
      <c r="I120" s="10" t="s">
        <v>319</v>
      </c>
      <c r="J120" s="12" t="s">
        <v>215</v>
      </c>
      <c r="K120" s="12" t="s">
        <v>221</v>
      </c>
      <c r="L120" s="13">
        <v>45341.625</v>
      </c>
      <c r="M120" s="14">
        <v>45836.583333333299</v>
      </c>
      <c r="N120" s="15"/>
      <c r="O120" s="15"/>
      <c r="P120" s="15"/>
      <c r="Q120" s="15"/>
      <c r="R120" s="15"/>
    </row>
    <row r="121" spans="1:18" ht="14.25" customHeight="1">
      <c r="A121" s="5">
        <v>439</v>
      </c>
      <c r="B121" s="8" t="s">
        <v>177</v>
      </c>
      <c r="C121" s="7" t="s">
        <v>178</v>
      </c>
      <c r="D121" s="10" t="s">
        <v>29</v>
      </c>
      <c r="E121" s="10" t="s">
        <v>203</v>
      </c>
      <c r="F121" s="10" t="s">
        <v>212</v>
      </c>
      <c r="G121" s="10" t="s">
        <v>30</v>
      </c>
      <c r="H121" s="10" t="s">
        <v>266</v>
      </c>
      <c r="I121" s="10" t="s">
        <v>319</v>
      </c>
      <c r="J121" s="12" t="s">
        <v>215</v>
      </c>
      <c r="K121" s="12" t="s">
        <v>221</v>
      </c>
      <c r="L121" s="13">
        <v>45845.583333333299</v>
      </c>
      <c r="M121" s="14">
        <v>45932.583333333299</v>
      </c>
      <c r="N121" s="15"/>
      <c r="O121" s="15"/>
      <c r="P121" s="15"/>
      <c r="Q121" s="15"/>
      <c r="R121" s="15"/>
    </row>
    <row r="122" spans="1:18" ht="14.25" customHeight="1">
      <c r="A122" s="5">
        <v>441</v>
      </c>
      <c r="B122" s="8" t="s">
        <v>503</v>
      </c>
      <c r="C122" s="7" t="s">
        <v>504</v>
      </c>
      <c r="D122" s="10" t="s">
        <v>74</v>
      </c>
      <c r="E122" s="10" t="s">
        <v>202</v>
      </c>
      <c r="F122" s="10" t="s">
        <v>259</v>
      </c>
      <c r="G122" s="10" t="s">
        <v>101</v>
      </c>
      <c r="H122" s="10" t="s">
        <v>101</v>
      </c>
      <c r="I122" s="10" t="s">
        <v>100</v>
      </c>
      <c r="J122" s="12" t="s">
        <v>215</v>
      </c>
      <c r="K122" s="12" t="s">
        <v>221</v>
      </c>
      <c r="L122" s="13">
        <v>45341.625</v>
      </c>
      <c r="M122" s="14">
        <v>45782.583333333299</v>
      </c>
      <c r="N122" s="15"/>
      <c r="O122" s="15"/>
      <c r="P122" s="15"/>
      <c r="Q122" s="15"/>
      <c r="R122" s="15"/>
    </row>
    <row r="123" spans="1:18" ht="14.25" customHeight="1">
      <c r="A123" s="5">
        <v>442</v>
      </c>
      <c r="B123" s="8" t="s">
        <v>505</v>
      </c>
      <c r="C123" s="7" t="s">
        <v>506</v>
      </c>
      <c r="D123" s="10" t="s">
        <v>74</v>
      </c>
      <c r="E123" s="10" t="s">
        <v>202</v>
      </c>
      <c r="F123" s="10" t="s">
        <v>259</v>
      </c>
      <c r="G123" s="10" t="s">
        <v>101</v>
      </c>
      <c r="H123" s="10" t="s">
        <v>101</v>
      </c>
      <c r="I123" s="10" t="s">
        <v>100</v>
      </c>
      <c r="J123" s="12" t="s">
        <v>215</v>
      </c>
      <c r="K123" s="12" t="s">
        <v>221</v>
      </c>
      <c r="L123" s="13">
        <v>45341.625</v>
      </c>
      <c r="M123" s="14">
        <v>45869.583333333299</v>
      </c>
      <c r="N123" s="15"/>
      <c r="O123" s="15"/>
      <c r="P123" s="15"/>
      <c r="Q123" s="15"/>
      <c r="R123" s="15"/>
    </row>
    <row r="124" spans="1:18" ht="14.25" customHeight="1">
      <c r="A124" s="5">
        <v>450</v>
      </c>
      <c r="B124" s="8" t="s">
        <v>507</v>
      </c>
      <c r="C124" s="7" t="s">
        <v>508</v>
      </c>
      <c r="D124" s="10" t="s">
        <v>16</v>
      </c>
      <c r="E124" s="10" t="s">
        <v>211</v>
      </c>
      <c r="F124" s="10" t="s">
        <v>212</v>
      </c>
      <c r="G124" s="10" t="s">
        <v>17</v>
      </c>
      <c r="H124" s="10" t="s">
        <v>213</v>
      </c>
      <c r="I124" s="10" t="s">
        <v>67</v>
      </c>
      <c r="J124" s="12" t="s">
        <v>215</v>
      </c>
      <c r="K124" s="12" t="s">
        <v>208</v>
      </c>
      <c r="L124" s="13">
        <v>45344.625</v>
      </c>
      <c r="M124" s="14"/>
      <c r="N124" s="15"/>
      <c r="O124" s="15"/>
      <c r="P124" s="15"/>
      <c r="Q124" s="15"/>
      <c r="R124" s="15"/>
    </row>
    <row r="125" spans="1:18" ht="14.25" customHeight="1">
      <c r="A125" s="5">
        <v>456</v>
      </c>
      <c r="B125" s="8" t="s">
        <v>509</v>
      </c>
      <c r="C125" s="7" t="s">
        <v>510</v>
      </c>
      <c r="D125" s="10" t="s">
        <v>269</v>
      </c>
      <c r="E125" s="10" t="s">
        <v>270</v>
      </c>
      <c r="F125" s="10" t="s">
        <v>212</v>
      </c>
      <c r="G125" s="10" t="s">
        <v>271</v>
      </c>
      <c r="H125" s="10" t="s">
        <v>231</v>
      </c>
      <c r="I125" s="10" t="s">
        <v>58</v>
      </c>
      <c r="J125" s="12" t="s">
        <v>220</v>
      </c>
      <c r="K125" s="12" t="s">
        <v>221</v>
      </c>
      <c r="L125" s="13">
        <v>45700.625</v>
      </c>
      <c r="M125" s="14">
        <v>45836.583333333299</v>
      </c>
      <c r="N125" s="15"/>
      <c r="O125" s="15"/>
      <c r="P125" s="15"/>
      <c r="Q125" s="15"/>
      <c r="R125" s="15"/>
    </row>
    <row r="126" spans="1:18" ht="14.25" customHeight="1">
      <c r="A126" s="5">
        <v>461</v>
      </c>
      <c r="B126" s="8" t="s">
        <v>511</v>
      </c>
      <c r="C126" s="7" t="s">
        <v>512</v>
      </c>
      <c r="D126" s="10" t="s">
        <v>16</v>
      </c>
      <c r="E126" s="10" t="s">
        <v>399</v>
      </c>
      <c r="F126" s="10" t="s">
        <v>259</v>
      </c>
      <c r="G126" s="10" t="s">
        <v>400</v>
      </c>
      <c r="H126" s="10" t="s">
        <v>400</v>
      </c>
      <c r="I126" s="10" t="s">
        <v>447</v>
      </c>
      <c r="J126" s="12" t="s">
        <v>215</v>
      </c>
      <c r="K126" s="12" t="s">
        <v>221</v>
      </c>
      <c r="L126" s="13">
        <v>45362.583333333299</v>
      </c>
      <c r="M126" s="14">
        <v>45813.583333333299</v>
      </c>
      <c r="N126" s="15"/>
      <c r="O126" s="15"/>
      <c r="P126" s="15"/>
      <c r="Q126" s="15"/>
      <c r="R126" s="15"/>
    </row>
    <row r="127" spans="1:18" ht="14.25" customHeight="1">
      <c r="A127" s="5">
        <v>464</v>
      </c>
      <c r="B127" s="8" t="s">
        <v>513</v>
      </c>
      <c r="C127" s="7" t="s">
        <v>514</v>
      </c>
      <c r="D127" s="10" t="s">
        <v>16</v>
      </c>
      <c r="E127" s="10" t="s">
        <v>211</v>
      </c>
      <c r="F127" s="10" t="s">
        <v>212</v>
      </c>
      <c r="G127" s="10" t="s">
        <v>120</v>
      </c>
      <c r="H127" s="10" t="s">
        <v>218</v>
      </c>
      <c r="I127" s="10" t="s">
        <v>61</v>
      </c>
      <c r="J127" s="12" t="s">
        <v>220</v>
      </c>
      <c r="K127" s="12" t="s">
        <v>221</v>
      </c>
      <c r="L127" s="13">
        <v>45366.583333333299</v>
      </c>
      <c r="M127" s="14">
        <v>45767.583333333299</v>
      </c>
      <c r="N127" s="15"/>
      <c r="O127" s="15"/>
      <c r="P127" s="15"/>
      <c r="Q127" s="15"/>
      <c r="R127" s="15"/>
    </row>
    <row r="128" spans="1:18" ht="14.25" customHeight="1">
      <c r="A128" s="5">
        <v>471</v>
      </c>
      <c r="B128" s="8" t="s">
        <v>515</v>
      </c>
      <c r="C128" s="7" t="s">
        <v>516</v>
      </c>
      <c r="D128" s="10" t="s">
        <v>74</v>
      </c>
      <c r="E128" s="10" t="s">
        <v>202</v>
      </c>
      <c r="F128" s="10" t="s">
        <v>212</v>
      </c>
      <c r="G128" s="10" t="s">
        <v>95</v>
      </c>
      <c r="H128" s="10" t="s">
        <v>240</v>
      </c>
      <c r="I128" s="10" t="s">
        <v>107</v>
      </c>
      <c r="J128" s="12" t="s">
        <v>220</v>
      </c>
      <c r="K128" s="12" t="s">
        <v>221</v>
      </c>
      <c r="L128" s="13">
        <v>45600.625</v>
      </c>
      <c r="M128" s="14">
        <v>45940.583333333299</v>
      </c>
      <c r="N128" s="15"/>
      <c r="O128" s="15"/>
      <c r="P128" s="15"/>
      <c r="Q128" s="15"/>
      <c r="R128" s="15"/>
    </row>
    <row r="129" spans="1:18" ht="14.25" customHeight="1">
      <c r="A129" s="5">
        <v>472</v>
      </c>
      <c r="B129" s="8" t="s">
        <v>517</v>
      </c>
      <c r="C129" s="7" t="s">
        <v>518</v>
      </c>
      <c r="D129" s="10" t="s">
        <v>74</v>
      </c>
      <c r="E129" s="10" t="s">
        <v>202</v>
      </c>
      <c r="F129" s="10" t="s">
        <v>212</v>
      </c>
      <c r="G129" s="10" t="s">
        <v>95</v>
      </c>
      <c r="H129" s="10" t="s">
        <v>231</v>
      </c>
      <c r="I129" s="10" t="s">
        <v>58</v>
      </c>
      <c r="J129" s="12" t="s">
        <v>220</v>
      </c>
      <c r="K129" s="12" t="s">
        <v>221</v>
      </c>
      <c r="L129" s="13">
        <v>45362.583333333299</v>
      </c>
      <c r="M129" s="14">
        <v>45704.625</v>
      </c>
      <c r="N129" s="15"/>
      <c r="O129" s="15"/>
      <c r="P129" s="15"/>
      <c r="Q129" s="15"/>
      <c r="R129" s="15"/>
    </row>
    <row r="130" spans="1:18" ht="14.25" customHeight="1">
      <c r="A130" s="5">
        <v>474</v>
      </c>
      <c r="B130" s="8" t="s">
        <v>519</v>
      </c>
      <c r="C130" s="7" t="s">
        <v>520</v>
      </c>
      <c r="D130" s="10" t="s">
        <v>74</v>
      </c>
      <c r="E130" s="10" t="s">
        <v>202</v>
      </c>
      <c r="F130" s="10" t="s">
        <v>212</v>
      </c>
      <c r="G130" s="10" t="s">
        <v>108</v>
      </c>
      <c r="H130" s="10" t="s">
        <v>224</v>
      </c>
      <c r="I130" s="10" t="s">
        <v>135</v>
      </c>
      <c r="J130" s="12" t="s">
        <v>215</v>
      </c>
      <c r="K130" s="12" t="s">
        <v>221</v>
      </c>
      <c r="L130" s="13">
        <v>45384.583333333299</v>
      </c>
      <c r="M130" s="14">
        <v>45780.583333333299</v>
      </c>
      <c r="N130" s="15"/>
      <c r="O130" s="15"/>
      <c r="P130" s="15"/>
      <c r="Q130" s="15"/>
      <c r="R130" s="15"/>
    </row>
    <row r="131" spans="1:18" ht="14.25" customHeight="1">
      <c r="A131" s="5">
        <v>477</v>
      </c>
      <c r="B131" s="8" t="s">
        <v>521</v>
      </c>
      <c r="C131" s="7" t="s">
        <v>522</v>
      </c>
      <c r="D131" s="10" t="s">
        <v>16</v>
      </c>
      <c r="E131" s="10" t="s">
        <v>399</v>
      </c>
      <c r="F131" s="10" t="s">
        <v>259</v>
      </c>
      <c r="G131" s="10" t="s">
        <v>404</v>
      </c>
      <c r="H131" s="10" t="s">
        <v>404</v>
      </c>
      <c r="I131" s="10" t="s">
        <v>420</v>
      </c>
      <c r="J131" s="12" t="s">
        <v>215</v>
      </c>
      <c r="K131" s="12" t="s">
        <v>208</v>
      </c>
      <c r="L131" s="13">
        <v>45384.583333333299</v>
      </c>
      <c r="M131" s="14"/>
      <c r="N131" s="15"/>
      <c r="O131" s="15"/>
      <c r="P131" s="15"/>
      <c r="Q131" s="15"/>
      <c r="R131" s="15"/>
    </row>
    <row r="132" spans="1:18" ht="14.25" customHeight="1">
      <c r="A132" s="5">
        <v>483</v>
      </c>
      <c r="B132" s="8" t="s">
        <v>523</v>
      </c>
      <c r="C132" s="7" t="s">
        <v>524</v>
      </c>
      <c r="D132" s="10" t="s">
        <v>16</v>
      </c>
      <c r="E132" s="10" t="s">
        <v>211</v>
      </c>
      <c r="F132" s="10" t="s">
        <v>212</v>
      </c>
      <c r="G132" s="10" t="s">
        <v>120</v>
      </c>
      <c r="H132" s="10" t="s">
        <v>240</v>
      </c>
      <c r="I132" s="10" t="s">
        <v>107</v>
      </c>
      <c r="J132" s="12" t="s">
        <v>220</v>
      </c>
      <c r="K132" s="12" t="s">
        <v>221</v>
      </c>
      <c r="L132" s="13">
        <v>45390.583333333299</v>
      </c>
      <c r="M132" s="14">
        <v>45851.583333333299</v>
      </c>
      <c r="N132" s="15"/>
      <c r="O132" s="15"/>
      <c r="P132" s="15"/>
      <c r="Q132" s="15"/>
      <c r="R132" s="15"/>
    </row>
    <row r="133" spans="1:18" ht="14.25" customHeight="1">
      <c r="A133" s="5">
        <v>485</v>
      </c>
      <c r="B133" s="8" t="s">
        <v>525</v>
      </c>
      <c r="C133" s="7" t="s">
        <v>526</v>
      </c>
      <c r="D133" s="10" t="s">
        <v>74</v>
      </c>
      <c r="E133" s="10" t="s">
        <v>78</v>
      </c>
      <c r="F133" s="10" t="s">
        <v>78</v>
      </c>
      <c r="G133" s="10" t="s">
        <v>78</v>
      </c>
      <c r="H133" s="10" t="s">
        <v>527</v>
      </c>
      <c r="I133" s="10" t="s">
        <v>113</v>
      </c>
      <c r="J133" s="12" t="s">
        <v>220</v>
      </c>
      <c r="K133" s="12" t="s">
        <v>221</v>
      </c>
      <c r="L133" s="13">
        <v>45394.583333333299</v>
      </c>
      <c r="M133" s="14">
        <v>45688.625</v>
      </c>
      <c r="N133" s="15"/>
      <c r="O133" s="15"/>
      <c r="P133" s="15"/>
      <c r="Q133" s="15"/>
      <c r="R133" s="15"/>
    </row>
    <row r="134" spans="1:18" ht="14.25" customHeight="1">
      <c r="A134" s="5">
        <v>489</v>
      </c>
      <c r="B134" s="8" t="s">
        <v>528</v>
      </c>
      <c r="C134" s="7" t="s">
        <v>529</v>
      </c>
      <c r="D134" s="10" t="s">
        <v>29</v>
      </c>
      <c r="E134" s="10" t="s">
        <v>203</v>
      </c>
      <c r="F134" s="10" t="s">
        <v>212</v>
      </c>
      <c r="G134" s="10" t="s">
        <v>30</v>
      </c>
      <c r="H134" s="10" t="s">
        <v>240</v>
      </c>
      <c r="I134" s="10" t="s">
        <v>28</v>
      </c>
      <c r="J134" s="12" t="s">
        <v>215</v>
      </c>
      <c r="K134" s="12" t="s">
        <v>221</v>
      </c>
      <c r="L134" s="13">
        <v>45393.583333333299</v>
      </c>
      <c r="M134" s="18">
        <v>45716.625</v>
      </c>
      <c r="N134" s="15"/>
      <c r="O134" s="15"/>
      <c r="P134" s="15"/>
      <c r="Q134" s="15"/>
      <c r="R134" s="15"/>
    </row>
    <row r="135" spans="1:18" ht="14.25" customHeight="1">
      <c r="A135" s="5">
        <v>490</v>
      </c>
      <c r="B135" s="8" t="s">
        <v>530</v>
      </c>
      <c r="C135" s="7" t="s">
        <v>531</v>
      </c>
      <c r="D135" s="10" t="s">
        <v>16</v>
      </c>
      <c r="E135" s="10" t="s">
        <v>211</v>
      </c>
      <c r="F135" s="10" t="s">
        <v>212</v>
      </c>
      <c r="G135" s="10" t="s">
        <v>17</v>
      </c>
      <c r="H135" s="10" t="s">
        <v>213</v>
      </c>
      <c r="I135" s="10" t="s">
        <v>214</v>
      </c>
      <c r="J135" s="12" t="s">
        <v>215</v>
      </c>
      <c r="K135" s="12" t="s">
        <v>208</v>
      </c>
      <c r="L135" s="13">
        <v>45402.583333333299</v>
      </c>
      <c r="M135" s="14"/>
      <c r="N135" s="15"/>
      <c r="O135" s="15"/>
      <c r="P135" s="15"/>
      <c r="Q135" s="15"/>
      <c r="R135" s="15"/>
    </row>
    <row r="136" spans="1:18" ht="14.25" customHeight="1">
      <c r="A136" s="5">
        <v>492</v>
      </c>
      <c r="B136" s="8" t="s">
        <v>532</v>
      </c>
      <c r="C136" s="7" t="s">
        <v>533</v>
      </c>
      <c r="D136" s="10" t="s">
        <v>16</v>
      </c>
      <c r="E136" s="10" t="s">
        <v>211</v>
      </c>
      <c r="F136" s="10" t="s">
        <v>212</v>
      </c>
      <c r="G136" s="10" t="s">
        <v>17</v>
      </c>
      <c r="H136" s="10" t="s">
        <v>213</v>
      </c>
      <c r="I136" s="10" t="s">
        <v>214</v>
      </c>
      <c r="J136" s="12" t="s">
        <v>215</v>
      </c>
      <c r="K136" s="12" t="s">
        <v>221</v>
      </c>
      <c r="L136" s="13">
        <v>45402.583333333299</v>
      </c>
      <c r="M136" s="14">
        <v>45715.625</v>
      </c>
      <c r="N136" s="15"/>
      <c r="O136" s="15"/>
      <c r="P136" s="15"/>
      <c r="Q136" s="15"/>
      <c r="R136" s="15"/>
    </row>
    <row r="137" spans="1:18" ht="14.25" customHeight="1">
      <c r="A137" s="5">
        <v>494</v>
      </c>
      <c r="B137" s="8" t="s">
        <v>534</v>
      </c>
      <c r="C137" s="7" t="s">
        <v>535</v>
      </c>
      <c r="D137" s="10" t="s">
        <v>74</v>
      </c>
      <c r="E137" s="10" t="s">
        <v>78</v>
      </c>
      <c r="F137" s="10" t="s">
        <v>78</v>
      </c>
      <c r="G137" s="10" t="s">
        <v>78</v>
      </c>
      <c r="H137" s="10" t="s">
        <v>536</v>
      </c>
      <c r="I137" s="10" t="s">
        <v>537</v>
      </c>
      <c r="J137" s="12" t="s">
        <v>215</v>
      </c>
      <c r="K137" s="12" t="s">
        <v>221</v>
      </c>
      <c r="L137" s="13">
        <v>45404.583333333299</v>
      </c>
      <c r="M137" s="14">
        <v>45778.583333333299</v>
      </c>
      <c r="N137" s="15"/>
      <c r="O137" s="15"/>
      <c r="P137" s="15"/>
      <c r="Q137" s="15"/>
      <c r="R137" s="15"/>
    </row>
    <row r="138" spans="1:18" ht="14.25" customHeight="1">
      <c r="A138" s="5">
        <v>497</v>
      </c>
      <c r="B138" s="8" t="s">
        <v>538</v>
      </c>
      <c r="C138" s="7" t="s">
        <v>539</v>
      </c>
      <c r="D138" s="10" t="s">
        <v>29</v>
      </c>
      <c r="E138" s="10" t="s">
        <v>203</v>
      </c>
      <c r="F138" s="10" t="s">
        <v>259</v>
      </c>
      <c r="G138" s="10" t="s">
        <v>540</v>
      </c>
      <c r="H138" s="10" t="s">
        <v>540</v>
      </c>
      <c r="I138" s="10" t="s">
        <v>541</v>
      </c>
      <c r="J138" s="12" t="s">
        <v>215</v>
      </c>
      <c r="K138" s="12" t="s">
        <v>208</v>
      </c>
      <c r="L138" s="13">
        <v>45393.583333333299</v>
      </c>
      <c r="M138" s="14"/>
      <c r="N138" s="15"/>
      <c r="O138" s="15"/>
      <c r="P138" s="15"/>
      <c r="Q138" s="15"/>
      <c r="R138" s="15"/>
    </row>
    <row r="139" spans="1:18" ht="14.25" customHeight="1">
      <c r="A139" s="5">
        <v>498</v>
      </c>
      <c r="B139" s="8" t="s">
        <v>542</v>
      </c>
      <c r="C139" s="7" t="s">
        <v>543</v>
      </c>
      <c r="D139" s="10" t="s">
        <v>29</v>
      </c>
      <c r="E139" s="10" t="s">
        <v>203</v>
      </c>
      <c r="F139" s="10" t="s">
        <v>212</v>
      </c>
      <c r="G139" s="10" t="s">
        <v>544</v>
      </c>
      <c r="H139" s="10" t="s">
        <v>240</v>
      </c>
      <c r="I139" s="10" t="s">
        <v>28</v>
      </c>
      <c r="J139" s="12" t="s">
        <v>215</v>
      </c>
      <c r="K139" s="12" t="s">
        <v>221</v>
      </c>
      <c r="L139" s="13">
        <v>45393.583333333299</v>
      </c>
      <c r="M139" s="14">
        <v>45747.583333333299</v>
      </c>
      <c r="N139" s="15"/>
      <c r="O139" s="15"/>
      <c r="P139" s="15"/>
      <c r="Q139" s="15"/>
      <c r="R139" s="15"/>
    </row>
    <row r="140" spans="1:18" ht="14.25" customHeight="1">
      <c r="A140" s="5">
        <v>500</v>
      </c>
      <c r="B140" s="8" t="s">
        <v>545</v>
      </c>
      <c r="C140" s="7" t="s">
        <v>546</v>
      </c>
      <c r="D140" s="10" t="s">
        <v>74</v>
      </c>
      <c r="E140" s="10" t="s">
        <v>202</v>
      </c>
      <c r="F140" s="10" t="s">
        <v>212</v>
      </c>
      <c r="G140" s="10" t="s">
        <v>108</v>
      </c>
      <c r="H140" s="10" t="s">
        <v>240</v>
      </c>
      <c r="I140" s="10" t="s">
        <v>107</v>
      </c>
      <c r="J140" s="12" t="s">
        <v>220</v>
      </c>
      <c r="K140" s="12" t="s">
        <v>221</v>
      </c>
      <c r="L140" s="13">
        <v>45395.583333333299</v>
      </c>
      <c r="M140" s="14">
        <v>45762.583333333299</v>
      </c>
      <c r="N140" s="15"/>
      <c r="O140" s="15"/>
      <c r="P140" s="15"/>
      <c r="Q140" s="15"/>
      <c r="R140" s="15"/>
    </row>
    <row r="141" spans="1:18" ht="14.25" customHeight="1">
      <c r="A141" s="5">
        <v>504</v>
      </c>
      <c r="B141" s="8" t="s">
        <v>547</v>
      </c>
      <c r="C141" s="7" t="s">
        <v>548</v>
      </c>
      <c r="D141" s="10" t="s">
        <v>74</v>
      </c>
      <c r="E141" s="10" t="s">
        <v>202</v>
      </c>
      <c r="F141" s="10" t="s">
        <v>212</v>
      </c>
      <c r="G141" s="10" t="s">
        <v>108</v>
      </c>
      <c r="H141" s="10" t="s">
        <v>231</v>
      </c>
      <c r="I141" s="10" t="s">
        <v>58</v>
      </c>
      <c r="J141" s="12" t="s">
        <v>215</v>
      </c>
      <c r="K141" s="12" t="s">
        <v>221</v>
      </c>
      <c r="L141" s="13">
        <v>45411.583333333299</v>
      </c>
      <c r="M141" s="18">
        <v>46030.625</v>
      </c>
      <c r="N141" s="15"/>
      <c r="O141" s="15"/>
      <c r="P141" s="15"/>
      <c r="Q141" s="15"/>
      <c r="R141" s="15"/>
    </row>
    <row r="142" spans="1:18" ht="14.25" customHeight="1">
      <c r="A142" s="5">
        <v>505</v>
      </c>
      <c r="B142" s="8" t="s">
        <v>549</v>
      </c>
      <c r="C142" s="7" t="s">
        <v>550</v>
      </c>
      <c r="D142" s="10" t="s">
        <v>29</v>
      </c>
      <c r="E142" s="10" t="s">
        <v>203</v>
      </c>
      <c r="F142" s="10" t="s">
        <v>212</v>
      </c>
      <c r="G142" s="10" t="s">
        <v>544</v>
      </c>
      <c r="H142" s="10" t="s">
        <v>240</v>
      </c>
      <c r="I142" s="10" t="s">
        <v>551</v>
      </c>
      <c r="J142" s="12" t="s">
        <v>215</v>
      </c>
      <c r="K142" s="12" t="s">
        <v>221</v>
      </c>
      <c r="L142" s="13">
        <v>45409.583333333299</v>
      </c>
      <c r="M142" s="14">
        <v>46193.583333333299</v>
      </c>
      <c r="N142" s="15"/>
      <c r="O142" s="15"/>
      <c r="P142" s="15"/>
      <c r="Q142" s="15"/>
      <c r="R142" s="15"/>
    </row>
    <row r="143" spans="1:18" ht="14.25" customHeight="1">
      <c r="A143" s="5">
        <v>506</v>
      </c>
      <c r="B143" s="8" t="s">
        <v>552</v>
      </c>
      <c r="C143" s="7" t="s">
        <v>553</v>
      </c>
      <c r="D143" s="10" t="s">
        <v>74</v>
      </c>
      <c r="E143" s="10" t="s">
        <v>201</v>
      </c>
      <c r="F143" s="10" t="s">
        <v>212</v>
      </c>
      <c r="G143" s="10" t="s">
        <v>136</v>
      </c>
      <c r="H143" s="10" t="s">
        <v>266</v>
      </c>
      <c r="I143" s="10" t="s">
        <v>554</v>
      </c>
      <c r="J143" s="12" t="s">
        <v>471</v>
      </c>
      <c r="K143" s="12" t="s">
        <v>221</v>
      </c>
      <c r="L143" s="13">
        <v>45383.583333333299</v>
      </c>
      <c r="M143" s="14">
        <v>45869.583333333299</v>
      </c>
      <c r="N143" s="15"/>
      <c r="O143" s="15"/>
      <c r="P143" s="15"/>
      <c r="Q143" s="15"/>
      <c r="R143" s="15"/>
    </row>
    <row r="144" spans="1:18" ht="14.25" customHeight="1">
      <c r="A144" s="5">
        <v>507</v>
      </c>
      <c r="B144" s="8" t="s">
        <v>555</v>
      </c>
      <c r="C144" s="7" t="s">
        <v>553</v>
      </c>
      <c r="D144" s="10" t="s">
        <v>45</v>
      </c>
      <c r="E144" s="10" t="s">
        <v>201</v>
      </c>
      <c r="F144" s="10" t="s">
        <v>259</v>
      </c>
      <c r="G144" s="10" t="s">
        <v>279</v>
      </c>
      <c r="H144" s="10" t="s">
        <v>279</v>
      </c>
      <c r="I144" s="10" t="s">
        <v>554</v>
      </c>
      <c r="J144" s="12" t="s">
        <v>471</v>
      </c>
      <c r="K144" s="12" t="s">
        <v>208</v>
      </c>
      <c r="L144" s="13">
        <v>45870.583333333299</v>
      </c>
      <c r="M144" s="14"/>
      <c r="N144" s="15"/>
      <c r="O144" s="15"/>
      <c r="P144" s="15"/>
      <c r="Q144" s="15"/>
      <c r="R144" s="15"/>
    </row>
    <row r="145" spans="1:18" ht="14.25" customHeight="1">
      <c r="A145" s="5">
        <v>511</v>
      </c>
      <c r="B145" s="8" t="s">
        <v>556</v>
      </c>
      <c r="C145" s="7" t="s">
        <v>557</v>
      </c>
      <c r="D145" s="10" t="s">
        <v>16</v>
      </c>
      <c r="E145" s="10" t="s">
        <v>211</v>
      </c>
      <c r="F145" s="10" t="s">
        <v>259</v>
      </c>
      <c r="G145" s="10" t="s">
        <v>284</v>
      </c>
      <c r="H145" s="10" t="s">
        <v>284</v>
      </c>
      <c r="I145" s="10" t="s">
        <v>332</v>
      </c>
      <c r="J145" s="12" t="s">
        <v>215</v>
      </c>
      <c r="K145" s="12" t="s">
        <v>221</v>
      </c>
      <c r="L145" s="13">
        <v>45414.583333333299</v>
      </c>
      <c r="M145" s="18">
        <v>45944.583333333299</v>
      </c>
      <c r="N145" s="15"/>
      <c r="O145" s="15"/>
      <c r="P145" s="15"/>
      <c r="Q145" s="15"/>
      <c r="R145" s="15"/>
    </row>
    <row r="146" spans="1:18" ht="14.25" customHeight="1">
      <c r="A146" s="5">
        <v>512</v>
      </c>
      <c r="B146" s="8" t="s">
        <v>558</v>
      </c>
      <c r="C146" s="7" t="s">
        <v>559</v>
      </c>
      <c r="D146" s="10" t="s">
        <v>16</v>
      </c>
      <c r="E146" s="10" t="s">
        <v>211</v>
      </c>
      <c r="F146" s="10" t="s">
        <v>259</v>
      </c>
      <c r="G146" s="10" t="s">
        <v>408</v>
      </c>
      <c r="H146" s="10" t="s">
        <v>408</v>
      </c>
      <c r="I146" s="10" t="s">
        <v>560</v>
      </c>
      <c r="J146" s="12" t="s">
        <v>215</v>
      </c>
      <c r="K146" s="12" t="s">
        <v>221</v>
      </c>
      <c r="L146" s="13">
        <v>45414.583333333299</v>
      </c>
      <c r="M146" s="14">
        <v>46037.625</v>
      </c>
      <c r="N146" s="15"/>
      <c r="O146" s="15"/>
      <c r="P146" s="15"/>
      <c r="Q146" s="15"/>
      <c r="R146" s="15"/>
    </row>
    <row r="147" spans="1:18" ht="14.25" customHeight="1">
      <c r="A147" s="5">
        <v>513</v>
      </c>
      <c r="B147" s="8" t="s">
        <v>561</v>
      </c>
      <c r="C147" s="7" t="s">
        <v>562</v>
      </c>
      <c r="D147" s="10" t="s">
        <v>16</v>
      </c>
      <c r="E147" s="10" t="s">
        <v>399</v>
      </c>
      <c r="F147" s="10" t="s">
        <v>259</v>
      </c>
      <c r="G147" s="10" t="s">
        <v>25</v>
      </c>
      <c r="H147" s="10" t="s">
        <v>25</v>
      </c>
      <c r="I147" s="10" t="s">
        <v>24</v>
      </c>
      <c r="J147" s="12" t="s">
        <v>215</v>
      </c>
      <c r="K147" s="12" t="s">
        <v>221</v>
      </c>
      <c r="L147" s="13">
        <v>45414.583333333299</v>
      </c>
      <c r="M147" s="18">
        <v>45660.625</v>
      </c>
      <c r="N147" s="15"/>
      <c r="O147" s="15"/>
      <c r="P147" s="15"/>
      <c r="Q147" s="15"/>
      <c r="R147" s="15"/>
    </row>
    <row r="148" spans="1:18" ht="14.25" customHeight="1">
      <c r="A148" s="5">
        <v>514</v>
      </c>
      <c r="B148" s="8" t="s">
        <v>563</v>
      </c>
      <c r="C148" s="7" t="s">
        <v>564</v>
      </c>
      <c r="D148" s="10" t="s">
        <v>16</v>
      </c>
      <c r="E148" s="10" t="s">
        <v>211</v>
      </c>
      <c r="F148" s="10" t="s">
        <v>212</v>
      </c>
      <c r="G148" s="10" t="s">
        <v>17</v>
      </c>
      <c r="H148" s="10" t="s">
        <v>240</v>
      </c>
      <c r="I148" s="10" t="s">
        <v>241</v>
      </c>
      <c r="J148" s="12" t="s">
        <v>220</v>
      </c>
      <c r="K148" s="12" t="s">
        <v>221</v>
      </c>
      <c r="L148" s="13">
        <v>45425.583333333299</v>
      </c>
      <c r="M148" s="18">
        <v>46142.583333333299</v>
      </c>
      <c r="N148" s="15"/>
      <c r="O148" s="15"/>
      <c r="P148" s="15"/>
      <c r="Q148" s="15"/>
      <c r="R148" s="15"/>
    </row>
    <row r="149" spans="1:18" ht="14.25" customHeight="1">
      <c r="A149" s="5">
        <v>515</v>
      </c>
      <c r="B149" s="8" t="s">
        <v>565</v>
      </c>
      <c r="C149" s="7" t="s">
        <v>566</v>
      </c>
      <c r="D149" s="10" t="s">
        <v>29</v>
      </c>
      <c r="E149" s="10" t="s">
        <v>203</v>
      </c>
      <c r="F149" s="10" t="s">
        <v>259</v>
      </c>
      <c r="G149" s="10" t="s">
        <v>279</v>
      </c>
      <c r="H149" s="10" t="s">
        <v>279</v>
      </c>
      <c r="I149" s="10" t="s">
        <v>391</v>
      </c>
      <c r="J149" s="12" t="s">
        <v>215</v>
      </c>
      <c r="K149" s="12" t="s">
        <v>208</v>
      </c>
      <c r="L149" s="13">
        <v>45393.583333333299</v>
      </c>
      <c r="M149" s="14"/>
      <c r="N149" s="15"/>
      <c r="O149" s="15"/>
      <c r="P149" s="15"/>
      <c r="Q149" s="15"/>
      <c r="R149" s="15"/>
    </row>
    <row r="150" spans="1:18" ht="14.25" customHeight="1">
      <c r="A150" s="5">
        <v>517</v>
      </c>
      <c r="B150" s="8" t="s">
        <v>567</v>
      </c>
      <c r="C150" s="7" t="s">
        <v>568</v>
      </c>
      <c r="D150" s="10" t="s">
        <v>16</v>
      </c>
      <c r="E150" s="10" t="s">
        <v>399</v>
      </c>
      <c r="F150" s="10" t="s">
        <v>259</v>
      </c>
      <c r="G150" s="10" t="s">
        <v>75</v>
      </c>
      <c r="H150" s="10" t="s">
        <v>75</v>
      </c>
      <c r="I150" s="10" t="s">
        <v>569</v>
      </c>
      <c r="J150" s="12" t="s">
        <v>215</v>
      </c>
      <c r="K150" s="12" t="s">
        <v>221</v>
      </c>
      <c r="L150" s="13">
        <v>45420.583333333299</v>
      </c>
      <c r="M150" s="14">
        <v>45667.625</v>
      </c>
      <c r="N150" s="15"/>
      <c r="O150" s="15"/>
      <c r="P150" s="15"/>
      <c r="Q150" s="15"/>
      <c r="R150" s="15"/>
    </row>
    <row r="151" spans="1:18" ht="14.25" customHeight="1">
      <c r="A151" s="5">
        <v>522</v>
      </c>
      <c r="B151" s="8" t="s">
        <v>570</v>
      </c>
      <c r="C151" s="7" t="s">
        <v>571</v>
      </c>
      <c r="D151" s="10" t="s">
        <v>29</v>
      </c>
      <c r="E151" s="10" t="s">
        <v>203</v>
      </c>
      <c r="F151" s="10" t="s">
        <v>212</v>
      </c>
      <c r="G151" s="10" t="s">
        <v>544</v>
      </c>
      <c r="H151" s="10" t="s">
        <v>266</v>
      </c>
      <c r="I151" s="10" t="s">
        <v>15</v>
      </c>
      <c r="J151" s="12" t="s">
        <v>215</v>
      </c>
      <c r="K151" s="12" t="s">
        <v>221</v>
      </c>
      <c r="L151" s="13">
        <v>45426.583333333299</v>
      </c>
      <c r="M151" s="14">
        <v>45722.625</v>
      </c>
      <c r="N151" s="15"/>
      <c r="O151" s="15"/>
      <c r="P151" s="15"/>
      <c r="Q151" s="15"/>
      <c r="R151" s="15"/>
    </row>
    <row r="152" spans="1:18" ht="14.25" customHeight="1">
      <c r="A152" s="5">
        <v>524</v>
      </c>
      <c r="B152" s="8" t="s">
        <v>572</v>
      </c>
      <c r="C152" s="7" t="s">
        <v>573</v>
      </c>
      <c r="D152" s="10" t="s">
        <v>16</v>
      </c>
      <c r="E152" s="10" t="s">
        <v>211</v>
      </c>
      <c r="F152" s="10" t="s">
        <v>212</v>
      </c>
      <c r="G152" s="10" t="s">
        <v>17</v>
      </c>
      <c r="H152" s="10" t="s">
        <v>218</v>
      </c>
      <c r="I152" s="10" t="s">
        <v>61</v>
      </c>
      <c r="J152" s="12" t="s">
        <v>220</v>
      </c>
      <c r="K152" s="12" t="s">
        <v>221</v>
      </c>
      <c r="L152" s="13">
        <v>45425.583333333299</v>
      </c>
      <c r="M152" s="14">
        <v>46173.583333333299</v>
      </c>
      <c r="N152" s="15"/>
      <c r="O152" s="15"/>
      <c r="P152" s="15"/>
      <c r="Q152" s="15"/>
      <c r="R152" s="15"/>
    </row>
    <row r="153" spans="1:18" ht="14.25" customHeight="1">
      <c r="A153" s="5">
        <v>527</v>
      </c>
      <c r="B153" s="8" t="s">
        <v>574</v>
      </c>
      <c r="C153" s="7" t="s">
        <v>575</v>
      </c>
      <c r="D153" s="10" t="s">
        <v>74</v>
      </c>
      <c r="E153" s="10" t="s">
        <v>464</v>
      </c>
      <c r="F153" s="10" t="s">
        <v>78</v>
      </c>
      <c r="G153" s="10" t="s">
        <v>78</v>
      </c>
      <c r="H153" s="10" t="s">
        <v>576</v>
      </c>
      <c r="I153" s="10" t="s">
        <v>577</v>
      </c>
      <c r="J153" s="12" t="s">
        <v>220</v>
      </c>
      <c r="K153" s="12" t="s">
        <v>221</v>
      </c>
      <c r="L153" s="13">
        <v>45866.583333333299</v>
      </c>
      <c r="M153" s="14">
        <v>45931.583333333299</v>
      </c>
      <c r="N153" s="15"/>
      <c r="O153" s="15"/>
      <c r="P153" s="15"/>
      <c r="Q153" s="15"/>
      <c r="R153" s="15"/>
    </row>
    <row r="154" spans="1:18" ht="14.25" customHeight="1">
      <c r="A154" s="5">
        <v>528</v>
      </c>
      <c r="B154" s="8" t="s">
        <v>578</v>
      </c>
      <c r="C154" s="7" t="s">
        <v>579</v>
      </c>
      <c r="D154" s="10" t="s">
        <v>16</v>
      </c>
      <c r="E154" s="10" t="s">
        <v>399</v>
      </c>
      <c r="F154" s="10" t="s">
        <v>259</v>
      </c>
      <c r="G154" s="10" t="s">
        <v>580</v>
      </c>
      <c r="H154" s="10" t="s">
        <v>580</v>
      </c>
      <c r="I154" s="10" t="s">
        <v>581</v>
      </c>
      <c r="J154" s="12" t="s">
        <v>215</v>
      </c>
      <c r="K154" s="12" t="s">
        <v>221</v>
      </c>
      <c r="L154" s="13">
        <v>45426.583333333299</v>
      </c>
      <c r="M154" s="14">
        <v>45806.583333333299</v>
      </c>
      <c r="N154" s="15"/>
      <c r="O154" s="15"/>
      <c r="P154" s="15"/>
      <c r="Q154" s="15"/>
      <c r="R154" s="15"/>
    </row>
    <row r="155" spans="1:18" ht="14.25" customHeight="1">
      <c r="A155" s="5">
        <v>531</v>
      </c>
      <c r="B155" s="8" t="s">
        <v>47</v>
      </c>
      <c r="C155" s="7" t="s">
        <v>48</v>
      </c>
      <c r="D155" s="10" t="s">
        <v>45</v>
      </c>
      <c r="E155" s="10" t="s">
        <v>201</v>
      </c>
      <c r="F155" s="10" t="s">
        <v>212</v>
      </c>
      <c r="G155" s="10" t="s">
        <v>46</v>
      </c>
      <c r="H155" s="10" t="s">
        <v>213</v>
      </c>
      <c r="I155" s="10" t="s">
        <v>44</v>
      </c>
      <c r="J155" s="12" t="s">
        <v>215</v>
      </c>
      <c r="K155" s="12" t="s">
        <v>221</v>
      </c>
      <c r="L155" s="13">
        <v>45422.583333333299</v>
      </c>
      <c r="M155" s="14">
        <v>45900.583333333299</v>
      </c>
      <c r="N155" s="15"/>
      <c r="O155" s="15"/>
      <c r="P155" s="15"/>
      <c r="Q155" s="15"/>
      <c r="R155" s="15"/>
    </row>
    <row r="156" spans="1:18" ht="14.25" customHeight="1">
      <c r="A156" s="5">
        <v>536</v>
      </c>
      <c r="B156" s="8" t="s">
        <v>582</v>
      </c>
      <c r="C156" s="7" t="s">
        <v>583</v>
      </c>
      <c r="D156" s="10" t="s">
        <v>74</v>
      </c>
      <c r="E156" s="10" t="s">
        <v>202</v>
      </c>
      <c r="F156" s="10" t="s">
        <v>212</v>
      </c>
      <c r="G156" s="10" t="s">
        <v>125</v>
      </c>
      <c r="H156" s="10" t="s">
        <v>58</v>
      </c>
      <c r="I156" s="10" t="s">
        <v>58</v>
      </c>
      <c r="J156" s="12" t="s">
        <v>220</v>
      </c>
      <c r="K156" s="12" t="s">
        <v>221</v>
      </c>
      <c r="L156" s="13">
        <v>45435.583333333299</v>
      </c>
      <c r="M156" s="14">
        <v>45778.583333333299</v>
      </c>
      <c r="N156" s="15"/>
      <c r="O156" s="15"/>
      <c r="P156" s="15"/>
      <c r="Q156" s="15"/>
      <c r="R156" s="15"/>
    </row>
    <row r="157" spans="1:18" ht="14.25" customHeight="1">
      <c r="A157" s="5">
        <v>539</v>
      </c>
      <c r="B157" s="8" t="s">
        <v>584</v>
      </c>
      <c r="C157" s="7" t="s">
        <v>585</v>
      </c>
      <c r="D157" s="10" t="s">
        <v>74</v>
      </c>
      <c r="E157" s="10" t="s">
        <v>202</v>
      </c>
      <c r="F157" s="10" t="s">
        <v>259</v>
      </c>
      <c r="G157" s="10" t="s">
        <v>540</v>
      </c>
      <c r="H157" s="10" t="s">
        <v>540</v>
      </c>
      <c r="I157" s="10" t="s">
        <v>586</v>
      </c>
      <c r="J157" s="12" t="s">
        <v>215</v>
      </c>
      <c r="K157" s="12" t="s">
        <v>221</v>
      </c>
      <c r="L157" s="13">
        <v>45440.583333333299</v>
      </c>
      <c r="M157" s="14">
        <v>46185.583333333299</v>
      </c>
      <c r="N157" s="15"/>
      <c r="O157" s="15"/>
      <c r="P157" s="15"/>
      <c r="Q157" s="15"/>
      <c r="R157" s="15"/>
    </row>
    <row r="158" spans="1:18" ht="14.25" customHeight="1">
      <c r="A158" s="5">
        <v>540</v>
      </c>
      <c r="B158" s="8" t="s">
        <v>587</v>
      </c>
      <c r="C158" s="7" t="s">
        <v>588</v>
      </c>
      <c r="D158" s="10" t="s">
        <v>74</v>
      </c>
      <c r="E158" s="10" t="s">
        <v>202</v>
      </c>
      <c r="F158" s="10" t="s">
        <v>259</v>
      </c>
      <c r="G158" s="10" t="s">
        <v>589</v>
      </c>
      <c r="H158" s="10" t="s">
        <v>589</v>
      </c>
      <c r="I158" s="10" t="s">
        <v>590</v>
      </c>
      <c r="J158" s="12" t="s">
        <v>215</v>
      </c>
      <c r="K158" s="12" t="s">
        <v>221</v>
      </c>
      <c r="L158" s="13">
        <v>45440.583333333299</v>
      </c>
      <c r="M158" s="14">
        <v>45660.625</v>
      </c>
      <c r="N158" s="15"/>
      <c r="O158" s="15"/>
      <c r="P158" s="15"/>
      <c r="Q158" s="15"/>
      <c r="R158" s="15"/>
    </row>
    <row r="159" spans="1:18" ht="14.25" customHeight="1">
      <c r="A159" s="5">
        <v>543</v>
      </c>
      <c r="B159" s="8" t="s">
        <v>591</v>
      </c>
      <c r="C159" s="7" t="s">
        <v>592</v>
      </c>
      <c r="D159" s="10" t="s">
        <v>29</v>
      </c>
      <c r="E159" s="10" t="s">
        <v>203</v>
      </c>
      <c r="F159" s="10" t="s">
        <v>212</v>
      </c>
      <c r="G159" s="10" t="s">
        <v>544</v>
      </c>
      <c r="H159" s="10" t="s">
        <v>240</v>
      </c>
      <c r="I159" s="10" t="s">
        <v>28</v>
      </c>
      <c r="J159" s="12" t="s">
        <v>215</v>
      </c>
      <c r="K159" s="12" t="s">
        <v>221</v>
      </c>
      <c r="L159" s="13">
        <v>45426.583333333299</v>
      </c>
      <c r="M159" s="14">
        <v>45718.625</v>
      </c>
      <c r="N159" s="15"/>
      <c r="O159" s="15"/>
      <c r="P159" s="15"/>
      <c r="Q159" s="15"/>
      <c r="R159" s="15"/>
    </row>
    <row r="160" spans="1:18" ht="14.25" customHeight="1">
      <c r="A160" s="5">
        <v>550</v>
      </c>
      <c r="B160" s="8" t="s">
        <v>593</v>
      </c>
      <c r="C160" s="7" t="s">
        <v>594</v>
      </c>
      <c r="D160" s="10" t="s">
        <v>74</v>
      </c>
      <c r="E160" s="10" t="s">
        <v>202</v>
      </c>
      <c r="F160" s="10" t="s">
        <v>259</v>
      </c>
      <c r="G160" s="10" t="s">
        <v>480</v>
      </c>
      <c r="H160" s="10" t="s">
        <v>480</v>
      </c>
      <c r="I160" s="10" t="s">
        <v>595</v>
      </c>
      <c r="J160" s="12" t="s">
        <v>215</v>
      </c>
      <c r="K160" s="12" t="s">
        <v>208</v>
      </c>
      <c r="L160" s="13">
        <v>45447.583333333299</v>
      </c>
      <c r="M160" s="14"/>
      <c r="N160" s="15"/>
      <c r="O160" s="15"/>
      <c r="P160" s="15"/>
      <c r="Q160" s="15"/>
      <c r="R160" s="15"/>
    </row>
    <row r="161" spans="1:18" ht="14.25" customHeight="1">
      <c r="A161" s="5">
        <v>554</v>
      </c>
      <c r="B161" s="8" t="s">
        <v>596</v>
      </c>
      <c r="C161" s="7" t="s">
        <v>597</v>
      </c>
      <c r="D161" s="10" t="s">
        <v>270</v>
      </c>
      <c r="E161" s="10" t="s">
        <v>270</v>
      </c>
      <c r="F161" s="10" t="s">
        <v>212</v>
      </c>
      <c r="G161" s="10" t="s">
        <v>271</v>
      </c>
      <c r="H161" s="10" t="s">
        <v>218</v>
      </c>
      <c r="I161" s="10" t="s">
        <v>61</v>
      </c>
      <c r="J161" s="12" t="s">
        <v>220</v>
      </c>
      <c r="K161" s="12" t="s">
        <v>221</v>
      </c>
      <c r="L161" s="13">
        <v>45449.583333333299</v>
      </c>
      <c r="M161" s="14">
        <v>45719.625</v>
      </c>
      <c r="N161" s="15"/>
      <c r="O161" s="15"/>
      <c r="P161" s="15"/>
      <c r="Q161" s="15"/>
      <c r="R161" s="15"/>
    </row>
    <row r="162" spans="1:18" ht="14.25" customHeight="1">
      <c r="A162" s="5">
        <v>561</v>
      </c>
      <c r="B162" s="8" t="s">
        <v>123</v>
      </c>
      <c r="C162" s="7" t="s">
        <v>124</v>
      </c>
      <c r="D162" s="10" t="s">
        <v>74</v>
      </c>
      <c r="E162" s="10" t="s">
        <v>202</v>
      </c>
      <c r="F162" s="10" t="s">
        <v>212</v>
      </c>
      <c r="G162" s="10" t="s">
        <v>125</v>
      </c>
      <c r="H162" s="10" t="s">
        <v>240</v>
      </c>
      <c r="I162" s="10" t="s">
        <v>107</v>
      </c>
      <c r="J162" s="12" t="s">
        <v>215</v>
      </c>
      <c r="K162" s="12" t="s">
        <v>221</v>
      </c>
      <c r="L162" s="13">
        <v>45448.583333333299</v>
      </c>
      <c r="M162" s="14">
        <v>45888.583333333299</v>
      </c>
      <c r="N162" s="15"/>
      <c r="O162" s="15"/>
      <c r="P162" s="15"/>
      <c r="Q162" s="15"/>
      <c r="R162" s="15"/>
    </row>
    <row r="163" spans="1:18" ht="14.25" customHeight="1">
      <c r="A163" s="5">
        <v>564</v>
      </c>
      <c r="B163" s="8" t="s">
        <v>598</v>
      </c>
      <c r="C163" s="7" t="s">
        <v>599</v>
      </c>
      <c r="D163" s="10" t="s">
        <v>74</v>
      </c>
      <c r="E163" s="10" t="s">
        <v>202</v>
      </c>
      <c r="F163" s="10" t="s">
        <v>212</v>
      </c>
      <c r="G163" s="10" t="s">
        <v>125</v>
      </c>
      <c r="H163" s="10" t="s">
        <v>240</v>
      </c>
      <c r="I163" s="10" t="s">
        <v>107</v>
      </c>
      <c r="J163" s="12" t="s">
        <v>220</v>
      </c>
      <c r="K163" s="12" t="s">
        <v>221</v>
      </c>
      <c r="L163" s="13">
        <v>45444.583333333299</v>
      </c>
      <c r="M163" s="14">
        <v>45824.583333333299</v>
      </c>
      <c r="N163" s="15"/>
      <c r="O163" s="15"/>
      <c r="P163" s="15"/>
      <c r="Q163" s="15"/>
      <c r="R163" s="15"/>
    </row>
    <row r="164" spans="1:18" ht="14.25" customHeight="1">
      <c r="A164" s="5">
        <v>567</v>
      </c>
      <c r="B164" s="8" t="s">
        <v>600</v>
      </c>
      <c r="C164" s="7" t="s">
        <v>601</v>
      </c>
      <c r="D164" s="10" t="s">
        <v>16</v>
      </c>
      <c r="E164" s="10" t="s">
        <v>211</v>
      </c>
      <c r="F164" s="10" t="s">
        <v>212</v>
      </c>
      <c r="G164" s="10" t="s">
        <v>17</v>
      </c>
      <c r="H164" s="10" t="s">
        <v>213</v>
      </c>
      <c r="I164" s="10" t="s">
        <v>67</v>
      </c>
      <c r="J164" s="12" t="s">
        <v>220</v>
      </c>
      <c r="K164" s="12" t="s">
        <v>221</v>
      </c>
      <c r="L164" s="13">
        <v>45440.583333333299</v>
      </c>
      <c r="M164" s="14">
        <v>46112.583333333299</v>
      </c>
      <c r="N164" s="15"/>
      <c r="O164" s="15"/>
      <c r="P164" s="15"/>
      <c r="Q164" s="15"/>
      <c r="R164" s="15"/>
    </row>
    <row r="165" spans="1:18" ht="14.25" customHeight="1">
      <c r="A165" s="5">
        <v>568</v>
      </c>
      <c r="B165" s="8" t="s">
        <v>602</v>
      </c>
      <c r="C165" s="7" t="s">
        <v>603</v>
      </c>
      <c r="D165" s="10" t="s">
        <v>74</v>
      </c>
      <c r="E165" s="10" t="s">
        <v>202</v>
      </c>
      <c r="F165" s="10" t="s">
        <v>212</v>
      </c>
      <c r="G165" s="10" t="s">
        <v>125</v>
      </c>
      <c r="H165" s="10" t="s">
        <v>218</v>
      </c>
      <c r="I165" s="10" t="s">
        <v>61</v>
      </c>
      <c r="J165" s="12" t="s">
        <v>220</v>
      </c>
      <c r="K165" s="12" t="s">
        <v>221</v>
      </c>
      <c r="L165" s="13">
        <v>45460.583333333299</v>
      </c>
      <c r="M165" s="14">
        <v>45746.583333333299</v>
      </c>
      <c r="N165" s="15"/>
      <c r="O165" s="15"/>
      <c r="P165" s="15"/>
      <c r="Q165" s="15"/>
      <c r="R165" s="15"/>
    </row>
    <row r="166" spans="1:18" ht="14.25" customHeight="1">
      <c r="A166" s="5">
        <v>570</v>
      </c>
      <c r="B166" s="8" t="s">
        <v>604</v>
      </c>
      <c r="C166" s="7" t="s">
        <v>605</v>
      </c>
      <c r="D166" s="10" t="s">
        <v>74</v>
      </c>
      <c r="E166" s="10" t="s">
        <v>201</v>
      </c>
      <c r="F166" s="10" t="s">
        <v>212</v>
      </c>
      <c r="G166" s="10" t="s">
        <v>136</v>
      </c>
      <c r="H166" s="10" t="s">
        <v>213</v>
      </c>
      <c r="I166" s="10" t="s">
        <v>214</v>
      </c>
      <c r="J166" s="12" t="s">
        <v>215</v>
      </c>
      <c r="K166" s="12" t="s">
        <v>221</v>
      </c>
      <c r="L166" s="13">
        <v>45463.583333333299</v>
      </c>
      <c r="M166" s="14">
        <v>45703.625</v>
      </c>
      <c r="N166" s="15"/>
      <c r="O166" s="15"/>
      <c r="P166" s="15"/>
      <c r="Q166" s="15"/>
      <c r="R166" s="15"/>
    </row>
    <row r="167" spans="1:18" ht="14.25" customHeight="1">
      <c r="A167" s="5">
        <v>572</v>
      </c>
      <c r="B167" s="8" t="s">
        <v>606</v>
      </c>
      <c r="C167" s="7" t="s">
        <v>607</v>
      </c>
      <c r="D167" s="10" t="s">
        <v>74</v>
      </c>
      <c r="E167" s="10" t="s">
        <v>201</v>
      </c>
      <c r="F167" s="10" t="s">
        <v>212</v>
      </c>
      <c r="G167" s="10" t="s">
        <v>136</v>
      </c>
      <c r="H167" s="10" t="s">
        <v>213</v>
      </c>
      <c r="I167" s="10" t="s">
        <v>51</v>
      </c>
      <c r="J167" s="12" t="s">
        <v>215</v>
      </c>
      <c r="K167" s="12" t="s">
        <v>221</v>
      </c>
      <c r="L167" s="13">
        <v>45464.583333333299</v>
      </c>
      <c r="M167" s="14">
        <v>45768.583333333299</v>
      </c>
      <c r="N167" s="15"/>
      <c r="O167" s="15"/>
      <c r="P167" s="15"/>
      <c r="Q167" s="15"/>
      <c r="R167" s="15"/>
    </row>
    <row r="168" spans="1:18" ht="14.25" customHeight="1">
      <c r="A168" s="5">
        <v>574</v>
      </c>
      <c r="B168" s="8" t="s">
        <v>52</v>
      </c>
      <c r="C168" s="7" t="s">
        <v>53</v>
      </c>
      <c r="D168" s="10" t="s">
        <v>45</v>
      </c>
      <c r="E168" s="10" t="s">
        <v>201</v>
      </c>
      <c r="F168" s="10" t="s">
        <v>259</v>
      </c>
      <c r="G168" s="10" t="s">
        <v>36</v>
      </c>
      <c r="H168" s="10" t="s">
        <v>36</v>
      </c>
      <c r="I168" s="10" t="s">
        <v>608</v>
      </c>
      <c r="J168" s="12" t="s">
        <v>215</v>
      </c>
      <c r="K168" s="12" t="s">
        <v>208</v>
      </c>
      <c r="L168" s="13">
        <v>45470.583333333299</v>
      </c>
      <c r="M168" s="18"/>
      <c r="N168" s="15"/>
      <c r="O168" s="15"/>
      <c r="P168" s="15"/>
      <c r="Q168" s="15"/>
      <c r="R168" s="15"/>
    </row>
    <row r="169" spans="1:18" ht="14.25" customHeight="1">
      <c r="A169" s="5">
        <v>575</v>
      </c>
      <c r="B169" s="8" t="s">
        <v>609</v>
      </c>
      <c r="C169" s="7" t="s">
        <v>610</v>
      </c>
      <c r="D169" s="10" t="s">
        <v>74</v>
      </c>
      <c r="E169" s="10" t="s">
        <v>202</v>
      </c>
      <c r="F169" s="10" t="s">
        <v>259</v>
      </c>
      <c r="G169" s="10" t="s">
        <v>540</v>
      </c>
      <c r="H169" s="10" t="s">
        <v>540</v>
      </c>
      <c r="I169" s="10" t="s">
        <v>611</v>
      </c>
      <c r="J169" s="12" t="s">
        <v>215</v>
      </c>
      <c r="K169" s="12" t="s">
        <v>208</v>
      </c>
      <c r="L169" s="13">
        <v>45470.583333333299</v>
      </c>
      <c r="M169" s="14"/>
      <c r="N169" s="15"/>
      <c r="O169" s="15"/>
      <c r="P169" s="15"/>
      <c r="Q169" s="15"/>
      <c r="R169" s="15"/>
    </row>
    <row r="170" spans="1:18" ht="14.25" customHeight="1">
      <c r="A170" s="5">
        <v>586</v>
      </c>
      <c r="B170" s="8" t="s">
        <v>140</v>
      </c>
      <c r="C170" s="7" t="s">
        <v>141</v>
      </c>
      <c r="D170" s="10" t="s">
        <v>45</v>
      </c>
      <c r="E170" s="10" t="s">
        <v>201</v>
      </c>
      <c r="F170" s="10" t="s">
        <v>212</v>
      </c>
      <c r="G170" s="10" t="s">
        <v>136</v>
      </c>
      <c r="H170" s="10" t="s">
        <v>213</v>
      </c>
      <c r="I170" s="10" t="s">
        <v>51</v>
      </c>
      <c r="J170" s="12" t="s">
        <v>215</v>
      </c>
      <c r="K170" s="12" t="s">
        <v>221</v>
      </c>
      <c r="L170" s="13">
        <v>45475.583333333299</v>
      </c>
      <c r="M170" s="18">
        <v>46183.583333333299</v>
      </c>
      <c r="N170" s="15"/>
      <c r="O170" s="15"/>
      <c r="P170" s="15"/>
      <c r="Q170" s="15"/>
      <c r="R170" s="15"/>
    </row>
    <row r="171" spans="1:18" ht="14.25" customHeight="1">
      <c r="A171" s="5">
        <v>587</v>
      </c>
      <c r="B171" s="8" t="s">
        <v>612</v>
      </c>
      <c r="C171" s="7" t="s">
        <v>613</v>
      </c>
      <c r="D171" s="10" t="s">
        <v>269</v>
      </c>
      <c r="E171" s="10" t="s">
        <v>270</v>
      </c>
      <c r="F171" s="10" t="s">
        <v>212</v>
      </c>
      <c r="G171" s="10" t="s">
        <v>271</v>
      </c>
      <c r="H171" s="10" t="s">
        <v>218</v>
      </c>
      <c r="I171" s="10" t="s">
        <v>119</v>
      </c>
      <c r="J171" s="12" t="s">
        <v>215</v>
      </c>
      <c r="K171" s="12" t="s">
        <v>221</v>
      </c>
      <c r="L171" s="13">
        <v>45474.583333333299</v>
      </c>
      <c r="M171" s="14">
        <v>45777.583333333299</v>
      </c>
      <c r="N171" s="15"/>
      <c r="O171" s="15"/>
      <c r="P171" s="15"/>
      <c r="Q171" s="15"/>
      <c r="R171" s="15"/>
    </row>
    <row r="172" spans="1:18" ht="14.25" customHeight="1">
      <c r="A172" s="5">
        <v>588</v>
      </c>
      <c r="B172" s="8" t="s">
        <v>614</v>
      </c>
      <c r="C172" s="7" t="s">
        <v>615</v>
      </c>
      <c r="D172" s="10" t="s">
        <v>74</v>
      </c>
      <c r="E172" s="10" t="s">
        <v>78</v>
      </c>
      <c r="F172" s="10" t="s">
        <v>78</v>
      </c>
      <c r="G172" s="10" t="s">
        <v>78</v>
      </c>
      <c r="H172" s="10" t="s">
        <v>527</v>
      </c>
      <c r="I172" s="10" t="s">
        <v>113</v>
      </c>
      <c r="J172" s="12" t="s">
        <v>220</v>
      </c>
      <c r="K172" s="12" t="s">
        <v>221</v>
      </c>
      <c r="L172" s="13">
        <v>45572.583333333299</v>
      </c>
      <c r="M172" s="14">
        <v>45677.625</v>
      </c>
      <c r="N172" s="15"/>
      <c r="O172" s="15"/>
      <c r="P172" s="15"/>
      <c r="Q172" s="15"/>
      <c r="R172" s="15"/>
    </row>
    <row r="173" spans="1:18" ht="14.25" customHeight="1">
      <c r="A173" s="5">
        <v>602</v>
      </c>
      <c r="B173" s="8" t="s">
        <v>616</v>
      </c>
      <c r="C173" s="7" t="s">
        <v>617</v>
      </c>
      <c r="D173" s="10" t="s">
        <v>16</v>
      </c>
      <c r="E173" s="10" t="s">
        <v>211</v>
      </c>
      <c r="F173" s="10" t="s">
        <v>212</v>
      </c>
      <c r="G173" s="10" t="s">
        <v>120</v>
      </c>
      <c r="H173" s="10" t="s">
        <v>218</v>
      </c>
      <c r="I173" s="10" t="s">
        <v>61</v>
      </c>
      <c r="J173" s="12" t="s">
        <v>220</v>
      </c>
      <c r="K173" s="12" t="s">
        <v>221</v>
      </c>
      <c r="L173" s="13">
        <v>45489.583333333299</v>
      </c>
      <c r="M173" s="14">
        <v>45747.583333333299</v>
      </c>
      <c r="N173" s="15"/>
      <c r="O173" s="15"/>
      <c r="P173" s="15"/>
      <c r="Q173" s="15"/>
      <c r="R173" s="15"/>
    </row>
    <row r="174" spans="1:18" ht="14.25" customHeight="1">
      <c r="A174" s="5">
        <v>603</v>
      </c>
      <c r="B174" s="8" t="s">
        <v>618</v>
      </c>
      <c r="C174" s="7" t="s">
        <v>619</v>
      </c>
      <c r="D174" s="10" t="s">
        <v>45</v>
      </c>
      <c r="E174" s="10" t="s">
        <v>201</v>
      </c>
      <c r="F174" s="10" t="s">
        <v>212</v>
      </c>
      <c r="G174" s="10" t="s">
        <v>46</v>
      </c>
      <c r="H174" s="10" t="s">
        <v>231</v>
      </c>
      <c r="I174" s="10" t="s">
        <v>219</v>
      </c>
      <c r="J174" s="12" t="s">
        <v>215</v>
      </c>
      <c r="K174" s="12" t="s">
        <v>221</v>
      </c>
      <c r="L174" s="13">
        <v>45482.583333333299</v>
      </c>
      <c r="M174" s="14">
        <v>46173.583333333299</v>
      </c>
      <c r="N174" s="15"/>
      <c r="O174" s="15"/>
      <c r="P174" s="15"/>
      <c r="Q174" s="15"/>
      <c r="R174" s="15"/>
    </row>
    <row r="175" spans="1:18" ht="14.25" customHeight="1">
      <c r="A175" s="5">
        <v>604</v>
      </c>
      <c r="B175" s="8" t="s">
        <v>620</v>
      </c>
      <c r="C175" s="7" t="s">
        <v>621</v>
      </c>
      <c r="D175" s="10" t="s">
        <v>74</v>
      </c>
      <c r="E175" s="10" t="s">
        <v>202</v>
      </c>
      <c r="F175" s="10" t="s">
        <v>212</v>
      </c>
      <c r="G175" s="10" t="s">
        <v>108</v>
      </c>
      <c r="H175" s="10" t="s">
        <v>240</v>
      </c>
      <c r="I175" s="10" t="s">
        <v>107</v>
      </c>
      <c r="J175" s="12" t="s">
        <v>215</v>
      </c>
      <c r="K175" s="12" t="s">
        <v>221</v>
      </c>
      <c r="L175" s="13">
        <v>45482.583333333299</v>
      </c>
      <c r="M175" s="18">
        <v>45777.583333333299</v>
      </c>
      <c r="N175" s="15"/>
      <c r="O175" s="15"/>
      <c r="P175" s="15"/>
      <c r="Q175" s="15"/>
      <c r="R175" s="15"/>
    </row>
    <row r="176" spans="1:18" ht="14.25" customHeight="1">
      <c r="A176" s="5">
        <v>605</v>
      </c>
      <c r="B176" s="8" t="s">
        <v>622</v>
      </c>
      <c r="C176" s="7" t="s">
        <v>623</v>
      </c>
      <c r="D176" s="10" t="s">
        <v>74</v>
      </c>
      <c r="E176" s="10" t="s">
        <v>78</v>
      </c>
      <c r="F176" s="10" t="s">
        <v>78</v>
      </c>
      <c r="G176" s="10" t="s">
        <v>78</v>
      </c>
      <c r="H176" s="10" t="s">
        <v>266</v>
      </c>
      <c r="I176" s="10" t="s">
        <v>624</v>
      </c>
      <c r="J176" s="12" t="s">
        <v>215</v>
      </c>
      <c r="K176" s="12" t="s">
        <v>208</v>
      </c>
      <c r="L176" s="13">
        <v>45719.625</v>
      </c>
      <c r="M176" s="14"/>
      <c r="N176" s="15"/>
      <c r="O176" s="15"/>
      <c r="P176" s="15"/>
      <c r="Q176" s="15"/>
      <c r="R176" s="15"/>
    </row>
    <row r="177" spans="1:18" ht="14.25" customHeight="1">
      <c r="A177" s="5">
        <v>608</v>
      </c>
      <c r="B177" s="8" t="s">
        <v>625</v>
      </c>
      <c r="C177" s="7" t="s">
        <v>626</v>
      </c>
      <c r="D177" s="10" t="s">
        <v>74</v>
      </c>
      <c r="E177" s="10" t="s">
        <v>202</v>
      </c>
      <c r="F177" s="10" t="s">
        <v>259</v>
      </c>
      <c r="G177" s="10" t="s">
        <v>589</v>
      </c>
      <c r="H177" s="10" t="s">
        <v>589</v>
      </c>
      <c r="I177" s="10" t="s">
        <v>35</v>
      </c>
      <c r="J177" s="12" t="s">
        <v>215</v>
      </c>
      <c r="K177" s="12" t="s">
        <v>221</v>
      </c>
      <c r="L177" s="13">
        <v>45475.583333333299</v>
      </c>
      <c r="M177" s="14">
        <v>45716.625</v>
      </c>
      <c r="N177" s="15"/>
      <c r="O177" s="15"/>
      <c r="P177" s="15"/>
      <c r="Q177" s="15"/>
      <c r="R177" s="15"/>
    </row>
    <row r="178" spans="1:18" ht="14.25" customHeight="1">
      <c r="A178" s="5">
        <v>609</v>
      </c>
      <c r="B178" s="8" t="s">
        <v>627</v>
      </c>
      <c r="C178" s="7" t="s">
        <v>628</v>
      </c>
      <c r="D178" s="10" t="s">
        <v>74</v>
      </c>
      <c r="E178" s="10" t="s">
        <v>202</v>
      </c>
      <c r="F178" s="10" t="s">
        <v>212</v>
      </c>
      <c r="G178" s="10" t="s">
        <v>108</v>
      </c>
      <c r="H178" s="10" t="s">
        <v>218</v>
      </c>
      <c r="I178" s="10" t="s">
        <v>61</v>
      </c>
      <c r="J178" s="12" t="s">
        <v>220</v>
      </c>
      <c r="K178" s="12" t="s">
        <v>221</v>
      </c>
      <c r="L178" s="13">
        <v>45624.625</v>
      </c>
      <c r="M178" s="14">
        <v>45900.583333333299</v>
      </c>
      <c r="N178" s="15"/>
      <c r="O178" s="15"/>
      <c r="P178" s="15"/>
      <c r="Q178" s="15"/>
      <c r="R178" s="15"/>
    </row>
    <row r="179" spans="1:18" ht="14.25" customHeight="1">
      <c r="A179" s="5">
        <v>615</v>
      </c>
      <c r="B179" s="8" t="s">
        <v>629</v>
      </c>
      <c r="C179" s="7" t="s">
        <v>630</v>
      </c>
      <c r="D179" s="10" t="s">
        <v>74</v>
      </c>
      <c r="E179" s="10" t="s">
        <v>201</v>
      </c>
      <c r="F179" s="10" t="s">
        <v>212</v>
      </c>
      <c r="G179" s="10" t="s">
        <v>136</v>
      </c>
      <c r="H179" s="10" t="s">
        <v>213</v>
      </c>
      <c r="I179" s="10" t="s">
        <v>631</v>
      </c>
      <c r="J179" s="12" t="s">
        <v>220</v>
      </c>
      <c r="K179" s="12" t="s">
        <v>221</v>
      </c>
      <c r="L179" s="13">
        <v>45559.583333333299</v>
      </c>
      <c r="M179" s="18">
        <v>45747.583333333299</v>
      </c>
      <c r="N179" s="15"/>
      <c r="O179" s="15"/>
      <c r="P179" s="15"/>
      <c r="Q179" s="15"/>
      <c r="R179" s="15"/>
    </row>
    <row r="180" spans="1:18" ht="14.25" customHeight="1">
      <c r="A180" s="5">
        <v>624</v>
      </c>
      <c r="B180" s="8" t="s">
        <v>117</v>
      </c>
      <c r="C180" s="7" t="s">
        <v>118</v>
      </c>
      <c r="D180" s="10" t="s">
        <v>74</v>
      </c>
      <c r="E180" s="10" t="s">
        <v>202</v>
      </c>
      <c r="F180" s="10" t="s">
        <v>212</v>
      </c>
      <c r="G180" s="10" t="s">
        <v>120</v>
      </c>
      <c r="H180" s="10" t="s">
        <v>218</v>
      </c>
      <c r="I180" s="10" t="s">
        <v>15</v>
      </c>
      <c r="J180" s="12" t="s">
        <v>215</v>
      </c>
      <c r="K180" s="12" t="s">
        <v>208</v>
      </c>
      <c r="L180" s="13">
        <v>45474.583333333299</v>
      </c>
      <c r="M180" s="14"/>
      <c r="N180" s="15"/>
      <c r="O180" s="15"/>
      <c r="P180" s="15"/>
      <c r="Q180" s="15"/>
      <c r="R180" s="15"/>
    </row>
    <row r="181" spans="1:18" ht="14.25" customHeight="1">
      <c r="A181" s="5">
        <v>625</v>
      </c>
      <c r="B181" s="8" t="s">
        <v>632</v>
      </c>
      <c r="C181" s="7" t="s">
        <v>633</v>
      </c>
      <c r="D181" s="10" t="s">
        <v>74</v>
      </c>
      <c r="E181" s="10" t="s">
        <v>634</v>
      </c>
      <c r="F181" s="10" t="s">
        <v>78</v>
      </c>
      <c r="G181" s="10" t="s">
        <v>78</v>
      </c>
      <c r="H181" s="10" t="s">
        <v>288</v>
      </c>
      <c r="I181" s="10" t="s">
        <v>635</v>
      </c>
      <c r="J181" s="12" t="s">
        <v>220</v>
      </c>
      <c r="K181" s="12" t="s">
        <v>221</v>
      </c>
      <c r="L181" s="13">
        <v>45713.625</v>
      </c>
      <c r="M181" s="14">
        <v>45723.625</v>
      </c>
      <c r="N181" s="15"/>
      <c r="O181" s="15"/>
      <c r="P181" s="15"/>
      <c r="Q181" s="15"/>
      <c r="R181" s="15"/>
    </row>
    <row r="182" spans="1:18" ht="14.25" customHeight="1">
      <c r="A182" s="5">
        <v>626</v>
      </c>
      <c r="B182" s="8" t="s">
        <v>636</v>
      </c>
      <c r="C182" s="7" t="s">
        <v>637</v>
      </c>
      <c r="D182" s="10" t="s">
        <v>16</v>
      </c>
      <c r="E182" s="10" t="s">
        <v>211</v>
      </c>
      <c r="F182" s="10" t="s">
        <v>212</v>
      </c>
      <c r="G182" s="10" t="s">
        <v>17</v>
      </c>
      <c r="H182" s="10" t="s">
        <v>218</v>
      </c>
      <c r="I182" s="10" t="s">
        <v>61</v>
      </c>
      <c r="J182" s="12" t="s">
        <v>220</v>
      </c>
      <c r="K182" s="12" t="s">
        <v>208</v>
      </c>
      <c r="L182" s="13">
        <v>45798.583333333299</v>
      </c>
      <c r="M182" s="14"/>
      <c r="N182" s="15"/>
      <c r="O182" s="15"/>
      <c r="P182" s="15"/>
      <c r="Q182" s="15"/>
      <c r="R182" s="15"/>
    </row>
    <row r="183" spans="1:18" ht="14.25" customHeight="1">
      <c r="A183" s="5">
        <v>627</v>
      </c>
      <c r="B183" s="8" t="s">
        <v>129</v>
      </c>
      <c r="C183" s="7" t="s">
        <v>130</v>
      </c>
      <c r="D183" s="10" t="s">
        <v>74</v>
      </c>
      <c r="E183" s="10" t="s">
        <v>78</v>
      </c>
      <c r="F183" s="10" t="s">
        <v>78</v>
      </c>
      <c r="G183" s="10" t="s">
        <v>78</v>
      </c>
      <c r="H183" s="10" t="s">
        <v>288</v>
      </c>
      <c r="I183" s="10" t="s">
        <v>85</v>
      </c>
      <c r="J183" s="12" t="s">
        <v>215</v>
      </c>
      <c r="K183" s="12" t="s">
        <v>221</v>
      </c>
      <c r="L183" s="13">
        <v>45572.583333333299</v>
      </c>
      <c r="M183" s="18">
        <v>45886.583333333299</v>
      </c>
      <c r="N183" s="15"/>
      <c r="O183" s="15"/>
      <c r="P183" s="15"/>
      <c r="Q183" s="15"/>
      <c r="R183" s="15"/>
    </row>
    <row r="184" spans="1:18" ht="14.25" customHeight="1">
      <c r="A184" s="5">
        <v>629</v>
      </c>
      <c r="B184" s="8" t="s">
        <v>49</v>
      </c>
      <c r="C184" s="7" t="s">
        <v>50</v>
      </c>
      <c r="D184" s="10" t="s">
        <v>45</v>
      </c>
      <c r="E184" s="10" t="s">
        <v>201</v>
      </c>
      <c r="F184" s="10" t="s">
        <v>212</v>
      </c>
      <c r="G184" s="10" t="s">
        <v>46</v>
      </c>
      <c r="H184" s="10" t="s">
        <v>213</v>
      </c>
      <c r="I184" s="10" t="s">
        <v>51</v>
      </c>
      <c r="J184" s="12" t="s">
        <v>215</v>
      </c>
      <c r="K184" s="12" t="s">
        <v>208</v>
      </c>
      <c r="L184" s="13">
        <v>45552.583333333299</v>
      </c>
      <c r="M184" s="18"/>
      <c r="N184" s="15"/>
      <c r="O184" s="15"/>
      <c r="P184" s="15"/>
      <c r="Q184" s="15"/>
      <c r="R184" s="15"/>
    </row>
    <row r="185" spans="1:18" ht="14.25" customHeight="1">
      <c r="A185" s="5">
        <v>634</v>
      </c>
      <c r="B185" s="8" t="s">
        <v>638</v>
      </c>
      <c r="C185" s="7" t="s">
        <v>639</v>
      </c>
      <c r="D185" s="10" t="s">
        <v>74</v>
      </c>
      <c r="E185" s="10" t="s">
        <v>640</v>
      </c>
      <c r="F185" s="10" t="s">
        <v>78</v>
      </c>
      <c r="G185" s="10" t="s">
        <v>78</v>
      </c>
      <c r="H185" s="10" t="s">
        <v>213</v>
      </c>
      <c r="I185" s="10" t="s">
        <v>641</v>
      </c>
      <c r="J185" s="12" t="s">
        <v>220</v>
      </c>
      <c r="K185" s="12" t="s">
        <v>221</v>
      </c>
      <c r="L185" s="13">
        <v>45644.625</v>
      </c>
      <c r="M185" s="14">
        <v>45666.625</v>
      </c>
      <c r="N185" s="15"/>
      <c r="O185" s="15"/>
      <c r="P185" s="15"/>
      <c r="Q185" s="15"/>
      <c r="R185" s="15"/>
    </row>
    <row r="186" spans="1:18" ht="14.25" customHeight="1">
      <c r="A186" s="5">
        <v>635</v>
      </c>
      <c r="B186" s="8" t="s">
        <v>642</v>
      </c>
      <c r="C186" s="7" t="s">
        <v>643</v>
      </c>
      <c r="D186" s="10" t="s">
        <v>74</v>
      </c>
      <c r="E186" s="10" t="s">
        <v>78</v>
      </c>
      <c r="F186" s="10" t="s">
        <v>78</v>
      </c>
      <c r="G186" s="10" t="s">
        <v>78</v>
      </c>
      <c r="H186" s="10" t="s">
        <v>288</v>
      </c>
      <c r="I186" s="10" t="s">
        <v>85</v>
      </c>
      <c r="J186" s="12" t="s">
        <v>220</v>
      </c>
      <c r="K186" s="12" t="s">
        <v>221</v>
      </c>
      <c r="L186" s="13">
        <v>45572.583333333299</v>
      </c>
      <c r="M186" s="14">
        <v>45749.583333333299</v>
      </c>
      <c r="N186" s="15"/>
      <c r="O186" s="15"/>
      <c r="P186" s="15"/>
      <c r="Q186" s="15"/>
      <c r="R186" s="15"/>
    </row>
    <row r="187" spans="1:18" ht="14.25" customHeight="1">
      <c r="A187" s="5">
        <v>636</v>
      </c>
      <c r="B187" s="8" t="s">
        <v>644</v>
      </c>
      <c r="C187" s="7" t="s">
        <v>645</v>
      </c>
      <c r="D187" s="10" t="s">
        <v>45</v>
      </c>
      <c r="E187" s="10" t="s">
        <v>201</v>
      </c>
      <c r="F187" s="10" t="s">
        <v>212</v>
      </c>
      <c r="G187" s="10" t="s">
        <v>136</v>
      </c>
      <c r="H187" s="10" t="s">
        <v>218</v>
      </c>
      <c r="I187" s="10" t="s">
        <v>61</v>
      </c>
      <c r="J187" s="12" t="s">
        <v>215</v>
      </c>
      <c r="K187" s="12" t="s">
        <v>208</v>
      </c>
      <c r="L187" s="13">
        <v>45636.625</v>
      </c>
      <c r="M187" s="14"/>
      <c r="N187" s="15"/>
      <c r="O187" s="15"/>
      <c r="P187" s="15"/>
      <c r="Q187" s="15"/>
      <c r="R187" s="15"/>
    </row>
    <row r="188" spans="1:18" ht="14.25" customHeight="1">
      <c r="A188" s="5">
        <v>637</v>
      </c>
      <c r="B188" s="8" t="s">
        <v>646</v>
      </c>
      <c r="C188" s="7" t="s">
        <v>647</v>
      </c>
      <c r="D188" s="10" t="s">
        <v>74</v>
      </c>
      <c r="E188" s="10" t="s">
        <v>202</v>
      </c>
      <c r="F188" s="10" t="s">
        <v>259</v>
      </c>
      <c r="G188" s="10" t="s">
        <v>284</v>
      </c>
      <c r="H188" s="10" t="s">
        <v>284</v>
      </c>
      <c r="I188" s="10" t="s">
        <v>332</v>
      </c>
      <c r="J188" s="12" t="s">
        <v>215</v>
      </c>
      <c r="K188" s="12" t="s">
        <v>208</v>
      </c>
      <c r="L188" s="13">
        <v>45498.583333333299</v>
      </c>
      <c r="M188" s="14"/>
      <c r="N188" s="15"/>
      <c r="O188" s="15"/>
      <c r="P188" s="15"/>
      <c r="Q188" s="15"/>
      <c r="R188" s="15"/>
    </row>
    <row r="189" spans="1:18" ht="14.25" customHeight="1">
      <c r="A189" s="5">
        <v>639</v>
      </c>
      <c r="B189" s="8" t="s">
        <v>648</v>
      </c>
      <c r="C189" s="7" t="s">
        <v>649</v>
      </c>
      <c r="D189" s="10" t="s">
        <v>74</v>
      </c>
      <c r="E189" s="10" t="s">
        <v>464</v>
      </c>
      <c r="F189" s="10" t="s">
        <v>78</v>
      </c>
      <c r="G189" s="10" t="s">
        <v>78</v>
      </c>
      <c r="H189" s="10" t="s">
        <v>576</v>
      </c>
      <c r="I189" s="10" t="s">
        <v>650</v>
      </c>
      <c r="J189" s="12" t="s">
        <v>220</v>
      </c>
      <c r="K189" s="12" t="s">
        <v>221</v>
      </c>
      <c r="L189" s="13">
        <v>45866.583333333299</v>
      </c>
      <c r="M189" s="18">
        <v>45870.583333333299</v>
      </c>
      <c r="N189" s="15"/>
      <c r="O189" s="15"/>
      <c r="P189" s="15"/>
      <c r="Q189" s="15"/>
      <c r="R189" s="15"/>
    </row>
    <row r="190" spans="1:18" ht="14.25" customHeight="1">
      <c r="A190" s="5">
        <v>641</v>
      </c>
      <c r="B190" s="8" t="s">
        <v>651</v>
      </c>
      <c r="C190" s="7" t="s">
        <v>652</v>
      </c>
      <c r="D190" s="10" t="s">
        <v>74</v>
      </c>
      <c r="E190" s="10" t="s">
        <v>464</v>
      </c>
      <c r="F190" s="10" t="s">
        <v>78</v>
      </c>
      <c r="G190" s="10" t="s">
        <v>78</v>
      </c>
      <c r="H190" s="10" t="s">
        <v>288</v>
      </c>
      <c r="I190" s="10" t="s">
        <v>635</v>
      </c>
      <c r="J190" s="12" t="s">
        <v>220</v>
      </c>
      <c r="K190" s="12" t="s">
        <v>221</v>
      </c>
      <c r="L190" s="13">
        <v>45827.583333333299</v>
      </c>
      <c r="M190" s="14">
        <v>45836.583333333299</v>
      </c>
      <c r="N190" s="15"/>
      <c r="O190" s="15"/>
      <c r="P190" s="15"/>
      <c r="Q190" s="15"/>
      <c r="R190" s="15"/>
    </row>
    <row r="191" spans="1:18" ht="14.25" customHeight="1">
      <c r="A191" s="5">
        <v>642</v>
      </c>
      <c r="B191" s="8" t="s">
        <v>79</v>
      </c>
      <c r="C191" s="7" t="s">
        <v>80</v>
      </c>
      <c r="D191" s="10" t="s">
        <v>74</v>
      </c>
      <c r="E191" s="10" t="s">
        <v>78</v>
      </c>
      <c r="F191" s="10" t="s">
        <v>78</v>
      </c>
      <c r="G191" s="10" t="s">
        <v>78</v>
      </c>
      <c r="H191" s="10" t="s">
        <v>288</v>
      </c>
      <c r="I191" s="10" t="s">
        <v>85</v>
      </c>
      <c r="J191" s="12" t="s">
        <v>215</v>
      </c>
      <c r="K191" s="12" t="s">
        <v>221</v>
      </c>
      <c r="L191" s="13">
        <v>45499.583333333299</v>
      </c>
      <c r="M191" s="14">
        <v>46118.583333333299</v>
      </c>
      <c r="N191" s="15"/>
      <c r="O191" s="15"/>
      <c r="P191" s="15"/>
      <c r="Q191" s="15"/>
      <c r="R191" s="15"/>
    </row>
    <row r="192" spans="1:18" ht="14.25" customHeight="1">
      <c r="A192" s="5">
        <v>643</v>
      </c>
      <c r="B192" s="8" t="s">
        <v>653</v>
      </c>
      <c r="C192" s="7" t="s">
        <v>654</v>
      </c>
      <c r="D192" s="10" t="s">
        <v>74</v>
      </c>
      <c r="E192" s="10" t="s">
        <v>202</v>
      </c>
      <c r="F192" s="10" t="s">
        <v>212</v>
      </c>
      <c r="G192" s="10" t="s">
        <v>108</v>
      </c>
      <c r="H192" s="10" t="s">
        <v>240</v>
      </c>
      <c r="I192" s="10" t="s">
        <v>107</v>
      </c>
      <c r="J192" s="12" t="s">
        <v>220</v>
      </c>
      <c r="K192" s="12" t="s">
        <v>221</v>
      </c>
      <c r="L192" s="13">
        <v>45495.583333333299</v>
      </c>
      <c r="M192" s="14">
        <v>45788.583333333299</v>
      </c>
      <c r="N192" s="15"/>
      <c r="O192" s="15"/>
      <c r="P192" s="15"/>
      <c r="Q192" s="15"/>
      <c r="R192" s="15"/>
    </row>
    <row r="193" spans="1:18" ht="14.25" customHeight="1">
      <c r="A193" s="5">
        <v>644</v>
      </c>
      <c r="B193" s="8" t="s">
        <v>655</v>
      </c>
      <c r="C193" s="7" t="s">
        <v>656</v>
      </c>
      <c r="D193" s="10" t="s">
        <v>74</v>
      </c>
      <c r="E193" s="10" t="s">
        <v>78</v>
      </c>
      <c r="F193" s="10" t="s">
        <v>78</v>
      </c>
      <c r="G193" s="10" t="s">
        <v>78</v>
      </c>
      <c r="H193" s="10" t="s">
        <v>527</v>
      </c>
      <c r="I193" s="10" t="s">
        <v>113</v>
      </c>
      <c r="J193" s="12" t="s">
        <v>220</v>
      </c>
      <c r="K193" s="12" t="s">
        <v>221</v>
      </c>
      <c r="L193" s="13">
        <v>45485.583333333299</v>
      </c>
      <c r="M193" s="14">
        <v>45756.583333333299</v>
      </c>
      <c r="N193" s="15"/>
      <c r="O193" s="15"/>
      <c r="P193" s="15"/>
      <c r="Q193" s="15"/>
      <c r="R193" s="15"/>
    </row>
    <row r="194" spans="1:18" ht="14.25" customHeight="1">
      <c r="A194" s="5">
        <v>649</v>
      </c>
      <c r="B194" s="8" t="s">
        <v>137</v>
      </c>
      <c r="C194" s="7" t="s">
        <v>138</v>
      </c>
      <c r="D194" s="10" t="s">
        <v>45</v>
      </c>
      <c r="E194" s="10" t="s">
        <v>201</v>
      </c>
      <c r="F194" s="10" t="s">
        <v>212</v>
      </c>
      <c r="G194" s="10" t="s">
        <v>46</v>
      </c>
      <c r="H194" s="10" t="s">
        <v>240</v>
      </c>
      <c r="I194" s="10" t="s">
        <v>139</v>
      </c>
      <c r="J194" s="12" t="s">
        <v>215</v>
      </c>
      <c r="K194" s="12" t="s">
        <v>221</v>
      </c>
      <c r="L194" s="13">
        <v>45506.583333333299</v>
      </c>
      <c r="M194" s="14">
        <v>46127.583333333299</v>
      </c>
      <c r="N194" s="15"/>
      <c r="O194" s="15"/>
      <c r="P194" s="15"/>
      <c r="Q194" s="15"/>
      <c r="R194" s="15"/>
    </row>
    <row r="195" spans="1:18" ht="14.25" customHeight="1">
      <c r="A195" s="5">
        <v>652</v>
      </c>
      <c r="B195" s="8" t="s">
        <v>657</v>
      </c>
      <c r="C195" s="7" t="s">
        <v>658</v>
      </c>
      <c r="D195" s="10" t="s">
        <v>74</v>
      </c>
      <c r="E195" s="10" t="s">
        <v>202</v>
      </c>
      <c r="F195" s="10" t="s">
        <v>212</v>
      </c>
      <c r="G195" s="10" t="s">
        <v>125</v>
      </c>
      <c r="H195" s="10" t="s">
        <v>218</v>
      </c>
      <c r="I195" s="10" t="s">
        <v>61</v>
      </c>
      <c r="J195" s="12" t="s">
        <v>220</v>
      </c>
      <c r="K195" s="12" t="s">
        <v>221</v>
      </c>
      <c r="L195" s="13">
        <v>45509.583333333299</v>
      </c>
      <c r="M195" s="18">
        <v>45809.583333333299</v>
      </c>
      <c r="N195" s="15"/>
      <c r="O195" s="15"/>
      <c r="P195" s="15"/>
      <c r="Q195" s="15"/>
      <c r="R195" s="15"/>
    </row>
    <row r="196" spans="1:18" ht="14.25" customHeight="1">
      <c r="A196" s="5">
        <v>653</v>
      </c>
      <c r="B196" s="8" t="s">
        <v>659</v>
      </c>
      <c r="C196" s="7" t="s">
        <v>660</v>
      </c>
      <c r="D196" s="10" t="s">
        <v>16</v>
      </c>
      <c r="E196" s="10" t="s">
        <v>211</v>
      </c>
      <c r="F196" s="10" t="s">
        <v>259</v>
      </c>
      <c r="G196" s="10" t="s">
        <v>36</v>
      </c>
      <c r="H196" s="10" t="s">
        <v>36</v>
      </c>
      <c r="I196" s="10" t="s">
        <v>426</v>
      </c>
      <c r="J196" s="12" t="s">
        <v>215</v>
      </c>
      <c r="K196" s="12" t="s">
        <v>221</v>
      </c>
      <c r="L196" s="13">
        <v>45510.583333333299</v>
      </c>
      <c r="M196" s="14">
        <v>46136.583333333299</v>
      </c>
      <c r="N196" s="15"/>
      <c r="O196" s="15"/>
      <c r="P196" s="15"/>
      <c r="Q196" s="15"/>
      <c r="R196" s="15"/>
    </row>
    <row r="197" spans="1:18" ht="14.25" customHeight="1">
      <c r="A197" s="5">
        <v>654</v>
      </c>
      <c r="B197" s="8" t="s">
        <v>661</v>
      </c>
      <c r="C197" s="7" t="s">
        <v>662</v>
      </c>
      <c r="D197" s="10" t="s">
        <v>74</v>
      </c>
      <c r="E197" s="10" t="s">
        <v>202</v>
      </c>
      <c r="F197" s="10" t="s">
        <v>212</v>
      </c>
      <c r="G197" s="10" t="s">
        <v>108</v>
      </c>
      <c r="H197" s="10" t="s">
        <v>218</v>
      </c>
      <c r="I197" s="10" t="s">
        <v>61</v>
      </c>
      <c r="J197" s="12" t="s">
        <v>220</v>
      </c>
      <c r="K197" s="12" t="s">
        <v>221</v>
      </c>
      <c r="L197" s="13">
        <v>45513.583333333299</v>
      </c>
      <c r="M197" s="14">
        <v>45681.625</v>
      </c>
      <c r="N197" s="15"/>
      <c r="O197" s="15"/>
      <c r="P197" s="15"/>
      <c r="Q197" s="15"/>
      <c r="R197" s="15"/>
    </row>
    <row r="198" spans="1:18" ht="14.25" customHeight="1">
      <c r="A198" s="5">
        <v>655</v>
      </c>
      <c r="B198" s="8" t="s">
        <v>663</v>
      </c>
      <c r="C198" s="7" t="s">
        <v>664</v>
      </c>
      <c r="D198" s="10" t="s">
        <v>74</v>
      </c>
      <c r="E198" s="10" t="s">
        <v>78</v>
      </c>
      <c r="F198" s="10" t="s">
        <v>78</v>
      </c>
      <c r="G198" s="10" t="s">
        <v>78</v>
      </c>
      <c r="H198" s="10" t="s">
        <v>527</v>
      </c>
      <c r="I198" s="10" t="s">
        <v>113</v>
      </c>
      <c r="J198" s="12" t="s">
        <v>215</v>
      </c>
      <c r="K198" s="12" t="s">
        <v>208</v>
      </c>
      <c r="L198" s="13">
        <v>45509.583333333299</v>
      </c>
      <c r="M198" s="14"/>
      <c r="N198" s="15"/>
      <c r="O198" s="15"/>
      <c r="P198" s="15"/>
      <c r="Q198" s="15"/>
      <c r="R198" s="15"/>
    </row>
    <row r="199" spans="1:18" ht="14.25" customHeight="1">
      <c r="A199" s="5">
        <v>656</v>
      </c>
      <c r="B199" s="8" t="s">
        <v>665</v>
      </c>
      <c r="C199" s="7" t="s">
        <v>666</v>
      </c>
      <c r="D199" s="10" t="s">
        <v>74</v>
      </c>
      <c r="E199" s="10" t="s">
        <v>202</v>
      </c>
      <c r="F199" s="10" t="s">
        <v>259</v>
      </c>
      <c r="G199" s="10" t="s">
        <v>284</v>
      </c>
      <c r="H199" s="10" t="s">
        <v>284</v>
      </c>
      <c r="I199" s="10" t="s">
        <v>667</v>
      </c>
      <c r="J199" s="12" t="s">
        <v>215</v>
      </c>
      <c r="K199" s="12" t="s">
        <v>208</v>
      </c>
      <c r="L199" s="13">
        <v>45517.583333333299</v>
      </c>
      <c r="M199" s="18"/>
      <c r="N199" s="15"/>
      <c r="O199" s="15"/>
      <c r="P199" s="15"/>
      <c r="Q199" s="15"/>
      <c r="R199" s="15"/>
    </row>
    <row r="200" spans="1:18" ht="14.25" customHeight="1">
      <c r="A200" s="5">
        <v>660</v>
      </c>
      <c r="B200" s="8" t="s">
        <v>668</v>
      </c>
      <c r="C200" s="7" t="s">
        <v>669</v>
      </c>
      <c r="D200" s="10" t="s">
        <v>74</v>
      </c>
      <c r="E200" s="10" t="s">
        <v>202</v>
      </c>
      <c r="F200" s="10" t="s">
        <v>212</v>
      </c>
      <c r="G200" s="10" t="s">
        <v>108</v>
      </c>
      <c r="H200" s="10" t="s">
        <v>224</v>
      </c>
      <c r="I200" s="19" t="s">
        <v>135</v>
      </c>
      <c r="J200" s="12" t="s">
        <v>215</v>
      </c>
      <c r="K200" s="12" t="s">
        <v>221</v>
      </c>
      <c r="L200" s="13">
        <v>45524.583333333299</v>
      </c>
      <c r="M200" s="14">
        <v>45732.583333333299</v>
      </c>
      <c r="N200" s="15"/>
      <c r="O200" s="15"/>
      <c r="P200" s="15"/>
      <c r="Q200" s="15"/>
      <c r="R200" s="15"/>
    </row>
    <row r="201" spans="1:18" ht="14.25" customHeight="1">
      <c r="A201" s="5">
        <v>661</v>
      </c>
      <c r="B201" s="8" t="s">
        <v>133</v>
      </c>
      <c r="C201" s="7" t="s">
        <v>134</v>
      </c>
      <c r="D201" s="10" t="s">
        <v>45</v>
      </c>
      <c r="E201" s="10" t="s">
        <v>201</v>
      </c>
      <c r="F201" s="10" t="s">
        <v>212</v>
      </c>
      <c r="G201" s="10" t="s">
        <v>136</v>
      </c>
      <c r="H201" s="10" t="s">
        <v>224</v>
      </c>
      <c r="I201" s="19" t="s">
        <v>135</v>
      </c>
      <c r="J201" s="12" t="s">
        <v>215</v>
      </c>
      <c r="K201" s="12" t="s">
        <v>208</v>
      </c>
      <c r="L201" s="13">
        <v>45519.583333333299</v>
      </c>
      <c r="M201" s="14"/>
      <c r="N201" s="15"/>
      <c r="O201" s="15"/>
      <c r="P201" s="15"/>
      <c r="Q201" s="15"/>
      <c r="R201" s="15"/>
    </row>
    <row r="202" spans="1:18" ht="14.25" customHeight="1">
      <c r="A202" s="5">
        <v>662</v>
      </c>
      <c r="B202" s="8" t="s">
        <v>88</v>
      </c>
      <c r="C202" s="7" t="s">
        <v>89</v>
      </c>
      <c r="D202" s="10" t="s">
        <v>74</v>
      </c>
      <c r="E202" s="10" t="s">
        <v>202</v>
      </c>
      <c r="F202" s="10" t="s">
        <v>259</v>
      </c>
      <c r="G202" s="10" t="s">
        <v>75</v>
      </c>
      <c r="H202" s="10" t="s">
        <v>75</v>
      </c>
      <c r="I202" s="10" t="s">
        <v>670</v>
      </c>
      <c r="J202" s="12" t="s">
        <v>215</v>
      </c>
      <c r="K202" s="12" t="s">
        <v>221</v>
      </c>
      <c r="L202" s="13">
        <v>45525.583333333299</v>
      </c>
      <c r="M202" s="14">
        <v>45881.583333333299</v>
      </c>
      <c r="N202" s="15"/>
      <c r="O202" s="15"/>
      <c r="P202" s="15"/>
      <c r="Q202" s="15"/>
      <c r="R202" s="15"/>
    </row>
    <row r="203" spans="1:18" ht="14.25" customHeight="1">
      <c r="A203" s="5">
        <v>666</v>
      </c>
      <c r="B203" s="8" t="s">
        <v>195</v>
      </c>
      <c r="C203" s="7" t="s">
        <v>196</v>
      </c>
      <c r="D203" s="10" t="s">
        <v>74</v>
      </c>
      <c r="E203" s="10" t="s">
        <v>202</v>
      </c>
      <c r="F203" s="10" t="s">
        <v>259</v>
      </c>
      <c r="G203" s="10" t="s">
        <v>75</v>
      </c>
      <c r="H203" s="10" t="s">
        <v>75</v>
      </c>
      <c r="I203" s="10" t="s">
        <v>671</v>
      </c>
      <c r="J203" s="12" t="s">
        <v>215</v>
      </c>
      <c r="K203" s="12" t="s">
        <v>221</v>
      </c>
      <c r="L203" s="13">
        <v>45539.583333333299</v>
      </c>
      <c r="M203" s="14">
        <v>45930.583333333299</v>
      </c>
      <c r="N203" s="15"/>
      <c r="O203" s="15"/>
      <c r="P203" s="15"/>
      <c r="Q203" s="15"/>
      <c r="R203" s="15"/>
    </row>
    <row r="204" spans="1:18" ht="14.25" customHeight="1">
      <c r="A204" s="5">
        <v>671</v>
      </c>
      <c r="B204" s="8" t="s">
        <v>672</v>
      </c>
      <c r="C204" s="7" t="s">
        <v>673</v>
      </c>
      <c r="D204" s="10" t="s">
        <v>74</v>
      </c>
      <c r="E204" s="10" t="s">
        <v>202</v>
      </c>
      <c r="F204" s="10" t="s">
        <v>212</v>
      </c>
      <c r="G204" s="10" t="s">
        <v>108</v>
      </c>
      <c r="H204" s="10" t="s">
        <v>240</v>
      </c>
      <c r="I204" s="10" t="s">
        <v>107</v>
      </c>
      <c r="J204" s="12" t="s">
        <v>220</v>
      </c>
      <c r="K204" s="12" t="s">
        <v>221</v>
      </c>
      <c r="L204" s="13">
        <v>45531.583333333299</v>
      </c>
      <c r="M204" s="14">
        <v>46112.583333333299</v>
      </c>
      <c r="N204" s="15"/>
      <c r="O204" s="15"/>
      <c r="P204" s="15"/>
      <c r="Q204" s="15"/>
      <c r="R204" s="15"/>
    </row>
    <row r="205" spans="1:18" ht="14.25" customHeight="1">
      <c r="A205" s="5">
        <v>674</v>
      </c>
      <c r="B205" s="8" t="s">
        <v>674</v>
      </c>
      <c r="C205" s="7" t="s">
        <v>675</v>
      </c>
      <c r="D205" s="10" t="s">
        <v>74</v>
      </c>
      <c r="E205" s="10" t="s">
        <v>78</v>
      </c>
      <c r="F205" s="10" t="s">
        <v>78</v>
      </c>
      <c r="G205" s="10" t="s">
        <v>78</v>
      </c>
      <c r="H205" s="10" t="s">
        <v>224</v>
      </c>
      <c r="I205" s="10" t="s">
        <v>135</v>
      </c>
      <c r="J205" s="12" t="s">
        <v>215</v>
      </c>
      <c r="K205" s="12" t="s">
        <v>221</v>
      </c>
      <c r="L205" s="13">
        <v>45530.583333333299</v>
      </c>
      <c r="M205" s="18">
        <v>45671.625</v>
      </c>
      <c r="N205" s="15"/>
      <c r="O205" s="15"/>
      <c r="P205" s="15"/>
      <c r="Q205" s="15"/>
      <c r="R205" s="15"/>
    </row>
    <row r="206" spans="1:18" ht="14.25" customHeight="1">
      <c r="A206" s="5">
        <v>675</v>
      </c>
      <c r="B206" s="8" t="s">
        <v>676</v>
      </c>
      <c r="C206" s="7" t="s">
        <v>677</v>
      </c>
      <c r="D206" s="10" t="s">
        <v>16</v>
      </c>
      <c r="E206" s="10" t="s">
        <v>211</v>
      </c>
      <c r="F206" s="10" t="s">
        <v>212</v>
      </c>
      <c r="G206" s="10" t="s">
        <v>17</v>
      </c>
      <c r="H206" s="10" t="s">
        <v>218</v>
      </c>
      <c r="I206" s="10" t="s">
        <v>61</v>
      </c>
      <c r="J206" s="12" t="s">
        <v>220</v>
      </c>
      <c r="K206" s="12" t="s">
        <v>221</v>
      </c>
      <c r="L206" s="13">
        <v>45509.583333333299</v>
      </c>
      <c r="M206" s="14">
        <v>46064.625</v>
      </c>
      <c r="N206" s="15"/>
      <c r="O206" s="15"/>
      <c r="P206" s="15"/>
      <c r="Q206" s="15"/>
      <c r="R206" s="15"/>
    </row>
    <row r="207" spans="1:18" ht="14.25" customHeight="1">
      <c r="A207" s="5">
        <v>677</v>
      </c>
      <c r="B207" s="8" t="s">
        <v>678</v>
      </c>
      <c r="C207" s="7" t="s">
        <v>679</v>
      </c>
      <c r="D207" s="10" t="s">
        <v>16</v>
      </c>
      <c r="E207" s="10" t="s">
        <v>399</v>
      </c>
      <c r="F207" s="10" t="s">
        <v>259</v>
      </c>
      <c r="G207" s="10" t="s">
        <v>415</v>
      </c>
      <c r="H207" s="10" t="s">
        <v>415</v>
      </c>
      <c r="I207" s="10" t="s">
        <v>680</v>
      </c>
      <c r="J207" s="12" t="s">
        <v>215</v>
      </c>
      <c r="K207" s="12" t="s">
        <v>208</v>
      </c>
      <c r="L207" s="13">
        <v>45539.583333333299</v>
      </c>
      <c r="M207" s="14"/>
      <c r="N207" s="15"/>
      <c r="O207" s="15"/>
      <c r="P207" s="15"/>
      <c r="Q207" s="15"/>
      <c r="R207" s="15"/>
    </row>
    <row r="208" spans="1:18" ht="14.25" customHeight="1">
      <c r="A208" s="5">
        <v>679</v>
      </c>
      <c r="B208" s="8" t="s">
        <v>681</v>
      </c>
      <c r="C208" s="7" t="s">
        <v>682</v>
      </c>
      <c r="D208" s="10" t="s">
        <v>16</v>
      </c>
      <c r="E208" s="10" t="s">
        <v>399</v>
      </c>
      <c r="F208" s="10" t="s">
        <v>259</v>
      </c>
      <c r="G208" s="10" t="s">
        <v>415</v>
      </c>
      <c r="H208" s="10" t="s">
        <v>415</v>
      </c>
      <c r="I208" s="10" t="s">
        <v>683</v>
      </c>
      <c r="J208" s="12" t="s">
        <v>215</v>
      </c>
      <c r="K208" s="12" t="s">
        <v>221</v>
      </c>
      <c r="L208" s="13">
        <v>45539.583333333299</v>
      </c>
      <c r="M208" s="14">
        <v>45777.583333333299</v>
      </c>
      <c r="N208" s="15"/>
      <c r="O208" s="15"/>
      <c r="P208" s="15"/>
      <c r="Q208" s="15"/>
      <c r="R208" s="15"/>
    </row>
    <row r="209" spans="1:18" ht="14.25" customHeight="1">
      <c r="A209" s="5">
        <v>680</v>
      </c>
      <c r="B209" s="8" t="s">
        <v>684</v>
      </c>
      <c r="C209" s="7" t="s">
        <v>685</v>
      </c>
      <c r="D209" s="10" t="s">
        <v>74</v>
      </c>
      <c r="E209" s="10" t="s">
        <v>202</v>
      </c>
      <c r="F209" s="10" t="s">
        <v>259</v>
      </c>
      <c r="G209" s="10" t="s">
        <v>686</v>
      </c>
      <c r="H209" s="10" t="s">
        <v>686</v>
      </c>
      <c r="I209" s="10" t="s">
        <v>687</v>
      </c>
      <c r="J209" s="12" t="s">
        <v>215</v>
      </c>
      <c r="K209" s="12" t="s">
        <v>221</v>
      </c>
      <c r="L209" s="13">
        <v>45539.583333333299</v>
      </c>
      <c r="M209" s="18">
        <v>46000.625</v>
      </c>
      <c r="N209" s="15"/>
      <c r="O209" s="15"/>
      <c r="P209" s="15"/>
      <c r="Q209" s="15"/>
      <c r="R209" s="15"/>
    </row>
    <row r="210" spans="1:18" ht="14.25" customHeight="1">
      <c r="A210" s="5">
        <v>681</v>
      </c>
      <c r="B210" s="8" t="s">
        <v>688</v>
      </c>
      <c r="C210" s="7" t="s">
        <v>689</v>
      </c>
      <c r="D210" s="10" t="s">
        <v>269</v>
      </c>
      <c r="E210" s="10" t="s">
        <v>270</v>
      </c>
      <c r="F210" s="10" t="s">
        <v>212</v>
      </c>
      <c r="G210" s="10" t="s">
        <v>271</v>
      </c>
      <c r="H210" s="10" t="s">
        <v>224</v>
      </c>
      <c r="I210" s="10" t="s">
        <v>135</v>
      </c>
      <c r="J210" s="12" t="s">
        <v>220</v>
      </c>
      <c r="K210" s="12" t="s">
        <v>221</v>
      </c>
      <c r="L210" s="13">
        <v>45539.583333333299</v>
      </c>
      <c r="M210" s="14">
        <v>45770.583333333299</v>
      </c>
      <c r="N210" s="15"/>
      <c r="O210" s="15"/>
      <c r="P210" s="15"/>
      <c r="Q210" s="15"/>
      <c r="R210" s="15"/>
    </row>
    <row r="211" spans="1:18" ht="14.25" customHeight="1">
      <c r="A211" s="5">
        <v>683</v>
      </c>
      <c r="B211" s="8" t="s">
        <v>690</v>
      </c>
      <c r="C211" s="7" t="s">
        <v>691</v>
      </c>
      <c r="D211" s="10" t="s">
        <v>74</v>
      </c>
      <c r="E211" s="10" t="s">
        <v>202</v>
      </c>
      <c r="F211" s="10" t="s">
        <v>212</v>
      </c>
      <c r="G211" s="10" t="s">
        <v>125</v>
      </c>
      <c r="H211" s="10" t="s">
        <v>218</v>
      </c>
      <c r="I211" s="10" t="s">
        <v>61</v>
      </c>
      <c r="J211" s="12" t="s">
        <v>220</v>
      </c>
      <c r="K211" s="12" t="s">
        <v>221</v>
      </c>
      <c r="L211" s="13">
        <v>45539.583333333299</v>
      </c>
      <c r="M211" s="18">
        <v>45888.583333333299</v>
      </c>
      <c r="N211" s="15"/>
      <c r="O211" s="15"/>
      <c r="P211" s="15"/>
      <c r="Q211" s="15"/>
      <c r="R211" s="15"/>
    </row>
    <row r="212" spans="1:18" ht="14.25" customHeight="1">
      <c r="A212" s="5">
        <v>684</v>
      </c>
      <c r="B212" s="8" t="s">
        <v>692</v>
      </c>
      <c r="C212" s="7" t="s">
        <v>693</v>
      </c>
      <c r="D212" s="10" t="s">
        <v>74</v>
      </c>
      <c r="E212" s="10" t="s">
        <v>201</v>
      </c>
      <c r="F212" s="10" t="s">
        <v>212</v>
      </c>
      <c r="G212" s="10" t="s">
        <v>136</v>
      </c>
      <c r="H212" s="10" t="s">
        <v>213</v>
      </c>
      <c r="I212" s="10" t="s">
        <v>67</v>
      </c>
      <c r="J212" s="12" t="s">
        <v>220</v>
      </c>
      <c r="K212" s="12" t="s">
        <v>221</v>
      </c>
      <c r="L212" s="13">
        <v>45545.583333333299</v>
      </c>
      <c r="M212" s="14">
        <v>45692.625</v>
      </c>
      <c r="N212" s="15"/>
      <c r="O212" s="15"/>
      <c r="P212" s="15"/>
      <c r="Q212" s="15"/>
      <c r="R212" s="15"/>
    </row>
    <row r="213" spans="1:18" ht="14.25" customHeight="1">
      <c r="A213" s="5">
        <v>685</v>
      </c>
      <c r="B213" s="8" t="s">
        <v>694</v>
      </c>
      <c r="C213" s="7" t="s">
        <v>695</v>
      </c>
      <c r="D213" s="10" t="s">
        <v>74</v>
      </c>
      <c r="E213" s="10" t="s">
        <v>78</v>
      </c>
      <c r="F213" s="10" t="s">
        <v>78</v>
      </c>
      <c r="G213" s="10" t="s">
        <v>78</v>
      </c>
      <c r="H213" s="10" t="s">
        <v>288</v>
      </c>
      <c r="I213" s="10" t="s">
        <v>696</v>
      </c>
      <c r="J213" s="12" t="s">
        <v>284</v>
      </c>
      <c r="K213" s="12" t="s">
        <v>221</v>
      </c>
      <c r="L213" s="13">
        <v>45541.583333333299</v>
      </c>
      <c r="M213" s="14">
        <v>45802.583333333299</v>
      </c>
      <c r="N213" s="15"/>
      <c r="O213" s="15"/>
      <c r="P213" s="15"/>
      <c r="Q213" s="15"/>
      <c r="R213" s="15"/>
    </row>
    <row r="214" spans="1:18" ht="14.25" customHeight="1">
      <c r="A214" s="5">
        <v>688</v>
      </c>
      <c r="B214" s="8" t="s">
        <v>697</v>
      </c>
      <c r="C214" s="7" t="s">
        <v>698</v>
      </c>
      <c r="D214" s="10" t="s">
        <v>16</v>
      </c>
      <c r="E214" s="10" t="s">
        <v>211</v>
      </c>
      <c r="F214" s="10" t="s">
        <v>212</v>
      </c>
      <c r="G214" s="10" t="s">
        <v>17</v>
      </c>
      <c r="H214" s="10" t="s">
        <v>218</v>
      </c>
      <c r="I214" s="10" t="s">
        <v>61</v>
      </c>
      <c r="J214" s="12" t="s">
        <v>220</v>
      </c>
      <c r="K214" s="12" t="s">
        <v>208</v>
      </c>
      <c r="L214" s="13">
        <v>45789.583333333299</v>
      </c>
      <c r="M214" s="14"/>
      <c r="N214" s="15"/>
      <c r="O214" s="15"/>
      <c r="P214" s="15"/>
      <c r="Q214" s="15"/>
      <c r="R214" s="15"/>
    </row>
    <row r="215" spans="1:18" ht="14.25" customHeight="1">
      <c r="A215" s="5">
        <v>690</v>
      </c>
      <c r="B215" s="8" t="s">
        <v>699</v>
      </c>
      <c r="C215" s="7" t="s">
        <v>700</v>
      </c>
      <c r="D215" s="10" t="s">
        <v>269</v>
      </c>
      <c r="E215" s="10" t="s">
        <v>270</v>
      </c>
      <c r="F215" s="10" t="s">
        <v>212</v>
      </c>
      <c r="G215" s="10" t="s">
        <v>271</v>
      </c>
      <c r="H215" s="10" t="s">
        <v>218</v>
      </c>
      <c r="I215" s="10" t="s">
        <v>61</v>
      </c>
      <c r="J215" s="12" t="s">
        <v>220</v>
      </c>
      <c r="K215" s="12" t="s">
        <v>221</v>
      </c>
      <c r="L215" s="13">
        <v>45548.583333333299</v>
      </c>
      <c r="M215" s="14">
        <v>45694.625</v>
      </c>
      <c r="N215" s="15"/>
      <c r="O215" s="15"/>
      <c r="P215" s="15"/>
      <c r="Q215" s="15"/>
      <c r="R215" s="15"/>
    </row>
    <row r="216" spans="1:18" ht="14.25" customHeight="1">
      <c r="A216" s="5">
        <v>692</v>
      </c>
      <c r="B216" s="8" t="s">
        <v>701</v>
      </c>
      <c r="C216" s="7" t="s">
        <v>702</v>
      </c>
      <c r="D216" s="10" t="s">
        <v>74</v>
      </c>
      <c r="E216" s="10" t="s">
        <v>202</v>
      </c>
      <c r="F216" s="10" t="s">
        <v>212</v>
      </c>
      <c r="G216" s="10" t="s">
        <v>125</v>
      </c>
      <c r="H216" s="10" t="s">
        <v>218</v>
      </c>
      <c r="I216" s="10" t="s">
        <v>61</v>
      </c>
      <c r="J216" s="12" t="s">
        <v>220</v>
      </c>
      <c r="K216" s="12" t="s">
        <v>221</v>
      </c>
      <c r="L216" s="13">
        <v>45551.583333333299</v>
      </c>
      <c r="M216" s="14">
        <v>45763.583333333299</v>
      </c>
      <c r="N216" s="15"/>
      <c r="O216" s="15"/>
      <c r="P216" s="15"/>
      <c r="Q216" s="15"/>
      <c r="R216" s="15"/>
    </row>
    <row r="217" spans="1:18" ht="14.25" customHeight="1">
      <c r="A217" s="5">
        <v>693</v>
      </c>
      <c r="B217" s="8" t="s">
        <v>703</v>
      </c>
      <c r="C217" s="7" t="s">
        <v>704</v>
      </c>
      <c r="D217" s="10" t="s">
        <v>74</v>
      </c>
      <c r="E217" s="10" t="s">
        <v>202</v>
      </c>
      <c r="F217" s="10" t="s">
        <v>259</v>
      </c>
      <c r="G217" s="10" t="s">
        <v>540</v>
      </c>
      <c r="H217" s="10" t="s">
        <v>540</v>
      </c>
      <c r="I217" s="10" t="s">
        <v>705</v>
      </c>
      <c r="J217" s="12" t="s">
        <v>215</v>
      </c>
      <c r="K217" s="12" t="s">
        <v>221</v>
      </c>
      <c r="L217" s="13">
        <v>45552.583333333299</v>
      </c>
      <c r="M217" s="14">
        <v>45829.583333333299</v>
      </c>
      <c r="N217" s="15"/>
      <c r="O217" s="15"/>
      <c r="P217" s="15"/>
      <c r="Q217" s="15"/>
      <c r="R217" s="15"/>
    </row>
    <row r="218" spans="1:18" ht="14.25" customHeight="1">
      <c r="A218" s="5">
        <v>694</v>
      </c>
      <c r="B218" s="8" t="s">
        <v>706</v>
      </c>
      <c r="C218" s="7" t="s">
        <v>707</v>
      </c>
      <c r="D218" s="10" t="s">
        <v>29</v>
      </c>
      <c r="E218" s="10" t="s">
        <v>203</v>
      </c>
      <c r="F218" s="10" t="s">
        <v>259</v>
      </c>
      <c r="G218" s="10" t="s">
        <v>101</v>
      </c>
      <c r="H218" s="10" t="s">
        <v>101</v>
      </c>
      <c r="I218" s="10" t="s">
        <v>100</v>
      </c>
      <c r="J218" s="12" t="s">
        <v>215</v>
      </c>
      <c r="K218" s="12" t="s">
        <v>208</v>
      </c>
      <c r="L218" s="13">
        <v>45559.583333333299</v>
      </c>
      <c r="M218" s="14"/>
      <c r="N218" s="15"/>
      <c r="O218" s="15"/>
      <c r="P218" s="15"/>
      <c r="Q218" s="15"/>
      <c r="R218" s="15"/>
    </row>
    <row r="219" spans="1:18" ht="14.25" customHeight="1">
      <c r="A219" s="5">
        <v>695</v>
      </c>
      <c r="B219" s="8" t="s">
        <v>708</v>
      </c>
      <c r="C219" s="7" t="s">
        <v>709</v>
      </c>
      <c r="D219" s="10" t="s">
        <v>74</v>
      </c>
      <c r="E219" s="10" t="s">
        <v>202</v>
      </c>
      <c r="F219" s="10" t="s">
        <v>212</v>
      </c>
      <c r="G219" s="10" t="s">
        <v>108</v>
      </c>
      <c r="H219" s="10" t="s">
        <v>218</v>
      </c>
      <c r="I219" s="10" t="s">
        <v>61</v>
      </c>
      <c r="J219" s="12" t="s">
        <v>220</v>
      </c>
      <c r="K219" s="12" t="s">
        <v>221</v>
      </c>
      <c r="L219" s="13">
        <v>45572.583333333299</v>
      </c>
      <c r="M219" s="14">
        <v>45747.583333333299</v>
      </c>
      <c r="N219" s="15"/>
      <c r="O219" s="15"/>
      <c r="P219" s="15"/>
      <c r="Q219" s="15"/>
      <c r="R219" s="15"/>
    </row>
    <row r="220" spans="1:18" ht="14.25" customHeight="1">
      <c r="A220" s="5">
        <v>697</v>
      </c>
      <c r="B220" s="8" t="s">
        <v>710</v>
      </c>
      <c r="C220" s="7" t="s">
        <v>711</v>
      </c>
      <c r="D220" s="10" t="s">
        <v>269</v>
      </c>
      <c r="E220" s="10" t="s">
        <v>270</v>
      </c>
      <c r="F220" s="10" t="s">
        <v>212</v>
      </c>
      <c r="G220" s="10" t="s">
        <v>271</v>
      </c>
      <c r="H220" s="10" t="s">
        <v>218</v>
      </c>
      <c r="I220" s="10" t="s">
        <v>61</v>
      </c>
      <c r="J220" s="12" t="s">
        <v>220</v>
      </c>
      <c r="K220" s="12" t="s">
        <v>221</v>
      </c>
      <c r="L220" s="13">
        <v>45568.583333333299</v>
      </c>
      <c r="M220" s="18">
        <v>45667.625</v>
      </c>
      <c r="N220" s="15"/>
      <c r="O220" s="15"/>
      <c r="P220" s="15"/>
      <c r="Q220" s="15"/>
      <c r="R220" s="15"/>
    </row>
    <row r="221" spans="1:18" ht="14.25" customHeight="1">
      <c r="A221" s="5">
        <v>700</v>
      </c>
      <c r="B221" s="8" t="s">
        <v>712</v>
      </c>
      <c r="C221" s="7" t="s">
        <v>713</v>
      </c>
      <c r="D221" s="10" t="s">
        <v>74</v>
      </c>
      <c r="E221" s="10" t="s">
        <v>202</v>
      </c>
      <c r="F221" s="10" t="s">
        <v>212</v>
      </c>
      <c r="G221" s="10" t="s">
        <v>125</v>
      </c>
      <c r="H221" s="10" t="s">
        <v>218</v>
      </c>
      <c r="I221" s="10" t="s">
        <v>61</v>
      </c>
      <c r="J221" s="12" t="s">
        <v>220</v>
      </c>
      <c r="K221" s="12" t="s">
        <v>221</v>
      </c>
      <c r="L221" s="13">
        <v>45566.583333333299</v>
      </c>
      <c r="M221" s="14">
        <v>45776.583333333299</v>
      </c>
      <c r="N221" s="15"/>
      <c r="O221" s="15"/>
      <c r="P221" s="15"/>
      <c r="Q221" s="15"/>
      <c r="R221" s="15"/>
    </row>
    <row r="222" spans="1:18" ht="14.25" customHeight="1">
      <c r="A222" s="5">
        <v>701</v>
      </c>
      <c r="B222" s="8" t="s">
        <v>714</v>
      </c>
      <c r="C222" s="7" t="s">
        <v>510</v>
      </c>
      <c r="D222" s="10" t="s">
        <v>74</v>
      </c>
      <c r="E222" s="10" t="s">
        <v>202</v>
      </c>
      <c r="F222" s="10" t="s">
        <v>212</v>
      </c>
      <c r="G222" s="10" t="s">
        <v>125</v>
      </c>
      <c r="H222" s="10" t="s">
        <v>218</v>
      </c>
      <c r="I222" s="10" t="s">
        <v>61</v>
      </c>
      <c r="J222" s="12" t="s">
        <v>220</v>
      </c>
      <c r="K222" s="12" t="s">
        <v>221</v>
      </c>
      <c r="L222" s="13">
        <v>45566.583333333299</v>
      </c>
      <c r="M222" s="14">
        <v>45888.583333333299</v>
      </c>
      <c r="N222" s="15"/>
      <c r="O222" s="15"/>
      <c r="P222" s="15"/>
      <c r="Q222" s="15"/>
      <c r="R222" s="15"/>
    </row>
    <row r="223" spans="1:18" ht="14.25" customHeight="1">
      <c r="A223" s="5">
        <v>702</v>
      </c>
      <c r="B223" s="8" t="s">
        <v>715</v>
      </c>
      <c r="C223" s="7" t="s">
        <v>716</v>
      </c>
      <c r="D223" s="10" t="s">
        <v>74</v>
      </c>
      <c r="E223" s="10" t="s">
        <v>202</v>
      </c>
      <c r="F223" s="10" t="s">
        <v>212</v>
      </c>
      <c r="G223" s="10" t="s">
        <v>108</v>
      </c>
      <c r="H223" s="10" t="s">
        <v>218</v>
      </c>
      <c r="I223" s="10" t="s">
        <v>61</v>
      </c>
      <c r="J223" s="12" t="s">
        <v>220</v>
      </c>
      <c r="K223" s="12" t="s">
        <v>221</v>
      </c>
      <c r="L223" s="13">
        <v>45567.583333333299</v>
      </c>
      <c r="M223" s="14">
        <v>45658.625</v>
      </c>
      <c r="N223" s="15"/>
      <c r="O223" s="15"/>
      <c r="P223" s="15"/>
      <c r="Q223" s="15"/>
      <c r="R223" s="15"/>
    </row>
    <row r="224" spans="1:18" ht="14.25" customHeight="1">
      <c r="A224" s="5">
        <v>703</v>
      </c>
      <c r="B224" s="8" t="s">
        <v>717</v>
      </c>
      <c r="C224" s="7" t="s">
        <v>718</v>
      </c>
      <c r="D224" s="10" t="s">
        <v>16</v>
      </c>
      <c r="E224" s="10" t="s">
        <v>211</v>
      </c>
      <c r="F224" s="10" t="s">
        <v>259</v>
      </c>
      <c r="G224" s="10" t="s">
        <v>284</v>
      </c>
      <c r="H224" s="10" t="s">
        <v>284</v>
      </c>
      <c r="I224" s="10" t="s">
        <v>332</v>
      </c>
      <c r="J224" s="12" t="s">
        <v>215</v>
      </c>
      <c r="K224" s="12" t="s">
        <v>208</v>
      </c>
      <c r="L224" s="13">
        <v>45573.583333333299</v>
      </c>
      <c r="M224" s="14"/>
      <c r="N224" s="15"/>
      <c r="O224" s="15"/>
      <c r="P224" s="15"/>
      <c r="Q224" s="15"/>
      <c r="R224" s="15"/>
    </row>
    <row r="225" spans="1:18" ht="14.25" customHeight="1">
      <c r="A225" s="5">
        <v>704</v>
      </c>
      <c r="B225" s="8" t="s">
        <v>71</v>
      </c>
      <c r="C225" s="7" t="s">
        <v>72</v>
      </c>
      <c r="D225" s="10" t="s">
        <v>74</v>
      </c>
      <c r="E225" s="10" t="s">
        <v>202</v>
      </c>
      <c r="F225" s="10" t="s">
        <v>259</v>
      </c>
      <c r="G225" s="10" t="s">
        <v>75</v>
      </c>
      <c r="H225" s="10" t="s">
        <v>75</v>
      </c>
      <c r="I225" s="10" t="s">
        <v>73</v>
      </c>
      <c r="J225" s="12" t="s">
        <v>215</v>
      </c>
      <c r="K225" s="12" t="s">
        <v>221</v>
      </c>
      <c r="L225" s="13">
        <v>45573.583333333299</v>
      </c>
      <c r="M225" s="14">
        <v>45855.583333333299</v>
      </c>
      <c r="N225" s="15"/>
      <c r="O225" s="15"/>
      <c r="P225" s="15"/>
      <c r="Q225" s="15"/>
      <c r="R225" s="15"/>
    </row>
    <row r="226" spans="1:18" ht="14.25" customHeight="1">
      <c r="A226" s="5">
        <v>705</v>
      </c>
      <c r="B226" s="8" t="s">
        <v>719</v>
      </c>
      <c r="C226" s="7" t="s">
        <v>720</v>
      </c>
      <c r="D226" s="10" t="s">
        <v>74</v>
      </c>
      <c r="E226" s="10" t="s">
        <v>202</v>
      </c>
      <c r="F226" s="10" t="s">
        <v>212</v>
      </c>
      <c r="G226" s="10" t="s">
        <v>95</v>
      </c>
      <c r="H226" s="10" t="s">
        <v>240</v>
      </c>
      <c r="I226" s="10" t="s">
        <v>107</v>
      </c>
      <c r="J226" s="12" t="s">
        <v>220</v>
      </c>
      <c r="K226" s="12" t="s">
        <v>221</v>
      </c>
      <c r="L226" s="13">
        <v>45572.583333333299</v>
      </c>
      <c r="M226" s="14">
        <v>45875.583333333299</v>
      </c>
      <c r="N226" s="15"/>
      <c r="O226" s="15"/>
      <c r="P226" s="15"/>
      <c r="Q226" s="15"/>
      <c r="R226" s="15"/>
    </row>
    <row r="227" spans="1:18" ht="14.25" customHeight="1">
      <c r="A227" s="5">
        <v>706</v>
      </c>
      <c r="B227" s="8" t="s">
        <v>721</v>
      </c>
      <c r="C227" s="7" t="s">
        <v>722</v>
      </c>
      <c r="D227" s="10" t="s">
        <v>269</v>
      </c>
      <c r="E227" s="10" t="s">
        <v>270</v>
      </c>
      <c r="F227" s="10" t="s">
        <v>212</v>
      </c>
      <c r="G227" s="10" t="s">
        <v>271</v>
      </c>
      <c r="H227" s="10" t="s">
        <v>240</v>
      </c>
      <c r="I227" s="10" t="s">
        <v>107</v>
      </c>
      <c r="J227" s="12" t="s">
        <v>220</v>
      </c>
      <c r="K227" s="12" t="s">
        <v>221</v>
      </c>
      <c r="L227" s="13">
        <v>45574.583333333299</v>
      </c>
      <c r="M227" s="14">
        <v>45698.625</v>
      </c>
      <c r="N227" s="15"/>
      <c r="O227" s="15"/>
      <c r="P227" s="15"/>
      <c r="Q227" s="15"/>
      <c r="R227" s="15"/>
    </row>
    <row r="228" spans="1:18" ht="14.25" customHeight="1">
      <c r="A228" s="5">
        <v>708</v>
      </c>
      <c r="B228" s="8" t="s">
        <v>723</v>
      </c>
      <c r="C228" s="7" t="s">
        <v>724</v>
      </c>
      <c r="D228" s="10" t="s">
        <v>74</v>
      </c>
      <c r="E228" s="10" t="s">
        <v>202</v>
      </c>
      <c r="F228" s="10" t="s">
        <v>259</v>
      </c>
      <c r="G228" s="10" t="s">
        <v>75</v>
      </c>
      <c r="H228" s="10" t="s">
        <v>75</v>
      </c>
      <c r="I228" s="10" t="s">
        <v>725</v>
      </c>
      <c r="J228" s="12" t="s">
        <v>471</v>
      </c>
      <c r="K228" s="12" t="s">
        <v>221</v>
      </c>
      <c r="L228" s="13">
        <v>45580.583333333299</v>
      </c>
      <c r="M228" s="14">
        <v>45665.625</v>
      </c>
      <c r="N228" s="15"/>
      <c r="O228" s="15"/>
      <c r="P228" s="15"/>
      <c r="Q228" s="15"/>
      <c r="R228" s="15"/>
    </row>
    <row r="229" spans="1:18" ht="14.25" customHeight="1">
      <c r="A229" s="5">
        <v>710</v>
      </c>
      <c r="B229" s="8" t="s">
        <v>726</v>
      </c>
      <c r="C229" s="7" t="s">
        <v>727</v>
      </c>
      <c r="D229" s="10" t="s">
        <v>74</v>
      </c>
      <c r="E229" s="10" t="s">
        <v>202</v>
      </c>
      <c r="F229" s="10" t="s">
        <v>259</v>
      </c>
      <c r="G229" s="10" t="s">
        <v>305</v>
      </c>
      <c r="H229" s="10" t="s">
        <v>305</v>
      </c>
      <c r="I229" s="10" t="s">
        <v>728</v>
      </c>
      <c r="J229" s="12" t="s">
        <v>215</v>
      </c>
      <c r="K229" s="12" t="s">
        <v>221</v>
      </c>
      <c r="L229" s="13">
        <v>45574.583333333299</v>
      </c>
      <c r="M229" s="14">
        <v>46234.583333333299</v>
      </c>
      <c r="N229" s="15"/>
      <c r="O229" s="15"/>
      <c r="P229" s="15"/>
      <c r="Q229" s="15"/>
      <c r="R229" s="15"/>
    </row>
    <row r="230" spans="1:18" ht="14.25" customHeight="1">
      <c r="A230" s="5">
        <v>711</v>
      </c>
      <c r="B230" s="8" t="s">
        <v>729</v>
      </c>
      <c r="C230" s="7" t="s">
        <v>730</v>
      </c>
      <c r="D230" s="10" t="s">
        <v>74</v>
      </c>
      <c r="E230" s="10" t="s">
        <v>202</v>
      </c>
      <c r="F230" s="10" t="s">
        <v>259</v>
      </c>
      <c r="G230" s="10" t="s">
        <v>101</v>
      </c>
      <c r="H230" s="10" t="s">
        <v>101</v>
      </c>
      <c r="I230" s="10" t="s">
        <v>731</v>
      </c>
      <c r="J230" s="12" t="s">
        <v>215</v>
      </c>
      <c r="K230" s="12" t="s">
        <v>221</v>
      </c>
      <c r="L230" s="13">
        <v>45580.583333333299</v>
      </c>
      <c r="M230" s="14">
        <v>45790.583333333299</v>
      </c>
      <c r="N230" s="15"/>
      <c r="O230" s="15"/>
      <c r="P230" s="15"/>
      <c r="Q230" s="15"/>
      <c r="R230" s="15"/>
    </row>
    <row r="231" spans="1:18" ht="14.25" customHeight="1">
      <c r="A231" s="5">
        <v>712</v>
      </c>
      <c r="B231" s="8" t="s">
        <v>81</v>
      </c>
      <c r="C231" s="7" t="s">
        <v>82</v>
      </c>
      <c r="D231" s="10" t="s">
        <v>74</v>
      </c>
      <c r="E231" s="10" t="s">
        <v>78</v>
      </c>
      <c r="F231" s="10" t="s">
        <v>78</v>
      </c>
      <c r="G231" s="10" t="s">
        <v>78</v>
      </c>
      <c r="H231" s="10" t="s">
        <v>288</v>
      </c>
      <c r="I231" s="10" t="s">
        <v>732</v>
      </c>
      <c r="J231" s="12" t="s">
        <v>215</v>
      </c>
      <c r="K231" s="12" t="s">
        <v>221</v>
      </c>
      <c r="L231" s="13">
        <v>45580.583333333299</v>
      </c>
      <c r="M231" s="14">
        <v>46053.625</v>
      </c>
      <c r="N231" s="15"/>
      <c r="O231" s="15"/>
      <c r="P231" s="15"/>
      <c r="Q231" s="15"/>
      <c r="R231" s="15"/>
    </row>
    <row r="232" spans="1:18" ht="14.25" customHeight="1">
      <c r="A232" s="5">
        <v>713</v>
      </c>
      <c r="B232" s="8" t="s">
        <v>733</v>
      </c>
      <c r="C232" s="7" t="s">
        <v>734</v>
      </c>
      <c r="D232" s="10" t="s">
        <v>74</v>
      </c>
      <c r="E232" s="10" t="s">
        <v>202</v>
      </c>
      <c r="F232" s="10" t="s">
        <v>212</v>
      </c>
      <c r="G232" s="10" t="s">
        <v>108</v>
      </c>
      <c r="H232" s="10" t="s">
        <v>218</v>
      </c>
      <c r="I232" s="10" t="s">
        <v>61</v>
      </c>
      <c r="J232" s="12" t="s">
        <v>220</v>
      </c>
      <c r="K232" s="12" t="s">
        <v>208</v>
      </c>
      <c r="L232" s="13">
        <v>45579.583333333299</v>
      </c>
      <c r="M232" s="14"/>
      <c r="N232" s="15"/>
      <c r="O232" s="15"/>
      <c r="P232" s="15"/>
      <c r="Q232" s="15"/>
      <c r="R232" s="15"/>
    </row>
    <row r="233" spans="1:18" ht="14.25" customHeight="1">
      <c r="A233" s="5">
        <v>714</v>
      </c>
      <c r="B233" s="8" t="s">
        <v>735</v>
      </c>
      <c r="C233" s="7" t="s">
        <v>736</v>
      </c>
      <c r="D233" s="10" t="s">
        <v>74</v>
      </c>
      <c r="E233" s="10" t="s">
        <v>202</v>
      </c>
      <c r="F233" s="10" t="s">
        <v>212</v>
      </c>
      <c r="G233" s="10" t="s">
        <v>108</v>
      </c>
      <c r="H233" s="10" t="s">
        <v>231</v>
      </c>
      <c r="I233" s="10" t="s">
        <v>58</v>
      </c>
      <c r="J233" s="12" t="s">
        <v>220</v>
      </c>
      <c r="K233" s="12" t="s">
        <v>221</v>
      </c>
      <c r="L233" s="13">
        <v>45580.583333333299</v>
      </c>
      <c r="M233" s="18">
        <v>46173.583333333299</v>
      </c>
      <c r="N233" s="15"/>
      <c r="O233" s="15"/>
      <c r="P233" s="15"/>
      <c r="Q233" s="15"/>
      <c r="R233" s="15"/>
    </row>
    <row r="234" spans="1:18" ht="14.25" customHeight="1">
      <c r="A234" s="5">
        <v>715</v>
      </c>
      <c r="B234" s="8" t="s">
        <v>737</v>
      </c>
      <c r="C234" s="7" t="s">
        <v>738</v>
      </c>
      <c r="D234" s="10" t="s">
        <v>74</v>
      </c>
      <c r="E234" s="10" t="s">
        <v>202</v>
      </c>
      <c r="F234" s="10" t="s">
        <v>212</v>
      </c>
      <c r="G234" s="10" t="s">
        <v>95</v>
      </c>
      <c r="H234" s="10" t="s">
        <v>218</v>
      </c>
      <c r="I234" s="10" t="s">
        <v>61</v>
      </c>
      <c r="J234" s="12" t="s">
        <v>220</v>
      </c>
      <c r="K234" s="12" t="s">
        <v>221</v>
      </c>
      <c r="L234" s="13">
        <v>45579.583333333299</v>
      </c>
      <c r="M234" s="14">
        <v>45730.583333333299</v>
      </c>
      <c r="N234" s="15"/>
      <c r="O234" s="15"/>
      <c r="P234" s="15"/>
      <c r="Q234" s="15"/>
      <c r="R234" s="15"/>
    </row>
    <row r="235" spans="1:18" ht="14.25" customHeight="1">
      <c r="A235" s="5">
        <v>716</v>
      </c>
      <c r="B235" s="8" t="s">
        <v>739</v>
      </c>
      <c r="C235" s="7" t="s">
        <v>740</v>
      </c>
      <c r="D235" s="10" t="s">
        <v>16</v>
      </c>
      <c r="E235" s="10" t="s">
        <v>211</v>
      </c>
      <c r="F235" s="10" t="s">
        <v>212</v>
      </c>
      <c r="G235" s="10" t="s">
        <v>17</v>
      </c>
      <c r="H235" s="10" t="s">
        <v>218</v>
      </c>
      <c r="I235" s="10" t="s">
        <v>61</v>
      </c>
      <c r="J235" s="12" t="s">
        <v>220</v>
      </c>
      <c r="K235" s="12" t="s">
        <v>221</v>
      </c>
      <c r="L235" s="13">
        <v>45579.583333333299</v>
      </c>
      <c r="M235" s="18">
        <v>45792.583333333299</v>
      </c>
      <c r="N235" s="15"/>
      <c r="O235" s="15"/>
      <c r="P235" s="15"/>
      <c r="Q235" s="15"/>
      <c r="R235" s="15"/>
    </row>
    <row r="236" spans="1:18" ht="14.25" customHeight="1">
      <c r="A236" s="5">
        <v>718</v>
      </c>
      <c r="B236" s="8" t="s">
        <v>741</v>
      </c>
      <c r="C236" s="7" t="s">
        <v>742</v>
      </c>
      <c r="D236" s="10" t="s">
        <v>16</v>
      </c>
      <c r="E236" s="10" t="s">
        <v>211</v>
      </c>
      <c r="F236" s="10" t="s">
        <v>212</v>
      </c>
      <c r="G236" s="10" t="s">
        <v>17</v>
      </c>
      <c r="H236" s="10" t="s">
        <v>218</v>
      </c>
      <c r="I236" s="10" t="s">
        <v>61</v>
      </c>
      <c r="J236" s="12" t="s">
        <v>220</v>
      </c>
      <c r="K236" s="12" t="s">
        <v>208</v>
      </c>
      <c r="L236" s="13">
        <v>45579.583333333299</v>
      </c>
      <c r="M236" s="18"/>
      <c r="N236" s="15"/>
      <c r="O236" s="15"/>
      <c r="P236" s="15"/>
      <c r="Q236" s="15"/>
      <c r="R236" s="15"/>
    </row>
    <row r="237" spans="1:18" ht="14.25" customHeight="1">
      <c r="A237" s="5">
        <v>719</v>
      </c>
      <c r="B237" s="8" t="s">
        <v>743</v>
      </c>
      <c r="C237" s="7" t="s">
        <v>744</v>
      </c>
      <c r="D237" s="10" t="s">
        <v>16</v>
      </c>
      <c r="E237" s="10" t="s">
        <v>211</v>
      </c>
      <c r="F237" s="10" t="s">
        <v>259</v>
      </c>
      <c r="G237" s="10" t="s">
        <v>25</v>
      </c>
      <c r="H237" s="10" t="s">
        <v>25</v>
      </c>
      <c r="I237" s="10" t="s">
        <v>135</v>
      </c>
      <c r="J237" s="12" t="s">
        <v>215</v>
      </c>
      <c r="K237" s="12" t="s">
        <v>208</v>
      </c>
      <c r="L237" s="13">
        <v>45557.583333333299</v>
      </c>
      <c r="M237" s="14"/>
      <c r="N237" s="15"/>
      <c r="O237" s="15"/>
      <c r="P237" s="15"/>
      <c r="Q237" s="15"/>
      <c r="R237" s="15"/>
    </row>
    <row r="238" spans="1:18" ht="14.25" customHeight="1">
      <c r="A238" s="5">
        <v>720</v>
      </c>
      <c r="B238" s="8" t="s">
        <v>745</v>
      </c>
      <c r="C238" s="7" t="s">
        <v>746</v>
      </c>
      <c r="D238" s="10" t="s">
        <v>269</v>
      </c>
      <c r="E238" s="10" t="s">
        <v>270</v>
      </c>
      <c r="F238" s="10" t="s">
        <v>212</v>
      </c>
      <c r="G238" s="10" t="s">
        <v>271</v>
      </c>
      <c r="H238" s="10" t="s">
        <v>240</v>
      </c>
      <c r="I238" s="10" t="s">
        <v>107</v>
      </c>
      <c r="J238" s="12" t="s">
        <v>220</v>
      </c>
      <c r="K238" s="12" t="s">
        <v>221</v>
      </c>
      <c r="L238" s="13">
        <v>45597.583333333299</v>
      </c>
      <c r="M238" s="14">
        <v>45777.583333333299</v>
      </c>
      <c r="N238" s="15"/>
      <c r="O238" s="15"/>
      <c r="P238" s="15"/>
      <c r="Q238" s="15"/>
      <c r="R238" s="15"/>
    </row>
    <row r="239" spans="1:18" ht="14.25" customHeight="1">
      <c r="A239" s="5">
        <v>721</v>
      </c>
      <c r="B239" s="8" t="s">
        <v>747</v>
      </c>
      <c r="C239" s="7" t="s">
        <v>748</v>
      </c>
      <c r="D239" s="10" t="s">
        <v>74</v>
      </c>
      <c r="E239" s="10" t="s">
        <v>202</v>
      </c>
      <c r="F239" s="10" t="s">
        <v>212</v>
      </c>
      <c r="G239" s="10" t="s">
        <v>95</v>
      </c>
      <c r="H239" s="10" t="s">
        <v>218</v>
      </c>
      <c r="I239" s="10" t="s">
        <v>61</v>
      </c>
      <c r="J239" s="12" t="s">
        <v>220</v>
      </c>
      <c r="K239" s="12" t="s">
        <v>221</v>
      </c>
      <c r="L239" s="13">
        <v>45597.583333333299</v>
      </c>
      <c r="M239" s="14">
        <v>45697.625</v>
      </c>
      <c r="N239" s="15"/>
      <c r="O239" s="15"/>
      <c r="P239" s="15"/>
      <c r="Q239" s="15"/>
      <c r="R239" s="15"/>
    </row>
    <row r="240" spans="1:18" ht="14.25" customHeight="1">
      <c r="A240" s="5">
        <v>722</v>
      </c>
      <c r="B240" s="8" t="s">
        <v>749</v>
      </c>
      <c r="C240" s="7" t="s">
        <v>750</v>
      </c>
      <c r="D240" s="10" t="s">
        <v>74</v>
      </c>
      <c r="E240" s="10" t="s">
        <v>202</v>
      </c>
      <c r="F240" s="10" t="s">
        <v>212</v>
      </c>
      <c r="G240" s="10" t="s">
        <v>95</v>
      </c>
      <c r="H240" s="10" t="s">
        <v>240</v>
      </c>
      <c r="I240" s="10" t="s">
        <v>107</v>
      </c>
      <c r="J240" s="12" t="s">
        <v>220</v>
      </c>
      <c r="K240" s="12" t="s">
        <v>221</v>
      </c>
      <c r="L240" s="13">
        <v>45597.583333333299</v>
      </c>
      <c r="M240" s="18">
        <v>45930.583333333299</v>
      </c>
      <c r="N240" s="15"/>
      <c r="O240" s="15"/>
      <c r="P240" s="15"/>
      <c r="Q240" s="15"/>
      <c r="R240" s="15"/>
    </row>
    <row r="241" spans="1:18" ht="14.25" customHeight="1">
      <c r="A241" s="5">
        <v>723</v>
      </c>
      <c r="B241" s="8" t="s">
        <v>751</v>
      </c>
      <c r="C241" s="7" t="s">
        <v>752</v>
      </c>
      <c r="D241" s="10" t="s">
        <v>269</v>
      </c>
      <c r="E241" s="10" t="s">
        <v>270</v>
      </c>
      <c r="F241" s="10" t="s">
        <v>212</v>
      </c>
      <c r="G241" s="10" t="s">
        <v>271</v>
      </c>
      <c r="H241" s="10" t="s">
        <v>240</v>
      </c>
      <c r="I241" s="10" t="s">
        <v>107</v>
      </c>
      <c r="J241" s="12" t="s">
        <v>220</v>
      </c>
      <c r="K241" s="12" t="s">
        <v>221</v>
      </c>
      <c r="L241" s="13">
        <v>45597.583333333299</v>
      </c>
      <c r="M241" s="18">
        <v>45836.583333333299</v>
      </c>
      <c r="N241" s="15"/>
      <c r="O241" s="15"/>
      <c r="P241" s="15"/>
      <c r="Q241" s="15"/>
      <c r="R241" s="15"/>
    </row>
    <row r="242" spans="1:18" ht="14.25" customHeight="1">
      <c r="A242" s="5">
        <v>724</v>
      </c>
      <c r="B242" s="8" t="s">
        <v>18</v>
      </c>
      <c r="C242" s="7" t="s">
        <v>19</v>
      </c>
      <c r="D242" s="10" t="s">
        <v>16</v>
      </c>
      <c r="E242" s="10" t="s">
        <v>399</v>
      </c>
      <c r="F242" s="10" t="s">
        <v>259</v>
      </c>
      <c r="G242" s="10" t="s">
        <v>21</v>
      </c>
      <c r="H242" s="10" t="s">
        <v>21</v>
      </c>
      <c r="I242" s="10" t="s">
        <v>20</v>
      </c>
      <c r="J242" s="12" t="s">
        <v>215</v>
      </c>
      <c r="K242" s="12" t="s">
        <v>221</v>
      </c>
      <c r="L242" s="13">
        <v>45601.625</v>
      </c>
      <c r="M242" s="14">
        <v>45912.583333333299</v>
      </c>
      <c r="N242" s="15"/>
      <c r="O242" s="15"/>
      <c r="P242" s="15"/>
      <c r="Q242" s="15"/>
      <c r="R242" s="15"/>
    </row>
    <row r="243" spans="1:18" ht="14.25" customHeight="1">
      <c r="A243" s="5">
        <v>725</v>
      </c>
      <c r="B243" s="8" t="s">
        <v>753</v>
      </c>
      <c r="C243" s="7" t="s">
        <v>754</v>
      </c>
      <c r="D243" s="10" t="s">
        <v>16</v>
      </c>
      <c r="E243" s="10" t="s">
        <v>399</v>
      </c>
      <c r="F243" s="10" t="s">
        <v>259</v>
      </c>
      <c r="G243" s="10" t="s">
        <v>75</v>
      </c>
      <c r="H243" s="10" t="s">
        <v>75</v>
      </c>
      <c r="I243" s="10" t="s">
        <v>569</v>
      </c>
      <c r="J243" s="12" t="s">
        <v>284</v>
      </c>
      <c r="K243" s="12" t="s">
        <v>221</v>
      </c>
      <c r="L243" s="13">
        <v>45609.625</v>
      </c>
      <c r="M243" s="14">
        <v>45682.625</v>
      </c>
      <c r="N243" s="15"/>
      <c r="O243" s="15"/>
      <c r="P243" s="15"/>
      <c r="Q243" s="15"/>
      <c r="R243" s="15"/>
    </row>
    <row r="244" spans="1:18" ht="14.25" customHeight="1">
      <c r="A244" s="5">
        <v>726</v>
      </c>
      <c r="B244" s="8" t="s">
        <v>755</v>
      </c>
      <c r="C244" s="7" t="s">
        <v>756</v>
      </c>
      <c r="D244" s="10" t="s">
        <v>74</v>
      </c>
      <c r="E244" s="10" t="s">
        <v>202</v>
      </c>
      <c r="F244" s="10" t="s">
        <v>212</v>
      </c>
      <c r="G244" s="10" t="s">
        <v>108</v>
      </c>
      <c r="H244" s="10" t="s">
        <v>231</v>
      </c>
      <c r="I244" s="10" t="s">
        <v>58</v>
      </c>
      <c r="J244" s="12" t="s">
        <v>220</v>
      </c>
      <c r="K244" s="12" t="s">
        <v>208</v>
      </c>
      <c r="L244" s="13">
        <v>45597.583333333299</v>
      </c>
      <c r="M244" s="18"/>
      <c r="N244" s="15"/>
      <c r="O244" s="15"/>
      <c r="P244" s="15"/>
      <c r="Q244" s="15"/>
      <c r="R244" s="15"/>
    </row>
    <row r="245" spans="1:18" ht="14.25" customHeight="1">
      <c r="A245" s="5">
        <v>728</v>
      </c>
      <c r="B245" s="8" t="s">
        <v>757</v>
      </c>
      <c r="C245" s="7" t="s">
        <v>758</v>
      </c>
      <c r="D245" s="10" t="s">
        <v>74</v>
      </c>
      <c r="E245" s="10" t="s">
        <v>202</v>
      </c>
      <c r="F245" s="10" t="s">
        <v>212</v>
      </c>
      <c r="G245" s="10" t="s">
        <v>95</v>
      </c>
      <c r="H245" s="10" t="s">
        <v>231</v>
      </c>
      <c r="I245" s="10" t="s">
        <v>58</v>
      </c>
      <c r="J245" s="12" t="s">
        <v>215</v>
      </c>
      <c r="K245" s="12" t="s">
        <v>221</v>
      </c>
      <c r="L245" s="13">
        <v>45614.625</v>
      </c>
      <c r="M245" s="14">
        <v>45788.583333333299</v>
      </c>
      <c r="N245" s="15"/>
      <c r="O245" s="15"/>
      <c r="P245" s="15"/>
      <c r="Q245" s="15"/>
      <c r="R245" s="15"/>
    </row>
    <row r="246" spans="1:18" ht="14.25" customHeight="1">
      <c r="A246" s="5">
        <v>729</v>
      </c>
      <c r="B246" s="8" t="s">
        <v>759</v>
      </c>
      <c r="C246" s="7" t="s">
        <v>760</v>
      </c>
      <c r="D246" s="10" t="s">
        <v>74</v>
      </c>
      <c r="E246" s="10" t="s">
        <v>202</v>
      </c>
      <c r="F246" s="10" t="s">
        <v>212</v>
      </c>
      <c r="G246" s="10" t="s">
        <v>95</v>
      </c>
      <c r="H246" s="10" t="s">
        <v>231</v>
      </c>
      <c r="I246" s="10" t="s">
        <v>58</v>
      </c>
      <c r="J246" s="12" t="s">
        <v>284</v>
      </c>
      <c r="K246" s="12" t="s">
        <v>221</v>
      </c>
      <c r="L246" s="13">
        <v>45614.625</v>
      </c>
      <c r="M246" s="14">
        <v>45671.625</v>
      </c>
      <c r="N246" s="15"/>
      <c r="O246" s="15"/>
      <c r="P246" s="15"/>
      <c r="Q246" s="15"/>
      <c r="R246" s="15"/>
    </row>
    <row r="247" spans="1:18" ht="14.25" customHeight="1">
      <c r="A247" s="5">
        <v>730</v>
      </c>
      <c r="B247" s="8" t="s">
        <v>761</v>
      </c>
      <c r="C247" s="7" t="s">
        <v>762</v>
      </c>
      <c r="D247" s="10" t="s">
        <v>74</v>
      </c>
      <c r="E247" s="10" t="s">
        <v>202</v>
      </c>
      <c r="F247" s="10" t="s">
        <v>212</v>
      </c>
      <c r="G247" s="10" t="s">
        <v>95</v>
      </c>
      <c r="H247" s="10" t="s">
        <v>218</v>
      </c>
      <c r="I247" s="10" t="s">
        <v>107</v>
      </c>
      <c r="J247" s="12" t="s">
        <v>220</v>
      </c>
      <c r="K247" s="12" t="s">
        <v>221</v>
      </c>
      <c r="L247" s="13">
        <v>45614.625</v>
      </c>
      <c r="M247" s="18">
        <v>46032.625</v>
      </c>
      <c r="N247" s="15"/>
      <c r="O247" s="15"/>
      <c r="P247" s="15"/>
      <c r="Q247" s="15"/>
      <c r="R247" s="15"/>
    </row>
    <row r="248" spans="1:18" ht="14.25" customHeight="1">
      <c r="A248" s="5">
        <v>735</v>
      </c>
      <c r="B248" s="8" t="s">
        <v>763</v>
      </c>
      <c r="C248" s="7" t="s">
        <v>764</v>
      </c>
      <c r="D248" s="10" t="s">
        <v>74</v>
      </c>
      <c r="E248" s="10" t="s">
        <v>202</v>
      </c>
      <c r="F248" s="10" t="s">
        <v>212</v>
      </c>
      <c r="G248" s="10" t="s">
        <v>95</v>
      </c>
      <c r="H248" s="10" t="s">
        <v>266</v>
      </c>
      <c r="I248" s="10" t="s">
        <v>15</v>
      </c>
      <c r="J248" s="12" t="s">
        <v>284</v>
      </c>
      <c r="K248" s="12" t="s">
        <v>221</v>
      </c>
      <c r="L248" s="13">
        <v>45614.625</v>
      </c>
      <c r="M248" s="14">
        <v>45684.625</v>
      </c>
      <c r="N248" s="15"/>
      <c r="O248" s="15"/>
      <c r="P248" s="15"/>
      <c r="Q248" s="15"/>
      <c r="R248" s="15"/>
    </row>
    <row r="249" spans="1:18" ht="14.25" customHeight="1">
      <c r="A249" s="5">
        <v>737</v>
      </c>
      <c r="B249" s="8" t="s">
        <v>765</v>
      </c>
      <c r="C249" s="7" t="s">
        <v>766</v>
      </c>
      <c r="D249" s="10" t="s">
        <v>74</v>
      </c>
      <c r="E249" s="10" t="s">
        <v>202</v>
      </c>
      <c r="F249" s="10" t="s">
        <v>212</v>
      </c>
      <c r="G249" s="10" t="s">
        <v>125</v>
      </c>
      <c r="H249" s="10" t="s">
        <v>240</v>
      </c>
      <c r="I249" s="10" t="s">
        <v>107</v>
      </c>
      <c r="J249" s="12" t="s">
        <v>220</v>
      </c>
      <c r="K249" s="12" t="s">
        <v>221</v>
      </c>
      <c r="L249" s="13">
        <v>45622.625</v>
      </c>
      <c r="M249" s="14">
        <v>45888.583333333299</v>
      </c>
      <c r="N249" s="15"/>
      <c r="O249" s="15"/>
      <c r="P249" s="15"/>
      <c r="Q249" s="15"/>
      <c r="R249" s="15"/>
    </row>
    <row r="250" spans="1:18" ht="14.25" customHeight="1">
      <c r="A250" s="5">
        <v>738</v>
      </c>
      <c r="B250" s="8" t="s">
        <v>76</v>
      </c>
      <c r="C250" s="7" t="s">
        <v>77</v>
      </c>
      <c r="D250" s="10" t="s">
        <v>74</v>
      </c>
      <c r="E250" s="10" t="s">
        <v>78</v>
      </c>
      <c r="F250" s="10" t="s">
        <v>78</v>
      </c>
      <c r="G250" s="10" t="s">
        <v>78</v>
      </c>
      <c r="H250" s="10" t="s">
        <v>527</v>
      </c>
      <c r="I250" s="10" t="s">
        <v>51</v>
      </c>
      <c r="J250" s="12" t="s">
        <v>215</v>
      </c>
      <c r="K250" s="12" t="s">
        <v>208</v>
      </c>
      <c r="L250" s="13">
        <v>45624.625</v>
      </c>
      <c r="M250" s="14"/>
      <c r="N250" s="15"/>
      <c r="O250" s="15"/>
      <c r="P250" s="15"/>
      <c r="Q250" s="15"/>
      <c r="R250" s="15"/>
    </row>
    <row r="251" spans="1:18" ht="14.25" customHeight="1">
      <c r="A251" s="5">
        <v>739</v>
      </c>
      <c r="B251" s="8" t="s">
        <v>767</v>
      </c>
      <c r="C251" s="7" t="s">
        <v>768</v>
      </c>
      <c r="D251" s="10" t="s">
        <v>74</v>
      </c>
      <c r="E251" s="10" t="s">
        <v>201</v>
      </c>
      <c r="F251" s="10" t="s">
        <v>212</v>
      </c>
      <c r="G251" s="10" t="s">
        <v>136</v>
      </c>
      <c r="H251" s="10" t="s">
        <v>218</v>
      </c>
      <c r="I251" s="10" t="s">
        <v>61</v>
      </c>
      <c r="J251" s="12" t="s">
        <v>220</v>
      </c>
      <c r="K251" s="12" t="s">
        <v>221</v>
      </c>
      <c r="L251" s="13">
        <v>45622.625</v>
      </c>
      <c r="M251" s="14">
        <v>45666.625</v>
      </c>
      <c r="N251" s="15"/>
      <c r="O251" s="15"/>
      <c r="P251" s="15"/>
      <c r="Q251" s="15"/>
      <c r="R251" s="15"/>
    </row>
    <row r="252" spans="1:18" ht="14.25" customHeight="1">
      <c r="A252" s="5">
        <v>740</v>
      </c>
      <c r="B252" s="8" t="s">
        <v>769</v>
      </c>
      <c r="C252" s="7" t="s">
        <v>770</v>
      </c>
      <c r="D252" s="10" t="s">
        <v>74</v>
      </c>
      <c r="E252" s="10" t="s">
        <v>202</v>
      </c>
      <c r="F252" s="10" t="s">
        <v>212</v>
      </c>
      <c r="G252" s="10" t="s">
        <v>108</v>
      </c>
      <c r="H252" s="10" t="s">
        <v>266</v>
      </c>
      <c r="I252" s="10" t="s">
        <v>15</v>
      </c>
      <c r="J252" s="12" t="s">
        <v>215</v>
      </c>
      <c r="K252" s="12" t="s">
        <v>221</v>
      </c>
      <c r="L252" s="13">
        <v>45623.625</v>
      </c>
      <c r="M252" s="14">
        <v>46112.583333333299</v>
      </c>
      <c r="N252" s="15"/>
      <c r="O252" s="15"/>
      <c r="P252" s="15"/>
      <c r="Q252" s="15"/>
      <c r="R252" s="15"/>
    </row>
    <row r="253" spans="1:18" ht="14.25" customHeight="1">
      <c r="A253" s="5">
        <v>741</v>
      </c>
      <c r="B253" s="8" t="s">
        <v>771</v>
      </c>
      <c r="C253" s="7" t="s">
        <v>772</v>
      </c>
      <c r="D253" s="10" t="s">
        <v>74</v>
      </c>
      <c r="E253" s="10" t="s">
        <v>202</v>
      </c>
      <c r="F253" s="10" t="s">
        <v>212</v>
      </c>
      <c r="G253" s="10" t="s">
        <v>108</v>
      </c>
      <c r="H253" s="10" t="s">
        <v>218</v>
      </c>
      <c r="I253" s="10" t="s">
        <v>61</v>
      </c>
      <c r="J253" s="12" t="s">
        <v>220</v>
      </c>
      <c r="K253" s="12" t="s">
        <v>221</v>
      </c>
      <c r="L253" s="13">
        <v>45625.625</v>
      </c>
      <c r="M253" s="14">
        <v>45663.625</v>
      </c>
      <c r="N253" s="15"/>
      <c r="O253" s="15"/>
      <c r="P253" s="15"/>
      <c r="Q253" s="15"/>
      <c r="R253" s="15"/>
    </row>
    <row r="254" spans="1:18" ht="14.25" customHeight="1">
      <c r="A254" s="5">
        <v>743</v>
      </c>
      <c r="B254" s="8" t="s">
        <v>773</v>
      </c>
      <c r="C254" s="7" t="s">
        <v>774</v>
      </c>
      <c r="D254" s="10" t="s">
        <v>29</v>
      </c>
      <c r="E254" s="10" t="s">
        <v>203</v>
      </c>
      <c r="F254" s="10" t="s">
        <v>212</v>
      </c>
      <c r="G254" s="10" t="s">
        <v>30</v>
      </c>
      <c r="H254" s="10" t="s">
        <v>266</v>
      </c>
      <c r="I254" s="10" t="s">
        <v>15</v>
      </c>
      <c r="J254" s="12" t="s">
        <v>284</v>
      </c>
      <c r="K254" s="12" t="s">
        <v>221</v>
      </c>
      <c r="L254" s="13">
        <v>45628.625</v>
      </c>
      <c r="M254" s="14">
        <v>45698.625</v>
      </c>
      <c r="N254" s="15"/>
      <c r="O254" s="15"/>
      <c r="P254" s="15"/>
      <c r="Q254" s="15"/>
      <c r="R254" s="15"/>
    </row>
    <row r="255" spans="1:18" ht="14.25" customHeight="1">
      <c r="A255" s="5">
        <v>744</v>
      </c>
      <c r="B255" s="8" t="s">
        <v>775</v>
      </c>
      <c r="C255" s="7" t="s">
        <v>776</v>
      </c>
      <c r="D255" s="10" t="s">
        <v>16</v>
      </c>
      <c r="E255" s="10" t="s">
        <v>211</v>
      </c>
      <c r="F255" s="10" t="s">
        <v>259</v>
      </c>
      <c r="G255" s="10" t="s">
        <v>25</v>
      </c>
      <c r="H255" s="10" t="s">
        <v>25</v>
      </c>
      <c r="I255" s="10" t="s">
        <v>777</v>
      </c>
      <c r="J255" s="12" t="s">
        <v>215</v>
      </c>
      <c r="K255" s="12" t="s">
        <v>221</v>
      </c>
      <c r="L255" s="13">
        <v>45629.625</v>
      </c>
      <c r="M255" s="18">
        <v>46112.583333333299</v>
      </c>
      <c r="N255" s="15"/>
      <c r="O255" s="15"/>
      <c r="P255" s="15"/>
      <c r="Q255" s="15"/>
      <c r="R255" s="15"/>
    </row>
    <row r="256" spans="1:18" ht="14.25" customHeight="1">
      <c r="A256" s="5">
        <v>745</v>
      </c>
      <c r="B256" s="8" t="s">
        <v>778</v>
      </c>
      <c r="C256" s="7" t="s">
        <v>779</v>
      </c>
      <c r="D256" s="10" t="s">
        <v>29</v>
      </c>
      <c r="E256" s="10" t="s">
        <v>203</v>
      </c>
      <c r="F256" s="10" t="s">
        <v>259</v>
      </c>
      <c r="G256" s="10" t="s">
        <v>75</v>
      </c>
      <c r="H256" s="10" t="s">
        <v>75</v>
      </c>
      <c r="I256" s="10" t="s">
        <v>671</v>
      </c>
      <c r="J256" s="12" t="s">
        <v>215</v>
      </c>
      <c r="K256" s="12" t="s">
        <v>208</v>
      </c>
      <c r="L256" s="13">
        <v>45629.625</v>
      </c>
      <c r="M256" s="14"/>
      <c r="N256" s="15"/>
      <c r="O256" s="15"/>
      <c r="P256" s="15"/>
      <c r="Q256" s="15"/>
      <c r="R256" s="15"/>
    </row>
    <row r="257" spans="1:18" ht="14.25" customHeight="1">
      <c r="A257" s="5">
        <v>746</v>
      </c>
      <c r="B257" s="8" t="s">
        <v>780</v>
      </c>
      <c r="C257" s="7" t="s">
        <v>781</v>
      </c>
      <c r="D257" s="10" t="s">
        <v>74</v>
      </c>
      <c r="E257" s="10" t="s">
        <v>202</v>
      </c>
      <c r="F257" s="10" t="s">
        <v>212</v>
      </c>
      <c r="G257" s="10" t="s">
        <v>120</v>
      </c>
      <c r="H257" s="10" t="s">
        <v>266</v>
      </c>
      <c r="I257" s="10" t="s">
        <v>15</v>
      </c>
      <c r="J257" s="12" t="s">
        <v>215</v>
      </c>
      <c r="K257" s="12" t="s">
        <v>221</v>
      </c>
      <c r="L257" s="13">
        <v>45628.625</v>
      </c>
      <c r="M257" s="14">
        <v>45991.625</v>
      </c>
      <c r="N257" s="15"/>
      <c r="O257" s="15"/>
      <c r="P257" s="15"/>
      <c r="Q257" s="15"/>
      <c r="R257" s="15"/>
    </row>
    <row r="258" spans="1:18" ht="14.25" customHeight="1">
      <c r="A258" s="5">
        <v>747</v>
      </c>
      <c r="B258" s="8" t="s">
        <v>126</v>
      </c>
      <c r="C258" s="7" t="s">
        <v>127</v>
      </c>
      <c r="D258" s="10" t="s">
        <v>74</v>
      </c>
      <c r="E258" s="10" t="s">
        <v>78</v>
      </c>
      <c r="F258" s="10" t="s">
        <v>78</v>
      </c>
      <c r="G258" s="10" t="s">
        <v>78</v>
      </c>
      <c r="H258" s="10" t="s">
        <v>527</v>
      </c>
      <c r="I258" s="10" t="s">
        <v>128</v>
      </c>
      <c r="J258" s="12" t="s">
        <v>215</v>
      </c>
      <c r="K258" s="12" t="s">
        <v>221</v>
      </c>
      <c r="L258" s="13">
        <v>45628.625</v>
      </c>
      <c r="M258" s="14">
        <v>45907.583333333299</v>
      </c>
      <c r="N258" s="15"/>
      <c r="O258" s="15"/>
      <c r="P258" s="15"/>
      <c r="Q258" s="15"/>
      <c r="R258" s="15"/>
    </row>
    <row r="259" spans="1:18" ht="14.25" customHeight="1">
      <c r="A259" s="5">
        <v>749</v>
      </c>
      <c r="B259" s="8" t="s">
        <v>782</v>
      </c>
      <c r="C259" s="7" t="s">
        <v>783</v>
      </c>
      <c r="D259" s="10" t="s">
        <v>74</v>
      </c>
      <c r="E259" s="10" t="s">
        <v>202</v>
      </c>
      <c r="F259" s="10" t="s">
        <v>212</v>
      </c>
      <c r="G259" s="10" t="s">
        <v>95</v>
      </c>
      <c r="H259" s="10" t="s">
        <v>218</v>
      </c>
      <c r="I259" s="10" t="s">
        <v>61</v>
      </c>
      <c r="J259" s="12" t="s">
        <v>220</v>
      </c>
      <c r="K259" s="12" t="s">
        <v>221</v>
      </c>
      <c r="L259" s="13">
        <v>45635.625</v>
      </c>
      <c r="M259" s="18">
        <v>45778.583333333299</v>
      </c>
      <c r="N259" s="15"/>
      <c r="O259" s="15"/>
      <c r="P259" s="15"/>
      <c r="Q259" s="15"/>
      <c r="R259" s="15"/>
    </row>
    <row r="260" spans="1:18" ht="14.25" customHeight="1">
      <c r="A260" s="5">
        <v>751</v>
      </c>
      <c r="B260" s="8" t="s">
        <v>784</v>
      </c>
      <c r="C260" s="7" t="s">
        <v>785</v>
      </c>
      <c r="D260" s="10" t="s">
        <v>269</v>
      </c>
      <c r="E260" s="10" t="s">
        <v>270</v>
      </c>
      <c r="F260" s="10" t="s">
        <v>212</v>
      </c>
      <c r="G260" s="10" t="s">
        <v>271</v>
      </c>
      <c r="H260" s="10" t="s">
        <v>240</v>
      </c>
      <c r="I260" s="10" t="s">
        <v>107</v>
      </c>
      <c r="J260" s="12" t="s">
        <v>220</v>
      </c>
      <c r="K260" s="12" t="s">
        <v>221</v>
      </c>
      <c r="L260" s="13">
        <v>45636.625</v>
      </c>
      <c r="M260" s="14">
        <v>45836.583333333299</v>
      </c>
      <c r="N260" s="15"/>
      <c r="O260" s="15"/>
      <c r="P260" s="15"/>
      <c r="Q260" s="15"/>
      <c r="R260" s="15"/>
    </row>
    <row r="261" spans="1:18" ht="14.25" customHeight="1">
      <c r="A261" s="5">
        <v>752</v>
      </c>
      <c r="B261" s="8" t="s">
        <v>786</v>
      </c>
      <c r="C261" s="7" t="s">
        <v>787</v>
      </c>
      <c r="D261" s="10" t="s">
        <v>74</v>
      </c>
      <c r="E261" s="10" t="s">
        <v>78</v>
      </c>
      <c r="F261" s="10" t="s">
        <v>78</v>
      </c>
      <c r="G261" s="10" t="s">
        <v>78</v>
      </c>
      <c r="H261" s="10" t="s">
        <v>288</v>
      </c>
      <c r="I261" s="10" t="s">
        <v>85</v>
      </c>
      <c r="J261" s="12" t="s">
        <v>220</v>
      </c>
      <c r="K261" s="12" t="s">
        <v>221</v>
      </c>
      <c r="L261" s="13">
        <v>45635.625</v>
      </c>
      <c r="M261" s="14">
        <v>45708.625</v>
      </c>
      <c r="N261" s="15"/>
      <c r="O261" s="15"/>
      <c r="P261" s="15"/>
      <c r="Q261" s="15"/>
      <c r="R261" s="15"/>
    </row>
    <row r="262" spans="1:18" ht="14.25" customHeight="1">
      <c r="A262" s="5">
        <v>753</v>
      </c>
      <c r="B262" s="8" t="s">
        <v>788</v>
      </c>
      <c r="C262" s="7" t="s">
        <v>789</v>
      </c>
      <c r="D262" s="10" t="s">
        <v>74</v>
      </c>
      <c r="E262" s="10" t="s">
        <v>78</v>
      </c>
      <c r="F262" s="10" t="s">
        <v>78</v>
      </c>
      <c r="G262" s="10" t="s">
        <v>78</v>
      </c>
      <c r="H262" s="10" t="s">
        <v>288</v>
      </c>
      <c r="I262" s="10" t="s">
        <v>85</v>
      </c>
      <c r="J262" s="12" t="s">
        <v>220</v>
      </c>
      <c r="K262" s="12" t="s">
        <v>221</v>
      </c>
      <c r="L262" s="13">
        <v>45635.625</v>
      </c>
      <c r="M262" s="14">
        <v>45674.625</v>
      </c>
      <c r="N262" s="15"/>
      <c r="O262" s="15"/>
      <c r="P262" s="15"/>
      <c r="Q262" s="15"/>
      <c r="R262" s="15"/>
    </row>
    <row r="263" spans="1:18" ht="14.25" customHeight="1">
      <c r="A263" s="5">
        <v>754</v>
      </c>
      <c r="B263" s="8" t="s">
        <v>790</v>
      </c>
      <c r="C263" s="7" t="s">
        <v>791</v>
      </c>
      <c r="D263" s="10" t="s">
        <v>74</v>
      </c>
      <c r="E263" s="10" t="s">
        <v>202</v>
      </c>
      <c r="F263" s="10" t="s">
        <v>212</v>
      </c>
      <c r="G263" s="10" t="s">
        <v>125</v>
      </c>
      <c r="H263" s="10" t="s">
        <v>240</v>
      </c>
      <c r="I263" s="10" t="s">
        <v>107</v>
      </c>
      <c r="J263" s="12" t="s">
        <v>220</v>
      </c>
      <c r="K263" s="12" t="s">
        <v>221</v>
      </c>
      <c r="L263" s="13">
        <v>45635.625</v>
      </c>
      <c r="M263" s="14">
        <v>45674.625</v>
      </c>
      <c r="N263" s="15"/>
      <c r="O263" s="15"/>
      <c r="P263" s="15"/>
      <c r="Q263" s="15"/>
      <c r="R263" s="15"/>
    </row>
    <row r="264" spans="1:18" ht="14.25" customHeight="1">
      <c r="A264" s="5">
        <v>755</v>
      </c>
      <c r="B264" s="8" t="s">
        <v>792</v>
      </c>
      <c r="C264" s="7" t="s">
        <v>793</v>
      </c>
      <c r="D264" s="10" t="s">
        <v>29</v>
      </c>
      <c r="E264" s="10" t="s">
        <v>203</v>
      </c>
      <c r="F264" s="10" t="s">
        <v>212</v>
      </c>
      <c r="G264" s="10" t="s">
        <v>544</v>
      </c>
      <c r="H264" s="10" t="s">
        <v>240</v>
      </c>
      <c r="I264" s="10" t="s">
        <v>28</v>
      </c>
      <c r="J264" s="12" t="s">
        <v>220</v>
      </c>
      <c r="K264" s="12" t="s">
        <v>221</v>
      </c>
      <c r="L264" s="13">
        <v>45628.625</v>
      </c>
      <c r="M264" s="14">
        <v>45838.583333333299</v>
      </c>
      <c r="N264" s="15"/>
      <c r="O264" s="15"/>
      <c r="P264" s="15"/>
      <c r="Q264" s="15"/>
      <c r="R264" s="15"/>
    </row>
    <row r="265" spans="1:18" ht="14.25" customHeight="1">
      <c r="A265" s="5">
        <v>756</v>
      </c>
      <c r="B265" s="8" t="s">
        <v>794</v>
      </c>
      <c r="C265" s="7" t="s">
        <v>795</v>
      </c>
      <c r="D265" s="10" t="s">
        <v>74</v>
      </c>
      <c r="E265" s="10" t="s">
        <v>202</v>
      </c>
      <c r="F265" s="10" t="s">
        <v>212</v>
      </c>
      <c r="G265" s="10" t="s">
        <v>108</v>
      </c>
      <c r="H265" s="10" t="s">
        <v>240</v>
      </c>
      <c r="I265" s="10" t="s">
        <v>107</v>
      </c>
      <c r="J265" s="12" t="s">
        <v>220</v>
      </c>
      <c r="K265" s="12" t="s">
        <v>221</v>
      </c>
      <c r="L265" s="13">
        <v>45639.625</v>
      </c>
      <c r="M265" s="14">
        <v>46145.583333333299</v>
      </c>
      <c r="N265" s="15"/>
      <c r="O265" s="15"/>
      <c r="P265" s="15"/>
      <c r="Q265" s="15"/>
      <c r="R265" s="15"/>
    </row>
    <row r="266" spans="1:18" ht="14.25" customHeight="1">
      <c r="A266" s="5">
        <v>757</v>
      </c>
      <c r="B266" s="8" t="s">
        <v>796</v>
      </c>
      <c r="C266" s="7" t="s">
        <v>797</v>
      </c>
      <c r="D266" s="10" t="s">
        <v>74</v>
      </c>
      <c r="E266" s="10" t="s">
        <v>202</v>
      </c>
      <c r="F266" s="10" t="s">
        <v>212</v>
      </c>
      <c r="G266" s="10" t="s">
        <v>108</v>
      </c>
      <c r="H266" s="10" t="s">
        <v>218</v>
      </c>
      <c r="I266" s="10" t="s">
        <v>61</v>
      </c>
      <c r="J266" s="12" t="s">
        <v>220</v>
      </c>
      <c r="K266" s="12" t="s">
        <v>221</v>
      </c>
      <c r="L266" s="13">
        <v>45639.625</v>
      </c>
      <c r="M266" s="14">
        <v>45732.583333333299</v>
      </c>
      <c r="N266" s="15"/>
      <c r="O266" s="15"/>
      <c r="P266" s="15"/>
      <c r="Q266" s="15"/>
      <c r="R266" s="15"/>
    </row>
    <row r="267" spans="1:18" ht="14.25" customHeight="1">
      <c r="A267" s="5">
        <v>758</v>
      </c>
      <c r="B267" s="8" t="s">
        <v>114</v>
      </c>
      <c r="C267" s="7" t="s">
        <v>115</v>
      </c>
      <c r="D267" s="10" t="s">
        <v>74</v>
      </c>
      <c r="E267" s="10" t="s">
        <v>78</v>
      </c>
      <c r="F267" s="10" t="s">
        <v>78</v>
      </c>
      <c r="G267" s="10" t="s">
        <v>78</v>
      </c>
      <c r="H267" s="10" t="s">
        <v>527</v>
      </c>
      <c r="I267" s="10" t="s">
        <v>116</v>
      </c>
      <c r="J267" s="12" t="s">
        <v>215</v>
      </c>
      <c r="K267" s="12" t="s">
        <v>221</v>
      </c>
      <c r="L267" s="13">
        <v>45642.625</v>
      </c>
      <c r="M267" s="14">
        <v>45890.583333333299</v>
      </c>
      <c r="N267" s="15"/>
      <c r="O267" s="15"/>
      <c r="P267" s="15"/>
      <c r="Q267" s="15"/>
      <c r="R267" s="15"/>
    </row>
    <row r="268" spans="1:18" ht="14.25" customHeight="1">
      <c r="A268" s="5">
        <v>759</v>
      </c>
      <c r="B268" s="8" t="s">
        <v>798</v>
      </c>
      <c r="C268" s="7" t="s">
        <v>799</v>
      </c>
      <c r="D268" s="10" t="s">
        <v>74</v>
      </c>
      <c r="E268" s="10" t="s">
        <v>202</v>
      </c>
      <c r="F268" s="10" t="s">
        <v>212</v>
      </c>
      <c r="G268" s="10" t="s">
        <v>95</v>
      </c>
      <c r="H268" s="10" t="s">
        <v>218</v>
      </c>
      <c r="I268" s="10" t="s">
        <v>61</v>
      </c>
      <c r="J268" s="12" t="s">
        <v>220</v>
      </c>
      <c r="K268" s="12" t="s">
        <v>221</v>
      </c>
      <c r="L268" s="13">
        <v>45642.625</v>
      </c>
      <c r="M268" s="14">
        <v>45669.625</v>
      </c>
      <c r="N268" s="15"/>
      <c r="O268" s="15"/>
      <c r="P268" s="15"/>
      <c r="Q268" s="15"/>
      <c r="R268" s="15"/>
    </row>
    <row r="269" spans="1:18" ht="14.25" customHeight="1">
      <c r="A269" s="5">
        <v>760</v>
      </c>
      <c r="B269" s="8" t="s">
        <v>800</v>
      </c>
      <c r="C269" s="7" t="s">
        <v>801</v>
      </c>
      <c r="D269" s="10" t="s">
        <v>29</v>
      </c>
      <c r="E269" s="10" t="s">
        <v>203</v>
      </c>
      <c r="F269" s="10" t="s">
        <v>212</v>
      </c>
      <c r="G269" s="10" t="s">
        <v>30</v>
      </c>
      <c r="H269" s="20" t="s">
        <v>240</v>
      </c>
      <c r="I269" s="20" t="s">
        <v>28</v>
      </c>
      <c r="J269" s="12" t="s">
        <v>220</v>
      </c>
      <c r="K269" s="12" t="s">
        <v>221</v>
      </c>
      <c r="L269" s="13">
        <v>45642.625</v>
      </c>
      <c r="M269" s="18">
        <v>45697.625</v>
      </c>
      <c r="N269" s="15"/>
      <c r="O269" s="15"/>
      <c r="P269" s="15"/>
      <c r="Q269" s="15"/>
      <c r="R269" s="15"/>
    </row>
    <row r="270" spans="1:18" ht="14.25" customHeight="1">
      <c r="A270" s="5">
        <v>761</v>
      </c>
      <c r="B270" s="8" t="s">
        <v>26</v>
      </c>
      <c r="C270" s="7" t="s">
        <v>27</v>
      </c>
      <c r="D270" s="10" t="s">
        <v>29</v>
      </c>
      <c r="E270" s="10" t="s">
        <v>203</v>
      </c>
      <c r="F270" s="10" t="s">
        <v>212</v>
      </c>
      <c r="G270" s="10" t="s">
        <v>30</v>
      </c>
      <c r="H270" s="10" t="s">
        <v>240</v>
      </c>
      <c r="I270" s="10" t="s">
        <v>28</v>
      </c>
      <c r="J270" s="12" t="s">
        <v>215</v>
      </c>
      <c r="K270" s="12" t="s">
        <v>221</v>
      </c>
      <c r="L270" s="13">
        <v>45642.625</v>
      </c>
      <c r="M270" s="14">
        <v>45900.583333333299</v>
      </c>
      <c r="N270" s="15"/>
      <c r="O270" s="15"/>
      <c r="P270" s="15"/>
      <c r="Q270" s="15"/>
      <c r="R270" s="15"/>
    </row>
    <row r="271" spans="1:18" ht="14.25" customHeight="1">
      <c r="A271" s="5">
        <v>762</v>
      </c>
      <c r="B271" s="8" t="s">
        <v>802</v>
      </c>
      <c r="C271" s="7" t="s">
        <v>803</v>
      </c>
      <c r="D271" s="10" t="s">
        <v>29</v>
      </c>
      <c r="E271" s="10" t="s">
        <v>203</v>
      </c>
      <c r="F271" s="10" t="s">
        <v>212</v>
      </c>
      <c r="G271" s="10" t="s">
        <v>544</v>
      </c>
      <c r="H271" s="10" t="s">
        <v>240</v>
      </c>
      <c r="I271" s="10" t="s">
        <v>28</v>
      </c>
      <c r="J271" s="12" t="s">
        <v>284</v>
      </c>
      <c r="K271" s="12" t="s">
        <v>221</v>
      </c>
      <c r="L271" s="13">
        <v>45642.625</v>
      </c>
      <c r="M271" s="14">
        <v>45662.625</v>
      </c>
      <c r="N271" s="15"/>
      <c r="O271" s="15"/>
      <c r="P271" s="15"/>
      <c r="Q271" s="15"/>
      <c r="R271" s="15"/>
    </row>
    <row r="272" spans="1:18" ht="14.25" customHeight="1">
      <c r="A272" s="5">
        <v>763</v>
      </c>
      <c r="B272" s="8" t="s">
        <v>804</v>
      </c>
      <c r="C272" s="7" t="s">
        <v>805</v>
      </c>
      <c r="D272" s="10" t="s">
        <v>74</v>
      </c>
      <c r="E272" s="10" t="s">
        <v>78</v>
      </c>
      <c r="F272" s="10" t="s">
        <v>78</v>
      </c>
      <c r="G272" s="10" t="s">
        <v>78</v>
      </c>
      <c r="H272" s="10" t="s">
        <v>288</v>
      </c>
      <c r="I272" s="10" t="s">
        <v>85</v>
      </c>
      <c r="J272" s="12" t="s">
        <v>220</v>
      </c>
      <c r="K272" s="12" t="s">
        <v>221</v>
      </c>
      <c r="L272" s="13">
        <v>45641.625</v>
      </c>
      <c r="M272" s="14">
        <v>45700.625</v>
      </c>
      <c r="N272" s="15"/>
      <c r="O272" s="15"/>
      <c r="P272" s="15"/>
      <c r="Q272" s="15"/>
      <c r="R272" s="15"/>
    </row>
    <row r="273" spans="1:18" ht="14.25" customHeight="1">
      <c r="A273" s="5">
        <v>764</v>
      </c>
      <c r="B273" s="8" t="s">
        <v>806</v>
      </c>
      <c r="C273" s="7" t="s">
        <v>807</v>
      </c>
      <c r="D273" s="10" t="s">
        <v>29</v>
      </c>
      <c r="E273" s="10" t="s">
        <v>203</v>
      </c>
      <c r="F273" s="10" t="s">
        <v>212</v>
      </c>
      <c r="G273" s="10" t="s">
        <v>30</v>
      </c>
      <c r="H273" s="10" t="s">
        <v>240</v>
      </c>
      <c r="I273" s="10" t="s">
        <v>28</v>
      </c>
      <c r="J273" s="12" t="s">
        <v>215</v>
      </c>
      <c r="K273" s="12" t="s">
        <v>221</v>
      </c>
      <c r="L273" s="13">
        <v>45642.625</v>
      </c>
      <c r="M273" s="14">
        <v>45778.583333333299</v>
      </c>
      <c r="N273" s="15"/>
      <c r="O273" s="15"/>
      <c r="P273" s="15"/>
      <c r="Q273" s="15"/>
      <c r="R273" s="15"/>
    </row>
    <row r="274" spans="1:18" ht="14.25" customHeight="1">
      <c r="A274" s="5">
        <v>765</v>
      </c>
      <c r="B274" s="8" t="s">
        <v>808</v>
      </c>
      <c r="C274" s="7" t="s">
        <v>809</v>
      </c>
      <c r="D274" s="10" t="s">
        <v>74</v>
      </c>
      <c r="E274" s="10" t="s">
        <v>78</v>
      </c>
      <c r="F274" s="10" t="s">
        <v>78</v>
      </c>
      <c r="G274" s="10" t="s">
        <v>78</v>
      </c>
      <c r="H274" s="10" t="s">
        <v>527</v>
      </c>
      <c r="I274" s="10" t="s">
        <v>113</v>
      </c>
      <c r="J274" s="12" t="s">
        <v>215</v>
      </c>
      <c r="K274" s="12" t="s">
        <v>221</v>
      </c>
      <c r="L274" s="13">
        <v>45649.625</v>
      </c>
      <c r="M274" s="14">
        <v>46118.583333333299</v>
      </c>
      <c r="N274" s="15"/>
      <c r="O274" s="15"/>
      <c r="P274" s="15"/>
      <c r="Q274" s="15"/>
      <c r="R274" s="15"/>
    </row>
    <row r="275" spans="1:18" ht="14.25" customHeight="1">
      <c r="A275" s="5">
        <v>766</v>
      </c>
      <c r="B275" s="8" t="s">
        <v>810</v>
      </c>
      <c r="C275" s="7" t="s">
        <v>811</v>
      </c>
      <c r="D275" s="10" t="s">
        <v>74</v>
      </c>
      <c r="E275" s="10" t="s">
        <v>202</v>
      </c>
      <c r="F275" s="10" t="s">
        <v>212</v>
      </c>
      <c r="G275" s="10" t="s">
        <v>108</v>
      </c>
      <c r="H275" s="10" t="s">
        <v>218</v>
      </c>
      <c r="I275" s="10" t="s">
        <v>61</v>
      </c>
      <c r="J275" s="12" t="s">
        <v>220</v>
      </c>
      <c r="K275" s="12" t="s">
        <v>208</v>
      </c>
      <c r="L275" s="13">
        <v>45644.625</v>
      </c>
      <c r="M275" s="14"/>
      <c r="N275" s="15"/>
      <c r="O275" s="15"/>
      <c r="P275" s="15"/>
      <c r="Q275" s="15"/>
      <c r="R275" s="15"/>
    </row>
    <row r="276" spans="1:18" ht="14.25" customHeight="1">
      <c r="A276" s="5">
        <v>768</v>
      </c>
      <c r="B276" s="8" t="s">
        <v>812</v>
      </c>
      <c r="C276" s="7" t="s">
        <v>813</v>
      </c>
      <c r="D276" s="10" t="s">
        <v>74</v>
      </c>
      <c r="E276" s="10" t="s">
        <v>202</v>
      </c>
      <c r="F276" s="10" t="s">
        <v>212</v>
      </c>
      <c r="G276" s="10" t="s">
        <v>95</v>
      </c>
      <c r="H276" s="10" t="s">
        <v>218</v>
      </c>
      <c r="I276" s="10" t="s">
        <v>61</v>
      </c>
      <c r="J276" s="12" t="s">
        <v>220</v>
      </c>
      <c r="K276" s="12" t="s">
        <v>221</v>
      </c>
      <c r="L276" s="13">
        <v>45649.625</v>
      </c>
      <c r="M276" s="14">
        <v>45688.625</v>
      </c>
      <c r="N276" s="15"/>
      <c r="O276" s="15"/>
      <c r="P276" s="15"/>
      <c r="Q276" s="15"/>
      <c r="R276" s="15"/>
    </row>
    <row r="277" spans="1:18" ht="14.25" customHeight="1">
      <c r="A277" s="5">
        <v>769</v>
      </c>
      <c r="B277" s="8" t="s">
        <v>814</v>
      </c>
      <c r="C277" s="7" t="s">
        <v>815</v>
      </c>
      <c r="D277" s="10" t="s">
        <v>269</v>
      </c>
      <c r="E277" s="10" t="s">
        <v>270</v>
      </c>
      <c r="F277" s="10" t="s">
        <v>212</v>
      </c>
      <c r="G277" s="10" t="s">
        <v>271</v>
      </c>
      <c r="H277" s="10" t="s">
        <v>218</v>
      </c>
      <c r="I277" s="10" t="s">
        <v>61</v>
      </c>
      <c r="J277" s="12" t="s">
        <v>220</v>
      </c>
      <c r="K277" s="12" t="s">
        <v>221</v>
      </c>
      <c r="L277" s="13">
        <v>45650.625</v>
      </c>
      <c r="M277" s="18">
        <v>45708.625</v>
      </c>
      <c r="N277" s="15"/>
      <c r="O277" s="15"/>
      <c r="P277" s="15"/>
      <c r="Q277" s="15"/>
      <c r="R277" s="15"/>
    </row>
    <row r="278" spans="1:18" ht="14.25" customHeight="1">
      <c r="A278" s="5">
        <v>770</v>
      </c>
      <c r="B278" s="8" t="s">
        <v>816</v>
      </c>
      <c r="C278" s="7" t="s">
        <v>817</v>
      </c>
      <c r="D278" s="10" t="s">
        <v>29</v>
      </c>
      <c r="E278" s="10" t="s">
        <v>203</v>
      </c>
      <c r="F278" s="10" t="s">
        <v>212</v>
      </c>
      <c r="G278" s="10" t="s">
        <v>30</v>
      </c>
      <c r="H278" s="10" t="s">
        <v>240</v>
      </c>
      <c r="I278" s="10" t="s">
        <v>28</v>
      </c>
      <c r="J278" s="12" t="s">
        <v>220</v>
      </c>
      <c r="K278" s="12" t="s">
        <v>221</v>
      </c>
      <c r="L278" s="13">
        <v>45645.625</v>
      </c>
      <c r="M278" s="18">
        <v>45808.583333333299</v>
      </c>
      <c r="N278" s="15"/>
      <c r="O278" s="15"/>
      <c r="P278" s="15"/>
      <c r="Q278" s="15"/>
      <c r="R278" s="15"/>
    </row>
    <row r="279" spans="1:18" ht="14.25" customHeight="1">
      <c r="A279" s="5">
        <v>771</v>
      </c>
      <c r="B279" s="8" t="s">
        <v>818</v>
      </c>
      <c r="C279" s="7" t="s">
        <v>819</v>
      </c>
      <c r="D279" s="10" t="s">
        <v>74</v>
      </c>
      <c r="E279" s="10" t="s">
        <v>202</v>
      </c>
      <c r="F279" s="10" t="s">
        <v>212</v>
      </c>
      <c r="G279" s="10" t="s">
        <v>95</v>
      </c>
      <c r="H279" s="10" t="s">
        <v>218</v>
      </c>
      <c r="I279" s="10" t="s">
        <v>61</v>
      </c>
      <c r="J279" s="12" t="s">
        <v>220</v>
      </c>
      <c r="K279" s="12" t="s">
        <v>221</v>
      </c>
      <c r="L279" s="13">
        <v>45644.625</v>
      </c>
      <c r="M279" s="18">
        <v>45778.583333333299</v>
      </c>
      <c r="N279" s="15"/>
      <c r="O279" s="15"/>
      <c r="P279" s="15"/>
      <c r="Q279" s="15"/>
      <c r="R279" s="15"/>
    </row>
    <row r="280" spans="1:18" ht="14.25" customHeight="1">
      <c r="A280" s="5">
        <v>772</v>
      </c>
      <c r="B280" s="8" t="s">
        <v>820</v>
      </c>
      <c r="C280" s="7" t="s">
        <v>821</v>
      </c>
      <c r="D280" s="10" t="s">
        <v>74</v>
      </c>
      <c r="E280" s="10" t="s">
        <v>202</v>
      </c>
      <c r="F280" s="10" t="s">
        <v>212</v>
      </c>
      <c r="G280" s="10" t="s">
        <v>108</v>
      </c>
      <c r="H280" s="10" t="s">
        <v>218</v>
      </c>
      <c r="I280" s="10" t="s">
        <v>61</v>
      </c>
      <c r="J280" s="12" t="s">
        <v>220</v>
      </c>
      <c r="K280" s="12" t="s">
        <v>221</v>
      </c>
      <c r="L280" s="13">
        <v>45644.625</v>
      </c>
      <c r="M280" s="14">
        <v>45658.625</v>
      </c>
      <c r="N280" s="15"/>
      <c r="O280" s="15"/>
      <c r="P280" s="15"/>
      <c r="Q280" s="15"/>
      <c r="R280" s="15"/>
    </row>
    <row r="281" spans="1:18" ht="14.25" customHeight="1">
      <c r="A281" s="5">
        <v>773</v>
      </c>
      <c r="B281" s="8" t="s">
        <v>822</v>
      </c>
      <c r="C281" s="7" t="s">
        <v>823</v>
      </c>
      <c r="D281" s="10" t="s">
        <v>74</v>
      </c>
      <c r="E281" s="10" t="s">
        <v>202</v>
      </c>
      <c r="F281" s="10" t="s">
        <v>212</v>
      </c>
      <c r="G281" s="10" t="s">
        <v>108</v>
      </c>
      <c r="H281" s="10" t="s">
        <v>240</v>
      </c>
      <c r="I281" s="10" t="s">
        <v>107</v>
      </c>
      <c r="J281" s="12" t="s">
        <v>220</v>
      </c>
      <c r="K281" s="12" t="s">
        <v>221</v>
      </c>
      <c r="L281" s="13">
        <v>45651.625</v>
      </c>
      <c r="M281" s="14">
        <v>45762.583333333299</v>
      </c>
      <c r="N281" s="15"/>
      <c r="O281" s="15"/>
      <c r="P281" s="15"/>
      <c r="Q281" s="15"/>
      <c r="R281" s="15"/>
    </row>
    <row r="282" spans="1:18" ht="14.25" customHeight="1">
      <c r="A282" s="5">
        <v>774</v>
      </c>
      <c r="B282" s="8" t="s">
        <v>22</v>
      </c>
      <c r="C282" s="7" t="s">
        <v>23</v>
      </c>
      <c r="D282" s="10" t="s">
        <v>16</v>
      </c>
      <c r="E282" s="10" t="s">
        <v>211</v>
      </c>
      <c r="F282" s="10" t="s">
        <v>259</v>
      </c>
      <c r="G282" s="10" t="s">
        <v>25</v>
      </c>
      <c r="H282" s="10" t="s">
        <v>25</v>
      </c>
      <c r="I282" s="10" t="s">
        <v>24</v>
      </c>
      <c r="J282" s="12" t="s">
        <v>215</v>
      </c>
      <c r="K282" s="12" t="s">
        <v>221</v>
      </c>
      <c r="L282" s="13">
        <v>45656.625</v>
      </c>
      <c r="M282" s="14">
        <v>45884.583333333299</v>
      </c>
      <c r="N282" s="15"/>
      <c r="O282" s="15"/>
      <c r="P282" s="15"/>
      <c r="Q282" s="15"/>
      <c r="R282" s="15"/>
    </row>
    <row r="283" spans="1:18" ht="14.25" customHeight="1">
      <c r="A283" s="5">
        <v>775</v>
      </c>
      <c r="B283" s="8" t="s">
        <v>824</v>
      </c>
      <c r="C283" s="7" t="s">
        <v>825</v>
      </c>
      <c r="D283" s="10" t="s">
        <v>16</v>
      </c>
      <c r="E283" s="10" t="s">
        <v>211</v>
      </c>
      <c r="F283" s="10" t="s">
        <v>259</v>
      </c>
      <c r="G283" s="10" t="s">
        <v>75</v>
      </c>
      <c r="H283" s="10" t="s">
        <v>75</v>
      </c>
      <c r="I283" s="10" t="s">
        <v>595</v>
      </c>
      <c r="J283" s="12" t="s">
        <v>215</v>
      </c>
      <c r="K283" s="12" t="s">
        <v>208</v>
      </c>
      <c r="L283" s="13">
        <v>45656.625</v>
      </c>
      <c r="M283" s="14"/>
      <c r="N283" s="15"/>
      <c r="O283" s="15"/>
      <c r="P283" s="15"/>
      <c r="Q283" s="15"/>
      <c r="R283" s="15"/>
    </row>
    <row r="284" spans="1:18" ht="14.25" customHeight="1">
      <c r="A284" s="5">
        <v>776</v>
      </c>
      <c r="B284" s="8" t="s">
        <v>826</v>
      </c>
      <c r="C284" s="7" t="s">
        <v>827</v>
      </c>
      <c r="D284" s="10" t="s">
        <v>29</v>
      </c>
      <c r="E284" s="10" t="s">
        <v>203</v>
      </c>
      <c r="F284" s="10" t="s">
        <v>212</v>
      </c>
      <c r="G284" s="10" t="s">
        <v>30</v>
      </c>
      <c r="H284" s="10" t="s">
        <v>240</v>
      </c>
      <c r="I284" s="10" t="s">
        <v>28</v>
      </c>
      <c r="J284" s="12" t="s">
        <v>284</v>
      </c>
      <c r="K284" s="12" t="s">
        <v>221</v>
      </c>
      <c r="L284" s="13">
        <v>45646.625</v>
      </c>
      <c r="M284" s="14">
        <v>45670.625</v>
      </c>
      <c r="N284" s="15"/>
      <c r="O284" s="15"/>
      <c r="P284" s="15"/>
      <c r="Q284" s="15"/>
      <c r="R284" s="15"/>
    </row>
    <row r="285" spans="1:18" ht="14.25" customHeight="1">
      <c r="A285" s="5">
        <v>777</v>
      </c>
      <c r="B285" s="8" t="s">
        <v>828</v>
      </c>
      <c r="C285" s="7" t="s">
        <v>829</v>
      </c>
      <c r="D285" s="10" t="s">
        <v>29</v>
      </c>
      <c r="E285" s="10" t="s">
        <v>203</v>
      </c>
      <c r="F285" s="10" t="s">
        <v>212</v>
      </c>
      <c r="G285" s="10" t="s">
        <v>30</v>
      </c>
      <c r="H285" s="10" t="s">
        <v>240</v>
      </c>
      <c r="I285" s="10" t="s">
        <v>28</v>
      </c>
      <c r="J285" s="12" t="s">
        <v>220</v>
      </c>
      <c r="K285" s="12" t="s">
        <v>221</v>
      </c>
      <c r="L285" s="13">
        <v>45644.625</v>
      </c>
      <c r="M285" s="14">
        <v>45968.625</v>
      </c>
      <c r="N285" s="15"/>
      <c r="O285" s="15"/>
      <c r="P285" s="15"/>
      <c r="Q285" s="15"/>
      <c r="R285" s="15"/>
    </row>
    <row r="286" spans="1:18" ht="14.25" customHeight="1">
      <c r="A286" s="5">
        <v>779</v>
      </c>
      <c r="B286" s="8" t="s">
        <v>199</v>
      </c>
      <c r="C286" s="7" t="s">
        <v>200</v>
      </c>
      <c r="D286" s="10" t="s">
        <v>29</v>
      </c>
      <c r="E286" s="10" t="s">
        <v>203</v>
      </c>
      <c r="F286" s="10" t="s">
        <v>212</v>
      </c>
      <c r="G286" s="10" t="s">
        <v>544</v>
      </c>
      <c r="H286" s="10" t="s">
        <v>240</v>
      </c>
      <c r="I286" s="10" t="s">
        <v>28</v>
      </c>
      <c r="J286" s="12" t="s">
        <v>215</v>
      </c>
      <c r="K286" s="12" t="s">
        <v>221</v>
      </c>
      <c r="L286" s="13">
        <v>45656.625</v>
      </c>
      <c r="M286" s="14">
        <v>45940.583333333299</v>
      </c>
      <c r="N286" s="15"/>
      <c r="O286" s="15"/>
      <c r="P286" s="15"/>
      <c r="Q286" s="15"/>
      <c r="R286" s="15"/>
    </row>
    <row r="287" spans="1:18" ht="14.25" customHeight="1">
      <c r="A287" s="5">
        <v>780</v>
      </c>
      <c r="B287" s="8" t="s">
        <v>830</v>
      </c>
      <c r="C287" s="7" t="s">
        <v>831</v>
      </c>
      <c r="D287" s="10" t="s">
        <v>74</v>
      </c>
      <c r="E287" s="10" t="s">
        <v>202</v>
      </c>
      <c r="F287" s="10" t="s">
        <v>212</v>
      </c>
      <c r="G287" s="10" t="s">
        <v>95</v>
      </c>
      <c r="H287" s="10" t="s">
        <v>218</v>
      </c>
      <c r="I287" s="10" t="s">
        <v>61</v>
      </c>
      <c r="J287" s="12" t="s">
        <v>220</v>
      </c>
      <c r="K287" s="12" t="s">
        <v>221</v>
      </c>
      <c r="L287" s="13">
        <v>45659.625</v>
      </c>
      <c r="M287" s="18">
        <v>45697.625</v>
      </c>
      <c r="N287" s="15"/>
      <c r="O287" s="15"/>
      <c r="P287" s="15"/>
      <c r="Q287" s="15"/>
      <c r="R287" s="15"/>
    </row>
    <row r="288" spans="1:18" ht="14.25" customHeight="1">
      <c r="A288" s="5">
        <v>781</v>
      </c>
      <c r="B288" s="8" t="s">
        <v>832</v>
      </c>
      <c r="C288" s="7" t="s">
        <v>833</v>
      </c>
      <c r="D288" s="10" t="s">
        <v>74</v>
      </c>
      <c r="E288" s="10" t="s">
        <v>202</v>
      </c>
      <c r="F288" s="10" t="s">
        <v>259</v>
      </c>
      <c r="G288" s="10" t="s">
        <v>75</v>
      </c>
      <c r="H288" s="10" t="s">
        <v>75</v>
      </c>
      <c r="I288" s="10" t="s">
        <v>834</v>
      </c>
      <c r="J288" s="12" t="s">
        <v>471</v>
      </c>
      <c r="K288" s="12" t="s">
        <v>208</v>
      </c>
      <c r="L288" s="13">
        <v>45658.625</v>
      </c>
      <c r="M288" s="14"/>
      <c r="N288" s="15"/>
      <c r="O288" s="15"/>
      <c r="P288" s="15"/>
      <c r="Q288" s="15"/>
      <c r="R288" s="15"/>
    </row>
    <row r="289" spans="1:18" ht="14.25" customHeight="1">
      <c r="A289" s="5">
        <v>782</v>
      </c>
      <c r="B289" s="8" t="s">
        <v>835</v>
      </c>
      <c r="C289" s="7" t="s">
        <v>836</v>
      </c>
      <c r="D289" s="10" t="s">
        <v>74</v>
      </c>
      <c r="E289" s="10" t="s">
        <v>202</v>
      </c>
      <c r="F289" s="10" t="s">
        <v>212</v>
      </c>
      <c r="G289" s="10" t="s">
        <v>95</v>
      </c>
      <c r="H289" s="10" t="s">
        <v>240</v>
      </c>
      <c r="I289" s="10" t="s">
        <v>107</v>
      </c>
      <c r="J289" s="12" t="s">
        <v>220</v>
      </c>
      <c r="K289" s="12" t="s">
        <v>221</v>
      </c>
      <c r="L289" s="13">
        <v>45659.625</v>
      </c>
      <c r="M289" s="14">
        <v>45960.583333333299</v>
      </c>
      <c r="N289" s="15"/>
      <c r="O289" s="15"/>
      <c r="P289" s="15"/>
      <c r="Q289" s="15"/>
      <c r="R289" s="15"/>
    </row>
    <row r="290" spans="1:18" ht="14.25" customHeight="1">
      <c r="A290" s="5">
        <v>783</v>
      </c>
      <c r="B290" s="8" t="s">
        <v>837</v>
      </c>
      <c r="C290" s="7" t="s">
        <v>838</v>
      </c>
      <c r="D290" s="10" t="s">
        <v>74</v>
      </c>
      <c r="E290" s="10" t="s">
        <v>202</v>
      </c>
      <c r="F290" s="10" t="s">
        <v>212</v>
      </c>
      <c r="G290" s="10" t="s">
        <v>95</v>
      </c>
      <c r="H290" s="10" t="s">
        <v>240</v>
      </c>
      <c r="I290" s="10" t="s">
        <v>839</v>
      </c>
      <c r="J290" s="12" t="s">
        <v>220</v>
      </c>
      <c r="K290" s="12" t="s">
        <v>221</v>
      </c>
      <c r="L290" s="13">
        <v>45660.625</v>
      </c>
      <c r="M290" s="14">
        <v>45660.625</v>
      </c>
      <c r="N290" s="15"/>
      <c r="O290" s="15"/>
      <c r="P290" s="15"/>
      <c r="Q290" s="15"/>
      <c r="R290" s="15"/>
    </row>
    <row r="291" spans="1:18" ht="14.25" customHeight="1">
      <c r="A291" s="5">
        <v>784</v>
      </c>
      <c r="B291" s="8" t="s">
        <v>840</v>
      </c>
      <c r="C291" s="7" t="s">
        <v>841</v>
      </c>
      <c r="D291" s="10" t="s">
        <v>16</v>
      </c>
      <c r="E291" s="10" t="s">
        <v>211</v>
      </c>
      <c r="F291" s="10" t="s">
        <v>212</v>
      </c>
      <c r="G291" s="10" t="s">
        <v>120</v>
      </c>
      <c r="H291" s="10" t="s">
        <v>240</v>
      </c>
      <c r="I291" s="10" t="s">
        <v>107</v>
      </c>
      <c r="J291" s="12" t="s">
        <v>220</v>
      </c>
      <c r="K291" s="12" t="s">
        <v>221</v>
      </c>
      <c r="L291" s="13">
        <v>45661.625</v>
      </c>
      <c r="M291" s="21">
        <v>45693.625</v>
      </c>
      <c r="N291" s="15"/>
      <c r="O291" s="15"/>
      <c r="P291" s="15"/>
      <c r="Q291" s="15"/>
      <c r="R291" s="15"/>
    </row>
    <row r="292" spans="1:18" ht="14.25" customHeight="1">
      <c r="A292" s="5">
        <v>785</v>
      </c>
      <c r="B292" s="8" t="s">
        <v>842</v>
      </c>
      <c r="C292" s="7" t="s">
        <v>843</v>
      </c>
      <c r="D292" s="10" t="s">
        <v>29</v>
      </c>
      <c r="E292" s="10" t="s">
        <v>203</v>
      </c>
      <c r="F292" s="10" t="s">
        <v>212</v>
      </c>
      <c r="G292" s="10" t="s">
        <v>544</v>
      </c>
      <c r="H292" s="10" t="s">
        <v>240</v>
      </c>
      <c r="I292" s="10" t="s">
        <v>28</v>
      </c>
      <c r="J292" s="12" t="s">
        <v>220</v>
      </c>
      <c r="K292" s="12" t="s">
        <v>221</v>
      </c>
      <c r="L292" s="13">
        <v>45664.625</v>
      </c>
      <c r="M292" s="14">
        <v>45998.625</v>
      </c>
      <c r="N292" s="15"/>
      <c r="O292" s="15"/>
      <c r="P292" s="15"/>
      <c r="Q292" s="15"/>
      <c r="R292" s="15"/>
    </row>
    <row r="293" spans="1:18" ht="14.25" customHeight="1">
      <c r="A293" s="5">
        <v>786</v>
      </c>
      <c r="B293" s="8" t="s">
        <v>844</v>
      </c>
      <c r="C293" s="7" t="s">
        <v>845</v>
      </c>
      <c r="D293" s="10" t="s">
        <v>74</v>
      </c>
      <c r="E293" s="10" t="s">
        <v>202</v>
      </c>
      <c r="F293" s="10" t="s">
        <v>212</v>
      </c>
      <c r="G293" s="10" t="s">
        <v>108</v>
      </c>
      <c r="H293" s="10" t="s">
        <v>240</v>
      </c>
      <c r="I293" s="10" t="s">
        <v>107</v>
      </c>
      <c r="J293" s="12" t="s">
        <v>220</v>
      </c>
      <c r="K293" s="12" t="s">
        <v>221</v>
      </c>
      <c r="L293" s="13">
        <v>45659.625</v>
      </c>
      <c r="M293" s="18">
        <v>45731.583333333299</v>
      </c>
      <c r="N293" s="15"/>
      <c r="O293" s="15"/>
      <c r="P293" s="15"/>
      <c r="Q293" s="15"/>
      <c r="R293" s="15"/>
    </row>
    <row r="294" spans="1:18" ht="14.25" customHeight="1">
      <c r="A294" s="5">
        <v>787</v>
      </c>
      <c r="B294" s="8" t="s">
        <v>846</v>
      </c>
      <c r="C294" s="7" t="s">
        <v>847</v>
      </c>
      <c r="D294" s="10" t="s">
        <v>16</v>
      </c>
      <c r="E294" s="10" t="s">
        <v>211</v>
      </c>
      <c r="F294" s="10" t="s">
        <v>212</v>
      </c>
      <c r="G294" s="10" t="s">
        <v>17</v>
      </c>
      <c r="H294" s="10" t="s">
        <v>218</v>
      </c>
      <c r="I294" s="10" t="s">
        <v>61</v>
      </c>
      <c r="J294" s="12" t="s">
        <v>220</v>
      </c>
      <c r="K294" s="12" t="s">
        <v>221</v>
      </c>
      <c r="L294" s="13">
        <v>45665.625</v>
      </c>
      <c r="M294" s="18">
        <v>45792.583333333299</v>
      </c>
      <c r="N294" s="15"/>
      <c r="O294" s="15"/>
      <c r="P294" s="15"/>
      <c r="Q294" s="15"/>
      <c r="R294" s="15"/>
    </row>
    <row r="295" spans="1:18" ht="14.25" customHeight="1">
      <c r="A295" s="5">
        <v>788</v>
      </c>
      <c r="B295" s="8" t="s">
        <v>848</v>
      </c>
      <c r="C295" s="7" t="s">
        <v>849</v>
      </c>
      <c r="D295" s="10" t="s">
        <v>74</v>
      </c>
      <c r="E295" s="10" t="s">
        <v>202</v>
      </c>
      <c r="F295" s="10" t="s">
        <v>212</v>
      </c>
      <c r="G295" s="10" t="s">
        <v>95</v>
      </c>
      <c r="H295" s="10" t="s">
        <v>240</v>
      </c>
      <c r="I295" s="10" t="s">
        <v>107</v>
      </c>
      <c r="J295" s="12" t="s">
        <v>220</v>
      </c>
      <c r="K295" s="12" t="s">
        <v>221</v>
      </c>
      <c r="L295" s="13">
        <v>45666.625</v>
      </c>
      <c r="M295" s="14">
        <v>45730.583333333299</v>
      </c>
      <c r="N295" s="15"/>
      <c r="O295" s="15"/>
      <c r="P295" s="15"/>
      <c r="Q295" s="15"/>
      <c r="R295" s="15"/>
    </row>
    <row r="296" spans="1:18" ht="14.25" customHeight="1">
      <c r="A296" s="5">
        <v>789</v>
      </c>
      <c r="B296" s="8" t="s">
        <v>850</v>
      </c>
      <c r="C296" s="7" t="s">
        <v>851</v>
      </c>
      <c r="D296" s="10" t="s">
        <v>29</v>
      </c>
      <c r="E296" s="10" t="s">
        <v>203</v>
      </c>
      <c r="F296" s="10" t="s">
        <v>212</v>
      </c>
      <c r="G296" s="10" t="s">
        <v>30</v>
      </c>
      <c r="H296" s="10" t="s">
        <v>240</v>
      </c>
      <c r="I296" s="10" t="s">
        <v>28</v>
      </c>
      <c r="J296" s="12" t="s">
        <v>220</v>
      </c>
      <c r="K296" s="12" t="s">
        <v>221</v>
      </c>
      <c r="L296" s="13">
        <v>45659.625</v>
      </c>
      <c r="M296" s="14">
        <v>45659.625</v>
      </c>
      <c r="N296" s="15"/>
      <c r="O296" s="15"/>
      <c r="P296" s="15"/>
      <c r="Q296" s="15"/>
      <c r="R296" s="15"/>
    </row>
    <row r="297" spans="1:18" ht="14.25" customHeight="1">
      <c r="A297" s="5">
        <v>790</v>
      </c>
      <c r="B297" s="8" t="s">
        <v>852</v>
      </c>
      <c r="C297" s="7" t="s">
        <v>853</v>
      </c>
      <c r="D297" s="10" t="s">
        <v>74</v>
      </c>
      <c r="E297" s="10" t="s">
        <v>78</v>
      </c>
      <c r="F297" s="10" t="s">
        <v>78</v>
      </c>
      <c r="G297" s="10" t="s">
        <v>78</v>
      </c>
      <c r="H297" s="10" t="s">
        <v>527</v>
      </c>
      <c r="I297" s="10" t="s">
        <v>113</v>
      </c>
      <c r="J297" s="12" t="s">
        <v>220</v>
      </c>
      <c r="K297" s="12" t="s">
        <v>221</v>
      </c>
      <c r="L297" s="13">
        <v>45658.625</v>
      </c>
      <c r="M297" s="18">
        <v>45671.625</v>
      </c>
      <c r="N297" s="15"/>
      <c r="O297" s="15"/>
      <c r="P297" s="15"/>
      <c r="Q297" s="15"/>
      <c r="R297" s="15"/>
    </row>
    <row r="298" spans="1:18" ht="14.25" customHeight="1">
      <c r="A298" s="5">
        <v>791</v>
      </c>
      <c r="B298" s="8" t="s">
        <v>854</v>
      </c>
      <c r="C298" s="7" t="s">
        <v>855</v>
      </c>
      <c r="D298" s="10" t="s">
        <v>16</v>
      </c>
      <c r="E298" s="10" t="s">
        <v>399</v>
      </c>
      <c r="F298" s="10" t="s">
        <v>259</v>
      </c>
      <c r="G298" s="10" t="s">
        <v>25</v>
      </c>
      <c r="H298" s="10" t="s">
        <v>25</v>
      </c>
      <c r="I298" s="10" t="s">
        <v>456</v>
      </c>
      <c r="J298" s="12" t="s">
        <v>284</v>
      </c>
      <c r="K298" s="12" t="s">
        <v>221</v>
      </c>
      <c r="L298" s="13">
        <v>45663.625</v>
      </c>
      <c r="M298" s="14">
        <v>45679.625</v>
      </c>
      <c r="N298" s="15"/>
      <c r="O298" s="15"/>
      <c r="P298" s="15"/>
      <c r="Q298" s="15"/>
      <c r="R298" s="15"/>
    </row>
    <row r="299" spans="1:18" ht="14.25" customHeight="1">
      <c r="A299" s="5">
        <v>792</v>
      </c>
      <c r="B299" s="8" t="s">
        <v>856</v>
      </c>
      <c r="C299" s="7" t="s">
        <v>857</v>
      </c>
      <c r="D299" s="10" t="s">
        <v>29</v>
      </c>
      <c r="E299" s="10" t="s">
        <v>203</v>
      </c>
      <c r="F299" s="10" t="s">
        <v>212</v>
      </c>
      <c r="G299" s="10" t="s">
        <v>30</v>
      </c>
      <c r="H299" s="10" t="s">
        <v>240</v>
      </c>
      <c r="I299" s="10" t="s">
        <v>28</v>
      </c>
      <c r="J299" s="12" t="s">
        <v>220</v>
      </c>
      <c r="K299" s="12" t="s">
        <v>221</v>
      </c>
      <c r="L299" s="13">
        <v>45663.625</v>
      </c>
      <c r="M299" s="14">
        <v>45727.583333333299</v>
      </c>
      <c r="N299" s="15"/>
      <c r="O299" s="15"/>
      <c r="P299" s="15"/>
      <c r="Q299" s="15"/>
      <c r="R299" s="15"/>
    </row>
    <row r="300" spans="1:18" ht="14.25" customHeight="1">
      <c r="A300" s="5">
        <v>793</v>
      </c>
      <c r="B300" s="8" t="s">
        <v>858</v>
      </c>
      <c r="C300" s="7" t="s">
        <v>859</v>
      </c>
      <c r="D300" s="10" t="s">
        <v>29</v>
      </c>
      <c r="E300" s="10" t="s">
        <v>203</v>
      </c>
      <c r="F300" s="10" t="s">
        <v>212</v>
      </c>
      <c r="G300" s="10" t="s">
        <v>30</v>
      </c>
      <c r="H300" s="10" t="s">
        <v>240</v>
      </c>
      <c r="I300" s="10" t="s">
        <v>28</v>
      </c>
      <c r="J300" s="12" t="s">
        <v>220</v>
      </c>
      <c r="K300" s="12" t="s">
        <v>221</v>
      </c>
      <c r="L300" s="13">
        <v>45663.625</v>
      </c>
      <c r="M300" s="14">
        <v>45680.625</v>
      </c>
      <c r="N300" s="15"/>
      <c r="O300" s="15"/>
      <c r="P300" s="15"/>
      <c r="Q300" s="15"/>
      <c r="R300" s="15"/>
    </row>
    <row r="301" spans="1:18" ht="14.25" customHeight="1">
      <c r="A301" s="5">
        <v>794</v>
      </c>
      <c r="B301" s="8" t="s">
        <v>860</v>
      </c>
      <c r="C301" s="7" t="s">
        <v>861</v>
      </c>
      <c r="D301" s="10" t="s">
        <v>16</v>
      </c>
      <c r="E301" s="10" t="s">
        <v>211</v>
      </c>
      <c r="F301" s="10" t="s">
        <v>259</v>
      </c>
      <c r="G301" s="10" t="s">
        <v>75</v>
      </c>
      <c r="H301" s="10" t="s">
        <v>75</v>
      </c>
      <c r="I301" s="10" t="s">
        <v>671</v>
      </c>
      <c r="J301" s="12" t="s">
        <v>215</v>
      </c>
      <c r="K301" s="12" t="s">
        <v>208</v>
      </c>
      <c r="L301" s="13">
        <v>45670.625</v>
      </c>
      <c r="M301" s="14"/>
      <c r="N301" s="15"/>
      <c r="O301" s="15"/>
      <c r="P301" s="15"/>
      <c r="Q301" s="15"/>
      <c r="R301" s="15"/>
    </row>
    <row r="302" spans="1:18" ht="14.25" customHeight="1">
      <c r="A302" s="5">
        <v>795</v>
      </c>
      <c r="B302" s="8" t="s">
        <v>131</v>
      </c>
      <c r="C302" s="7" t="s">
        <v>132</v>
      </c>
      <c r="D302" s="10" t="s">
        <v>74</v>
      </c>
      <c r="E302" s="10" t="s">
        <v>78</v>
      </c>
      <c r="F302" s="10" t="s">
        <v>78</v>
      </c>
      <c r="G302" s="10" t="s">
        <v>78</v>
      </c>
      <c r="H302" s="10" t="s">
        <v>527</v>
      </c>
      <c r="I302" s="10" t="s">
        <v>113</v>
      </c>
      <c r="J302" s="12" t="s">
        <v>215</v>
      </c>
      <c r="K302" s="12" t="s">
        <v>221</v>
      </c>
      <c r="L302" s="13">
        <v>45659.625</v>
      </c>
      <c r="M302" s="14">
        <v>45909.583333333299</v>
      </c>
      <c r="N302" s="15"/>
      <c r="O302" s="15"/>
      <c r="P302" s="15"/>
      <c r="Q302" s="15"/>
      <c r="R302" s="15"/>
    </row>
    <row r="303" spans="1:18" ht="14.25" customHeight="1">
      <c r="A303" s="5">
        <v>796</v>
      </c>
      <c r="B303" s="8" t="s">
        <v>862</v>
      </c>
      <c r="C303" s="7" t="s">
        <v>863</v>
      </c>
      <c r="D303" s="10" t="s">
        <v>74</v>
      </c>
      <c r="E303" s="10" t="s">
        <v>78</v>
      </c>
      <c r="F303" s="10" t="s">
        <v>78</v>
      </c>
      <c r="G303" s="10" t="s">
        <v>78</v>
      </c>
      <c r="H303" s="11" t="s">
        <v>288</v>
      </c>
      <c r="I303" s="10" t="s">
        <v>85</v>
      </c>
      <c r="J303" s="12" t="s">
        <v>220</v>
      </c>
      <c r="K303" s="12" t="s">
        <v>221</v>
      </c>
      <c r="L303" s="13">
        <v>45674.625</v>
      </c>
      <c r="M303" s="14">
        <v>45690.625</v>
      </c>
      <c r="N303" s="15"/>
      <c r="O303" s="15"/>
      <c r="P303" s="15"/>
      <c r="Q303" s="15"/>
      <c r="R303" s="15"/>
    </row>
    <row r="304" spans="1:18" ht="14.25" customHeight="1">
      <c r="A304" s="5">
        <v>797</v>
      </c>
      <c r="B304" s="8" t="s">
        <v>864</v>
      </c>
      <c r="C304" s="7" t="s">
        <v>865</v>
      </c>
      <c r="D304" s="10" t="s">
        <v>74</v>
      </c>
      <c r="E304" s="10" t="s">
        <v>202</v>
      </c>
      <c r="F304" s="10" t="s">
        <v>212</v>
      </c>
      <c r="G304" s="10" t="s">
        <v>108</v>
      </c>
      <c r="H304" s="10" t="s">
        <v>218</v>
      </c>
      <c r="I304" s="11" t="s">
        <v>61</v>
      </c>
      <c r="J304" s="12" t="s">
        <v>220</v>
      </c>
      <c r="K304" s="12" t="s">
        <v>221</v>
      </c>
      <c r="L304" s="13">
        <v>45673.625</v>
      </c>
      <c r="M304" s="14">
        <v>45736.583333333299</v>
      </c>
      <c r="N304" s="15"/>
      <c r="O304" s="15"/>
      <c r="P304" s="15"/>
      <c r="Q304" s="15"/>
      <c r="R304" s="15"/>
    </row>
    <row r="305" spans="1:18" ht="14.25" customHeight="1">
      <c r="A305" s="5">
        <v>798</v>
      </c>
      <c r="B305" s="8" t="s">
        <v>866</v>
      </c>
      <c r="C305" s="7" t="s">
        <v>867</v>
      </c>
      <c r="D305" s="10" t="s">
        <v>16</v>
      </c>
      <c r="E305" s="10" t="s">
        <v>211</v>
      </c>
      <c r="F305" s="10" t="s">
        <v>212</v>
      </c>
      <c r="G305" s="10" t="s">
        <v>120</v>
      </c>
      <c r="H305" s="10" t="s">
        <v>240</v>
      </c>
      <c r="I305" s="10" t="s">
        <v>107</v>
      </c>
      <c r="J305" s="12" t="s">
        <v>220</v>
      </c>
      <c r="K305" s="12" t="s">
        <v>221</v>
      </c>
      <c r="L305" s="13">
        <v>45671.625</v>
      </c>
      <c r="M305" s="14">
        <v>45691.625</v>
      </c>
      <c r="N305" s="15"/>
      <c r="O305" s="15"/>
      <c r="P305" s="15"/>
      <c r="Q305" s="15"/>
      <c r="R305" s="15"/>
    </row>
    <row r="306" spans="1:18" ht="14.25" customHeight="1">
      <c r="A306" s="5">
        <v>799</v>
      </c>
      <c r="B306" s="8" t="s">
        <v>868</v>
      </c>
      <c r="C306" s="7" t="s">
        <v>869</v>
      </c>
      <c r="D306" s="10" t="s">
        <v>16</v>
      </c>
      <c r="E306" s="10" t="s">
        <v>211</v>
      </c>
      <c r="F306" s="10" t="s">
        <v>212</v>
      </c>
      <c r="G306" s="10" t="s">
        <v>17</v>
      </c>
      <c r="H306" s="10" t="s">
        <v>218</v>
      </c>
      <c r="I306" s="10" t="s">
        <v>61</v>
      </c>
      <c r="J306" s="12" t="s">
        <v>220</v>
      </c>
      <c r="K306" s="12" t="s">
        <v>208</v>
      </c>
      <c r="L306" s="13">
        <v>45666.625</v>
      </c>
      <c r="M306" s="14"/>
      <c r="N306" s="15"/>
      <c r="O306" s="15"/>
      <c r="P306" s="15"/>
      <c r="Q306" s="15"/>
      <c r="R306" s="15"/>
    </row>
    <row r="307" spans="1:18" ht="14.25" customHeight="1">
      <c r="A307" s="5">
        <v>800</v>
      </c>
      <c r="B307" s="8" t="s">
        <v>870</v>
      </c>
      <c r="C307" s="7" t="s">
        <v>871</v>
      </c>
      <c r="D307" s="10" t="s">
        <v>74</v>
      </c>
      <c r="E307" s="10" t="s">
        <v>78</v>
      </c>
      <c r="F307" s="10" t="s">
        <v>78</v>
      </c>
      <c r="G307" s="10" t="s">
        <v>78</v>
      </c>
      <c r="H307" s="10" t="s">
        <v>527</v>
      </c>
      <c r="I307" s="10" t="s">
        <v>113</v>
      </c>
      <c r="J307" s="12" t="s">
        <v>220</v>
      </c>
      <c r="K307" s="12" t="s">
        <v>221</v>
      </c>
      <c r="L307" s="13">
        <v>45678.625</v>
      </c>
      <c r="M307" s="18">
        <v>45709.625</v>
      </c>
      <c r="N307" s="15"/>
      <c r="O307" s="15"/>
      <c r="P307" s="15"/>
      <c r="Q307" s="15"/>
      <c r="R307" s="15"/>
    </row>
    <row r="308" spans="1:18" ht="14.25" customHeight="1">
      <c r="A308" s="5">
        <v>801</v>
      </c>
      <c r="B308" s="8" t="s">
        <v>872</v>
      </c>
      <c r="C308" s="7" t="s">
        <v>873</v>
      </c>
      <c r="D308" s="10" t="s">
        <v>16</v>
      </c>
      <c r="E308" s="10" t="s">
        <v>211</v>
      </c>
      <c r="F308" s="10" t="s">
        <v>212</v>
      </c>
      <c r="G308" s="10" t="s">
        <v>17</v>
      </c>
      <c r="H308" s="11" t="s">
        <v>213</v>
      </c>
      <c r="I308" s="10" t="s">
        <v>67</v>
      </c>
      <c r="J308" s="12" t="s">
        <v>220</v>
      </c>
      <c r="K308" s="12" t="s">
        <v>208</v>
      </c>
      <c r="L308" s="13">
        <v>45668.625</v>
      </c>
      <c r="M308" s="14"/>
      <c r="N308" s="15"/>
      <c r="O308" s="15"/>
      <c r="P308" s="15"/>
      <c r="Q308" s="15"/>
      <c r="R308" s="15"/>
    </row>
    <row r="309" spans="1:18" ht="14.25" customHeight="1">
      <c r="A309" s="5">
        <v>802</v>
      </c>
      <c r="B309" s="8" t="s">
        <v>874</v>
      </c>
      <c r="C309" s="7" t="s">
        <v>875</v>
      </c>
      <c r="D309" s="10" t="s">
        <v>16</v>
      </c>
      <c r="E309" s="10" t="s">
        <v>211</v>
      </c>
      <c r="F309" s="10" t="s">
        <v>212</v>
      </c>
      <c r="G309" s="10" t="s">
        <v>17</v>
      </c>
      <c r="H309" s="11" t="s">
        <v>218</v>
      </c>
      <c r="I309" s="10" t="s">
        <v>631</v>
      </c>
      <c r="J309" s="12" t="s">
        <v>220</v>
      </c>
      <c r="K309" s="12" t="s">
        <v>221</v>
      </c>
      <c r="L309" s="13">
        <v>45683.625</v>
      </c>
      <c r="M309" s="14">
        <v>45692.625</v>
      </c>
      <c r="N309" s="15"/>
      <c r="O309" s="15"/>
      <c r="P309" s="15"/>
      <c r="Q309" s="15"/>
      <c r="R309" s="15"/>
    </row>
    <row r="310" spans="1:18" ht="14.25" customHeight="1">
      <c r="A310" s="5">
        <v>803</v>
      </c>
      <c r="B310" s="8" t="s">
        <v>876</v>
      </c>
      <c r="C310" s="7" t="s">
        <v>877</v>
      </c>
      <c r="D310" s="10" t="s">
        <v>16</v>
      </c>
      <c r="E310" s="10" t="s">
        <v>211</v>
      </c>
      <c r="F310" s="10" t="s">
        <v>212</v>
      </c>
      <c r="G310" s="10" t="s">
        <v>17</v>
      </c>
      <c r="H310" s="10" t="s">
        <v>231</v>
      </c>
      <c r="I310" s="10" t="s">
        <v>58</v>
      </c>
      <c r="J310" s="12" t="s">
        <v>220</v>
      </c>
      <c r="K310" s="12" t="s">
        <v>221</v>
      </c>
      <c r="L310" s="13">
        <v>45684.625</v>
      </c>
      <c r="M310" s="14">
        <v>46112.583333333299</v>
      </c>
      <c r="N310" s="15"/>
      <c r="O310" s="15"/>
      <c r="P310" s="15"/>
      <c r="Q310" s="15"/>
      <c r="R310" s="15"/>
    </row>
    <row r="311" spans="1:18" ht="14.25" customHeight="1">
      <c r="A311" s="5">
        <v>804</v>
      </c>
      <c r="B311" s="8" t="s">
        <v>878</v>
      </c>
      <c r="C311" s="7" t="s">
        <v>879</v>
      </c>
      <c r="D311" s="10" t="s">
        <v>16</v>
      </c>
      <c r="E311" s="10" t="s">
        <v>211</v>
      </c>
      <c r="F311" s="10" t="s">
        <v>212</v>
      </c>
      <c r="G311" s="10" t="s">
        <v>17</v>
      </c>
      <c r="H311" s="10" t="s">
        <v>213</v>
      </c>
      <c r="I311" s="10" t="s">
        <v>67</v>
      </c>
      <c r="J311" s="12" t="s">
        <v>220</v>
      </c>
      <c r="K311" s="12" t="s">
        <v>208</v>
      </c>
      <c r="L311" s="13">
        <v>45715.625</v>
      </c>
      <c r="M311" s="14"/>
      <c r="N311" s="15"/>
      <c r="O311" s="15"/>
      <c r="P311" s="15"/>
      <c r="Q311" s="15"/>
      <c r="R311" s="15"/>
    </row>
    <row r="312" spans="1:18" ht="14.25" customHeight="1">
      <c r="A312" s="5">
        <v>805</v>
      </c>
      <c r="B312" s="8" t="s">
        <v>880</v>
      </c>
      <c r="C312" s="7" t="s">
        <v>138</v>
      </c>
      <c r="D312" s="10" t="s">
        <v>16</v>
      </c>
      <c r="E312" s="10" t="s">
        <v>211</v>
      </c>
      <c r="F312" s="10" t="s">
        <v>212</v>
      </c>
      <c r="G312" s="10" t="s">
        <v>17</v>
      </c>
      <c r="H312" s="10" t="s">
        <v>218</v>
      </c>
      <c r="I312" s="10" t="s">
        <v>631</v>
      </c>
      <c r="J312" s="12" t="s">
        <v>220</v>
      </c>
      <c r="K312" s="12" t="s">
        <v>221</v>
      </c>
      <c r="L312" s="13">
        <v>45684.625</v>
      </c>
      <c r="M312" s="18">
        <v>45692.625</v>
      </c>
      <c r="N312" s="15"/>
      <c r="O312" s="15"/>
      <c r="P312" s="15"/>
      <c r="Q312" s="15"/>
      <c r="R312" s="15"/>
    </row>
    <row r="313" spans="1:18" ht="14.25" customHeight="1">
      <c r="A313" s="5">
        <v>806</v>
      </c>
      <c r="B313" s="8" t="s">
        <v>881</v>
      </c>
      <c r="C313" s="7" t="s">
        <v>597</v>
      </c>
      <c r="D313" s="10" t="s">
        <v>16</v>
      </c>
      <c r="E313" s="10" t="s">
        <v>211</v>
      </c>
      <c r="F313" s="10" t="s">
        <v>212</v>
      </c>
      <c r="G313" s="10" t="s">
        <v>17</v>
      </c>
      <c r="H313" s="11" t="s">
        <v>218</v>
      </c>
      <c r="I313" s="10" t="s">
        <v>61</v>
      </c>
      <c r="J313" s="12" t="s">
        <v>220</v>
      </c>
      <c r="K313" s="12" t="s">
        <v>208</v>
      </c>
      <c r="L313" s="13">
        <v>45721.625</v>
      </c>
      <c r="M313" s="14"/>
      <c r="N313" s="15"/>
      <c r="O313" s="15"/>
      <c r="P313" s="15"/>
      <c r="Q313" s="15"/>
      <c r="R313" s="15"/>
    </row>
    <row r="314" spans="1:18" ht="14.25" customHeight="1">
      <c r="A314" s="5">
        <v>807</v>
      </c>
      <c r="B314" s="8" t="s">
        <v>882</v>
      </c>
      <c r="C314" s="7" t="s">
        <v>883</v>
      </c>
      <c r="D314" s="10" t="s">
        <v>16</v>
      </c>
      <c r="E314" s="10" t="s">
        <v>211</v>
      </c>
      <c r="F314" s="10" t="s">
        <v>212</v>
      </c>
      <c r="G314" s="10" t="s">
        <v>17</v>
      </c>
      <c r="H314" s="10" t="s">
        <v>218</v>
      </c>
      <c r="I314" s="11" t="s">
        <v>631</v>
      </c>
      <c r="J314" s="12" t="s">
        <v>220</v>
      </c>
      <c r="K314" s="12" t="s">
        <v>221</v>
      </c>
      <c r="L314" s="13">
        <v>45684.625</v>
      </c>
      <c r="M314" s="18">
        <v>45692.625</v>
      </c>
      <c r="N314" s="15"/>
      <c r="O314" s="15"/>
      <c r="P314" s="15"/>
      <c r="Q314" s="15"/>
      <c r="R314" s="15"/>
    </row>
    <row r="315" spans="1:18" ht="14.25" customHeight="1">
      <c r="A315" s="5">
        <v>808</v>
      </c>
      <c r="B315" s="8" t="s">
        <v>884</v>
      </c>
      <c r="C315" s="7" t="s">
        <v>885</v>
      </c>
      <c r="D315" s="10" t="s">
        <v>16</v>
      </c>
      <c r="E315" s="10" t="s">
        <v>211</v>
      </c>
      <c r="F315" s="10" t="s">
        <v>212</v>
      </c>
      <c r="G315" s="10" t="s">
        <v>17</v>
      </c>
      <c r="H315" s="10" t="s">
        <v>218</v>
      </c>
      <c r="I315" s="10" t="s">
        <v>631</v>
      </c>
      <c r="J315" s="12" t="s">
        <v>220</v>
      </c>
      <c r="K315" s="12" t="s">
        <v>221</v>
      </c>
      <c r="L315" s="13">
        <v>45677.625</v>
      </c>
      <c r="M315" s="14">
        <v>45692.625</v>
      </c>
      <c r="N315" s="15"/>
      <c r="O315" s="15"/>
      <c r="P315" s="15"/>
      <c r="Q315" s="15"/>
      <c r="R315" s="15"/>
    </row>
    <row r="316" spans="1:18" ht="14.25" customHeight="1">
      <c r="A316" s="5">
        <v>809</v>
      </c>
      <c r="B316" s="8" t="s">
        <v>886</v>
      </c>
      <c r="C316" s="7" t="s">
        <v>887</v>
      </c>
      <c r="D316" s="10" t="s">
        <v>16</v>
      </c>
      <c r="E316" s="10" t="s">
        <v>211</v>
      </c>
      <c r="F316" s="10" t="s">
        <v>212</v>
      </c>
      <c r="G316" s="10" t="s">
        <v>17</v>
      </c>
      <c r="H316" s="11" t="s">
        <v>218</v>
      </c>
      <c r="I316" s="10" t="s">
        <v>631</v>
      </c>
      <c r="J316" s="12" t="s">
        <v>220</v>
      </c>
      <c r="K316" s="12" t="s">
        <v>221</v>
      </c>
      <c r="L316" s="13">
        <v>45677.625</v>
      </c>
      <c r="M316" s="18">
        <v>45692.625</v>
      </c>
      <c r="N316" s="15"/>
      <c r="O316" s="15"/>
      <c r="P316" s="15"/>
      <c r="Q316" s="15"/>
      <c r="R316" s="15"/>
    </row>
    <row r="317" spans="1:18" ht="14.25" customHeight="1">
      <c r="A317" s="5">
        <v>810</v>
      </c>
      <c r="B317" s="8" t="s">
        <v>888</v>
      </c>
      <c r="C317" s="7" t="s">
        <v>889</v>
      </c>
      <c r="D317" s="10" t="s">
        <v>74</v>
      </c>
      <c r="E317" s="10" t="s">
        <v>78</v>
      </c>
      <c r="F317" s="10" t="s">
        <v>78</v>
      </c>
      <c r="G317" s="10" t="s">
        <v>78</v>
      </c>
      <c r="H317" s="10" t="s">
        <v>527</v>
      </c>
      <c r="I317" s="11" t="s">
        <v>113</v>
      </c>
      <c r="J317" s="12" t="s">
        <v>220</v>
      </c>
      <c r="K317" s="12" t="s">
        <v>221</v>
      </c>
      <c r="L317" s="13">
        <v>45689.625</v>
      </c>
      <c r="M317" s="18">
        <v>45693.625</v>
      </c>
      <c r="N317" s="15"/>
      <c r="O317" s="15"/>
      <c r="P317" s="15"/>
      <c r="Q317" s="15"/>
      <c r="R317" s="15"/>
    </row>
    <row r="318" spans="1:18" ht="14.25" customHeight="1">
      <c r="A318" s="5">
        <v>811</v>
      </c>
      <c r="B318" s="8" t="s">
        <v>890</v>
      </c>
      <c r="C318" s="7" t="s">
        <v>891</v>
      </c>
      <c r="D318" s="10" t="s">
        <v>74</v>
      </c>
      <c r="E318" s="10" t="s">
        <v>78</v>
      </c>
      <c r="F318" s="10" t="s">
        <v>78</v>
      </c>
      <c r="G318" s="10" t="s">
        <v>78</v>
      </c>
      <c r="H318" s="10" t="s">
        <v>527</v>
      </c>
      <c r="I318" s="10" t="s">
        <v>113</v>
      </c>
      <c r="J318" s="12" t="s">
        <v>220</v>
      </c>
      <c r="K318" s="12" t="s">
        <v>221</v>
      </c>
      <c r="L318" s="13">
        <v>45691.625</v>
      </c>
      <c r="M318" s="14">
        <v>45691.625</v>
      </c>
      <c r="N318" s="15"/>
      <c r="O318" s="15"/>
      <c r="P318" s="15"/>
      <c r="Q318" s="15"/>
      <c r="R318" s="15"/>
    </row>
    <row r="319" spans="1:18" ht="14.25" customHeight="1">
      <c r="A319" s="5">
        <v>812</v>
      </c>
      <c r="B319" s="8" t="s">
        <v>892</v>
      </c>
      <c r="C319" s="7" t="s">
        <v>893</v>
      </c>
      <c r="D319" s="10" t="s">
        <v>74</v>
      </c>
      <c r="E319" s="10" t="s">
        <v>202</v>
      </c>
      <c r="F319" s="10" t="s">
        <v>212</v>
      </c>
      <c r="G319" s="10" t="s">
        <v>95</v>
      </c>
      <c r="H319" s="10" t="s">
        <v>218</v>
      </c>
      <c r="I319" s="10" t="s">
        <v>61</v>
      </c>
      <c r="J319" s="12" t="s">
        <v>220</v>
      </c>
      <c r="K319" s="12" t="s">
        <v>221</v>
      </c>
      <c r="L319" s="13">
        <v>45695.625</v>
      </c>
      <c r="M319" s="18">
        <v>45778.583333333299</v>
      </c>
      <c r="N319" s="15"/>
      <c r="O319" s="15"/>
      <c r="P319" s="15"/>
      <c r="Q319" s="15"/>
      <c r="R319" s="15"/>
    </row>
    <row r="320" spans="1:18" ht="14.25" customHeight="1">
      <c r="A320" s="5">
        <v>813</v>
      </c>
      <c r="B320" s="8" t="s">
        <v>894</v>
      </c>
      <c r="C320" s="7" t="s">
        <v>895</v>
      </c>
      <c r="D320" s="10" t="s">
        <v>74</v>
      </c>
      <c r="E320" s="10" t="s">
        <v>202</v>
      </c>
      <c r="F320" s="10" t="s">
        <v>259</v>
      </c>
      <c r="G320" s="10" t="s">
        <v>589</v>
      </c>
      <c r="H320" s="10" t="s">
        <v>589</v>
      </c>
      <c r="I320" s="10" t="s">
        <v>35</v>
      </c>
      <c r="J320" s="12" t="s">
        <v>284</v>
      </c>
      <c r="K320" s="12" t="s">
        <v>221</v>
      </c>
      <c r="L320" s="13">
        <v>45692.625</v>
      </c>
      <c r="M320" s="14">
        <v>45750.583333333299</v>
      </c>
      <c r="N320" s="15"/>
      <c r="O320" s="15"/>
      <c r="P320" s="15"/>
      <c r="Q320" s="15"/>
      <c r="R320" s="15"/>
    </row>
    <row r="321" spans="1:18" ht="14.25" customHeight="1">
      <c r="A321" s="5">
        <v>814</v>
      </c>
      <c r="B321" s="8" t="s">
        <v>896</v>
      </c>
      <c r="C321" s="7" t="s">
        <v>897</v>
      </c>
      <c r="D321" s="10" t="s">
        <v>74</v>
      </c>
      <c r="E321" s="10" t="s">
        <v>202</v>
      </c>
      <c r="F321" s="10" t="s">
        <v>212</v>
      </c>
      <c r="G321" s="10" t="s">
        <v>108</v>
      </c>
      <c r="H321" s="10" t="s">
        <v>218</v>
      </c>
      <c r="I321" s="10" t="s">
        <v>61</v>
      </c>
      <c r="J321" s="12" t="s">
        <v>220</v>
      </c>
      <c r="K321" s="12" t="s">
        <v>221</v>
      </c>
      <c r="L321" s="13">
        <v>45718.625</v>
      </c>
      <c r="M321" s="14">
        <v>45961.583333333299</v>
      </c>
      <c r="N321" s="15"/>
      <c r="O321" s="15"/>
      <c r="P321" s="15"/>
      <c r="Q321" s="15"/>
      <c r="R321" s="15"/>
    </row>
    <row r="322" spans="1:18" ht="14.25" customHeight="1">
      <c r="A322" s="5">
        <v>815</v>
      </c>
      <c r="B322" s="8" t="s">
        <v>898</v>
      </c>
      <c r="C322" s="7" t="s">
        <v>899</v>
      </c>
      <c r="D322" s="10" t="s">
        <v>29</v>
      </c>
      <c r="E322" s="10" t="s">
        <v>203</v>
      </c>
      <c r="F322" s="10" t="s">
        <v>212</v>
      </c>
      <c r="G322" s="10" t="s">
        <v>30</v>
      </c>
      <c r="H322" s="10" t="s">
        <v>240</v>
      </c>
      <c r="I322" s="10" t="s">
        <v>28</v>
      </c>
      <c r="J322" s="12" t="s">
        <v>220</v>
      </c>
      <c r="K322" s="12" t="s">
        <v>221</v>
      </c>
      <c r="L322" s="13">
        <v>45703.625</v>
      </c>
      <c r="M322" s="14">
        <v>45703.625</v>
      </c>
      <c r="N322" s="15"/>
      <c r="O322" s="15"/>
      <c r="P322" s="15"/>
      <c r="Q322" s="15"/>
      <c r="R322" s="15"/>
    </row>
    <row r="323" spans="1:18" ht="14.25" customHeight="1">
      <c r="A323" s="5">
        <v>816</v>
      </c>
      <c r="B323" s="8" t="s">
        <v>900</v>
      </c>
      <c r="C323" s="7" t="s">
        <v>901</v>
      </c>
      <c r="D323" s="10" t="s">
        <v>74</v>
      </c>
      <c r="E323" s="10" t="s">
        <v>78</v>
      </c>
      <c r="F323" s="10" t="s">
        <v>78</v>
      </c>
      <c r="G323" s="10" t="s">
        <v>78</v>
      </c>
      <c r="H323" s="11" t="s">
        <v>527</v>
      </c>
      <c r="I323" s="10" t="s">
        <v>113</v>
      </c>
      <c r="J323" s="12" t="s">
        <v>220</v>
      </c>
      <c r="K323" s="12" t="s">
        <v>221</v>
      </c>
      <c r="L323" s="13">
        <v>45698.625</v>
      </c>
      <c r="M323" s="14">
        <v>45705.625</v>
      </c>
      <c r="N323" s="15"/>
      <c r="O323" s="15"/>
      <c r="P323" s="15"/>
      <c r="Q323" s="15"/>
      <c r="R323" s="15"/>
    </row>
    <row r="324" spans="1:18" ht="14.25" customHeight="1">
      <c r="A324" s="5">
        <v>818</v>
      </c>
      <c r="B324" s="8" t="s">
        <v>902</v>
      </c>
      <c r="C324" s="7" t="s">
        <v>903</v>
      </c>
      <c r="D324" s="10" t="s">
        <v>74</v>
      </c>
      <c r="E324" s="10" t="s">
        <v>202</v>
      </c>
      <c r="F324" s="10" t="s">
        <v>212</v>
      </c>
      <c r="G324" s="10" t="s">
        <v>95</v>
      </c>
      <c r="H324" s="10" t="s">
        <v>231</v>
      </c>
      <c r="I324" s="10" t="s">
        <v>58</v>
      </c>
      <c r="J324" s="12" t="s">
        <v>220</v>
      </c>
      <c r="K324" s="12" t="s">
        <v>208</v>
      </c>
      <c r="L324" s="13">
        <v>45699.625</v>
      </c>
      <c r="M324" s="14"/>
      <c r="N324" s="15"/>
      <c r="O324" s="15"/>
      <c r="P324" s="15"/>
      <c r="Q324" s="15"/>
      <c r="R324" s="15"/>
    </row>
    <row r="325" spans="1:18" ht="14.25" customHeight="1">
      <c r="A325" s="5">
        <v>819</v>
      </c>
      <c r="B325" s="8" t="s">
        <v>904</v>
      </c>
      <c r="C325" s="7" t="s">
        <v>905</v>
      </c>
      <c r="D325" s="10" t="s">
        <v>16</v>
      </c>
      <c r="E325" s="10" t="s">
        <v>211</v>
      </c>
      <c r="F325" s="10" t="s">
        <v>259</v>
      </c>
      <c r="G325" s="10" t="s">
        <v>75</v>
      </c>
      <c r="H325" s="10" t="s">
        <v>75</v>
      </c>
      <c r="I325" s="10" t="s">
        <v>906</v>
      </c>
      <c r="J325" s="12" t="s">
        <v>471</v>
      </c>
      <c r="K325" s="12" t="s">
        <v>221</v>
      </c>
      <c r="L325" s="13">
        <v>45707.625</v>
      </c>
      <c r="M325" s="14">
        <v>45855.583333333299</v>
      </c>
      <c r="N325" s="15"/>
      <c r="O325" s="15"/>
      <c r="P325" s="15"/>
      <c r="Q325" s="15"/>
      <c r="R325" s="15"/>
    </row>
    <row r="326" spans="1:18" ht="14.25" customHeight="1">
      <c r="A326" s="5">
        <v>820</v>
      </c>
      <c r="B326" s="8" t="s">
        <v>907</v>
      </c>
      <c r="C326" s="7" t="s">
        <v>908</v>
      </c>
      <c r="D326" s="10" t="s">
        <v>16</v>
      </c>
      <c r="E326" s="10" t="s">
        <v>399</v>
      </c>
      <c r="F326" s="10" t="s">
        <v>259</v>
      </c>
      <c r="G326" s="10" t="s">
        <v>25</v>
      </c>
      <c r="H326" s="10" t="s">
        <v>25</v>
      </c>
      <c r="I326" s="10" t="s">
        <v>909</v>
      </c>
      <c r="J326" s="12" t="s">
        <v>284</v>
      </c>
      <c r="K326" s="12" t="s">
        <v>221</v>
      </c>
      <c r="L326" s="13">
        <v>45707.625</v>
      </c>
      <c r="M326" s="14">
        <v>45730.583333333299</v>
      </c>
      <c r="N326" s="15"/>
      <c r="O326" s="15"/>
      <c r="P326" s="15"/>
      <c r="Q326" s="15"/>
      <c r="R326" s="15"/>
    </row>
    <row r="327" spans="1:18" ht="14.25" customHeight="1">
      <c r="A327" s="5">
        <v>821</v>
      </c>
      <c r="B327" s="8" t="s">
        <v>910</v>
      </c>
      <c r="C327" s="7" t="s">
        <v>911</v>
      </c>
      <c r="D327" s="10" t="s">
        <v>29</v>
      </c>
      <c r="E327" s="10" t="s">
        <v>203</v>
      </c>
      <c r="F327" s="10" t="s">
        <v>212</v>
      </c>
      <c r="G327" s="10" t="s">
        <v>30</v>
      </c>
      <c r="H327" s="10" t="s">
        <v>240</v>
      </c>
      <c r="I327" s="10" t="s">
        <v>28</v>
      </c>
      <c r="J327" s="12" t="s">
        <v>215</v>
      </c>
      <c r="K327" s="12" t="s">
        <v>221</v>
      </c>
      <c r="L327" s="13">
        <v>45705.625</v>
      </c>
      <c r="M327" s="14">
        <v>45966.625</v>
      </c>
      <c r="N327" s="15"/>
      <c r="O327" s="15"/>
      <c r="P327" s="15"/>
      <c r="Q327" s="15"/>
      <c r="R327" s="15"/>
    </row>
    <row r="328" spans="1:18" ht="14.25" customHeight="1">
      <c r="A328" s="5">
        <v>822</v>
      </c>
      <c r="B328" s="8" t="s">
        <v>912</v>
      </c>
      <c r="C328" s="7" t="s">
        <v>913</v>
      </c>
      <c r="D328" s="10" t="s">
        <v>74</v>
      </c>
      <c r="E328" s="10" t="s">
        <v>202</v>
      </c>
      <c r="F328" s="10" t="s">
        <v>212</v>
      </c>
      <c r="G328" s="10" t="s">
        <v>108</v>
      </c>
      <c r="H328" s="11" t="s">
        <v>218</v>
      </c>
      <c r="I328" s="10" t="s">
        <v>61</v>
      </c>
      <c r="J328" s="12" t="s">
        <v>220</v>
      </c>
      <c r="K328" s="12" t="s">
        <v>221</v>
      </c>
      <c r="L328" s="13">
        <v>45703.625</v>
      </c>
      <c r="M328" s="14">
        <v>45789.583333333299</v>
      </c>
      <c r="N328" s="15"/>
      <c r="O328" s="15"/>
      <c r="P328" s="15"/>
      <c r="Q328" s="15"/>
      <c r="R328" s="15"/>
    </row>
    <row r="329" spans="1:18" ht="14.25" customHeight="1">
      <c r="A329" s="5">
        <v>823</v>
      </c>
      <c r="B329" s="8" t="s">
        <v>914</v>
      </c>
      <c r="C329" s="7" t="s">
        <v>915</v>
      </c>
      <c r="D329" s="10" t="s">
        <v>45</v>
      </c>
      <c r="E329" s="10" t="s">
        <v>201</v>
      </c>
      <c r="F329" s="10" t="s">
        <v>212</v>
      </c>
      <c r="G329" s="10" t="s">
        <v>46</v>
      </c>
      <c r="H329" s="10" t="s">
        <v>213</v>
      </c>
      <c r="I329" s="10" t="s">
        <v>67</v>
      </c>
      <c r="J329" s="12" t="s">
        <v>215</v>
      </c>
      <c r="K329" s="12" t="s">
        <v>221</v>
      </c>
      <c r="L329" s="13">
        <v>45706.625</v>
      </c>
      <c r="M329" s="14">
        <v>46081.625</v>
      </c>
      <c r="N329" s="15"/>
      <c r="O329" s="15"/>
      <c r="P329" s="15"/>
      <c r="Q329" s="15"/>
      <c r="R329" s="15"/>
    </row>
    <row r="330" spans="1:18" ht="14.25" customHeight="1">
      <c r="A330" s="5">
        <v>824</v>
      </c>
      <c r="B330" s="8" t="s">
        <v>142</v>
      </c>
      <c r="C330" s="7" t="s">
        <v>143</v>
      </c>
      <c r="D330" s="10" t="s">
        <v>45</v>
      </c>
      <c r="E330" s="10" t="s">
        <v>201</v>
      </c>
      <c r="F330" s="10" t="s">
        <v>212</v>
      </c>
      <c r="G330" s="10" t="s">
        <v>136</v>
      </c>
      <c r="H330" s="11" t="s">
        <v>213</v>
      </c>
      <c r="I330" s="10" t="s">
        <v>214</v>
      </c>
      <c r="J330" s="12" t="s">
        <v>215</v>
      </c>
      <c r="K330" s="12" t="s">
        <v>208</v>
      </c>
      <c r="L330" s="13">
        <v>45706.625</v>
      </c>
      <c r="M330" s="18"/>
      <c r="N330" s="15"/>
      <c r="O330" s="15"/>
      <c r="P330" s="15"/>
      <c r="Q330" s="15"/>
      <c r="R330" s="15"/>
    </row>
    <row r="331" spans="1:18" ht="14.25" customHeight="1">
      <c r="A331" s="5">
        <v>825</v>
      </c>
      <c r="B331" s="8" t="s">
        <v>916</v>
      </c>
      <c r="C331" s="7" t="s">
        <v>917</v>
      </c>
      <c r="D331" s="10" t="s">
        <v>29</v>
      </c>
      <c r="E331" s="10" t="s">
        <v>203</v>
      </c>
      <c r="F331" s="10" t="s">
        <v>212</v>
      </c>
      <c r="G331" s="10" t="s">
        <v>544</v>
      </c>
      <c r="H331" s="10" t="s">
        <v>240</v>
      </c>
      <c r="I331" s="10" t="s">
        <v>28</v>
      </c>
      <c r="J331" s="12" t="s">
        <v>220</v>
      </c>
      <c r="K331" s="12" t="s">
        <v>221</v>
      </c>
      <c r="L331" s="13">
        <v>45708.625</v>
      </c>
      <c r="M331" s="14">
        <v>45930.583333333299</v>
      </c>
      <c r="N331" s="15"/>
      <c r="O331" s="15"/>
      <c r="P331" s="15"/>
      <c r="Q331" s="15"/>
      <c r="R331" s="15"/>
    </row>
    <row r="332" spans="1:18" ht="14.25" customHeight="1">
      <c r="A332" s="5">
        <v>826</v>
      </c>
      <c r="B332" s="8" t="s">
        <v>918</v>
      </c>
      <c r="C332" s="7" t="s">
        <v>919</v>
      </c>
      <c r="D332" s="10" t="s">
        <v>29</v>
      </c>
      <c r="E332" s="10" t="s">
        <v>203</v>
      </c>
      <c r="F332" s="10" t="s">
        <v>212</v>
      </c>
      <c r="G332" s="10" t="s">
        <v>544</v>
      </c>
      <c r="H332" s="10" t="s">
        <v>240</v>
      </c>
      <c r="I332" s="10" t="s">
        <v>28</v>
      </c>
      <c r="J332" s="12" t="s">
        <v>284</v>
      </c>
      <c r="K332" s="12" t="s">
        <v>221</v>
      </c>
      <c r="L332" s="13">
        <v>45707.625</v>
      </c>
      <c r="M332" s="14">
        <v>45723.625</v>
      </c>
      <c r="N332" s="15"/>
      <c r="O332" s="15"/>
      <c r="P332" s="15"/>
      <c r="Q332" s="15"/>
      <c r="R332" s="15"/>
    </row>
    <row r="333" spans="1:18" ht="14.25" customHeight="1">
      <c r="A333" s="5">
        <v>827</v>
      </c>
      <c r="B333" s="8" t="s">
        <v>920</v>
      </c>
      <c r="C333" s="7" t="s">
        <v>921</v>
      </c>
      <c r="D333" s="10" t="s">
        <v>74</v>
      </c>
      <c r="E333" s="10" t="s">
        <v>202</v>
      </c>
      <c r="F333" s="10" t="s">
        <v>259</v>
      </c>
      <c r="G333" s="10" t="s">
        <v>101</v>
      </c>
      <c r="H333" s="10" t="s">
        <v>101</v>
      </c>
      <c r="I333" s="10" t="s">
        <v>100</v>
      </c>
      <c r="J333" s="12" t="s">
        <v>220</v>
      </c>
      <c r="K333" s="12" t="s">
        <v>208</v>
      </c>
      <c r="L333" s="13">
        <v>45768.583333333299</v>
      </c>
      <c r="M333" s="14"/>
      <c r="N333" s="15"/>
      <c r="O333" s="15"/>
      <c r="P333" s="15"/>
      <c r="Q333" s="15"/>
      <c r="R333" s="15"/>
    </row>
    <row r="334" spans="1:18" ht="14.25" customHeight="1">
      <c r="A334" s="5">
        <v>828</v>
      </c>
      <c r="B334" s="8" t="s">
        <v>922</v>
      </c>
      <c r="C334" s="7" t="s">
        <v>923</v>
      </c>
      <c r="D334" s="10" t="s">
        <v>74</v>
      </c>
      <c r="E334" s="10" t="s">
        <v>202</v>
      </c>
      <c r="F334" s="10" t="s">
        <v>212</v>
      </c>
      <c r="G334" s="10" t="s">
        <v>125</v>
      </c>
      <c r="H334" s="10" t="s">
        <v>240</v>
      </c>
      <c r="I334" s="10" t="s">
        <v>107</v>
      </c>
      <c r="J334" s="12" t="s">
        <v>220</v>
      </c>
      <c r="K334" s="12" t="s">
        <v>221</v>
      </c>
      <c r="L334" s="13">
        <v>45705.625</v>
      </c>
      <c r="M334" s="14">
        <v>45681.625</v>
      </c>
      <c r="N334" s="15"/>
      <c r="O334" s="15"/>
      <c r="P334" s="15"/>
      <c r="Q334" s="15"/>
      <c r="R334" s="15"/>
    </row>
    <row r="335" spans="1:18" ht="14.25" customHeight="1">
      <c r="A335" s="5">
        <v>829</v>
      </c>
      <c r="B335" s="8" t="s">
        <v>924</v>
      </c>
      <c r="C335" s="7" t="s">
        <v>925</v>
      </c>
      <c r="D335" s="10" t="s">
        <v>16</v>
      </c>
      <c r="E335" s="10" t="s">
        <v>211</v>
      </c>
      <c r="F335" s="10" t="s">
        <v>212</v>
      </c>
      <c r="G335" s="10" t="s">
        <v>120</v>
      </c>
      <c r="H335" s="10" t="s">
        <v>218</v>
      </c>
      <c r="I335" s="10" t="s">
        <v>61</v>
      </c>
      <c r="J335" s="12" t="s">
        <v>220</v>
      </c>
      <c r="K335" s="12" t="s">
        <v>221</v>
      </c>
      <c r="L335" s="13">
        <v>45706.625</v>
      </c>
      <c r="M335" s="18">
        <v>45844.583333333299</v>
      </c>
      <c r="N335" s="15"/>
      <c r="O335" s="15"/>
      <c r="P335" s="15"/>
      <c r="Q335" s="15"/>
      <c r="R335" s="15"/>
    </row>
    <row r="336" spans="1:18" ht="14.25" customHeight="1">
      <c r="A336" s="5">
        <v>830</v>
      </c>
      <c r="B336" s="8" t="s">
        <v>926</v>
      </c>
      <c r="C336" s="7" t="s">
        <v>927</v>
      </c>
      <c r="D336" s="10" t="s">
        <v>74</v>
      </c>
      <c r="E336" s="10" t="s">
        <v>202</v>
      </c>
      <c r="F336" s="10" t="s">
        <v>212</v>
      </c>
      <c r="G336" s="10" t="s">
        <v>108</v>
      </c>
      <c r="H336" s="10" t="s">
        <v>218</v>
      </c>
      <c r="I336" s="10" t="s">
        <v>61</v>
      </c>
      <c r="J336" s="12" t="s">
        <v>220</v>
      </c>
      <c r="K336" s="12" t="s">
        <v>221</v>
      </c>
      <c r="L336" s="13">
        <v>45707.625</v>
      </c>
      <c r="M336" s="18">
        <v>45710.625</v>
      </c>
      <c r="N336" s="15"/>
      <c r="O336" s="15"/>
      <c r="P336" s="15"/>
      <c r="Q336" s="15"/>
      <c r="R336" s="15"/>
    </row>
    <row r="337" spans="1:18" ht="14.25" customHeight="1">
      <c r="A337" s="5">
        <v>831</v>
      </c>
      <c r="B337" s="8" t="s">
        <v>928</v>
      </c>
      <c r="C337" s="7" t="s">
        <v>929</v>
      </c>
      <c r="D337" s="10" t="s">
        <v>74</v>
      </c>
      <c r="E337" s="10" t="s">
        <v>202</v>
      </c>
      <c r="F337" s="10" t="s">
        <v>212</v>
      </c>
      <c r="G337" s="10" t="s">
        <v>108</v>
      </c>
      <c r="H337" s="10" t="s">
        <v>218</v>
      </c>
      <c r="I337" s="10" t="s">
        <v>61</v>
      </c>
      <c r="J337" s="12" t="s">
        <v>220</v>
      </c>
      <c r="K337" s="12" t="s">
        <v>221</v>
      </c>
      <c r="L337" s="13">
        <v>45707.625</v>
      </c>
      <c r="M337" s="14">
        <v>45708.625</v>
      </c>
      <c r="N337" s="15"/>
      <c r="O337" s="15"/>
      <c r="P337" s="15"/>
      <c r="Q337" s="15"/>
      <c r="R337" s="15"/>
    </row>
    <row r="338" spans="1:18" ht="14.25" customHeight="1">
      <c r="A338" s="5">
        <v>832</v>
      </c>
      <c r="B338" s="8" t="s">
        <v>930</v>
      </c>
      <c r="C338" s="7" t="s">
        <v>931</v>
      </c>
      <c r="D338" s="10" t="s">
        <v>74</v>
      </c>
      <c r="E338" s="10" t="s">
        <v>201</v>
      </c>
      <c r="F338" s="10" t="s">
        <v>212</v>
      </c>
      <c r="G338" s="10" t="s">
        <v>136</v>
      </c>
      <c r="H338" s="10" t="s">
        <v>213</v>
      </c>
      <c r="I338" s="10" t="s">
        <v>67</v>
      </c>
      <c r="J338" s="12" t="s">
        <v>220</v>
      </c>
      <c r="K338" s="12" t="s">
        <v>221</v>
      </c>
      <c r="L338" s="13">
        <v>45699.625</v>
      </c>
      <c r="M338" s="14">
        <v>45712.625</v>
      </c>
      <c r="N338" s="15"/>
      <c r="O338" s="15"/>
      <c r="P338" s="15"/>
      <c r="Q338" s="15"/>
      <c r="R338" s="15"/>
    </row>
    <row r="339" spans="1:18" ht="14.25" customHeight="1">
      <c r="A339" s="5">
        <v>833</v>
      </c>
      <c r="B339" s="8" t="s">
        <v>932</v>
      </c>
      <c r="C339" s="7" t="s">
        <v>933</v>
      </c>
      <c r="D339" s="10" t="s">
        <v>269</v>
      </c>
      <c r="E339" s="10" t="s">
        <v>270</v>
      </c>
      <c r="F339" s="10" t="s">
        <v>212</v>
      </c>
      <c r="G339" s="10" t="s">
        <v>271</v>
      </c>
      <c r="H339" s="10" t="s">
        <v>218</v>
      </c>
      <c r="I339" s="10" t="s">
        <v>61</v>
      </c>
      <c r="J339" s="12" t="s">
        <v>215</v>
      </c>
      <c r="K339" s="12" t="s">
        <v>221</v>
      </c>
      <c r="L339" s="13">
        <v>45713.625</v>
      </c>
      <c r="M339" s="18">
        <v>45835.583333333299</v>
      </c>
      <c r="N339" s="15"/>
      <c r="O339" s="15"/>
      <c r="P339" s="15"/>
      <c r="Q339" s="15"/>
      <c r="R339" s="15"/>
    </row>
    <row r="340" spans="1:18" ht="14.25" customHeight="1">
      <c r="A340" s="5">
        <v>834</v>
      </c>
      <c r="B340" s="8" t="s">
        <v>934</v>
      </c>
      <c r="C340" s="7" t="s">
        <v>935</v>
      </c>
      <c r="D340" s="10" t="s">
        <v>74</v>
      </c>
      <c r="E340" s="10" t="s">
        <v>78</v>
      </c>
      <c r="F340" s="10" t="s">
        <v>78</v>
      </c>
      <c r="G340" s="10" t="s">
        <v>78</v>
      </c>
      <c r="H340" s="10" t="s">
        <v>224</v>
      </c>
      <c r="I340" s="10" t="s">
        <v>135</v>
      </c>
      <c r="J340" s="12" t="s">
        <v>215</v>
      </c>
      <c r="K340" s="12" t="s">
        <v>208</v>
      </c>
      <c r="L340" s="13">
        <v>45702.625</v>
      </c>
      <c r="M340" s="14"/>
      <c r="N340" s="15"/>
      <c r="O340" s="15"/>
      <c r="P340" s="15"/>
      <c r="Q340" s="15"/>
      <c r="R340" s="15"/>
    </row>
    <row r="341" spans="1:18" ht="14.25" customHeight="1">
      <c r="A341" s="5">
        <v>835</v>
      </c>
      <c r="B341" s="8" t="s">
        <v>936</v>
      </c>
      <c r="C341" s="7" t="s">
        <v>937</v>
      </c>
      <c r="D341" s="10" t="s">
        <v>74</v>
      </c>
      <c r="E341" s="10" t="s">
        <v>78</v>
      </c>
      <c r="F341" s="10" t="s">
        <v>78</v>
      </c>
      <c r="G341" s="10" t="s">
        <v>78</v>
      </c>
      <c r="H341" s="10" t="s">
        <v>224</v>
      </c>
      <c r="I341" s="10" t="s">
        <v>135</v>
      </c>
      <c r="J341" s="12" t="s">
        <v>284</v>
      </c>
      <c r="K341" s="12" t="s">
        <v>221</v>
      </c>
      <c r="L341" s="13">
        <v>45697.625</v>
      </c>
      <c r="M341" s="14">
        <v>45709.625</v>
      </c>
      <c r="N341" s="15"/>
      <c r="O341" s="15"/>
      <c r="P341" s="15"/>
      <c r="Q341" s="15"/>
      <c r="R341" s="15"/>
    </row>
    <row r="342" spans="1:18" ht="14.25" customHeight="1">
      <c r="A342" s="5">
        <v>836</v>
      </c>
      <c r="B342" s="8" t="s">
        <v>938</v>
      </c>
      <c r="C342" s="7" t="s">
        <v>939</v>
      </c>
      <c r="D342" s="10" t="s">
        <v>74</v>
      </c>
      <c r="E342" s="10" t="s">
        <v>78</v>
      </c>
      <c r="F342" s="10" t="s">
        <v>78</v>
      </c>
      <c r="G342" s="10" t="s">
        <v>78</v>
      </c>
      <c r="H342" s="10" t="s">
        <v>224</v>
      </c>
      <c r="I342" s="10" t="s">
        <v>135</v>
      </c>
      <c r="J342" s="12" t="s">
        <v>284</v>
      </c>
      <c r="K342" s="12" t="s">
        <v>221</v>
      </c>
      <c r="L342" s="13">
        <v>45698.625</v>
      </c>
      <c r="M342" s="14">
        <v>45716.625</v>
      </c>
      <c r="N342" s="15"/>
      <c r="O342" s="15"/>
      <c r="P342" s="15"/>
      <c r="Q342" s="15"/>
      <c r="R342" s="15"/>
    </row>
    <row r="343" spans="1:18" ht="14.25" customHeight="1">
      <c r="A343" s="5">
        <v>837</v>
      </c>
      <c r="B343" s="8" t="s">
        <v>940</v>
      </c>
      <c r="C343" s="7" t="s">
        <v>941</v>
      </c>
      <c r="D343" s="10" t="s">
        <v>74</v>
      </c>
      <c r="E343" s="10" t="s">
        <v>78</v>
      </c>
      <c r="F343" s="10" t="s">
        <v>78</v>
      </c>
      <c r="G343" s="10" t="s">
        <v>78</v>
      </c>
      <c r="H343" s="10" t="s">
        <v>527</v>
      </c>
      <c r="I343" s="10" t="s">
        <v>113</v>
      </c>
      <c r="J343" s="12" t="s">
        <v>220</v>
      </c>
      <c r="K343" s="12" t="s">
        <v>221</v>
      </c>
      <c r="L343" s="13">
        <v>45712.625</v>
      </c>
      <c r="M343" s="14">
        <v>45725.625</v>
      </c>
      <c r="N343" s="15"/>
      <c r="O343" s="15"/>
      <c r="P343" s="15"/>
      <c r="Q343" s="15"/>
      <c r="R343" s="15"/>
    </row>
    <row r="344" spans="1:18" ht="14.25" customHeight="1">
      <c r="A344" s="5">
        <v>838</v>
      </c>
      <c r="B344" s="8" t="s">
        <v>942</v>
      </c>
      <c r="C344" s="7" t="s">
        <v>943</v>
      </c>
      <c r="D344" s="10" t="s">
        <v>74</v>
      </c>
      <c r="E344" s="10" t="s">
        <v>78</v>
      </c>
      <c r="F344" s="10" t="s">
        <v>78</v>
      </c>
      <c r="G344" s="10" t="s">
        <v>78</v>
      </c>
      <c r="H344" s="10" t="s">
        <v>288</v>
      </c>
      <c r="I344" s="10" t="s">
        <v>944</v>
      </c>
      <c r="J344" s="12" t="s">
        <v>215</v>
      </c>
      <c r="K344" s="12" t="s">
        <v>221</v>
      </c>
      <c r="L344" s="13">
        <v>45713.625</v>
      </c>
      <c r="M344" s="14">
        <v>45795.583333333299</v>
      </c>
      <c r="N344" s="15"/>
      <c r="O344" s="15"/>
      <c r="P344" s="15"/>
      <c r="Q344" s="15"/>
      <c r="R344" s="15"/>
    </row>
    <row r="345" spans="1:18" ht="14.25" customHeight="1">
      <c r="A345" s="5">
        <v>839</v>
      </c>
      <c r="B345" s="8" t="s">
        <v>945</v>
      </c>
      <c r="C345" s="7" t="s">
        <v>946</v>
      </c>
      <c r="D345" s="10" t="s">
        <v>74</v>
      </c>
      <c r="E345" s="10" t="s">
        <v>78</v>
      </c>
      <c r="F345" s="10" t="s">
        <v>78</v>
      </c>
      <c r="G345" s="10" t="s">
        <v>78</v>
      </c>
      <c r="H345" s="10" t="s">
        <v>288</v>
      </c>
      <c r="I345" s="10" t="s">
        <v>85</v>
      </c>
      <c r="J345" s="12" t="s">
        <v>220</v>
      </c>
      <c r="K345" s="12" t="s">
        <v>221</v>
      </c>
      <c r="L345" s="13">
        <v>45712.625</v>
      </c>
      <c r="M345" s="14">
        <v>45743.583333333299</v>
      </c>
      <c r="N345" s="15"/>
      <c r="O345" s="15"/>
      <c r="P345" s="15"/>
      <c r="Q345" s="15"/>
      <c r="R345" s="15"/>
    </row>
    <row r="346" spans="1:18" ht="14.25" customHeight="1">
      <c r="A346" s="5">
        <v>840</v>
      </c>
      <c r="B346" s="8" t="s">
        <v>947</v>
      </c>
      <c r="C346" s="7" t="s">
        <v>948</v>
      </c>
      <c r="D346" s="10" t="s">
        <v>74</v>
      </c>
      <c r="E346" s="10" t="s">
        <v>78</v>
      </c>
      <c r="F346" s="10" t="s">
        <v>78</v>
      </c>
      <c r="G346" s="10" t="s">
        <v>78</v>
      </c>
      <c r="H346" s="10" t="s">
        <v>288</v>
      </c>
      <c r="I346" s="10" t="s">
        <v>85</v>
      </c>
      <c r="J346" s="12" t="s">
        <v>220</v>
      </c>
      <c r="K346" s="12" t="s">
        <v>221</v>
      </c>
      <c r="L346" s="13">
        <v>45712.625</v>
      </c>
      <c r="M346" s="18">
        <v>45716.625</v>
      </c>
      <c r="N346" s="15"/>
      <c r="O346" s="15"/>
      <c r="P346" s="15"/>
      <c r="Q346" s="15"/>
      <c r="R346" s="15"/>
    </row>
    <row r="347" spans="1:18" ht="14.25" customHeight="1">
      <c r="A347" s="5">
        <v>841</v>
      </c>
      <c r="B347" s="8" t="s">
        <v>949</v>
      </c>
      <c r="C347" s="7" t="s">
        <v>950</v>
      </c>
      <c r="D347" s="10" t="s">
        <v>74</v>
      </c>
      <c r="E347" s="10" t="s">
        <v>202</v>
      </c>
      <c r="F347" s="10" t="s">
        <v>212</v>
      </c>
      <c r="G347" s="10" t="s">
        <v>95</v>
      </c>
      <c r="H347" s="10" t="s">
        <v>218</v>
      </c>
      <c r="I347" s="10" t="s">
        <v>61</v>
      </c>
      <c r="J347" s="12" t="s">
        <v>220</v>
      </c>
      <c r="K347" s="12" t="s">
        <v>221</v>
      </c>
      <c r="L347" s="13">
        <v>45713.625</v>
      </c>
      <c r="M347" s="14">
        <v>45837.583333333299</v>
      </c>
      <c r="N347" s="15"/>
      <c r="O347" s="15"/>
      <c r="P347" s="15"/>
      <c r="Q347" s="15"/>
      <c r="R347" s="15"/>
    </row>
    <row r="348" spans="1:18" ht="14.25" customHeight="1">
      <c r="A348" s="5">
        <v>842</v>
      </c>
      <c r="B348" s="8" t="s">
        <v>951</v>
      </c>
      <c r="C348" s="7" t="s">
        <v>952</v>
      </c>
      <c r="D348" s="10" t="s">
        <v>29</v>
      </c>
      <c r="E348" s="10" t="s">
        <v>203</v>
      </c>
      <c r="F348" s="10" t="s">
        <v>212</v>
      </c>
      <c r="G348" s="10" t="s">
        <v>30</v>
      </c>
      <c r="H348" s="10" t="s">
        <v>240</v>
      </c>
      <c r="I348" s="10" t="s">
        <v>953</v>
      </c>
      <c r="J348" s="12" t="s">
        <v>220</v>
      </c>
      <c r="K348" s="12" t="s">
        <v>221</v>
      </c>
      <c r="L348" s="13">
        <v>45712.625</v>
      </c>
      <c r="M348" s="14">
        <v>45961.583333333299</v>
      </c>
      <c r="N348" s="15"/>
      <c r="O348" s="15"/>
      <c r="P348" s="15"/>
      <c r="Q348" s="15"/>
      <c r="R348" s="15"/>
    </row>
    <row r="349" spans="1:18" ht="14.25" customHeight="1">
      <c r="A349" s="5">
        <v>843</v>
      </c>
      <c r="B349" s="8" t="s">
        <v>954</v>
      </c>
      <c r="C349" s="7" t="s">
        <v>955</v>
      </c>
      <c r="D349" s="10" t="s">
        <v>269</v>
      </c>
      <c r="E349" s="10" t="s">
        <v>270</v>
      </c>
      <c r="F349" s="10" t="s">
        <v>212</v>
      </c>
      <c r="G349" s="10" t="s">
        <v>271</v>
      </c>
      <c r="H349" s="10" t="s">
        <v>218</v>
      </c>
      <c r="I349" s="10" t="s">
        <v>61</v>
      </c>
      <c r="J349" s="12" t="s">
        <v>220</v>
      </c>
      <c r="K349" s="12" t="s">
        <v>221</v>
      </c>
      <c r="L349" s="13">
        <v>45714.625</v>
      </c>
      <c r="M349" s="14">
        <v>45777.583333333299</v>
      </c>
      <c r="N349" s="15"/>
      <c r="O349" s="15"/>
      <c r="P349" s="15"/>
      <c r="Q349" s="15"/>
      <c r="R349" s="15"/>
    </row>
    <row r="350" spans="1:18" ht="14.25" customHeight="1">
      <c r="A350" s="5">
        <v>844</v>
      </c>
      <c r="B350" s="8" t="s">
        <v>956</v>
      </c>
      <c r="C350" s="7" t="s">
        <v>957</v>
      </c>
      <c r="D350" s="10" t="s">
        <v>16</v>
      </c>
      <c r="E350" s="10" t="s">
        <v>211</v>
      </c>
      <c r="F350" s="10" t="s">
        <v>212</v>
      </c>
      <c r="G350" s="10" t="s">
        <v>17</v>
      </c>
      <c r="H350" s="10" t="s">
        <v>218</v>
      </c>
      <c r="I350" s="10" t="s">
        <v>61</v>
      </c>
      <c r="J350" s="12" t="s">
        <v>220</v>
      </c>
      <c r="K350" s="12" t="s">
        <v>221</v>
      </c>
      <c r="L350" s="13">
        <v>45719.625</v>
      </c>
      <c r="M350" s="14">
        <v>45747.583333333299</v>
      </c>
      <c r="N350" s="15"/>
      <c r="O350" s="15"/>
      <c r="P350" s="15"/>
      <c r="Q350" s="15"/>
      <c r="R350" s="15"/>
    </row>
    <row r="351" spans="1:18" ht="14.25" customHeight="1">
      <c r="A351" s="5">
        <v>845</v>
      </c>
      <c r="B351" s="8" t="s">
        <v>958</v>
      </c>
      <c r="C351" s="7" t="s">
        <v>959</v>
      </c>
      <c r="D351" s="10" t="s">
        <v>74</v>
      </c>
      <c r="E351" s="10" t="s">
        <v>78</v>
      </c>
      <c r="F351" s="10" t="s">
        <v>78</v>
      </c>
      <c r="G351" s="10" t="s">
        <v>78</v>
      </c>
      <c r="H351" s="10" t="s">
        <v>288</v>
      </c>
      <c r="I351" s="10" t="s">
        <v>960</v>
      </c>
      <c r="J351" s="12" t="s">
        <v>215</v>
      </c>
      <c r="K351" s="12" t="s">
        <v>221</v>
      </c>
      <c r="L351" s="13">
        <v>45712.625</v>
      </c>
      <c r="M351" s="14">
        <v>45941.583333333299</v>
      </c>
      <c r="N351" s="15"/>
      <c r="O351" s="15"/>
      <c r="P351" s="15"/>
      <c r="Q351" s="15"/>
      <c r="R351" s="15"/>
    </row>
    <row r="352" spans="1:18" ht="14.25" customHeight="1">
      <c r="A352" s="5">
        <v>846</v>
      </c>
      <c r="B352" s="8" t="s">
        <v>961</v>
      </c>
      <c r="C352" s="7" t="s">
        <v>962</v>
      </c>
      <c r="D352" s="10" t="s">
        <v>16</v>
      </c>
      <c r="E352" s="10" t="s">
        <v>211</v>
      </c>
      <c r="F352" s="10" t="s">
        <v>212</v>
      </c>
      <c r="G352" s="10" t="s">
        <v>17</v>
      </c>
      <c r="H352" s="10" t="s">
        <v>218</v>
      </c>
      <c r="I352" s="10" t="s">
        <v>61</v>
      </c>
      <c r="J352" s="12" t="s">
        <v>220</v>
      </c>
      <c r="K352" s="12" t="s">
        <v>221</v>
      </c>
      <c r="L352" s="13">
        <v>45712.625</v>
      </c>
      <c r="M352" s="14">
        <v>45713.625</v>
      </c>
      <c r="N352" s="15"/>
      <c r="O352" s="15"/>
      <c r="P352" s="15"/>
      <c r="Q352" s="15"/>
      <c r="R352" s="15"/>
    </row>
    <row r="353" spans="1:18" ht="14.25" customHeight="1">
      <c r="A353" s="5">
        <v>847</v>
      </c>
      <c r="B353" s="8" t="s">
        <v>963</v>
      </c>
      <c r="C353" s="7" t="s">
        <v>964</v>
      </c>
      <c r="D353" s="10" t="s">
        <v>74</v>
      </c>
      <c r="E353" s="10" t="s">
        <v>78</v>
      </c>
      <c r="F353" s="10" t="s">
        <v>78</v>
      </c>
      <c r="G353" s="10" t="s">
        <v>78</v>
      </c>
      <c r="H353" s="10" t="s">
        <v>288</v>
      </c>
      <c r="I353" s="10" t="s">
        <v>85</v>
      </c>
      <c r="J353" s="12" t="s">
        <v>215</v>
      </c>
      <c r="K353" s="12" t="s">
        <v>221</v>
      </c>
      <c r="L353" s="13">
        <v>45714.625</v>
      </c>
      <c r="M353" s="14">
        <v>45988.625</v>
      </c>
      <c r="N353" s="15"/>
      <c r="O353" s="15"/>
      <c r="P353" s="15"/>
      <c r="Q353" s="15"/>
      <c r="R353" s="15"/>
    </row>
    <row r="354" spans="1:18" ht="14.25" customHeight="1">
      <c r="A354" s="5">
        <v>848</v>
      </c>
      <c r="B354" s="8" t="s">
        <v>965</v>
      </c>
      <c r="C354" s="7" t="s">
        <v>966</v>
      </c>
      <c r="D354" s="10" t="s">
        <v>74</v>
      </c>
      <c r="E354" s="10" t="s">
        <v>201</v>
      </c>
      <c r="F354" s="10" t="s">
        <v>212</v>
      </c>
      <c r="G354" s="10" t="s">
        <v>136</v>
      </c>
      <c r="H354" s="10" t="s">
        <v>218</v>
      </c>
      <c r="I354" s="10" t="s">
        <v>61</v>
      </c>
      <c r="J354" s="12" t="s">
        <v>220</v>
      </c>
      <c r="K354" s="12" t="s">
        <v>221</v>
      </c>
      <c r="L354" s="13">
        <v>45818.583333333299</v>
      </c>
      <c r="M354" s="18">
        <v>45887.583333333299</v>
      </c>
      <c r="N354" s="15"/>
      <c r="O354" s="15"/>
      <c r="P354" s="15"/>
      <c r="Q354" s="15"/>
      <c r="R354" s="15"/>
    </row>
    <row r="355" spans="1:18" ht="14.25" customHeight="1">
      <c r="A355" s="5">
        <v>849</v>
      </c>
      <c r="B355" s="8" t="s">
        <v>967</v>
      </c>
      <c r="C355" s="7" t="s">
        <v>968</v>
      </c>
      <c r="D355" s="10" t="s">
        <v>45</v>
      </c>
      <c r="E355" s="10" t="s">
        <v>201</v>
      </c>
      <c r="F355" s="10" t="s">
        <v>212</v>
      </c>
      <c r="G355" s="10" t="s">
        <v>136</v>
      </c>
      <c r="H355" s="10" t="s">
        <v>213</v>
      </c>
      <c r="I355" s="10" t="s">
        <v>67</v>
      </c>
      <c r="J355" s="12" t="s">
        <v>220</v>
      </c>
      <c r="K355" s="12" t="s">
        <v>208</v>
      </c>
      <c r="L355" s="13">
        <v>45717.625</v>
      </c>
      <c r="M355" s="14"/>
      <c r="N355" s="15"/>
      <c r="O355" s="15"/>
      <c r="P355" s="15"/>
      <c r="Q355" s="15"/>
      <c r="R355" s="15"/>
    </row>
    <row r="356" spans="1:18" ht="14.25" customHeight="1">
      <c r="A356" s="5">
        <v>850</v>
      </c>
      <c r="B356" s="8" t="s">
        <v>969</v>
      </c>
      <c r="C356" s="7" t="s">
        <v>970</v>
      </c>
      <c r="D356" s="10" t="s">
        <v>74</v>
      </c>
      <c r="E356" s="10" t="s">
        <v>202</v>
      </c>
      <c r="F356" s="10" t="s">
        <v>212</v>
      </c>
      <c r="G356" s="10" t="s">
        <v>108</v>
      </c>
      <c r="H356" s="10" t="s">
        <v>231</v>
      </c>
      <c r="I356" s="10" t="s">
        <v>58</v>
      </c>
      <c r="J356" s="12" t="s">
        <v>220</v>
      </c>
      <c r="K356" s="12" t="s">
        <v>221</v>
      </c>
      <c r="L356" s="13">
        <v>45717.625</v>
      </c>
      <c r="M356" s="14">
        <v>45984.625</v>
      </c>
      <c r="N356" s="15"/>
      <c r="O356" s="15"/>
      <c r="P356" s="15"/>
      <c r="Q356" s="15"/>
      <c r="R356" s="15"/>
    </row>
    <row r="357" spans="1:18" ht="14.25" customHeight="1">
      <c r="A357" s="5">
        <v>851</v>
      </c>
      <c r="B357" s="8" t="s">
        <v>971</v>
      </c>
      <c r="C357" s="7" t="s">
        <v>356</v>
      </c>
      <c r="D357" s="10" t="s">
        <v>16</v>
      </c>
      <c r="E357" s="10" t="s">
        <v>211</v>
      </c>
      <c r="F357" s="10" t="s">
        <v>259</v>
      </c>
      <c r="G357" s="10" t="s">
        <v>36</v>
      </c>
      <c r="H357" s="10" t="s">
        <v>36</v>
      </c>
      <c r="I357" s="10" t="s">
        <v>972</v>
      </c>
      <c r="J357" s="12" t="s">
        <v>215</v>
      </c>
      <c r="K357" s="12" t="s">
        <v>208</v>
      </c>
      <c r="L357" s="13">
        <v>45720.625</v>
      </c>
      <c r="M357" s="14"/>
      <c r="N357" s="15"/>
      <c r="O357" s="15"/>
      <c r="P357" s="15"/>
      <c r="Q357" s="15"/>
      <c r="R357" s="15"/>
    </row>
    <row r="358" spans="1:18" ht="14.25" customHeight="1">
      <c r="A358" s="5">
        <v>852</v>
      </c>
      <c r="B358" s="8" t="s">
        <v>973</v>
      </c>
      <c r="C358" s="7" t="s">
        <v>592</v>
      </c>
      <c r="D358" s="10" t="s">
        <v>74</v>
      </c>
      <c r="E358" s="10" t="s">
        <v>202</v>
      </c>
      <c r="F358" s="10" t="s">
        <v>212</v>
      </c>
      <c r="G358" s="10" t="s">
        <v>95</v>
      </c>
      <c r="H358" s="10" t="s">
        <v>231</v>
      </c>
      <c r="I358" s="10" t="s">
        <v>58</v>
      </c>
      <c r="J358" s="12" t="s">
        <v>215</v>
      </c>
      <c r="K358" s="12" t="s">
        <v>221</v>
      </c>
      <c r="L358" s="13">
        <v>45720.625</v>
      </c>
      <c r="M358" s="14">
        <v>45935.583333333299</v>
      </c>
      <c r="N358" s="15"/>
      <c r="O358" s="15"/>
      <c r="P358" s="15"/>
      <c r="Q358" s="15"/>
      <c r="R358" s="15"/>
    </row>
    <row r="359" spans="1:18" ht="14.25" customHeight="1">
      <c r="A359" s="5">
        <v>853</v>
      </c>
      <c r="B359" s="8" t="s">
        <v>974</v>
      </c>
      <c r="C359" s="7" t="s">
        <v>975</v>
      </c>
      <c r="D359" s="10" t="s">
        <v>16</v>
      </c>
      <c r="E359" s="10" t="s">
        <v>211</v>
      </c>
      <c r="F359" s="10" t="s">
        <v>259</v>
      </c>
      <c r="G359" s="10" t="s">
        <v>75</v>
      </c>
      <c r="H359" s="10" t="s">
        <v>75</v>
      </c>
      <c r="I359" s="10" t="s">
        <v>595</v>
      </c>
      <c r="J359" s="12" t="s">
        <v>215</v>
      </c>
      <c r="K359" s="12" t="s">
        <v>208</v>
      </c>
      <c r="L359" s="13">
        <v>45720.625</v>
      </c>
      <c r="M359" s="18"/>
      <c r="N359" s="15"/>
      <c r="O359" s="15"/>
      <c r="P359" s="15"/>
      <c r="Q359" s="15"/>
      <c r="R359" s="15"/>
    </row>
    <row r="360" spans="1:18" ht="14.25" customHeight="1">
      <c r="A360" s="5">
        <v>854</v>
      </c>
      <c r="B360" s="8" t="s">
        <v>976</v>
      </c>
      <c r="C360" s="7" t="s">
        <v>977</v>
      </c>
      <c r="D360" s="10" t="s">
        <v>29</v>
      </c>
      <c r="E360" s="10" t="s">
        <v>203</v>
      </c>
      <c r="F360" s="10" t="s">
        <v>212</v>
      </c>
      <c r="G360" s="10" t="s">
        <v>30</v>
      </c>
      <c r="H360" s="10" t="s">
        <v>266</v>
      </c>
      <c r="I360" s="10" t="s">
        <v>15</v>
      </c>
      <c r="J360" s="12" t="s">
        <v>215</v>
      </c>
      <c r="K360" s="12" t="s">
        <v>221</v>
      </c>
      <c r="L360" s="13">
        <v>45726.583333333299</v>
      </c>
      <c r="M360" s="14">
        <v>45869.583333333299</v>
      </c>
      <c r="N360" s="15"/>
      <c r="O360" s="15"/>
      <c r="P360" s="15"/>
      <c r="Q360" s="15"/>
      <c r="R360" s="15"/>
    </row>
    <row r="361" spans="1:18" ht="14.25" customHeight="1">
      <c r="A361" s="5">
        <v>855</v>
      </c>
      <c r="B361" s="8" t="s">
        <v>978</v>
      </c>
      <c r="C361" s="7" t="s">
        <v>979</v>
      </c>
      <c r="D361" s="10" t="s">
        <v>29</v>
      </c>
      <c r="E361" s="10" t="s">
        <v>203</v>
      </c>
      <c r="F361" s="10" t="s">
        <v>259</v>
      </c>
      <c r="G361" s="10" t="s">
        <v>540</v>
      </c>
      <c r="H361" s="10" t="s">
        <v>540</v>
      </c>
      <c r="I361" s="10" t="s">
        <v>980</v>
      </c>
      <c r="J361" s="12" t="s">
        <v>471</v>
      </c>
      <c r="K361" s="12" t="s">
        <v>208</v>
      </c>
      <c r="L361" s="13">
        <v>45717.625</v>
      </c>
      <c r="M361" s="18"/>
      <c r="N361" s="15"/>
      <c r="O361" s="15"/>
      <c r="P361" s="15"/>
      <c r="Q361" s="15"/>
      <c r="R361" s="15"/>
    </row>
    <row r="362" spans="1:18" ht="14.25" customHeight="1">
      <c r="A362" s="5">
        <v>856</v>
      </c>
      <c r="B362" s="8" t="s">
        <v>981</v>
      </c>
      <c r="C362" s="7" t="s">
        <v>982</v>
      </c>
      <c r="D362" s="10" t="s">
        <v>74</v>
      </c>
      <c r="E362" s="10" t="s">
        <v>78</v>
      </c>
      <c r="F362" s="10" t="s">
        <v>78</v>
      </c>
      <c r="G362" s="10" t="s">
        <v>78</v>
      </c>
      <c r="H362" s="11" t="s">
        <v>288</v>
      </c>
      <c r="I362" s="10" t="s">
        <v>85</v>
      </c>
      <c r="J362" s="12" t="s">
        <v>220</v>
      </c>
      <c r="K362" s="12" t="s">
        <v>221</v>
      </c>
      <c r="L362" s="13">
        <v>45722.625</v>
      </c>
      <c r="M362" s="18">
        <v>45783.583333333299</v>
      </c>
      <c r="N362" s="15"/>
      <c r="O362" s="15"/>
      <c r="P362" s="15"/>
      <c r="Q362" s="15"/>
      <c r="R362" s="15"/>
    </row>
    <row r="363" spans="1:18" ht="14.25" customHeight="1">
      <c r="A363" s="5">
        <v>857</v>
      </c>
      <c r="B363" s="8" t="s">
        <v>983</v>
      </c>
      <c r="C363" s="7" t="s">
        <v>984</v>
      </c>
      <c r="D363" s="10" t="s">
        <v>74</v>
      </c>
      <c r="E363" s="10" t="s">
        <v>78</v>
      </c>
      <c r="F363" s="10" t="s">
        <v>78</v>
      </c>
      <c r="G363" s="10" t="s">
        <v>78</v>
      </c>
      <c r="H363" s="10" t="s">
        <v>527</v>
      </c>
      <c r="I363" s="10" t="s">
        <v>113</v>
      </c>
      <c r="J363" s="12" t="s">
        <v>220</v>
      </c>
      <c r="K363" s="12" t="s">
        <v>221</v>
      </c>
      <c r="L363" s="13">
        <v>45722.625</v>
      </c>
      <c r="M363" s="18">
        <v>45730.583333333299</v>
      </c>
      <c r="N363" s="15"/>
      <c r="O363" s="15"/>
      <c r="P363" s="15"/>
      <c r="Q363" s="15"/>
      <c r="R363" s="15"/>
    </row>
    <row r="364" spans="1:18" ht="14.25" customHeight="1">
      <c r="A364" s="5">
        <v>858</v>
      </c>
      <c r="B364" s="8" t="s">
        <v>985</v>
      </c>
      <c r="C364" s="7" t="s">
        <v>986</v>
      </c>
      <c r="D364" s="10" t="s">
        <v>74</v>
      </c>
      <c r="E364" s="10" t="s">
        <v>202</v>
      </c>
      <c r="F364" s="10" t="s">
        <v>212</v>
      </c>
      <c r="G364" s="10" t="s">
        <v>108</v>
      </c>
      <c r="H364" s="11" t="s">
        <v>218</v>
      </c>
      <c r="I364" s="10" t="s">
        <v>61</v>
      </c>
      <c r="J364" s="12" t="s">
        <v>220</v>
      </c>
      <c r="K364" s="12" t="s">
        <v>221</v>
      </c>
      <c r="L364" s="13">
        <v>45728.583333333299</v>
      </c>
      <c r="M364" s="14">
        <v>45728.583333333299</v>
      </c>
      <c r="N364" s="15"/>
      <c r="O364" s="15"/>
      <c r="P364" s="15"/>
      <c r="Q364" s="15"/>
      <c r="R364" s="15"/>
    </row>
    <row r="365" spans="1:18" ht="14.25" customHeight="1">
      <c r="A365" s="5">
        <v>859</v>
      </c>
      <c r="B365" s="8" t="s">
        <v>987</v>
      </c>
      <c r="C365" s="7" t="s">
        <v>988</v>
      </c>
      <c r="D365" s="10" t="s">
        <v>29</v>
      </c>
      <c r="E365" s="10" t="s">
        <v>203</v>
      </c>
      <c r="F365" s="10" t="s">
        <v>212</v>
      </c>
      <c r="G365" s="10" t="s">
        <v>544</v>
      </c>
      <c r="H365" s="10" t="s">
        <v>240</v>
      </c>
      <c r="I365" s="10" t="s">
        <v>28</v>
      </c>
      <c r="J365" s="12" t="s">
        <v>284</v>
      </c>
      <c r="K365" s="12" t="s">
        <v>221</v>
      </c>
      <c r="L365" s="13">
        <v>45729.583333333299</v>
      </c>
      <c r="M365" s="18">
        <v>45763.583333333299</v>
      </c>
      <c r="N365" s="15"/>
      <c r="O365" s="15"/>
      <c r="P365" s="15"/>
      <c r="Q365" s="15"/>
      <c r="R365" s="15"/>
    </row>
    <row r="366" spans="1:18" ht="14.25" customHeight="1">
      <c r="A366" s="5">
        <v>860</v>
      </c>
      <c r="B366" s="8" t="s">
        <v>989</v>
      </c>
      <c r="C366" s="7" t="s">
        <v>990</v>
      </c>
      <c r="D366" s="10" t="s">
        <v>74</v>
      </c>
      <c r="E366" s="10" t="s">
        <v>202</v>
      </c>
      <c r="F366" s="10" t="s">
        <v>259</v>
      </c>
      <c r="G366" s="10" t="s">
        <v>305</v>
      </c>
      <c r="H366" s="10" t="s">
        <v>305</v>
      </c>
      <c r="I366" s="10" t="s">
        <v>991</v>
      </c>
      <c r="J366" s="12" t="s">
        <v>284</v>
      </c>
      <c r="K366" s="12" t="s">
        <v>221</v>
      </c>
      <c r="L366" s="13">
        <v>45727.583333333299</v>
      </c>
      <c r="M366" s="14">
        <v>45930.583333333299</v>
      </c>
      <c r="N366" s="15"/>
      <c r="O366" s="15"/>
      <c r="P366" s="15"/>
      <c r="Q366" s="15"/>
      <c r="R366" s="15"/>
    </row>
    <row r="367" spans="1:18" ht="14.25" customHeight="1">
      <c r="A367" s="5">
        <v>861</v>
      </c>
      <c r="B367" s="8" t="s">
        <v>992</v>
      </c>
      <c r="C367" s="7" t="s">
        <v>993</v>
      </c>
      <c r="D367" s="10" t="s">
        <v>74</v>
      </c>
      <c r="E367" s="10" t="s">
        <v>78</v>
      </c>
      <c r="F367" s="10" t="s">
        <v>78</v>
      </c>
      <c r="G367" s="10" t="s">
        <v>78</v>
      </c>
      <c r="H367" s="10" t="s">
        <v>536</v>
      </c>
      <c r="I367" s="10" t="s">
        <v>537</v>
      </c>
      <c r="J367" s="12" t="s">
        <v>220</v>
      </c>
      <c r="K367" s="12" t="s">
        <v>221</v>
      </c>
      <c r="L367" s="13">
        <v>45726.583333333299</v>
      </c>
      <c r="M367" s="18">
        <v>46091.583333333299</v>
      </c>
      <c r="N367" s="15"/>
      <c r="O367" s="15"/>
      <c r="P367" s="15"/>
      <c r="Q367" s="15"/>
      <c r="R367" s="15"/>
    </row>
    <row r="368" spans="1:18" ht="14.25" customHeight="1">
      <c r="A368" s="5">
        <v>862</v>
      </c>
      <c r="B368" s="8" t="s">
        <v>994</v>
      </c>
      <c r="C368" s="7" t="s">
        <v>995</v>
      </c>
      <c r="D368" s="10" t="s">
        <v>74</v>
      </c>
      <c r="E368" s="10" t="s">
        <v>464</v>
      </c>
      <c r="F368" s="10" t="s">
        <v>78</v>
      </c>
      <c r="G368" s="10" t="s">
        <v>78</v>
      </c>
      <c r="H368" s="10" t="s">
        <v>288</v>
      </c>
      <c r="I368" s="10" t="s">
        <v>996</v>
      </c>
      <c r="J368" s="12" t="s">
        <v>471</v>
      </c>
      <c r="K368" s="12" t="s">
        <v>221</v>
      </c>
      <c r="L368" s="13">
        <v>45719.625</v>
      </c>
      <c r="M368" s="14">
        <v>45808.583333333299</v>
      </c>
      <c r="N368" s="15"/>
      <c r="O368" s="15"/>
      <c r="P368" s="15"/>
      <c r="Q368" s="15"/>
      <c r="R368" s="15"/>
    </row>
    <row r="369" spans="1:18" ht="14.25" customHeight="1">
      <c r="A369" s="5">
        <v>863</v>
      </c>
      <c r="B369" s="8" t="s">
        <v>997</v>
      </c>
      <c r="C369" s="7" t="s">
        <v>998</v>
      </c>
      <c r="D369" s="10" t="s">
        <v>74</v>
      </c>
      <c r="E369" s="10" t="s">
        <v>202</v>
      </c>
      <c r="F369" s="10" t="s">
        <v>212</v>
      </c>
      <c r="G369" s="10" t="s">
        <v>108</v>
      </c>
      <c r="H369" s="10" t="s">
        <v>218</v>
      </c>
      <c r="I369" s="10" t="s">
        <v>61</v>
      </c>
      <c r="J369" s="12" t="s">
        <v>220</v>
      </c>
      <c r="K369" s="12" t="s">
        <v>221</v>
      </c>
      <c r="L369" s="13">
        <v>45731.583333333299</v>
      </c>
      <c r="M369" s="14">
        <v>45803.583333333299</v>
      </c>
      <c r="N369" s="15"/>
      <c r="O369" s="15"/>
      <c r="P369" s="15"/>
      <c r="Q369" s="15"/>
      <c r="R369" s="15"/>
    </row>
    <row r="370" spans="1:18" ht="14.25" customHeight="1">
      <c r="A370" s="5">
        <v>864</v>
      </c>
      <c r="B370" s="8" t="s">
        <v>999</v>
      </c>
      <c r="C370" s="7" t="s">
        <v>1000</v>
      </c>
      <c r="D370" s="10" t="s">
        <v>16</v>
      </c>
      <c r="E370" s="10" t="s">
        <v>211</v>
      </c>
      <c r="F370" s="10" t="s">
        <v>259</v>
      </c>
      <c r="G370" s="10" t="s">
        <v>25</v>
      </c>
      <c r="H370" s="10" t="s">
        <v>25</v>
      </c>
      <c r="I370" s="10" t="s">
        <v>1001</v>
      </c>
      <c r="J370" s="12" t="s">
        <v>471</v>
      </c>
      <c r="K370" s="12" t="s">
        <v>221</v>
      </c>
      <c r="L370" s="13">
        <v>45734.583333333299</v>
      </c>
      <c r="M370" s="14">
        <v>45855.583333333299</v>
      </c>
      <c r="N370" s="15"/>
      <c r="O370" s="15"/>
      <c r="P370" s="15"/>
      <c r="Q370" s="15"/>
      <c r="R370" s="15"/>
    </row>
    <row r="371" spans="1:18" ht="14.25" customHeight="1">
      <c r="A371" s="5">
        <v>865</v>
      </c>
      <c r="B371" s="8" t="s">
        <v>1002</v>
      </c>
      <c r="C371" s="7" t="s">
        <v>1003</v>
      </c>
      <c r="D371" s="10" t="s">
        <v>74</v>
      </c>
      <c r="E371" s="10" t="s">
        <v>78</v>
      </c>
      <c r="F371" s="10" t="s">
        <v>78</v>
      </c>
      <c r="G371" s="10" t="s">
        <v>78</v>
      </c>
      <c r="H371" s="10" t="s">
        <v>288</v>
      </c>
      <c r="I371" s="10" t="s">
        <v>944</v>
      </c>
      <c r="J371" s="12" t="s">
        <v>284</v>
      </c>
      <c r="K371" s="12" t="s">
        <v>221</v>
      </c>
      <c r="L371" s="13">
        <v>45733.583333333299</v>
      </c>
      <c r="M371" s="14">
        <v>45740.583333333299</v>
      </c>
      <c r="N371" s="15"/>
      <c r="O371" s="15"/>
      <c r="P371" s="15"/>
      <c r="Q371" s="15"/>
      <c r="R371" s="15"/>
    </row>
    <row r="372" spans="1:18" ht="14.25" customHeight="1">
      <c r="A372" s="5">
        <v>866</v>
      </c>
      <c r="B372" s="8" t="s">
        <v>1004</v>
      </c>
      <c r="C372" s="7" t="s">
        <v>1005</v>
      </c>
      <c r="D372" s="19" t="s">
        <v>74</v>
      </c>
      <c r="E372" s="10" t="s">
        <v>78</v>
      </c>
      <c r="F372" s="10" t="s">
        <v>78</v>
      </c>
      <c r="G372" s="19" t="s">
        <v>78</v>
      </c>
      <c r="H372" s="10" t="s">
        <v>288</v>
      </c>
      <c r="I372" s="19" t="s">
        <v>1006</v>
      </c>
      <c r="J372" s="22" t="s">
        <v>284</v>
      </c>
      <c r="K372" s="12" t="s">
        <v>221</v>
      </c>
      <c r="L372" s="13">
        <v>45740.583333333299</v>
      </c>
      <c r="M372" s="14">
        <v>45772.583333333299</v>
      </c>
      <c r="N372" s="15"/>
      <c r="O372" s="15"/>
      <c r="P372" s="15"/>
      <c r="Q372" s="15"/>
      <c r="R372" s="15"/>
    </row>
    <row r="373" spans="1:18" ht="14.25" customHeight="1">
      <c r="A373" s="5">
        <v>867</v>
      </c>
      <c r="B373" s="8" t="s">
        <v>1007</v>
      </c>
      <c r="C373" s="7" t="s">
        <v>1008</v>
      </c>
      <c r="D373" s="10" t="s">
        <v>29</v>
      </c>
      <c r="E373" s="10" t="s">
        <v>203</v>
      </c>
      <c r="F373" s="10" t="s">
        <v>212</v>
      </c>
      <c r="G373" s="10" t="s">
        <v>30</v>
      </c>
      <c r="H373" s="10" t="s">
        <v>240</v>
      </c>
      <c r="I373" s="10" t="s">
        <v>28</v>
      </c>
      <c r="J373" s="12" t="s">
        <v>215</v>
      </c>
      <c r="K373" s="12" t="s">
        <v>221</v>
      </c>
      <c r="L373" s="13">
        <v>45733.583333333299</v>
      </c>
      <c r="M373" s="18">
        <v>45964.625</v>
      </c>
      <c r="N373" s="15"/>
      <c r="O373" s="15"/>
      <c r="P373" s="15"/>
      <c r="Q373" s="15"/>
      <c r="R373" s="15"/>
    </row>
    <row r="374" spans="1:18" ht="14.25" customHeight="1">
      <c r="A374" s="5">
        <v>868</v>
      </c>
      <c r="B374" s="8" t="s">
        <v>1009</v>
      </c>
      <c r="C374" s="7" t="s">
        <v>1010</v>
      </c>
      <c r="D374" s="10" t="s">
        <v>74</v>
      </c>
      <c r="E374" s="10" t="s">
        <v>202</v>
      </c>
      <c r="F374" s="10" t="s">
        <v>212</v>
      </c>
      <c r="G374" s="10" t="s">
        <v>108</v>
      </c>
      <c r="H374" s="10" t="s">
        <v>240</v>
      </c>
      <c r="I374" s="10" t="s">
        <v>107</v>
      </c>
      <c r="J374" s="12" t="s">
        <v>220</v>
      </c>
      <c r="K374" s="12" t="s">
        <v>221</v>
      </c>
      <c r="L374" s="13">
        <v>45734.583333333299</v>
      </c>
      <c r="M374" s="14">
        <v>46053.625</v>
      </c>
      <c r="N374" s="15"/>
      <c r="O374" s="15"/>
      <c r="P374" s="15"/>
      <c r="Q374" s="15"/>
      <c r="R374" s="15"/>
    </row>
    <row r="375" spans="1:18" ht="14.25" customHeight="1">
      <c r="A375" s="5">
        <v>869</v>
      </c>
      <c r="B375" s="8" t="s">
        <v>1011</v>
      </c>
      <c r="C375" s="7" t="s">
        <v>1012</v>
      </c>
      <c r="D375" s="10" t="s">
        <v>74</v>
      </c>
      <c r="E375" s="10" t="s">
        <v>202</v>
      </c>
      <c r="F375" s="10" t="s">
        <v>212</v>
      </c>
      <c r="G375" s="10" t="s">
        <v>108</v>
      </c>
      <c r="H375" s="10" t="s">
        <v>240</v>
      </c>
      <c r="I375" s="10" t="s">
        <v>107</v>
      </c>
      <c r="J375" s="12" t="s">
        <v>220</v>
      </c>
      <c r="K375" s="12" t="s">
        <v>221</v>
      </c>
      <c r="L375" s="13">
        <v>45733.583333333299</v>
      </c>
      <c r="M375" s="14">
        <v>46022.625</v>
      </c>
      <c r="N375" s="15"/>
      <c r="O375" s="15"/>
      <c r="P375" s="15"/>
      <c r="Q375" s="15"/>
      <c r="R375" s="15"/>
    </row>
    <row r="376" spans="1:18" ht="14.25" customHeight="1">
      <c r="A376" s="5">
        <v>870</v>
      </c>
      <c r="B376" s="8" t="s">
        <v>1013</v>
      </c>
      <c r="C376" s="7" t="s">
        <v>1014</v>
      </c>
      <c r="D376" s="10" t="s">
        <v>29</v>
      </c>
      <c r="E376" s="10" t="s">
        <v>203</v>
      </c>
      <c r="F376" s="10" t="s">
        <v>212</v>
      </c>
      <c r="G376" s="10" t="s">
        <v>544</v>
      </c>
      <c r="H376" s="10" t="s">
        <v>240</v>
      </c>
      <c r="I376" s="10" t="s">
        <v>28</v>
      </c>
      <c r="J376" s="12" t="s">
        <v>284</v>
      </c>
      <c r="K376" s="12" t="s">
        <v>221</v>
      </c>
      <c r="L376" s="13">
        <v>45750.583333333299</v>
      </c>
      <c r="M376" s="14">
        <v>45752.583333333299</v>
      </c>
      <c r="N376" s="15"/>
      <c r="O376" s="15"/>
      <c r="P376" s="15"/>
      <c r="Q376" s="15"/>
      <c r="R376" s="15"/>
    </row>
    <row r="377" spans="1:18" ht="14.25" customHeight="1">
      <c r="A377" s="5">
        <v>871</v>
      </c>
      <c r="B377" s="8" t="s">
        <v>1015</v>
      </c>
      <c r="C377" s="7" t="s">
        <v>1016</v>
      </c>
      <c r="D377" s="10" t="s">
        <v>74</v>
      </c>
      <c r="E377" s="10" t="s">
        <v>202</v>
      </c>
      <c r="F377" s="10" t="s">
        <v>212</v>
      </c>
      <c r="G377" s="10" t="s">
        <v>108</v>
      </c>
      <c r="H377" s="10" t="s">
        <v>218</v>
      </c>
      <c r="I377" s="10" t="s">
        <v>61</v>
      </c>
      <c r="J377" s="12" t="s">
        <v>220</v>
      </c>
      <c r="K377" s="12" t="s">
        <v>221</v>
      </c>
      <c r="L377" s="13">
        <v>45738.583333333299</v>
      </c>
      <c r="M377" s="14">
        <v>45887.583333333299</v>
      </c>
      <c r="N377" s="15"/>
      <c r="O377" s="15"/>
      <c r="P377" s="15"/>
      <c r="Q377" s="15"/>
      <c r="R377" s="15"/>
    </row>
    <row r="378" spans="1:18" ht="14.25" customHeight="1">
      <c r="A378" s="5">
        <v>872</v>
      </c>
      <c r="B378" s="8" t="s">
        <v>1017</v>
      </c>
      <c r="C378" s="7" t="s">
        <v>1018</v>
      </c>
      <c r="D378" s="10" t="s">
        <v>74</v>
      </c>
      <c r="E378" s="10" t="s">
        <v>202</v>
      </c>
      <c r="F378" s="10" t="s">
        <v>212</v>
      </c>
      <c r="G378" s="10" t="s">
        <v>108</v>
      </c>
      <c r="H378" s="10" t="s">
        <v>218</v>
      </c>
      <c r="I378" s="10" t="s">
        <v>61</v>
      </c>
      <c r="J378" s="12" t="s">
        <v>220</v>
      </c>
      <c r="K378" s="12" t="s">
        <v>221</v>
      </c>
      <c r="L378" s="13">
        <v>45733.583333333299</v>
      </c>
      <c r="M378" s="14">
        <v>45774.583333333299</v>
      </c>
      <c r="N378" s="15"/>
      <c r="O378" s="15"/>
      <c r="P378" s="15"/>
      <c r="Q378" s="15"/>
      <c r="R378" s="15"/>
    </row>
    <row r="379" spans="1:18" ht="14.25" customHeight="1">
      <c r="A379" s="5">
        <v>873</v>
      </c>
      <c r="B379" s="8" t="s">
        <v>1019</v>
      </c>
      <c r="C379" s="7" t="s">
        <v>1020</v>
      </c>
      <c r="D379" s="10" t="s">
        <v>16</v>
      </c>
      <c r="E379" s="10" t="s">
        <v>211</v>
      </c>
      <c r="F379" s="10" t="s">
        <v>212</v>
      </c>
      <c r="G379" s="10" t="s">
        <v>17</v>
      </c>
      <c r="H379" s="10" t="s">
        <v>218</v>
      </c>
      <c r="I379" s="10" t="s">
        <v>61</v>
      </c>
      <c r="J379" s="12" t="s">
        <v>220</v>
      </c>
      <c r="K379" s="12" t="s">
        <v>221</v>
      </c>
      <c r="L379" s="13">
        <v>45733.583333333299</v>
      </c>
      <c r="M379" s="18">
        <v>45838.583333333299</v>
      </c>
      <c r="N379" s="15"/>
      <c r="O379" s="15"/>
      <c r="P379" s="15"/>
      <c r="Q379" s="15"/>
      <c r="R379" s="15"/>
    </row>
    <row r="380" spans="1:18" ht="14.25" customHeight="1">
      <c r="A380" s="5">
        <v>875</v>
      </c>
      <c r="B380" s="8" t="s">
        <v>1021</v>
      </c>
      <c r="C380" s="7" t="s">
        <v>1022</v>
      </c>
      <c r="D380" s="10" t="s">
        <v>74</v>
      </c>
      <c r="E380" s="10" t="s">
        <v>78</v>
      </c>
      <c r="F380" s="10" t="s">
        <v>78</v>
      </c>
      <c r="G380" s="10" t="s">
        <v>78</v>
      </c>
      <c r="H380" s="20" t="s">
        <v>527</v>
      </c>
      <c r="I380" s="20" t="s">
        <v>113</v>
      </c>
      <c r="J380" s="12" t="s">
        <v>220</v>
      </c>
      <c r="K380" s="12" t="s">
        <v>221</v>
      </c>
      <c r="L380" s="13">
        <v>45733.583333333299</v>
      </c>
      <c r="M380" s="18">
        <v>45747.583333333299</v>
      </c>
      <c r="N380" s="15"/>
      <c r="O380" s="15"/>
      <c r="P380" s="15"/>
      <c r="Q380" s="15"/>
      <c r="R380" s="15"/>
    </row>
    <row r="381" spans="1:18" ht="14.25" customHeight="1">
      <c r="A381" s="5">
        <v>876</v>
      </c>
      <c r="B381" s="8" t="s">
        <v>1023</v>
      </c>
      <c r="C381" s="7" t="s">
        <v>1024</v>
      </c>
      <c r="D381" s="10" t="s">
        <v>74</v>
      </c>
      <c r="E381" s="10" t="s">
        <v>202</v>
      </c>
      <c r="F381" s="10" t="s">
        <v>212</v>
      </c>
      <c r="G381" s="10" t="s">
        <v>108</v>
      </c>
      <c r="H381" s="10" t="s">
        <v>218</v>
      </c>
      <c r="I381" s="10" t="s">
        <v>61</v>
      </c>
      <c r="J381" s="12" t="s">
        <v>220</v>
      </c>
      <c r="K381" s="12" t="s">
        <v>221</v>
      </c>
      <c r="L381" s="13">
        <v>45741.583333333299</v>
      </c>
      <c r="M381" s="14">
        <v>45741.583333333299</v>
      </c>
      <c r="N381" s="15"/>
      <c r="O381" s="15"/>
      <c r="P381" s="15"/>
      <c r="Q381" s="15"/>
      <c r="R381" s="15"/>
    </row>
    <row r="382" spans="1:18" ht="14.25" customHeight="1">
      <c r="A382" s="5">
        <v>877</v>
      </c>
      <c r="B382" s="8" t="s">
        <v>1025</v>
      </c>
      <c r="C382" s="7" t="s">
        <v>1026</v>
      </c>
      <c r="D382" s="10" t="s">
        <v>16</v>
      </c>
      <c r="E382" s="10" t="s">
        <v>211</v>
      </c>
      <c r="F382" s="10" t="s">
        <v>212</v>
      </c>
      <c r="G382" s="10" t="s">
        <v>17</v>
      </c>
      <c r="H382" s="10" t="s">
        <v>218</v>
      </c>
      <c r="I382" s="10" t="s">
        <v>61</v>
      </c>
      <c r="J382" s="12" t="s">
        <v>220</v>
      </c>
      <c r="K382" s="12" t="s">
        <v>221</v>
      </c>
      <c r="L382" s="13">
        <v>45736.583333333299</v>
      </c>
      <c r="M382" s="14">
        <v>45745.583333333299</v>
      </c>
      <c r="N382" s="15"/>
      <c r="O382" s="15"/>
      <c r="P382" s="15"/>
      <c r="Q382" s="15"/>
      <c r="R382" s="15"/>
    </row>
    <row r="383" spans="1:18" ht="14.25" customHeight="1">
      <c r="A383" s="5">
        <v>878</v>
      </c>
      <c r="B383" s="8" t="s">
        <v>1027</v>
      </c>
      <c r="C383" s="7" t="s">
        <v>1028</v>
      </c>
      <c r="D383" s="10" t="s">
        <v>74</v>
      </c>
      <c r="E383" s="10" t="s">
        <v>202</v>
      </c>
      <c r="F383" s="10" t="s">
        <v>212</v>
      </c>
      <c r="G383" s="10" t="s">
        <v>108</v>
      </c>
      <c r="H383" s="10" t="s">
        <v>240</v>
      </c>
      <c r="I383" s="10" t="s">
        <v>107</v>
      </c>
      <c r="J383" s="12" t="s">
        <v>220</v>
      </c>
      <c r="K383" s="12" t="s">
        <v>221</v>
      </c>
      <c r="L383" s="13">
        <v>45748.583333333299</v>
      </c>
      <c r="M383" s="14">
        <v>45889.583333333299</v>
      </c>
      <c r="N383" s="15"/>
      <c r="O383" s="15"/>
      <c r="P383" s="15"/>
      <c r="Q383" s="15"/>
      <c r="R383" s="15"/>
    </row>
    <row r="384" spans="1:18" ht="14.25" customHeight="1">
      <c r="A384" s="5">
        <v>879</v>
      </c>
      <c r="B384" s="8" t="s">
        <v>1029</v>
      </c>
      <c r="C384" s="7" t="s">
        <v>1030</v>
      </c>
      <c r="D384" s="10" t="s">
        <v>74</v>
      </c>
      <c r="E384" s="10" t="s">
        <v>202</v>
      </c>
      <c r="F384" s="10" t="s">
        <v>212</v>
      </c>
      <c r="G384" s="10" t="s">
        <v>108</v>
      </c>
      <c r="H384" s="10" t="s">
        <v>231</v>
      </c>
      <c r="I384" s="10" t="s">
        <v>58</v>
      </c>
      <c r="J384" s="12" t="s">
        <v>220</v>
      </c>
      <c r="K384" s="12" t="s">
        <v>208</v>
      </c>
      <c r="L384" s="13">
        <v>45749.583333333299</v>
      </c>
      <c r="M384" s="14"/>
      <c r="N384" s="15"/>
      <c r="O384" s="15"/>
      <c r="P384" s="15"/>
      <c r="Q384" s="15"/>
      <c r="R384" s="15"/>
    </row>
    <row r="385" spans="1:18" ht="14.25" customHeight="1">
      <c r="A385" s="5">
        <v>880</v>
      </c>
      <c r="B385" s="8" t="s">
        <v>1031</v>
      </c>
      <c r="C385" s="7" t="s">
        <v>1032</v>
      </c>
      <c r="D385" s="10" t="s">
        <v>74</v>
      </c>
      <c r="E385" s="10" t="s">
        <v>202</v>
      </c>
      <c r="F385" s="10" t="s">
        <v>212</v>
      </c>
      <c r="G385" s="10" t="s">
        <v>108</v>
      </c>
      <c r="H385" s="11" t="s">
        <v>240</v>
      </c>
      <c r="I385" s="10" t="s">
        <v>107</v>
      </c>
      <c r="J385" s="12" t="s">
        <v>220</v>
      </c>
      <c r="K385" s="12" t="s">
        <v>221</v>
      </c>
      <c r="L385" s="13">
        <v>45748.583333333299</v>
      </c>
      <c r="M385" s="14">
        <v>45900.583333333299</v>
      </c>
      <c r="N385" s="15"/>
      <c r="O385" s="15"/>
      <c r="P385" s="15"/>
      <c r="Q385" s="15"/>
      <c r="R385" s="15"/>
    </row>
    <row r="386" spans="1:18" ht="14.25" customHeight="1">
      <c r="A386" s="5">
        <v>881</v>
      </c>
      <c r="B386" s="8" t="s">
        <v>1033</v>
      </c>
      <c r="C386" s="7" t="s">
        <v>1034</v>
      </c>
      <c r="D386" s="10" t="s">
        <v>74</v>
      </c>
      <c r="E386" s="10" t="s">
        <v>202</v>
      </c>
      <c r="F386" s="10" t="s">
        <v>212</v>
      </c>
      <c r="G386" s="10" t="s">
        <v>108</v>
      </c>
      <c r="H386" s="10" t="s">
        <v>218</v>
      </c>
      <c r="I386" s="10" t="s">
        <v>61</v>
      </c>
      <c r="J386" s="12" t="s">
        <v>220</v>
      </c>
      <c r="K386" s="12" t="s">
        <v>221</v>
      </c>
      <c r="L386" s="13">
        <v>45748.583333333299</v>
      </c>
      <c r="M386" s="14">
        <v>45803.583333333299</v>
      </c>
      <c r="N386" s="15"/>
      <c r="O386" s="15"/>
      <c r="P386" s="15"/>
      <c r="Q386" s="15"/>
      <c r="R386" s="15"/>
    </row>
    <row r="387" spans="1:18" ht="14.25" customHeight="1">
      <c r="A387" s="5">
        <v>882</v>
      </c>
      <c r="B387" s="8" t="s">
        <v>151</v>
      </c>
      <c r="C387" s="7" t="s">
        <v>152</v>
      </c>
      <c r="D387" s="10" t="s">
        <v>74</v>
      </c>
      <c r="E387" s="10" t="s">
        <v>78</v>
      </c>
      <c r="F387" s="10" t="s">
        <v>78</v>
      </c>
      <c r="G387" s="10" t="s">
        <v>78</v>
      </c>
      <c r="H387" s="10" t="s">
        <v>288</v>
      </c>
      <c r="I387" s="10" t="s">
        <v>85</v>
      </c>
      <c r="J387" s="12" t="s">
        <v>215</v>
      </c>
      <c r="K387" s="12" t="s">
        <v>221</v>
      </c>
      <c r="L387" s="13">
        <v>45761.583333333299</v>
      </c>
      <c r="M387" s="14">
        <v>46132.583333333299</v>
      </c>
      <c r="N387" s="15"/>
      <c r="O387" s="15"/>
      <c r="P387" s="15"/>
      <c r="Q387" s="15"/>
      <c r="R387" s="15"/>
    </row>
    <row r="388" spans="1:18" ht="14.25" customHeight="1">
      <c r="A388" s="5">
        <v>883</v>
      </c>
      <c r="B388" s="8" t="s">
        <v>1035</v>
      </c>
      <c r="C388" s="7" t="s">
        <v>1036</v>
      </c>
      <c r="D388" s="10" t="s">
        <v>74</v>
      </c>
      <c r="E388" s="10" t="s">
        <v>78</v>
      </c>
      <c r="F388" s="10" t="s">
        <v>78</v>
      </c>
      <c r="G388" s="10" t="s">
        <v>78</v>
      </c>
      <c r="H388" s="10" t="s">
        <v>288</v>
      </c>
      <c r="I388" s="10" t="s">
        <v>944</v>
      </c>
      <c r="J388" s="12" t="s">
        <v>215</v>
      </c>
      <c r="K388" s="12" t="s">
        <v>221</v>
      </c>
      <c r="L388" s="13">
        <v>45748.583333333299</v>
      </c>
      <c r="M388" s="14">
        <v>45837.583333333299</v>
      </c>
      <c r="N388" s="15"/>
      <c r="O388" s="15"/>
      <c r="P388" s="15"/>
      <c r="Q388" s="15"/>
      <c r="R388" s="15"/>
    </row>
    <row r="389" spans="1:18" ht="14.25" customHeight="1">
      <c r="A389" s="5">
        <v>884</v>
      </c>
      <c r="B389" s="8" t="s">
        <v>1037</v>
      </c>
      <c r="C389" s="7" t="s">
        <v>1038</v>
      </c>
      <c r="D389" s="10" t="s">
        <v>74</v>
      </c>
      <c r="E389" s="10" t="s">
        <v>464</v>
      </c>
      <c r="F389" s="10" t="s">
        <v>78</v>
      </c>
      <c r="G389" s="10" t="s">
        <v>78</v>
      </c>
      <c r="H389" s="10" t="s">
        <v>288</v>
      </c>
      <c r="I389" s="10" t="s">
        <v>1039</v>
      </c>
      <c r="J389" s="12" t="s">
        <v>220</v>
      </c>
      <c r="K389" s="12" t="s">
        <v>221</v>
      </c>
      <c r="L389" s="13">
        <v>45748.583333333299</v>
      </c>
      <c r="M389" s="14">
        <v>45884.583333333299</v>
      </c>
      <c r="N389" s="15"/>
      <c r="O389" s="15"/>
      <c r="P389" s="15"/>
      <c r="Q389" s="15"/>
      <c r="R389" s="15"/>
    </row>
    <row r="390" spans="1:18" ht="14.25" customHeight="1">
      <c r="A390" s="5">
        <v>885</v>
      </c>
      <c r="B390" s="8" t="s">
        <v>83</v>
      </c>
      <c r="C390" s="7" t="s">
        <v>84</v>
      </c>
      <c r="D390" s="10" t="s">
        <v>74</v>
      </c>
      <c r="E390" s="10" t="s">
        <v>78</v>
      </c>
      <c r="F390" s="10" t="s">
        <v>78</v>
      </c>
      <c r="G390" s="10" t="s">
        <v>78</v>
      </c>
      <c r="H390" s="11" t="s">
        <v>288</v>
      </c>
      <c r="I390" s="10" t="s">
        <v>85</v>
      </c>
      <c r="J390" s="12" t="s">
        <v>215</v>
      </c>
      <c r="K390" s="12" t="s">
        <v>221</v>
      </c>
      <c r="L390" s="13">
        <v>45748.583333333299</v>
      </c>
      <c r="M390" s="18">
        <v>45857.583333333299</v>
      </c>
      <c r="N390" s="15"/>
      <c r="O390" s="15"/>
      <c r="P390" s="15"/>
      <c r="Q390" s="15"/>
      <c r="R390" s="15"/>
    </row>
    <row r="391" spans="1:18" ht="14.25" customHeight="1">
      <c r="A391" s="5">
        <v>886</v>
      </c>
      <c r="B391" s="8" t="s">
        <v>197</v>
      </c>
      <c r="C391" s="7" t="s">
        <v>198</v>
      </c>
      <c r="D391" s="10" t="s">
        <v>74</v>
      </c>
      <c r="E391" s="10" t="s">
        <v>78</v>
      </c>
      <c r="F391" s="10" t="s">
        <v>78</v>
      </c>
      <c r="G391" s="10" t="s">
        <v>78</v>
      </c>
      <c r="H391" s="10" t="s">
        <v>288</v>
      </c>
      <c r="I391" s="10" t="s">
        <v>85</v>
      </c>
      <c r="J391" s="12" t="s">
        <v>215</v>
      </c>
      <c r="K391" s="12" t="s">
        <v>221</v>
      </c>
      <c r="L391" s="13">
        <v>45748.583333333299</v>
      </c>
      <c r="M391" s="14">
        <v>45907.583333333299</v>
      </c>
      <c r="N391" s="15"/>
      <c r="O391" s="15"/>
      <c r="P391" s="15"/>
      <c r="Q391" s="15"/>
      <c r="R391" s="15"/>
    </row>
    <row r="392" spans="1:18" ht="14.25" customHeight="1">
      <c r="A392" s="5">
        <v>887</v>
      </c>
      <c r="B392" s="8" t="s">
        <v>86</v>
      </c>
      <c r="C392" s="7" t="s">
        <v>87</v>
      </c>
      <c r="D392" s="10" t="s">
        <v>74</v>
      </c>
      <c r="E392" s="10" t="s">
        <v>78</v>
      </c>
      <c r="F392" s="10" t="s">
        <v>78</v>
      </c>
      <c r="G392" s="10" t="s">
        <v>78</v>
      </c>
      <c r="H392" s="10" t="s">
        <v>288</v>
      </c>
      <c r="I392" s="10" t="s">
        <v>85</v>
      </c>
      <c r="J392" s="12" t="s">
        <v>215</v>
      </c>
      <c r="K392" s="12" t="s">
        <v>221</v>
      </c>
      <c r="L392" s="13">
        <v>45752.583333333299</v>
      </c>
      <c r="M392" s="14">
        <v>45844.583333333299</v>
      </c>
      <c r="N392" s="15"/>
      <c r="O392" s="15"/>
      <c r="P392" s="15"/>
      <c r="Q392" s="15"/>
      <c r="R392" s="15"/>
    </row>
    <row r="393" spans="1:18" ht="14.25" customHeight="1">
      <c r="A393" s="5">
        <v>888</v>
      </c>
      <c r="B393" s="8" t="s">
        <v>1040</v>
      </c>
      <c r="C393" s="7" t="s">
        <v>1041</v>
      </c>
      <c r="D393" s="10" t="s">
        <v>29</v>
      </c>
      <c r="E393" s="10" t="s">
        <v>203</v>
      </c>
      <c r="F393" s="10" t="s">
        <v>212</v>
      </c>
      <c r="G393" s="10" t="s">
        <v>30</v>
      </c>
      <c r="H393" s="10" t="s">
        <v>240</v>
      </c>
      <c r="I393" s="10" t="s">
        <v>28</v>
      </c>
      <c r="J393" s="12" t="s">
        <v>220</v>
      </c>
      <c r="K393" s="12" t="s">
        <v>221</v>
      </c>
      <c r="L393" s="13">
        <v>45748.583333333299</v>
      </c>
      <c r="M393" s="18">
        <v>45942.583333333299</v>
      </c>
      <c r="N393" s="15"/>
      <c r="O393" s="15"/>
      <c r="P393" s="15"/>
      <c r="Q393" s="15"/>
      <c r="R393" s="15"/>
    </row>
    <row r="394" spans="1:18" ht="14.25" customHeight="1">
      <c r="A394" s="5">
        <v>889</v>
      </c>
      <c r="B394" s="8" t="s">
        <v>1042</v>
      </c>
      <c r="C394" s="7" t="s">
        <v>1043</v>
      </c>
      <c r="D394" s="10" t="s">
        <v>74</v>
      </c>
      <c r="E394" s="10" t="s">
        <v>78</v>
      </c>
      <c r="F394" s="10" t="s">
        <v>78</v>
      </c>
      <c r="G394" s="10" t="s">
        <v>78</v>
      </c>
      <c r="H394" s="10" t="s">
        <v>527</v>
      </c>
      <c r="I394" s="10" t="s">
        <v>113</v>
      </c>
      <c r="J394" s="12" t="s">
        <v>215</v>
      </c>
      <c r="K394" s="12" t="s">
        <v>221</v>
      </c>
      <c r="L394" s="13">
        <v>45748.583333333299</v>
      </c>
      <c r="M394" s="14">
        <v>46049.625</v>
      </c>
      <c r="N394" s="15"/>
      <c r="O394" s="15"/>
      <c r="P394" s="15"/>
      <c r="Q394" s="15"/>
      <c r="R394" s="15"/>
    </row>
    <row r="395" spans="1:18" ht="14.25" customHeight="1">
      <c r="A395" s="5">
        <v>890</v>
      </c>
      <c r="B395" s="8" t="s">
        <v>1044</v>
      </c>
      <c r="C395" s="7" t="s">
        <v>1045</v>
      </c>
      <c r="D395" s="10" t="s">
        <v>74</v>
      </c>
      <c r="E395" s="10" t="s">
        <v>202</v>
      </c>
      <c r="F395" s="10" t="s">
        <v>212</v>
      </c>
      <c r="G395" s="10" t="s">
        <v>125</v>
      </c>
      <c r="H395" s="10" t="s">
        <v>58</v>
      </c>
      <c r="I395" s="10" t="s">
        <v>58</v>
      </c>
      <c r="J395" s="12" t="s">
        <v>284</v>
      </c>
      <c r="K395" s="12" t="s">
        <v>221</v>
      </c>
      <c r="L395" s="13">
        <v>45748.583333333299</v>
      </c>
      <c r="M395" s="14">
        <v>45808.583333333299</v>
      </c>
      <c r="N395" s="15"/>
      <c r="O395" s="15"/>
      <c r="P395" s="15"/>
      <c r="Q395" s="15"/>
      <c r="R395" s="15"/>
    </row>
    <row r="396" spans="1:18" ht="14.25" customHeight="1">
      <c r="A396" s="5">
        <v>891</v>
      </c>
      <c r="B396" s="8" t="s">
        <v>1046</v>
      </c>
      <c r="C396" s="7" t="s">
        <v>1047</v>
      </c>
      <c r="D396" s="10" t="s">
        <v>16</v>
      </c>
      <c r="E396" s="10" t="s">
        <v>211</v>
      </c>
      <c r="F396" s="10" t="s">
        <v>212</v>
      </c>
      <c r="G396" s="10" t="s">
        <v>17</v>
      </c>
      <c r="H396" s="10" t="s">
        <v>218</v>
      </c>
      <c r="I396" s="10" t="s">
        <v>61</v>
      </c>
      <c r="J396" s="12" t="s">
        <v>220</v>
      </c>
      <c r="K396" s="12" t="s">
        <v>221</v>
      </c>
      <c r="L396" s="13">
        <v>45761.583333333299</v>
      </c>
      <c r="M396" s="14">
        <v>45795.583333333299</v>
      </c>
      <c r="N396" s="15"/>
      <c r="O396" s="15"/>
      <c r="P396" s="15"/>
      <c r="Q396" s="15"/>
      <c r="R396" s="15"/>
    </row>
    <row r="397" spans="1:18" ht="14.25" customHeight="1">
      <c r="A397" s="5">
        <v>892</v>
      </c>
      <c r="B397" s="8" t="s">
        <v>1048</v>
      </c>
      <c r="C397" s="7" t="s">
        <v>1049</v>
      </c>
      <c r="D397" s="10" t="s">
        <v>16</v>
      </c>
      <c r="E397" s="10" t="s">
        <v>399</v>
      </c>
      <c r="F397" s="10" t="s">
        <v>259</v>
      </c>
      <c r="G397" s="10" t="s">
        <v>25</v>
      </c>
      <c r="H397" s="10" t="s">
        <v>25</v>
      </c>
      <c r="I397" s="10" t="s">
        <v>135</v>
      </c>
      <c r="J397" s="12" t="s">
        <v>284</v>
      </c>
      <c r="K397" s="12" t="s">
        <v>221</v>
      </c>
      <c r="L397" s="13">
        <v>45748.583333333299</v>
      </c>
      <c r="M397" s="14">
        <v>45762.583333333299</v>
      </c>
      <c r="N397" s="15"/>
      <c r="O397" s="15"/>
      <c r="P397" s="15"/>
      <c r="Q397" s="15"/>
      <c r="R397" s="15"/>
    </row>
    <row r="398" spans="1:18" ht="14.25" customHeight="1">
      <c r="A398" s="5">
        <v>893</v>
      </c>
      <c r="B398" s="8" t="s">
        <v>1050</v>
      </c>
      <c r="C398" s="7" t="s">
        <v>1051</v>
      </c>
      <c r="D398" s="10" t="s">
        <v>74</v>
      </c>
      <c r="E398" s="10" t="s">
        <v>202</v>
      </c>
      <c r="F398" s="10" t="s">
        <v>212</v>
      </c>
      <c r="G398" s="10" t="s">
        <v>120</v>
      </c>
      <c r="H398" s="10" t="s">
        <v>240</v>
      </c>
      <c r="I398" s="10" t="s">
        <v>107</v>
      </c>
      <c r="J398" s="12" t="s">
        <v>220</v>
      </c>
      <c r="K398" s="12" t="s">
        <v>221</v>
      </c>
      <c r="L398" s="13">
        <v>45754.583333333299</v>
      </c>
      <c r="M398" s="14">
        <v>45961.583333333299</v>
      </c>
      <c r="N398" s="15"/>
      <c r="O398" s="15"/>
      <c r="P398" s="15"/>
      <c r="Q398" s="15"/>
      <c r="R398" s="15"/>
    </row>
    <row r="399" spans="1:18" ht="14.25" customHeight="1">
      <c r="A399" s="5">
        <v>894</v>
      </c>
      <c r="B399" s="8" t="s">
        <v>1052</v>
      </c>
      <c r="C399" s="7" t="s">
        <v>1053</v>
      </c>
      <c r="D399" s="10" t="s">
        <v>16</v>
      </c>
      <c r="E399" s="10" t="s">
        <v>211</v>
      </c>
      <c r="F399" s="10" t="s">
        <v>259</v>
      </c>
      <c r="G399" s="10" t="s">
        <v>408</v>
      </c>
      <c r="H399" s="10" t="s">
        <v>408</v>
      </c>
      <c r="I399" s="10" t="s">
        <v>1054</v>
      </c>
      <c r="J399" s="12" t="s">
        <v>215</v>
      </c>
      <c r="K399" s="12" t="s">
        <v>221</v>
      </c>
      <c r="L399" s="13">
        <v>45748.583333333299</v>
      </c>
      <c r="M399" s="14">
        <v>45945.583333333299</v>
      </c>
      <c r="N399" s="15"/>
      <c r="O399" s="15"/>
      <c r="P399" s="15"/>
      <c r="Q399" s="15"/>
      <c r="R399" s="15"/>
    </row>
    <row r="400" spans="1:18" ht="14.25" customHeight="1">
      <c r="A400" s="5">
        <v>895</v>
      </c>
      <c r="B400" s="8" t="s">
        <v>1055</v>
      </c>
      <c r="C400" s="7" t="s">
        <v>1056</v>
      </c>
      <c r="D400" s="10" t="s">
        <v>74</v>
      </c>
      <c r="E400" s="10" t="s">
        <v>202</v>
      </c>
      <c r="F400" s="10" t="s">
        <v>212</v>
      </c>
      <c r="G400" s="10" t="s">
        <v>108</v>
      </c>
      <c r="H400" s="10" t="s">
        <v>240</v>
      </c>
      <c r="I400" s="10" t="s">
        <v>107</v>
      </c>
      <c r="J400" s="12" t="s">
        <v>284</v>
      </c>
      <c r="K400" s="12" t="s">
        <v>221</v>
      </c>
      <c r="L400" s="13">
        <v>45754.583333333299</v>
      </c>
      <c r="M400" s="18">
        <v>45754.583333333299</v>
      </c>
      <c r="N400" s="15"/>
      <c r="O400" s="15"/>
      <c r="P400" s="15"/>
      <c r="Q400" s="15"/>
      <c r="R400" s="15"/>
    </row>
    <row r="401" spans="1:18" ht="14.25" customHeight="1">
      <c r="A401" s="5">
        <v>896</v>
      </c>
      <c r="B401" s="8" t="s">
        <v>31</v>
      </c>
      <c r="C401" s="7" t="s">
        <v>32</v>
      </c>
      <c r="D401" s="10" t="s">
        <v>29</v>
      </c>
      <c r="E401" s="10" t="s">
        <v>203</v>
      </c>
      <c r="F401" s="10" t="s">
        <v>212</v>
      </c>
      <c r="G401" s="10" t="s">
        <v>30</v>
      </c>
      <c r="H401" s="10" t="s">
        <v>240</v>
      </c>
      <c r="I401" s="10" t="s">
        <v>28</v>
      </c>
      <c r="J401" s="12" t="s">
        <v>215</v>
      </c>
      <c r="K401" s="12" t="s">
        <v>221</v>
      </c>
      <c r="L401" s="13">
        <v>45761.583333333299</v>
      </c>
      <c r="M401" s="14">
        <v>45900.583333333299</v>
      </c>
      <c r="N401" s="15"/>
      <c r="O401" s="15"/>
      <c r="P401" s="15"/>
      <c r="Q401" s="15"/>
      <c r="R401" s="15"/>
    </row>
    <row r="402" spans="1:18" ht="14.25" customHeight="1">
      <c r="A402" s="5">
        <v>897</v>
      </c>
      <c r="B402" s="8" t="s">
        <v>1057</v>
      </c>
      <c r="C402" s="7" t="s">
        <v>1058</v>
      </c>
      <c r="D402" s="10" t="s">
        <v>29</v>
      </c>
      <c r="E402" s="10" t="s">
        <v>203</v>
      </c>
      <c r="F402" s="10" t="s">
        <v>212</v>
      </c>
      <c r="G402" s="10" t="s">
        <v>39</v>
      </c>
      <c r="H402" s="10" t="s">
        <v>240</v>
      </c>
      <c r="I402" s="10" t="s">
        <v>28</v>
      </c>
      <c r="J402" s="12" t="s">
        <v>220</v>
      </c>
      <c r="K402" s="12" t="s">
        <v>221</v>
      </c>
      <c r="L402" s="13">
        <v>45754.583333333299</v>
      </c>
      <c r="M402" s="14">
        <v>45755.583333333299</v>
      </c>
      <c r="N402" s="15"/>
      <c r="O402" s="15"/>
      <c r="P402" s="15"/>
      <c r="Q402" s="15"/>
      <c r="R402" s="15"/>
    </row>
    <row r="403" spans="1:18" ht="14.25" customHeight="1">
      <c r="A403" s="5">
        <v>898</v>
      </c>
      <c r="B403" s="8" t="s">
        <v>1059</v>
      </c>
      <c r="C403" s="7" t="s">
        <v>1060</v>
      </c>
      <c r="D403" s="10" t="s">
        <v>74</v>
      </c>
      <c r="E403" s="10" t="s">
        <v>202</v>
      </c>
      <c r="F403" s="10" t="s">
        <v>212</v>
      </c>
      <c r="G403" s="10" t="s">
        <v>95</v>
      </c>
      <c r="H403" s="10" t="s">
        <v>218</v>
      </c>
      <c r="I403" s="10" t="s">
        <v>107</v>
      </c>
      <c r="J403" s="12" t="s">
        <v>220</v>
      </c>
      <c r="K403" s="12" t="s">
        <v>221</v>
      </c>
      <c r="L403" s="13">
        <v>45763.583333333299</v>
      </c>
      <c r="M403" s="14">
        <v>46082.625</v>
      </c>
      <c r="N403" s="15"/>
      <c r="O403" s="15"/>
      <c r="P403" s="15"/>
      <c r="Q403" s="15"/>
      <c r="R403" s="15"/>
    </row>
    <row r="404" spans="1:18" ht="14.25" customHeight="1">
      <c r="A404" s="5">
        <v>899</v>
      </c>
      <c r="B404" s="8" t="s">
        <v>1061</v>
      </c>
      <c r="C404" s="7" t="s">
        <v>1062</v>
      </c>
      <c r="D404" s="10" t="s">
        <v>74</v>
      </c>
      <c r="E404" s="10" t="s">
        <v>202</v>
      </c>
      <c r="F404" s="10" t="s">
        <v>212</v>
      </c>
      <c r="G404" s="10" t="s">
        <v>120</v>
      </c>
      <c r="H404" s="10" t="s">
        <v>240</v>
      </c>
      <c r="I404" s="10" t="s">
        <v>107</v>
      </c>
      <c r="J404" s="12" t="s">
        <v>220</v>
      </c>
      <c r="K404" s="12" t="s">
        <v>208</v>
      </c>
      <c r="L404" s="13">
        <v>45758.583333333299</v>
      </c>
      <c r="M404" s="18"/>
      <c r="N404" s="15"/>
      <c r="O404" s="15"/>
      <c r="P404" s="15"/>
      <c r="Q404" s="15"/>
      <c r="R404" s="15"/>
    </row>
    <row r="405" spans="1:18" ht="14.25" customHeight="1">
      <c r="A405" s="5">
        <v>900</v>
      </c>
      <c r="B405" s="8" t="s">
        <v>1063</v>
      </c>
      <c r="C405" s="7" t="s">
        <v>1064</v>
      </c>
      <c r="D405" s="10" t="s">
        <v>74</v>
      </c>
      <c r="E405" s="10" t="s">
        <v>78</v>
      </c>
      <c r="F405" s="10" t="s">
        <v>78</v>
      </c>
      <c r="G405" s="10" t="s">
        <v>78</v>
      </c>
      <c r="H405" s="10" t="s">
        <v>527</v>
      </c>
      <c r="I405" s="10" t="s">
        <v>51</v>
      </c>
      <c r="J405" s="12" t="s">
        <v>215</v>
      </c>
      <c r="K405" s="12" t="s">
        <v>208</v>
      </c>
      <c r="L405" s="13">
        <v>45749.583333333299</v>
      </c>
      <c r="M405" s="14"/>
      <c r="N405" s="15"/>
      <c r="O405" s="15"/>
      <c r="P405" s="15"/>
      <c r="Q405" s="15"/>
      <c r="R405" s="15"/>
    </row>
    <row r="406" spans="1:18" ht="14.25" customHeight="1">
      <c r="A406" s="5">
        <v>901</v>
      </c>
      <c r="B406" s="8" t="s">
        <v>1065</v>
      </c>
      <c r="C406" s="7" t="s">
        <v>1066</v>
      </c>
      <c r="D406" s="10" t="s">
        <v>74</v>
      </c>
      <c r="E406" s="10" t="s">
        <v>78</v>
      </c>
      <c r="F406" s="10" t="s">
        <v>78</v>
      </c>
      <c r="G406" s="10" t="s">
        <v>78</v>
      </c>
      <c r="H406" s="10" t="s">
        <v>288</v>
      </c>
      <c r="I406" s="10" t="s">
        <v>85</v>
      </c>
      <c r="J406" s="12" t="s">
        <v>284</v>
      </c>
      <c r="K406" s="12" t="s">
        <v>221</v>
      </c>
      <c r="L406" s="13">
        <v>45760.583333333299</v>
      </c>
      <c r="M406" s="14">
        <v>45806.583333333299</v>
      </c>
      <c r="N406" s="15"/>
      <c r="O406" s="15"/>
      <c r="P406" s="15"/>
      <c r="Q406" s="15"/>
      <c r="R406" s="15"/>
    </row>
    <row r="407" spans="1:18" ht="14.25" customHeight="1">
      <c r="A407" s="5">
        <v>902</v>
      </c>
      <c r="B407" s="8" t="s">
        <v>1067</v>
      </c>
      <c r="C407" s="7" t="s">
        <v>1068</v>
      </c>
      <c r="D407" s="10" t="s">
        <v>29</v>
      </c>
      <c r="E407" s="10" t="s">
        <v>203</v>
      </c>
      <c r="F407" s="10" t="s">
        <v>212</v>
      </c>
      <c r="G407" s="10" t="s">
        <v>39</v>
      </c>
      <c r="H407" s="10" t="s">
        <v>240</v>
      </c>
      <c r="I407" s="10" t="s">
        <v>28</v>
      </c>
      <c r="J407" s="12" t="s">
        <v>215</v>
      </c>
      <c r="K407" s="12" t="s">
        <v>221</v>
      </c>
      <c r="L407" s="13">
        <v>45775.583333333299</v>
      </c>
      <c r="M407" s="14">
        <v>45851.583333333299</v>
      </c>
      <c r="N407" s="15"/>
      <c r="O407" s="15"/>
      <c r="P407" s="15"/>
      <c r="Q407" s="15"/>
      <c r="R407" s="15"/>
    </row>
    <row r="408" spans="1:18" ht="14.25" customHeight="1">
      <c r="A408" s="5">
        <v>903</v>
      </c>
      <c r="B408" s="8" t="s">
        <v>1069</v>
      </c>
      <c r="C408" s="7" t="s">
        <v>1070</v>
      </c>
      <c r="D408" s="10" t="s">
        <v>74</v>
      </c>
      <c r="E408" s="10" t="s">
        <v>78</v>
      </c>
      <c r="F408" s="10" t="s">
        <v>78</v>
      </c>
      <c r="G408" s="10" t="s">
        <v>78</v>
      </c>
      <c r="H408" s="10" t="s">
        <v>288</v>
      </c>
      <c r="I408" s="10" t="s">
        <v>366</v>
      </c>
      <c r="J408" s="12" t="s">
        <v>284</v>
      </c>
      <c r="K408" s="12" t="s">
        <v>221</v>
      </c>
      <c r="L408" s="13">
        <v>45758.583333333299</v>
      </c>
      <c r="M408" s="14">
        <v>45818.583333333299</v>
      </c>
      <c r="N408" s="15"/>
      <c r="O408" s="15"/>
      <c r="P408" s="15"/>
      <c r="Q408" s="15"/>
      <c r="R408" s="15"/>
    </row>
    <row r="409" spans="1:18" ht="14.25" customHeight="1">
      <c r="A409" s="5">
        <v>904</v>
      </c>
      <c r="B409" s="8" t="s">
        <v>1071</v>
      </c>
      <c r="C409" s="7" t="s">
        <v>1072</v>
      </c>
      <c r="D409" s="10" t="s">
        <v>74</v>
      </c>
      <c r="E409" s="10" t="s">
        <v>78</v>
      </c>
      <c r="F409" s="10" t="s">
        <v>78</v>
      </c>
      <c r="G409" s="10" t="s">
        <v>78</v>
      </c>
      <c r="H409" s="10" t="s">
        <v>527</v>
      </c>
      <c r="I409" s="10" t="s">
        <v>1073</v>
      </c>
      <c r="J409" s="12" t="s">
        <v>284</v>
      </c>
      <c r="K409" s="12" t="s">
        <v>221</v>
      </c>
      <c r="L409" s="13">
        <v>45761.583333333299</v>
      </c>
      <c r="M409" s="18">
        <v>45766.583333333299</v>
      </c>
      <c r="N409" s="15"/>
      <c r="O409" s="15"/>
      <c r="P409" s="15"/>
      <c r="Q409" s="15"/>
      <c r="R409" s="15"/>
    </row>
    <row r="410" spans="1:18" ht="14.25" customHeight="1">
      <c r="A410" s="5">
        <v>905</v>
      </c>
      <c r="B410" s="8" t="s">
        <v>1074</v>
      </c>
      <c r="C410" s="7" t="s">
        <v>1075</v>
      </c>
      <c r="D410" s="10" t="s">
        <v>16</v>
      </c>
      <c r="E410" s="10" t="s">
        <v>399</v>
      </c>
      <c r="F410" s="10" t="s">
        <v>259</v>
      </c>
      <c r="G410" s="10" t="s">
        <v>25</v>
      </c>
      <c r="H410" s="20" t="s">
        <v>25</v>
      </c>
      <c r="I410" s="20" t="s">
        <v>135</v>
      </c>
      <c r="J410" s="12" t="s">
        <v>284</v>
      </c>
      <c r="K410" s="12" t="s">
        <v>221</v>
      </c>
      <c r="L410" s="13">
        <v>45770.583333333299</v>
      </c>
      <c r="M410" s="18">
        <v>45808.583333333299</v>
      </c>
      <c r="N410" s="15"/>
      <c r="O410" s="15"/>
      <c r="P410" s="15"/>
      <c r="Q410" s="15"/>
      <c r="R410" s="15"/>
    </row>
    <row r="411" spans="1:18" ht="14.25" customHeight="1">
      <c r="A411" s="5">
        <v>906</v>
      </c>
      <c r="B411" s="8" t="s">
        <v>1076</v>
      </c>
      <c r="C411" s="7" t="s">
        <v>1077</v>
      </c>
      <c r="D411" s="10" t="s">
        <v>16</v>
      </c>
      <c r="E411" s="10" t="s">
        <v>211</v>
      </c>
      <c r="F411" s="10" t="s">
        <v>259</v>
      </c>
      <c r="G411" s="10" t="s">
        <v>589</v>
      </c>
      <c r="H411" s="10" t="s">
        <v>589</v>
      </c>
      <c r="I411" s="10" t="s">
        <v>1078</v>
      </c>
      <c r="J411" s="12" t="s">
        <v>471</v>
      </c>
      <c r="K411" s="12" t="s">
        <v>221</v>
      </c>
      <c r="L411" s="13">
        <v>45768.583333333299</v>
      </c>
      <c r="M411" s="18">
        <v>45820.583333333299</v>
      </c>
      <c r="N411" s="15"/>
      <c r="O411" s="15"/>
      <c r="P411" s="15"/>
      <c r="Q411" s="15"/>
      <c r="R411" s="15"/>
    </row>
    <row r="412" spans="1:18" ht="14.25" customHeight="1">
      <c r="A412" s="5">
        <v>907</v>
      </c>
      <c r="B412" s="8" t="s">
        <v>1079</v>
      </c>
      <c r="C412" s="7" t="s">
        <v>1080</v>
      </c>
      <c r="D412" s="10" t="s">
        <v>74</v>
      </c>
      <c r="E412" s="10" t="s">
        <v>78</v>
      </c>
      <c r="F412" s="10" t="s">
        <v>78</v>
      </c>
      <c r="G412" s="10" t="s">
        <v>78</v>
      </c>
      <c r="H412" s="10" t="s">
        <v>288</v>
      </c>
      <c r="I412" s="10" t="s">
        <v>85</v>
      </c>
      <c r="J412" s="12" t="s">
        <v>284</v>
      </c>
      <c r="K412" s="12" t="s">
        <v>221</v>
      </c>
      <c r="L412" s="13">
        <v>45768.583333333299</v>
      </c>
      <c r="M412" s="14">
        <v>45900.583333333299</v>
      </c>
      <c r="N412" s="15"/>
      <c r="O412" s="15"/>
      <c r="P412" s="15"/>
      <c r="Q412" s="15"/>
      <c r="R412" s="15"/>
    </row>
    <row r="413" spans="1:18" ht="14.25" customHeight="1">
      <c r="A413" s="5">
        <v>908</v>
      </c>
      <c r="B413" s="8" t="s">
        <v>1081</v>
      </c>
      <c r="C413" s="7" t="s">
        <v>1082</v>
      </c>
      <c r="D413" s="10" t="s">
        <v>16</v>
      </c>
      <c r="E413" s="10" t="s">
        <v>211</v>
      </c>
      <c r="F413" s="10" t="s">
        <v>259</v>
      </c>
      <c r="G413" s="10" t="s">
        <v>25</v>
      </c>
      <c r="H413" s="10" t="s">
        <v>25</v>
      </c>
      <c r="I413" s="10" t="s">
        <v>909</v>
      </c>
      <c r="J413" s="12" t="s">
        <v>215</v>
      </c>
      <c r="K413" s="12" t="s">
        <v>208</v>
      </c>
      <c r="L413" s="13">
        <v>45768.583333333299</v>
      </c>
      <c r="M413" s="14"/>
      <c r="N413" s="15"/>
      <c r="O413" s="15"/>
      <c r="P413" s="15"/>
      <c r="Q413" s="15"/>
      <c r="R413" s="15"/>
    </row>
    <row r="414" spans="1:18" ht="14.25" customHeight="1">
      <c r="A414" s="5">
        <v>909</v>
      </c>
      <c r="B414" s="8" t="s">
        <v>1083</v>
      </c>
      <c r="C414" s="7" t="s">
        <v>1084</v>
      </c>
      <c r="D414" s="10" t="s">
        <v>16</v>
      </c>
      <c r="E414" s="10" t="s">
        <v>211</v>
      </c>
      <c r="F414" s="10" t="s">
        <v>212</v>
      </c>
      <c r="G414" s="10" t="s">
        <v>120</v>
      </c>
      <c r="H414" s="10" t="s">
        <v>218</v>
      </c>
      <c r="I414" s="10" t="s">
        <v>61</v>
      </c>
      <c r="J414" s="12" t="s">
        <v>220</v>
      </c>
      <c r="K414" s="12" t="s">
        <v>221</v>
      </c>
      <c r="L414" s="13">
        <v>45768.583333333299</v>
      </c>
      <c r="M414" s="14">
        <v>45768.583333333299</v>
      </c>
      <c r="N414" s="15"/>
      <c r="O414" s="15"/>
      <c r="P414" s="15"/>
      <c r="Q414" s="15"/>
      <c r="R414" s="15"/>
    </row>
    <row r="415" spans="1:18" ht="14.25" customHeight="1">
      <c r="A415" s="5">
        <v>910</v>
      </c>
      <c r="B415" s="8" t="s">
        <v>1085</v>
      </c>
      <c r="C415" s="7" t="s">
        <v>1086</v>
      </c>
      <c r="D415" s="10" t="s">
        <v>269</v>
      </c>
      <c r="E415" s="10" t="s">
        <v>270</v>
      </c>
      <c r="F415" s="10" t="s">
        <v>212</v>
      </c>
      <c r="G415" s="10" t="s">
        <v>271</v>
      </c>
      <c r="H415" s="10" t="s">
        <v>218</v>
      </c>
      <c r="I415" s="10" t="s">
        <v>61</v>
      </c>
      <c r="J415" s="12" t="s">
        <v>220</v>
      </c>
      <c r="K415" s="12" t="s">
        <v>221</v>
      </c>
      <c r="L415" s="13">
        <v>45768.583333333299</v>
      </c>
      <c r="M415" s="14">
        <v>45836.583333333299</v>
      </c>
      <c r="N415" s="15"/>
      <c r="O415" s="15"/>
      <c r="P415" s="15"/>
      <c r="Q415" s="15"/>
      <c r="R415" s="15"/>
    </row>
    <row r="416" spans="1:18" ht="14.25" customHeight="1">
      <c r="A416" s="5">
        <v>911</v>
      </c>
      <c r="B416" s="8" t="s">
        <v>1087</v>
      </c>
      <c r="C416" s="7" t="s">
        <v>1088</v>
      </c>
      <c r="D416" s="10" t="s">
        <v>269</v>
      </c>
      <c r="E416" s="10" t="s">
        <v>270</v>
      </c>
      <c r="F416" s="10" t="s">
        <v>212</v>
      </c>
      <c r="G416" s="10" t="s">
        <v>271</v>
      </c>
      <c r="H416" s="10" t="s">
        <v>218</v>
      </c>
      <c r="I416" s="10" t="s">
        <v>61</v>
      </c>
      <c r="J416" s="12" t="s">
        <v>220</v>
      </c>
      <c r="K416" s="12" t="s">
        <v>221</v>
      </c>
      <c r="L416" s="13">
        <v>45768.583333333299</v>
      </c>
      <c r="M416" s="14">
        <v>45796.583333333299</v>
      </c>
      <c r="N416" s="15"/>
      <c r="O416" s="15"/>
      <c r="P416" s="15"/>
      <c r="Q416" s="15"/>
      <c r="R416" s="15"/>
    </row>
    <row r="417" spans="1:18" ht="14.25" customHeight="1">
      <c r="A417" s="5">
        <v>912</v>
      </c>
      <c r="B417" s="8" t="s">
        <v>33</v>
      </c>
      <c r="C417" s="7" t="s">
        <v>34</v>
      </c>
      <c r="D417" s="10" t="s">
        <v>29</v>
      </c>
      <c r="E417" s="10" t="s">
        <v>203</v>
      </c>
      <c r="F417" s="10" t="s">
        <v>259</v>
      </c>
      <c r="G417" s="10" t="s">
        <v>36</v>
      </c>
      <c r="H417" s="10" t="s">
        <v>36</v>
      </c>
      <c r="I417" s="10" t="s">
        <v>35</v>
      </c>
      <c r="J417" s="12" t="s">
        <v>215</v>
      </c>
      <c r="K417" s="12" t="s">
        <v>221</v>
      </c>
      <c r="L417" s="13">
        <v>45768.583333333299</v>
      </c>
      <c r="M417" s="14">
        <v>45897.583333333299</v>
      </c>
      <c r="N417" s="15"/>
      <c r="O417" s="15"/>
      <c r="P417" s="15"/>
      <c r="Q417" s="15"/>
      <c r="R417" s="15"/>
    </row>
    <row r="418" spans="1:18" ht="14.25" customHeight="1">
      <c r="A418" s="5">
        <v>913</v>
      </c>
      <c r="B418" s="8" t="s">
        <v>1089</v>
      </c>
      <c r="C418" s="7" t="s">
        <v>1090</v>
      </c>
      <c r="D418" s="10" t="s">
        <v>74</v>
      </c>
      <c r="E418" s="10" t="s">
        <v>202</v>
      </c>
      <c r="F418" s="10" t="s">
        <v>212</v>
      </c>
      <c r="G418" s="10" t="s">
        <v>95</v>
      </c>
      <c r="H418" s="10" t="s">
        <v>218</v>
      </c>
      <c r="I418" s="10" t="s">
        <v>61</v>
      </c>
      <c r="J418" s="12" t="s">
        <v>220</v>
      </c>
      <c r="K418" s="12" t="s">
        <v>221</v>
      </c>
      <c r="L418" s="13">
        <v>45768.583333333299</v>
      </c>
      <c r="M418" s="14">
        <v>45768.583333333299</v>
      </c>
      <c r="N418" s="15"/>
      <c r="O418" s="15"/>
      <c r="P418" s="15"/>
      <c r="Q418" s="15"/>
      <c r="R418" s="15"/>
    </row>
    <row r="419" spans="1:18" ht="14.25" customHeight="1">
      <c r="A419" s="5">
        <v>914</v>
      </c>
      <c r="B419" s="8" t="s">
        <v>1091</v>
      </c>
      <c r="C419" s="7" t="s">
        <v>1092</v>
      </c>
      <c r="D419" s="10" t="s">
        <v>74</v>
      </c>
      <c r="E419" s="10" t="s">
        <v>202</v>
      </c>
      <c r="F419" s="10" t="s">
        <v>212</v>
      </c>
      <c r="G419" s="10" t="s">
        <v>108</v>
      </c>
      <c r="H419" s="10" t="s">
        <v>240</v>
      </c>
      <c r="I419" s="10" t="s">
        <v>107</v>
      </c>
      <c r="J419" s="12" t="s">
        <v>284</v>
      </c>
      <c r="K419" s="12" t="s">
        <v>221</v>
      </c>
      <c r="L419" s="13">
        <v>45750.583333333299</v>
      </c>
      <c r="M419" s="18">
        <v>45750.583333333299</v>
      </c>
      <c r="N419" s="15"/>
      <c r="O419" s="15"/>
      <c r="P419" s="15"/>
      <c r="Q419" s="15"/>
      <c r="R419" s="15"/>
    </row>
    <row r="420" spans="1:18" ht="14.25" customHeight="1">
      <c r="A420" s="5">
        <v>915</v>
      </c>
      <c r="B420" s="8" t="s">
        <v>1093</v>
      </c>
      <c r="C420" s="7" t="s">
        <v>1094</v>
      </c>
      <c r="D420" s="10" t="s">
        <v>29</v>
      </c>
      <c r="E420" s="10" t="s">
        <v>203</v>
      </c>
      <c r="F420" s="10" t="s">
        <v>212</v>
      </c>
      <c r="G420" s="10" t="s">
        <v>544</v>
      </c>
      <c r="H420" s="10" t="s">
        <v>240</v>
      </c>
      <c r="I420" s="10" t="s">
        <v>28</v>
      </c>
      <c r="J420" s="12" t="s">
        <v>215</v>
      </c>
      <c r="K420" s="12" t="s">
        <v>208</v>
      </c>
      <c r="L420" s="13">
        <v>45772.583333333299</v>
      </c>
      <c r="M420" s="14"/>
      <c r="N420" s="15"/>
      <c r="O420" s="15"/>
      <c r="P420" s="15"/>
      <c r="Q420" s="15"/>
      <c r="R420" s="15"/>
    </row>
    <row r="421" spans="1:18" ht="14.25" customHeight="1">
      <c r="A421" s="5">
        <v>916</v>
      </c>
      <c r="B421" s="8" t="s">
        <v>1095</v>
      </c>
      <c r="C421" s="7" t="s">
        <v>1096</v>
      </c>
      <c r="D421" s="10" t="s">
        <v>29</v>
      </c>
      <c r="E421" s="10" t="s">
        <v>203</v>
      </c>
      <c r="F421" s="10" t="s">
        <v>212</v>
      </c>
      <c r="G421" s="10" t="s">
        <v>39</v>
      </c>
      <c r="H421" s="10" t="s">
        <v>240</v>
      </c>
      <c r="I421" s="10" t="s">
        <v>28</v>
      </c>
      <c r="J421" s="12" t="s">
        <v>215</v>
      </c>
      <c r="K421" s="12" t="s">
        <v>221</v>
      </c>
      <c r="L421" s="13">
        <v>45782.583333333299</v>
      </c>
      <c r="M421" s="14">
        <v>46010.625</v>
      </c>
      <c r="N421" s="15"/>
      <c r="O421" s="15"/>
      <c r="P421" s="15"/>
      <c r="Q421" s="15"/>
      <c r="R421" s="15"/>
    </row>
    <row r="422" spans="1:18" ht="14.25" customHeight="1">
      <c r="A422" s="5">
        <v>917</v>
      </c>
      <c r="B422" s="8" t="s">
        <v>1097</v>
      </c>
      <c r="C422" s="7" t="s">
        <v>1098</v>
      </c>
      <c r="D422" s="10" t="s">
        <v>29</v>
      </c>
      <c r="E422" s="10" t="s">
        <v>203</v>
      </c>
      <c r="F422" s="10" t="s">
        <v>212</v>
      </c>
      <c r="G422" s="10" t="s">
        <v>39</v>
      </c>
      <c r="H422" s="10" t="s">
        <v>240</v>
      </c>
      <c r="I422" s="10" t="s">
        <v>1099</v>
      </c>
      <c r="J422" s="12" t="s">
        <v>215</v>
      </c>
      <c r="K422" s="12" t="s">
        <v>221</v>
      </c>
      <c r="L422" s="13">
        <v>45779.583333333299</v>
      </c>
      <c r="M422" s="14">
        <v>46009.625</v>
      </c>
      <c r="N422" s="15"/>
      <c r="O422" s="15"/>
      <c r="P422" s="15"/>
      <c r="Q422" s="15"/>
      <c r="R422" s="15"/>
    </row>
    <row r="423" spans="1:18" ht="14.25" customHeight="1">
      <c r="A423" s="5">
        <v>918</v>
      </c>
      <c r="B423" s="8" t="s">
        <v>1100</v>
      </c>
      <c r="C423" s="7" t="s">
        <v>1101</v>
      </c>
      <c r="D423" s="10" t="s">
        <v>29</v>
      </c>
      <c r="E423" s="10" t="s">
        <v>203</v>
      </c>
      <c r="F423" s="10" t="s">
        <v>212</v>
      </c>
      <c r="G423" s="10" t="s">
        <v>544</v>
      </c>
      <c r="H423" s="10" t="s">
        <v>240</v>
      </c>
      <c r="I423" s="10" t="s">
        <v>28</v>
      </c>
      <c r="J423" s="12" t="s">
        <v>220</v>
      </c>
      <c r="K423" s="12" t="s">
        <v>221</v>
      </c>
      <c r="L423" s="13">
        <v>45782.583333333299</v>
      </c>
      <c r="M423" s="14">
        <v>45848.583333333299</v>
      </c>
      <c r="N423" s="15"/>
      <c r="O423" s="15"/>
      <c r="P423" s="15"/>
      <c r="Q423" s="15"/>
      <c r="R423" s="15"/>
    </row>
    <row r="424" spans="1:18" ht="14.25" customHeight="1">
      <c r="A424" s="5">
        <v>919</v>
      </c>
      <c r="B424" s="8" t="s">
        <v>1102</v>
      </c>
      <c r="C424" s="7" t="s">
        <v>1103</v>
      </c>
      <c r="D424" s="10" t="s">
        <v>29</v>
      </c>
      <c r="E424" s="10" t="s">
        <v>203</v>
      </c>
      <c r="F424" s="10" t="s">
        <v>212</v>
      </c>
      <c r="G424" s="10" t="s">
        <v>39</v>
      </c>
      <c r="H424" s="10" t="s">
        <v>240</v>
      </c>
      <c r="I424" s="10" t="s">
        <v>28</v>
      </c>
      <c r="J424" s="12" t="s">
        <v>220</v>
      </c>
      <c r="K424" s="12" t="s">
        <v>221</v>
      </c>
      <c r="L424" s="13">
        <v>45782.583333333299</v>
      </c>
      <c r="M424" s="14">
        <v>45907.583333333299</v>
      </c>
      <c r="N424" s="15"/>
      <c r="O424" s="15"/>
      <c r="P424" s="15"/>
      <c r="Q424" s="15"/>
      <c r="R424" s="15"/>
    </row>
    <row r="425" spans="1:18" ht="14.25" customHeight="1">
      <c r="A425" s="5">
        <v>920</v>
      </c>
      <c r="B425" s="8" t="s">
        <v>1104</v>
      </c>
      <c r="C425" s="7" t="s">
        <v>1105</v>
      </c>
      <c r="D425" s="10" t="s">
        <v>29</v>
      </c>
      <c r="E425" s="10" t="s">
        <v>203</v>
      </c>
      <c r="F425" s="10" t="s">
        <v>212</v>
      </c>
      <c r="G425" s="10" t="s">
        <v>39</v>
      </c>
      <c r="H425" s="10" t="s">
        <v>240</v>
      </c>
      <c r="I425" s="10" t="s">
        <v>28</v>
      </c>
      <c r="J425" s="12" t="s">
        <v>215</v>
      </c>
      <c r="K425" s="12" t="s">
        <v>221</v>
      </c>
      <c r="L425" s="13">
        <v>45783.583333333299</v>
      </c>
      <c r="M425" s="14">
        <v>45957.583333333299</v>
      </c>
      <c r="N425" s="15"/>
      <c r="O425" s="15"/>
      <c r="P425" s="15"/>
      <c r="Q425" s="15"/>
      <c r="R425" s="15"/>
    </row>
    <row r="426" spans="1:18" ht="14.25" customHeight="1">
      <c r="A426" s="5">
        <v>921</v>
      </c>
      <c r="B426" s="8" t="s">
        <v>1106</v>
      </c>
      <c r="C426" s="7" t="s">
        <v>1107</v>
      </c>
      <c r="D426" s="10" t="s">
        <v>29</v>
      </c>
      <c r="E426" s="10" t="s">
        <v>203</v>
      </c>
      <c r="F426" s="10" t="s">
        <v>212</v>
      </c>
      <c r="G426" s="10" t="s">
        <v>39</v>
      </c>
      <c r="H426" s="10" t="s">
        <v>240</v>
      </c>
      <c r="I426" s="10" t="s">
        <v>28</v>
      </c>
      <c r="J426" s="12" t="s">
        <v>215</v>
      </c>
      <c r="K426" s="12" t="s">
        <v>221</v>
      </c>
      <c r="L426" s="13">
        <v>45783.583333333299</v>
      </c>
      <c r="M426" s="18">
        <v>45872.583333333299</v>
      </c>
      <c r="N426" s="15"/>
      <c r="O426" s="15"/>
      <c r="P426" s="15"/>
      <c r="Q426" s="15"/>
      <c r="R426" s="15"/>
    </row>
    <row r="427" spans="1:18" ht="14.25" customHeight="1">
      <c r="A427" s="5">
        <v>922</v>
      </c>
      <c r="B427" s="8" t="s">
        <v>1108</v>
      </c>
      <c r="C427" s="7" t="s">
        <v>955</v>
      </c>
      <c r="D427" s="10" t="s">
        <v>16</v>
      </c>
      <c r="E427" s="10" t="s">
        <v>211</v>
      </c>
      <c r="F427" s="10" t="s">
        <v>212</v>
      </c>
      <c r="G427" s="10" t="s">
        <v>17</v>
      </c>
      <c r="H427" s="10" t="s">
        <v>218</v>
      </c>
      <c r="I427" s="10" t="s">
        <v>61</v>
      </c>
      <c r="J427" s="12" t="s">
        <v>220</v>
      </c>
      <c r="K427" s="12" t="s">
        <v>208</v>
      </c>
      <c r="L427" s="13">
        <v>45782.583333333299</v>
      </c>
      <c r="M427" s="18"/>
      <c r="N427" s="15"/>
      <c r="O427" s="15"/>
      <c r="P427" s="15"/>
      <c r="Q427" s="15"/>
      <c r="R427" s="15"/>
    </row>
    <row r="428" spans="1:18" ht="14.25" customHeight="1">
      <c r="A428" s="5">
        <v>923</v>
      </c>
      <c r="B428" s="8" t="s">
        <v>1109</v>
      </c>
      <c r="C428" s="7" t="s">
        <v>1110</v>
      </c>
      <c r="D428" s="10" t="s">
        <v>16</v>
      </c>
      <c r="E428" s="10" t="s">
        <v>211</v>
      </c>
      <c r="F428" s="10" t="s">
        <v>212</v>
      </c>
      <c r="G428" s="10" t="s">
        <v>120</v>
      </c>
      <c r="H428" s="10" t="s">
        <v>266</v>
      </c>
      <c r="I428" s="10" t="s">
        <v>319</v>
      </c>
      <c r="J428" s="12" t="s">
        <v>284</v>
      </c>
      <c r="K428" s="12" t="s">
        <v>221</v>
      </c>
      <c r="L428" s="13">
        <v>45782.583333333299</v>
      </c>
      <c r="M428" s="18">
        <v>45815.583333333299</v>
      </c>
      <c r="N428" s="15"/>
      <c r="O428" s="15"/>
      <c r="P428" s="15"/>
      <c r="Q428" s="15"/>
      <c r="R428" s="15"/>
    </row>
    <row r="429" spans="1:18" ht="14.25" customHeight="1">
      <c r="A429" s="5">
        <v>924</v>
      </c>
      <c r="B429" s="8" t="s">
        <v>1111</v>
      </c>
      <c r="C429" s="7" t="s">
        <v>1112</v>
      </c>
      <c r="D429" s="10" t="s">
        <v>45</v>
      </c>
      <c r="E429" s="10" t="s">
        <v>201</v>
      </c>
      <c r="F429" s="10" t="s">
        <v>212</v>
      </c>
      <c r="G429" s="10" t="s">
        <v>46</v>
      </c>
      <c r="H429" s="10" t="s">
        <v>213</v>
      </c>
      <c r="I429" s="10" t="s">
        <v>1113</v>
      </c>
      <c r="J429" s="12" t="s">
        <v>215</v>
      </c>
      <c r="K429" s="12" t="s">
        <v>208</v>
      </c>
      <c r="L429" s="13">
        <v>45776.583333333299</v>
      </c>
      <c r="M429" s="14"/>
      <c r="N429" s="15"/>
      <c r="O429" s="15"/>
      <c r="P429" s="15"/>
      <c r="Q429" s="15"/>
      <c r="R429" s="15"/>
    </row>
    <row r="430" spans="1:18" ht="14.25" customHeight="1">
      <c r="A430" s="5">
        <v>925</v>
      </c>
      <c r="B430" s="8" t="s">
        <v>1114</v>
      </c>
      <c r="C430" s="7" t="s">
        <v>1115</v>
      </c>
      <c r="D430" s="10" t="s">
        <v>74</v>
      </c>
      <c r="E430" s="10" t="s">
        <v>202</v>
      </c>
      <c r="F430" s="10" t="s">
        <v>259</v>
      </c>
      <c r="G430" s="10" t="s">
        <v>480</v>
      </c>
      <c r="H430" s="10" t="s">
        <v>480</v>
      </c>
      <c r="I430" s="10" t="s">
        <v>1116</v>
      </c>
      <c r="J430" s="12" t="s">
        <v>284</v>
      </c>
      <c r="K430" s="12" t="s">
        <v>221</v>
      </c>
      <c r="L430" s="13">
        <v>45784.583333333299</v>
      </c>
      <c r="M430" s="14">
        <v>45813.583333333299</v>
      </c>
      <c r="N430" s="15"/>
      <c r="O430" s="15"/>
      <c r="P430" s="15"/>
      <c r="Q430" s="15"/>
      <c r="R430" s="15"/>
    </row>
    <row r="431" spans="1:18" ht="14.25" customHeight="1">
      <c r="A431" s="5">
        <v>926</v>
      </c>
      <c r="B431" s="8" t="s">
        <v>153</v>
      </c>
      <c r="C431" s="7" t="s">
        <v>154</v>
      </c>
      <c r="D431" s="10" t="s">
        <v>74</v>
      </c>
      <c r="E431" s="10" t="s">
        <v>78</v>
      </c>
      <c r="F431" s="10" t="s">
        <v>78</v>
      </c>
      <c r="G431" s="10" t="s">
        <v>78</v>
      </c>
      <c r="H431" s="10" t="s">
        <v>288</v>
      </c>
      <c r="I431" s="10" t="s">
        <v>85</v>
      </c>
      <c r="J431" s="12" t="s">
        <v>215</v>
      </c>
      <c r="K431" s="12" t="s">
        <v>221</v>
      </c>
      <c r="L431" s="13">
        <v>45781.583333333299</v>
      </c>
      <c r="M431" s="14">
        <v>46096.583333333299</v>
      </c>
      <c r="N431" s="15"/>
      <c r="O431" s="15"/>
      <c r="P431" s="15"/>
      <c r="Q431" s="15"/>
      <c r="R431" s="15"/>
    </row>
    <row r="432" spans="1:18" ht="14.25" customHeight="1">
      <c r="A432" s="5">
        <v>927</v>
      </c>
      <c r="B432" s="8" t="s">
        <v>1117</v>
      </c>
      <c r="C432" s="7" t="s">
        <v>1118</v>
      </c>
      <c r="D432" s="10" t="s">
        <v>74</v>
      </c>
      <c r="E432" s="10" t="s">
        <v>78</v>
      </c>
      <c r="F432" s="10" t="s">
        <v>78</v>
      </c>
      <c r="G432" s="10" t="s">
        <v>78</v>
      </c>
      <c r="H432" s="10" t="s">
        <v>527</v>
      </c>
      <c r="I432" s="10" t="s">
        <v>1073</v>
      </c>
      <c r="J432" s="12" t="s">
        <v>284</v>
      </c>
      <c r="K432" s="12" t="s">
        <v>221</v>
      </c>
      <c r="L432" s="13">
        <v>45779.583333333299</v>
      </c>
      <c r="M432" s="14">
        <v>45839.583333333299</v>
      </c>
      <c r="N432" s="15"/>
      <c r="O432" s="15"/>
      <c r="P432" s="15"/>
      <c r="Q432" s="15"/>
      <c r="R432" s="15"/>
    </row>
    <row r="433" spans="1:18" ht="14.25" customHeight="1">
      <c r="A433" s="5">
        <v>928</v>
      </c>
      <c r="B433" s="8" t="s">
        <v>1119</v>
      </c>
      <c r="C433" s="7" t="s">
        <v>1120</v>
      </c>
      <c r="D433" s="10" t="s">
        <v>29</v>
      </c>
      <c r="E433" s="10" t="s">
        <v>203</v>
      </c>
      <c r="F433" s="10" t="s">
        <v>212</v>
      </c>
      <c r="G433" s="10" t="s">
        <v>39</v>
      </c>
      <c r="H433" s="10" t="s">
        <v>240</v>
      </c>
      <c r="I433" s="10" t="s">
        <v>28</v>
      </c>
      <c r="J433" s="12" t="s">
        <v>220</v>
      </c>
      <c r="K433" s="12" t="s">
        <v>221</v>
      </c>
      <c r="L433" s="13">
        <v>45782.583333333299</v>
      </c>
      <c r="M433" s="18">
        <v>45782.583333333299</v>
      </c>
      <c r="N433" s="15"/>
      <c r="O433" s="15"/>
      <c r="P433" s="15"/>
      <c r="Q433" s="15"/>
      <c r="R433" s="15"/>
    </row>
    <row r="434" spans="1:18" ht="14.25" customHeight="1">
      <c r="A434" s="5">
        <v>929</v>
      </c>
      <c r="B434" s="8" t="s">
        <v>1121</v>
      </c>
      <c r="C434" s="7" t="s">
        <v>1122</v>
      </c>
      <c r="D434" s="10" t="s">
        <v>16</v>
      </c>
      <c r="E434" s="10" t="s">
        <v>211</v>
      </c>
      <c r="F434" s="10" t="s">
        <v>259</v>
      </c>
      <c r="G434" s="10" t="s">
        <v>296</v>
      </c>
      <c r="H434" s="10" t="s">
        <v>296</v>
      </c>
      <c r="I434" s="10" t="s">
        <v>1123</v>
      </c>
      <c r="J434" s="12" t="s">
        <v>284</v>
      </c>
      <c r="K434" s="12" t="s">
        <v>221</v>
      </c>
      <c r="L434" s="13">
        <v>45779.583333333299</v>
      </c>
      <c r="M434" s="14">
        <v>45779.583333333299</v>
      </c>
      <c r="N434" s="15"/>
      <c r="O434" s="15"/>
      <c r="P434" s="15"/>
      <c r="Q434" s="15"/>
      <c r="R434" s="15"/>
    </row>
    <row r="435" spans="1:18" ht="14.25" customHeight="1">
      <c r="A435" s="5">
        <v>930</v>
      </c>
      <c r="B435" s="8" t="s">
        <v>1124</v>
      </c>
      <c r="C435" s="7" t="s">
        <v>1125</v>
      </c>
      <c r="D435" s="10" t="s">
        <v>16</v>
      </c>
      <c r="E435" s="10" t="s">
        <v>211</v>
      </c>
      <c r="F435" s="10" t="s">
        <v>212</v>
      </c>
      <c r="G435" s="10" t="s">
        <v>120</v>
      </c>
      <c r="H435" s="10" t="s">
        <v>231</v>
      </c>
      <c r="I435" s="10" t="s">
        <v>58</v>
      </c>
      <c r="J435" s="12" t="s">
        <v>220</v>
      </c>
      <c r="K435" s="12" t="s">
        <v>221</v>
      </c>
      <c r="L435" s="13">
        <v>45785.583333333299</v>
      </c>
      <c r="M435" s="18">
        <v>45785.583333333299</v>
      </c>
      <c r="N435" s="15"/>
      <c r="O435" s="15"/>
      <c r="P435" s="15"/>
      <c r="Q435" s="15"/>
      <c r="R435" s="15"/>
    </row>
    <row r="436" spans="1:18" ht="14.25" customHeight="1">
      <c r="A436" s="5">
        <v>931</v>
      </c>
      <c r="B436" s="8" t="s">
        <v>37</v>
      </c>
      <c r="C436" s="7" t="s">
        <v>38</v>
      </c>
      <c r="D436" s="10" t="s">
        <v>29</v>
      </c>
      <c r="E436" s="10" t="s">
        <v>203</v>
      </c>
      <c r="F436" s="10" t="s">
        <v>212</v>
      </c>
      <c r="G436" s="10" t="s">
        <v>39</v>
      </c>
      <c r="H436" s="10" t="s">
        <v>240</v>
      </c>
      <c r="I436" s="10" t="s">
        <v>28</v>
      </c>
      <c r="J436" s="12" t="s">
        <v>215</v>
      </c>
      <c r="K436" s="12" t="s">
        <v>221</v>
      </c>
      <c r="L436" s="13">
        <v>45789.583333333299</v>
      </c>
      <c r="M436" s="14">
        <v>45930.583333333299</v>
      </c>
      <c r="N436" s="15"/>
      <c r="O436" s="15"/>
      <c r="P436" s="15"/>
      <c r="Q436" s="15"/>
      <c r="R436" s="15"/>
    </row>
    <row r="437" spans="1:18" ht="14.25" customHeight="1">
      <c r="A437" s="5">
        <v>932</v>
      </c>
      <c r="B437" s="8" t="s">
        <v>1126</v>
      </c>
      <c r="C437" s="7" t="s">
        <v>1127</v>
      </c>
      <c r="D437" s="10" t="s">
        <v>16</v>
      </c>
      <c r="E437" s="10" t="s">
        <v>211</v>
      </c>
      <c r="F437" s="10" t="s">
        <v>259</v>
      </c>
      <c r="G437" s="10" t="s">
        <v>408</v>
      </c>
      <c r="H437" s="10" t="s">
        <v>408</v>
      </c>
      <c r="I437" s="10" t="s">
        <v>1128</v>
      </c>
      <c r="J437" s="12" t="s">
        <v>215</v>
      </c>
      <c r="K437" s="12" t="s">
        <v>208</v>
      </c>
      <c r="L437" s="13">
        <v>45790.583333333299</v>
      </c>
      <c r="M437" s="18"/>
      <c r="N437" s="15"/>
      <c r="O437" s="15"/>
      <c r="P437" s="15"/>
      <c r="Q437" s="15"/>
      <c r="R437" s="15"/>
    </row>
    <row r="438" spans="1:18" ht="14.25" customHeight="1">
      <c r="A438" s="5">
        <v>933</v>
      </c>
      <c r="B438" s="8" t="s">
        <v>1129</v>
      </c>
      <c r="C438" s="7" t="s">
        <v>1130</v>
      </c>
      <c r="D438" s="10" t="s">
        <v>74</v>
      </c>
      <c r="E438" s="10" t="s">
        <v>202</v>
      </c>
      <c r="F438" s="10" t="s">
        <v>212</v>
      </c>
      <c r="G438" s="10" t="s">
        <v>120</v>
      </c>
      <c r="H438" s="10" t="s">
        <v>218</v>
      </c>
      <c r="I438" s="10" t="s">
        <v>61</v>
      </c>
      <c r="J438" s="12" t="s">
        <v>220</v>
      </c>
      <c r="K438" s="12" t="s">
        <v>221</v>
      </c>
      <c r="L438" s="13">
        <v>45788.583333333299</v>
      </c>
      <c r="M438" s="14">
        <v>46053.625</v>
      </c>
      <c r="N438" s="15"/>
      <c r="O438" s="15"/>
      <c r="P438" s="15"/>
      <c r="Q438" s="15"/>
      <c r="R438" s="15"/>
    </row>
    <row r="439" spans="1:18" ht="14.25" customHeight="1">
      <c r="A439" s="5">
        <v>934</v>
      </c>
      <c r="B439" s="8" t="s">
        <v>1131</v>
      </c>
      <c r="C439" s="7" t="s">
        <v>1132</v>
      </c>
      <c r="D439" s="10" t="s">
        <v>74</v>
      </c>
      <c r="E439" s="10" t="s">
        <v>202</v>
      </c>
      <c r="F439" s="10" t="s">
        <v>212</v>
      </c>
      <c r="G439" s="10" t="s">
        <v>108</v>
      </c>
      <c r="H439" s="10" t="s">
        <v>240</v>
      </c>
      <c r="I439" s="10" t="s">
        <v>107</v>
      </c>
      <c r="J439" s="12" t="s">
        <v>215</v>
      </c>
      <c r="K439" s="12" t="s">
        <v>208</v>
      </c>
      <c r="L439" s="13">
        <v>45790.583333333299</v>
      </c>
      <c r="M439" s="14"/>
      <c r="N439" s="15"/>
      <c r="O439" s="15"/>
      <c r="P439" s="15"/>
      <c r="Q439" s="15"/>
      <c r="R439" s="15"/>
    </row>
    <row r="440" spans="1:18" ht="14.25" customHeight="1">
      <c r="A440" s="5">
        <v>935</v>
      </c>
      <c r="B440" s="8" t="s">
        <v>1133</v>
      </c>
      <c r="C440" s="7" t="s">
        <v>1134</v>
      </c>
      <c r="D440" s="10" t="s">
        <v>74</v>
      </c>
      <c r="E440" s="10" t="s">
        <v>78</v>
      </c>
      <c r="F440" s="10" t="s">
        <v>78</v>
      </c>
      <c r="G440" s="10" t="s">
        <v>78</v>
      </c>
      <c r="H440" s="10" t="s">
        <v>288</v>
      </c>
      <c r="I440" s="10" t="s">
        <v>1135</v>
      </c>
      <c r="J440" s="12" t="s">
        <v>220</v>
      </c>
      <c r="K440" s="12" t="s">
        <v>221</v>
      </c>
      <c r="L440" s="13">
        <v>45789.583333333299</v>
      </c>
      <c r="M440" s="14">
        <v>45803.583333333299</v>
      </c>
      <c r="N440" s="15"/>
      <c r="O440" s="15"/>
      <c r="P440" s="15"/>
      <c r="Q440" s="15"/>
      <c r="R440" s="15"/>
    </row>
    <row r="441" spans="1:18" ht="14.25" customHeight="1">
      <c r="A441" s="5">
        <v>936</v>
      </c>
      <c r="B441" s="8" t="s">
        <v>1136</v>
      </c>
      <c r="C441" s="7" t="s">
        <v>1137</v>
      </c>
      <c r="D441" s="10" t="s">
        <v>74</v>
      </c>
      <c r="E441" s="10" t="s">
        <v>78</v>
      </c>
      <c r="F441" s="10" t="s">
        <v>78</v>
      </c>
      <c r="G441" s="10" t="s">
        <v>78</v>
      </c>
      <c r="H441" s="10" t="s">
        <v>536</v>
      </c>
      <c r="I441" s="10" t="s">
        <v>1138</v>
      </c>
      <c r="J441" s="12" t="s">
        <v>215</v>
      </c>
      <c r="K441" s="12" t="s">
        <v>221</v>
      </c>
      <c r="L441" s="13">
        <v>45792.583333333299</v>
      </c>
      <c r="M441" s="14">
        <v>46088.625</v>
      </c>
      <c r="N441" s="15"/>
      <c r="O441" s="15"/>
      <c r="P441" s="15"/>
      <c r="Q441" s="15"/>
      <c r="R441" s="15"/>
    </row>
    <row r="442" spans="1:18" ht="14.25" customHeight="1">
      <c r="A442" s="5">
        <v>937</v>
      </c>
      <c r="B442" s="8" t="s">
        <v>1139</v>
      </c>
      <c r="C442" s="7" t="s">
        <v>1140</v>
      </c>
      <c r="D442" s="10" t="s">
        <v>16</v>
      </c>
      <c r="E442" s="10" t="s">
        <v>399</v>
      </c>
      <c r="F442" s="10" t="s">
        <v>259</v>
      </c>
      <c r="G442" s="10" t="s">
        <v>415</v>
      </c>
      <c r="H442" s="10" t="s">
        <v>415</v>
      </c>
      <c r="I442" s="10" t="s">
        <v>1141</v>
      </c>
      <c r="J442" s="12" t="s">
        <v>471</v>
      </c>
      <c r="K442" s="12" t="s">
        <v>221</v>
      </c>
      <c r="L442" s="13">
        <v>45796.583333333299</v>
      </c>
      <c r="M442" s="14">
        <v>45897.583333333299</v>
      </c>
      <c r="N442" s="15"/>
      <c r="O442" s="15"/>
      <c r="P442" s="15"/>
      <c r="Q442" s="15"/>
      <c r="R442" s="15"/>
    </row>
    <row r="443" spans="1:18" ht="14.25" customHeight="1">
      <c r="A443" s="5">
        <v>938</v>
      </c>
      <c r="B443" s="8" t="s">
        <v>1142</v>
      </c>
      <c r="C443" s="7" t="s">
        <v>1143</v>
      </c>
      <c r="D443" s="10" t="s">
        <v>29</v>
      </c>
      <c r="E443" s="10" t="s">
        <v>203</v>
      </c>
      <c r="F443" s="10" t="s">
        <v>212</v>
      </c>
      <c r="G443" s="10" t="s">
        <v>39</v>
      </c>
      <c r="H443" s="10" t="s">
        <v>266</v>
      </c>
      <c r="I443" s="10" t="s">
        <v>319</v>
      </c>
      <c r="J443" s="12" t="s">
        <v>284</v>
      </c>
      <c r="K443" s="12" t="s">
        <v>221</v>
      </c>
      <c r="L443" s="13">
        <v>45796.583333333299</v>
      </c>
      <c r="M443" s="18">
        <v>45818.583333333299</v>
      </c>
      <c r="N443" s="15"/>
      <c r="O443" s="15"/>
      <c r="P443" s="15"/>
      <c r="Q443" s="15"/>
      <c r="R443" s="15"/>
    </row>
    <row r="444" spans="1:18" ht="14.25" customHeight="1">
      <c r="A444" s="5">
        <v>939</v>
      </c>
      <c r="B444" s="8" t="s">
        <v>1144</v>
      </c>
      <c r="C444" s="7" t="s">
        <v>1145</v>
      </c>
      <c r="D444" s="10" t="s">
        <v>16</v>
      </c>
      <c r="E444" s="10" t="s">
        <v>211</v>
      </c>
      <c r="F444" s="10" t="s">
        <v>259</v>
      </c>
      <c r="G444" s="10" t="s">
        <v>480</v>
      </c>
      <c r="H444" s="10" t="s">
        <v>480</v>
      </c>
      <c r="I444" s="10" t="s">
        <v>1146</v>
      </c>
      <c r="J444" s="12" t="s">
        <v>215</v>
      </c>
      <c r="K444" s="12" t="s">
        <v>221</v>
      </c>
      <c r="L444" s="13">
        <v>45792.583333333299</v>
      </c>
      <c r="M444" s="18">
        <v>45975.625</v>
      </c>
      <c r="N444" s="15"/>
      <c r="O444" s="15"/>
      <c r="P444" s="15"/>
      <c r="Q444" s="15"/>
      <c r="R444" s="15"/>
    </row>
    <row r="445" spans="1:18" ht="14.25" customHeight="1">
      <c r="A445" s="5">
        <v>940</v>
      </c>
      <c r="B445" s="8" t="s">
        <v>1147</v>
      </c>
      <c r="C445" s="7" t="s">
        <v>1148</v>
      </c>
      <c r="D445" s="10" t="s">
        <v>16</v>
      </c>
      <c r="E445" s="10" t="s">
        <v>211</v>
      </c>
      <c r="F445" s="10" t="s">
        <v>212</v>
      </c>
      <c r="G445" s="10" t="s">
        <v>120</v>
      </c>
      <c r="H445" s="10" t="s">
        <v>218</v>
      </c>
      <c r="I445" s="10" t="s">
        <v>61</v>
      </c>
      <c r="J445" s="12" t="s">
        <v>220</v>
      </c>
      <c r="K445" s="12" t="s">
        <v>221</v>
      </c>
      <c r="L445" s="13">
        <v>45794.583333333299</v>
      </c>
      <c r="M445" s="18">
        <v>45861.583333333299</v>
      </c>
      <c r="N445" s="15"/>
      <c r="O445" s="15"/>
      <c r="P445" s="15"/>
      <c r="Q445" s="15"/>
      <c r="R445" s="15"/>
    </row>
    <row r="446" spans="1:18" ht="14.25" customHeight="1">
      <c r="A446" s="5">
        <v>941</v>
      </c>
      <c r="B446" s="8" t="s">
        <v>1149</v>
      </c>
      <c r="C446" s="7" t="s">
        <v>1150</v>
      </c>
      <c r="D446" s="10" t="s">
        <v>16</v>
      </c>
      <c r="E446" s="10" t="s">
        <v>211</v>
      </c>
      <c r="F446" s="10" t="s">
        <v>259</v>
      </c>
      <c r="G446" s="10" t="s">
        <v>408</v>
      </c>
      <c r="H446" s="10" t="s">
        <v>408</v>
      </c>
      <c r="I446" s="10" t="s">
        <v>1151</v>
      </c>
      <c r="J446" s="12" t="s">
        <v>471</v>
      </c>
      <c r="K446" s="12" t="s">
        <v>221</v>
      </c>
      <c r="L446" s="13">
        <v>45796.583333333299</v>
      </c>
      <c r="M446" s="14">
        <v>45869.583333333299</v>
      </c>
      <c r="N446" s="15"/>
      <c r="O446" s="15"/>
      <c r="P446" s="15"/>
      <c r="Q446" s="15"/>
      <c r="R446" s="15"/>
    </row>
    <row r="447" spans="1:18" ht="14.25" customHeight="1">
      <c r="A447" s="5">
        <v>942</v>
      </c>
      <c r="B447" s="8" t="s">
        <v>1152</v>
      </c>
      <c r="C447" s="7" t="s">
        <v>1153</v>
      </c>
      <c r="D447" s="10" t="s">
        <v>16</v>
      </c>
      <c r="E447" s="10" t="s">
        <v>211</v>
      </c>
      <c r="F447" s="10" t="s">
        <v>259</v>
      </c>
      <c r="G447" s="10" t="s">
        <v>480</v>
      </c>
      <c r="H447" s="10" t="s">
        <v>480</v>
      </c>
      <c r="I447" s="10" t="s">
        <v>1154</v>
      </c>
      <c r="J447" s="12" t="s">
        <v>215</v>
      </c>
      <c r="K447" s="12" t="s">
        <v>208</v>
      </c>
      <c r="L447" s="13">
        <v>45792.583333333299</v>
      </c>
      <c r="M447" s="18"/>
      <c r="N447" s="15"/>
      <c r="O447" s="15"/>
      <c r="P447" s="15"/>
      <c r="Q447" s="15"/>
      <c r="R447" s="15"/>
    </row>
    <row r="448" spans="1:18" ht="14.25" customHeight="1">
      <c r="A448" s="5">
        <v>943</v>
      </c>
      <c r="B448" s="8" t="s">
        <v>1155</v>
      </c>
      <c r="C448" s="7" t="s">
        <v>1156</v>
      </c>
      <c r="D448" s="10" t="s">
        <v>16</v>
      </c>
      <c r="E448" s="10" t="s">
        <v>211</v>
      </c>
      <c r="F448" s="10" t="s">
        <v>212</v>
      </c>
      <c r="G448" s="10" t="s">
        <v>120</v>
      </c>
      <c r="H448" s="10" t="s">
        <v>240</v>
      </c>
      <c r="I448" s="10" t="s">
        <v>107</v>
      </c>
      <c r="J448" s="12" t="s">
        <v>284</v>
      </c>
      <c r="K448" s="12" t="s">
        <v>221</v>
      </c>
      <c r="L448" s="13">
        <v>45796.583333333299</v>
      </c>
      <c r="M448" s="14">
        <v>45799.583333333299</v>
      </c>
      <c r="N448" s="15"/>
      <c r="O448" s="15"/>
      <c r="P448" s="15"/>
      <c r="Q448" s="15"/>
      <c r="R448" s="15"/>
    </row>
    <row r="449" spans="1:18" ht="14.25" customHeight="1">
      <c r="A449" s="5">
        <v>944</v>
      </c>
      <c r="B449" s="8" t="s">
        <v>1157</v>
      </c>
      <c r="C449" s="7" t="s">
        <v>1158</v>
      </c>
      <c r="D449" s="10" t="s">
        <v>16</v>
      </c>
      <c r="E449" s="10" t="s">
        <v>211</v>
      </c>
      <c r="F449" s="10" t="s">
        <v>259</v>
      </c>
      <c r="G449" s="10" t="s">
        <v>296</v>
      </c>
      <c r="H449" s="10" t="s">
        <v>296</v>
      </c>
      <c r="I449" s="10" t="s">
        <v>1123</v>
      </c>
      <c r="J449" s="12" t="s">
        <v>284</v>
      </c>
      <c r="K449" s="12" t="s">
        <v>221</v>
      </c>
      <c r="L449" s="13">
        <v>45798.583333333299</v>
      </c>
      <c r="M449" s="14">
        <v>45818.583333333299</v>
      </c>
      <c r="N449" s="15"/>
      <c r="O449" s="15"/>
      <c r="P449" s="15"/>
      <c r="Q449" s="15"/>
      <c r="R449" s="15"/>
    </row>
    <row r="450" spans="1:18" ht="14.25" customHeight="1">
      <c r="A450" s="5">
        <v>945</v>
      </c>
      <c r="B450" s="8" t="s">
        <v>1159</v>
      </c>
      <c r="C450" s="7" t="s">
        <v>1160</v>
      </c>
      <c r="D450" s="10" t="s">
        <v>16</v>
      </c>
      <c r="E450" s="10" t="s">
        <v>211</v>
      </c>
      <c r="F450" s="10" t="s">
        <v>212</v>
      </c>
      <c r="G450" s="10" t="s">
        <v>120</v>
      </c>
      <c r="H450" s="10" t="s">
        <v>218</v>
      </c>
      <c r="I450" s="10" t="s">
        <v>61</v>
      </c>
      <c r="J450" s="12" t="s">
        <v>220</v>
      </c>
      <c r="K450" s="12" t="s">
        <v>221</v>
      </c>
      <c r="L450" s="13">
        <v>45798.583333333299</v>
      </c>
      <c r="M450" s="18">
        <v>45869.583333333299</v>
      </c>
      <c r="N450" s="15"/>
      <c r="O450" s="15"/>
      <c r="P450" s="15"/>
      <c r="Q450" s="15"/>
      <c r="R450" s="15"/>
    </row>
    <row r="451" spans="1:18" ht="14.25" customHeight="1">
      <c r="A451" s="5">
        <v>946</v>
      </c>
      <c r="B451" s="8" t="s">
        <v>1161</v>
      </c>
      <c r="C451" s="7" t="s">
        <v>1162</v>
      </c>
      <c r="D451" s="10" t="s">
        <v>74</v>
      </c>
      <c r="E451" s="10" t="s">
        <v>202</v>
      </c>
      <c r="F451" s="10" t="s">
        <v>212</v>
      </c>
      <c r="G451" s="10" t="s">
        <v>125</v>
      </c>
      <c r="H451" s="10" t="s">
        <v>231</v>
      </c>
      <c r="I451" s="10" t="s">
        <v>58</v>
      </c>
      <c r="J451" s="12" t="s">
        <v>220</v>
      </c>
      <c r="K451" s="12" t="s">
        <v>221</v>
      </c>
      <c r="L451" s="13">
        <v>45796.583333333299</v>
      </c>
      <c r="M451" s="14">
        <v>45865.583333333299</v>
      </c>
      <c r="N451" s="15"/>
      <c r="O451" s="15"/>
      <c r="P451" s="15"/>
      <c r="Q451" s="15"/>
      <c r="R451" s="15"/>
    </row>
    <row r="452" spans="1:18" ht="14.25" customHeight="1">
      <c r="A452" s="5">
        <v>947</v>
      </c>
      <c r="B452" s="8" t="s">
        <v>1163</v>
      </c>
      <c r="C452" s="7" t="s">
        <v>1164</v>
      </c>
      <c r="D452" s="10" t="s">
        <v>74</v>
      </c>
      <c r="E452" s="10" t="s">
        <v>202</v>
      </c>
      <c r="F452" s="10" t="s">
        <v>212</v>
      </c>
      <c r="G452" s="10" t="s">
        <v>95</v>
      </c>
      <c r="H452" s="10" t="s">
        <v>218</v>
      </c>
      <c r="I452" s="10" t="s">
        <v>61</v>
      </c>
      <c r="J452" s="12" t="s">
        <v>220</v>
      </c>
      <c r="K452" s="12" t="s">
        <v>208</v>
      </c>
      <c r="L452" s="13">
        <v>45810.583333333299</v>
      </c>
      <c r="M452" s="14"/>
      <c r="N452" s="15"/>
      <c r="O452" s="15"/>
      <c r="P452" s="15"/>
      <c r="Q452" s="15"/>
      <c r="R452" s="15"/>
    </row>
    <row r="453" spans="1:18" ht="14.25" customHeight="1">
      <c r="A453" s="5">
        <v>948</v>
      </c>
      <c r="B453" s="8" t="s">
        <v>1165</v>
      </c>
      <c r="C453" s="7" t="s">
        <v>1166</v>
      </c>
      <c r="D453" s="10" t="s">
        <v>16</v>
      </c>
      <c r="E453" s="10" t="s">
        <v>211</v>
      </c>
      <c r="F453" s="10" t="s">
        <v>212</v>
      </c>
      <c r="G453" s="10" t="s">
        <v>17</v>
      </c>
      <c r="H453" s="10" t="s">
        <v>218</v>
      </c>
      <c r="I453" s="10" t="s">
        <v>61</v>
      </c>
      <c r="J453" s="12" t="s">
        <v>220</v>
      </c>
      <c r="K453" s="12" t="s">
        <v>208</v>
      </c>
      <c r="L453" s="13">
        <v>45796.583333333299</v>
      </c>
      <c r="M453" s="18"/>
      <c r="N453" s="15"/>
      <c r="O453" s="15"/>
      <c r="P453" s="15"/>
      <c r="Q453" s="15"/>
      <c r="R453" s="15"/>
    </row>
    <row r="454" spans="1:18" ht="14.25" customHeight="1">
      <c r="A454" s="5">
        <v>949</v>
      </c>
      <c r="B454" s="8" t="s">
        <v>1167</v>
      </c>
      <c r="C454" s="7" t="s">
        <v>1168</v>
      </c>
      <c r="D454" s="10" t="s">
        <v>16</v>
      </c>
      <c r="E454" s="10" t="s">
        <v>399</v>
      </c>
      <c r="F454" s="10" t="s">
        <v>259</v>
      </c>
      <c r="G454" s="10" t="s">
        <v>404</v>
      </c>
      <c r="H454" s="10" t="s">
        <v>404</v>
      </c>
      <c r="I454" s="10" t="s">
        <v>1169</v>
      </c>
      <c r="J454" s="12" t="s">
        <v>471</v>
      </c>
      <c r="K454" s="12" t="s">
        <v>221</v>
      </c>
      <c r="L454" s="13">
        <v>45804.583333333299</v>
      </c>
      <c r="M454" s="14">
        <v>45890.583333333299</v>
      </c>
      <c r="N454" s="15"/>
      <c r="O454" s="15"/>
      <c r="P454" s="15"/>
      <c r="Q454" s="15"/>
      <c r="R454" s="15"/>
    </row>
    <row r="455" spans="1:18" ht="14.25" customHeight="1">
      <c r="A455" s="5">
        <v>950</v>
      </c>
      <c r="B455" s="8" t="s">
        <v>1170</v>
      </c>
      <c r="C455" s="7" t="s">
        <v>1171</v>
      </c>
      <c r="D455" s="10" t="s">
        <v>16</v>
      </c>
      <c r="E455" s="10" t="s">
        <v>211</v>
      </c>
      <c r="F455" s="10" t="s">
        <v>259</v>
      </c>
      <c r="G455" s="10" t="s">
        <v>480</v>
      </c>
      <c r="H455" s="10" t="s">
        <v>480</v>
      </c>
      <c r="I455" s="10" t="s">
        <v>1172</v>
      </c>
      <c r="J455" s="12" t="s">
        <v>471</v>
      </c>
      <c r="K455" s="12" t="s">
        <v>221</v>
      </c>
      <c r="L455" s="13">
        <v>45804.583333333299</v>
      </c>
      <c r="M455" s="14">
        <v>45989.625</v>
      </c>
      <c r="N455" s="15"/>
      <c r="O455" s="15"/>
      <c r="P455" s="15"/>
      <c r="Q455" s="15"/>
      <c r="R455" s="15"/>
    </row>
    <row r="456" spans="1:18" ht="14.25" customHeight="1">
      <c r="A456" s="5">
        <v>951</v>
      </c>
      <c r="B456" s="8" t="s">
        <v>1173</v>
      </c>
      <c r="C456" s="7" t="s">
        <v>1174</v>
      </c>
      <c r="D456" s="10" t="s">
        <v>29</v>
      </c>
      <c r="E456" s="10" t="s">
        <v>203</v>
      </c>
      <c r="F456" s="10" t="s">
        <v>212</v>
      </c>
      <c r="G456" s="10" t="s">
        <v>39</v>
      </c>
      <c r="H456" s="10" t="s">
        <v>240</v>
      </c>
      <c r="I456" s="10" t="s">
        <v>1099</v>
      </c>
      <c r="J456" s="12" t="s">
        <v>284</v>
      </c>
      <c r="K456" s="12" t="s">
        <v>221</v>
      </c>
      <c r="L456" s="13">
        <v>45775.583333333299</v>
      </c>
      <c r="M456" s="14">
        <v>45775.583333333299</v>
      </c>
      <c r="N456" s="15"/>
      <c r="O456" s="15"/>
      <c r="P456" s="15"/>
      <c r="Q456" s="15"/>
      <c r="R456" s="15"/>
    </row>
    <row r="457" spans="1:18" ht="14.25" customHeight="1">
      <c r="A457" s="5">
        <v>952</v>
      </c>
      <c r="B457" s="8" t="s">
        <v>1175</v>
      </c>
      <c r="C457" s="7" t="s">
        <v>1176</v>
      </c>
      <c r="D457" s="10" t="s">
        <v>74</v>
      </c>
      <c r="E457" s="10" t="s">
        <v>78</v>
      </c>
      <c r="F457" s="10" t="s">
        <v>78</v>
      </c>
      <c r="G457" s="10" t="s">
        <v>78</v>
      </c>
      <c r="H457" s="10" t="s">
        <v>288</v>
      </c>
      <c r="I457" s="10" t="s">
        <v>85</v>
      </c>
      <c r="J457" s="12" t="s">
        <v>284</v>
      </c>
      <c r="K457" s="12" t="s">
        <v>221</v>
      </c>
      <c r="L457" s="13">
        <v>45800.583333333299</v>
      </c>
      <c r="M457" s="14">
        <v>45800.583333333299</v>
      </c>
      <c r="N457" s="15"/>
      <c r="O457" s="15"/>
      <c r="P457" s="15"/>
      <c r="Q457" s="15"/>
      <c r="R457" s="15"/>
    </row>
    <row r="458" spans="1:18" ht="14.25" customHeight="1">
      <c r="A458" s="5">
        <v>953</v>
      </c>
      <c r="B458" s="8" t="s">
        <v>111</v>
      </c>
      <c r="C458" s="7" t="s">
        <v>112</v>
      </c>
      <c r="D458" s="10" t="s">
        <v>74</v>
      </c>
      <c r="E458" s="10" t="s">
        <v>78</v>
      </c>
      <c r="F458" s="10" t="s">
        <v>78</v>
      </c>
      <c r="G458" s="10" t="s">
        <v>78</v>
      </c>
      <c r="H458" s="10" t="s">
        <v>527</v>
      </c>
      <c r="I458" s="10" t="s">
        <v>113</v>
      </c>
      <c r="J458" s="12" t="s">
        <v>215</v>
      </c>
      <c r="K458" s="12" t="s">
        <v>208</v>
      </c>
      <c r="L458" s="13">
        <v>45803.583333333299</v>
      </c>
      <c r="M458" s="18"/>
      <c r="N458" s="15"/>
      <c r="O458" s="15"/>
      <c r="P458" s="15"/>
      <c r="Q458" s="15"/>
      <c r="R458" s="15"/>
    </row>
    <row r="459" spans="1:18" ht="14.25" customHeight="1">
      <c r="A459" s="5">
        <v>954</v>
      </c>
      <c r="B459" s="8" t="s">
        <v>1177</v>
      </c>
      <c r="C459" s="7" t="s">
        <v>1178</v>
      </c>
      <c r="D459" s="10" t="s">
        <v>74</v>
      </c>
      <c r="E459" s="10" t="s">
        <v>78</v>
      </c>
      <c r="F459" s="10" t="s">
        <v>78</v>
      </c>
      <c r="G459" s="10" t="s">
        <v>78</v>
      </c>
      <c r="H459" s="10" t="s">
        <v>527</v>
      </c>
      <c r="I459" s="10" t="s">
        <v>1135</v>
      </c>
      <c r="J459" s="12" t="s">
        <v>220</v>
      </c>
      <c r="K459" s="12" t="s">
        <v>221</v>
      </c>
      <c r="L459" s="13">
        <v>45803.583333333299</v>
      </c>
      <c r="M459" s="18">
        <v>45935.583333333299</v>
      </c>
      <c r="N459" s="15"/>
      <c r="O459" s="15"/>
      <c r="P459" s="15"/>
      <c r="Q459" s="15"/>
      <c r="R459" s="15"/>
    </row>
    <row r="460" spans="1:18" ht="14.25" customHeight="1">
      <c r="A460" s="5">
        <v>955</v>
      </c>
      <c r="B460" s="8" t="s">
        <v>1179</v>
      </c>
      <c r="C460" s="7" t="s">
        <v>1180</v>
      </c>
      <c r="D460" s="10" t="s">
        <v>74</v>
      </c>
      <c r="E460" s="10" t="s">
        <v>202</v>
      </c>
      <c r="F460" s="10" t="s">
        <v>212</v>
      </c>
      <c r="G460" s="10" t="s">
        <v>125</v>
      </c>
      <c r="H460" s="10" t="s">
        <v>218</v>
      </c>
      <c r="I460" s="10" t="s">
        <v>61</v>
      </c>
      <c r="J460" s="12" t="s">
        <v>220</v>
      </c>
      <c r="K460" s="12" t="s">
        <v>221</v>
      </c>
      <c r="L460" s="13">
        <v>45803.583333333299</v>
      </c>
      <c r="M460" s="14">
        <v>45858.583333333299</v>
      </c>
      <c r="N460" s="15"/>
      <c r="O460" s="15"/>
      <c r="P460" s="15"/>
      <c r="Q460" s="15"/>
      <c r="R460" s="15"/>
    </row>
    <row r="461" spans="1:18" ht="14.25" customHeight="1">
      <c r="A461" s="5">
        <v>956</v>
      </c>
      <c r="B461" s="8" t="s">
        <v>54</v>
      </c>
      <c r="C461" s="7" t="s">
        <v>55</v>
      </c>
      <c r="D461" s="10" t="s">
        <v>45</v>
      </c>
      <c r="E461" s="10" t="s">
        <v>201</v>
      </c>
      <c r="F461" s="10" t="s">
        <v>212</v>
      </c>
      <c r="G461" s="10" t="s">
        <v>46</v>
      </c>
      <c r="H461" s="10" t="s">
        <v>266</v>
      </c>
      <c r="I461" s="10" t="s">
        <v>15</v>
      </c>
      <c r="J461" s="12" t="s">
        <v>215</v>
      </c>
      <c r="K461" s="12" t="s">
        <v>208</v>
      </c>
      <c r="L461" s="13">
        <v>45800.583333333299</v>
      </c>
      <c r="M461" s="18"/>
      <c r="N461" s="15"/>
      <c r="O461" s="15"/>
      <c r="P461" s="15"/>
      <c r="Q461" s="15"/>
      <c r="R461" s="15"/>
    </row>
    <row r="462" spans="1:18" ht="14.25" customHeight="1">
      <c r="A462" s="5">
        <v>957</v>
      </c>
      <c r="B462" s="8" t="s">
        <v>1181</v>
      </c>
      <c r="C462" s="7" t="s">
        <v>1182</v>
      </c>
      <c r="D462" s="10" t="s">
        <v>74</v>
      </c>
      <c r="E462" s="10" t="s">
        <v>202</v>
      </c>
      <c r="F462" s="10" t="s">
        <v>212</v>
      </c>
      <c r="G462" s="10" t="s">
        <v>120</v>
      </c>
      <c r="H462" s="10" t="s">
        <v>231</v>
      </c>
      <c r="I462" s="10" t="s">
        <v>58</v>
      </c>
      <c r="J462" s="12" t="s">
        <v>220</v>
      </c>
      <c r="K462" s="12" t="s">
        <v>221</v>
      </c>
      <c r="L462" s="13">
        <v>45803.583333333299</v>
      </c>
      <c r="M462" s="14">
        <v>45961.583333333299</v>
      </c>
      <c r="N462" s="15"/>
      <c r="O462" s="15"/>
      <c r="P462" s="15"/>
      <c r="Q462" s="15"/>
      <c r="R462" s="15"/>
    </row>
    <row r="463" spans="1:18" ht="14.25" customHeight="1">
      <c r="A463" s="5">
        <v>958</v>
      </c>
      <c r="B463" s="8" t="s">
        <v>1183</v>
      </c>
      <c r="C463" s="7" t="s">
        <v>1184</v>
      </c>
      <c r="D463" s="10" t="s">
        <v>16</v>
      </c>
      <c r="E463" s="10" t="s">
        <v>399</v>
      </c>
      <c r="F463" s="10" t="s">
        <v>259</v>
      </c>
      <c r="G463" s="10" t="s">
        <v>404</v>
      </c>
      <c r="H463" s="10" t="s">
        <v>404</v>
      </c>
      <c r="I463" s="10" t="s">
        <v>1169</v>
      </c>
      <c r="J463" s="12" t="s">
        <v>471</v>
      </c>
      <c r="K463" s="12" t="s">
        <v>221</v>
      </c>
      <c r="L463" s="13">
        <v>45804.583333333299</v>
      </c>
      <c r="M463" s="14">
        <v>45897.583333333299</v>
      </c>
      <c r="N463" s="15"/>
      <c r="O463" s="15"/>
      <c r="P463" s="15"/>
      <c r="Q463" s="15"/>
      <c r="R463" s="15"/>
    </row>
    <row r="464" spans="1:18" ht="14.25" customHeight="1">
      <c r="A464" s="5">
        <v>959</v>
      </c>
      <c r="B464" s="8" t="s">
        <v>91</v>
      </c>
      <c r="C464" s="7" t="s">
        <v>92</v>
      </c>
      <c r="D464" s="10" t="s">
        <v>74</v>
      </c>
      <c r="E464" s="10" t="s">
        <v>78</v>
      </c>
      <c r="F464" s="10" t="s">
        <v>78</v>
      </c>
      <c r="G464" s="10" t="s">
        <v>78</v>
      </c>
      <c r="H464" s="10" t="s">
        <v>288</v>
      </c>
      <c r="I464" s="10" t="s">
        <v>85</v>
      </c>
      <c r="J464" s="12" t="s">
        <v>215</v>
      </c>
      <c r="K464" s="12" t="s">
        <v>221</v>
      </c>
      <c r="L464" s="13">
        <v>45816.583333333299</v>
      </c>
      <c r="M464" s="18">
        <v>46109.583333333299</v>
      </c>
      <c r="N464" s="15"/>
      <c r="O464" s="15"/>
      <c r="P464" s="15"/>
      <c r="Q464" s="15"/>
      <c r="R464" s="15"/>
    </row>
    <row r="465" spans="1:18" ht="14.25" customHeight="1">
      <c r="A465" s="5">
        <v>960</v>
      </c>
      <c r="B465" s="8" t="s">
        <v>93</v>
      </c>
      <c r="C465" s="7" t="s">
        <v>94</v>
      </c>
      <c r="D465" s="10" t="s">
        <v>74</v>
      </c>
      <c r="E465" s="10" t="s">
        <v>202</v>
      </c>
      <c r="F465" s="10" t="s">
        <v>212</v>
      </c>
      <c r="G465" s="10" t="s">
        <v>95</v>
      </c>
      <c r="H465" s="10" t="s">
        <v>231</v>
      </c>
      <c r="I465" s="10" t="s">
        <v>58</v>
      </c>
      <c r="J465" s="12" t="s">
        <v>215</v>
      </c>
      <c r="K465" s="12" t="s">
        <v>208</v>
      </c>
      <c r="L465" s="13">
        <v>45812.583333333299</v>
      </c>
      <c r="M465" s="18"/>
      <c r="N465" s="15"/>
      <c r="O465" s="15"/>
      <c r="P465" s="15"/>
      <c r="Q465" s="15"/>
      <c r="R465" s="15"/>
    </row>
    <row r="466" spans="1:18" ht="14.25" customHeight="1">
      <c r="A466" s="5">
        <v>961</v>
      </c>
      <c r="B466" s="8" t="s">
        <v>1185</v>
      </c>
      <c r="C466" s="7" t="s">
        <v>1186</v>
      </c>
      <c r="D466" s="10" t="s">
        <v>74</v>
      </c>
      <c r="E466" s="10" t="s">
        <v>78</v>
      </c>
      <c r="F466" s="10" t="s">
        <v>78</v>
      </c>
      <c r="G466" s="10" t="s">
        <v>78</v>
      </c>
      <c r="H466" s="10" t="s">
        <v>288</v>
      </c>
      <c r="I466" s="10" t="s">
        <v>85</v>
      </c>
      <c r="J466" s="12" t="s">
        <v>220</v>
      </c>
      <c r="K466" s="12" t="s">
        <v>221</v>
      </c>
      <c r="L466" s="13">
        <v>45810.583333333299</v>
      </c>
      <c r="M466" s="14">
        <v>45832.583333333299</v>
      </c>
      <c r="N466" s="15"/>
      <c r="O466" s="15"/>
      <c r="P466" s="15"/>
      <c r="Q466" s="15"/>
      <c r="R466" s="15"/>
    </row>
    <row r="467" spans="1:18" ht="14.25" customHeight="1">
      <c r="A467" s="5">
        <v>962</v>
      </c>
      <c r="B467" s="8" t="s">
        <v>40</v>
      </c>
      <c r="C467" s="7" t="s">
        <v>41</v>
      </c>
      <c r="D467" s="10" t="s">
        <v>29</v>
      </c>
      <c r="E467" s="10" t="s">
        <v>203</v>
      </c>
      <c r="F467" s="10" t="s">
        <v>212</v>
      </c>
      <c r="G467" s="10" t="s">
        <v>39</v>
      </c>
      <c r="H467" s="10" t="s">
        <v>266</v>
      </c>
      <c r="I467" s="10" t="s">
        <v>15</v>
      </c>
      <c r="J467" s="12" t="s">
        <v>215</v>
      </c>
      <c r="K467" s="12" t="s">
        <v>221</v>
      </c>
      <c r="L467" s="13">
        <v>45817.583333333299</v>
      </c>
      <c r="M467" s="18">
        <v>45900.583333333299</v>
      </c>
      <c r="N467" s="15"/>
      <c r="O467" s="15"/>
      <c r="P467" s="15"/>
      <c r="Q467" s="15"/>
      <c r="R467" s="15"/>
    </row>
    <row r="468" spans="1:18" ht="14.25" customHeight="1">
      <c r="A468" s="5">
        <v>963</v>
      </c>
      <c r="B468" s="8" t="s">
        <v>1187</v>
      </c>
      <c r="C468" s="7" t="s">
        <v>1188</v>
      </c>
      <c r="D468" s="10" t="s">
        <v>74</v>
      </c>
      <c r="E468" s="10" t="s">
        <v>78</v>
      </c>
      <c r="F468" s="10" t="s">
        <v>78</v>
      </c>
      <c r="G468" s="10" t="s">
        <v>78</v>
      </c>
      <c r="H468" s="10" t="s">
        <v>288</v>
      </c>
      <c r="I468" s="10" t="s">
        <v>67</v>
      </c>
      <c r="J468" s="12" t="s">
        <v>215</v>
      </c>
      <c r="K468" s="12" t="s">
        <v>221</v>
      </c>
      <c r="L468" s="13">
        <v>45817.583333333299</v>
      </c>
      <c r="M468" s="18">
        <v>46132.583333333299</v>
      </c>
      <c r="N468" s="15"/>
      <c r="O468" s="15"/>
      <c r="P468" s="15"/>
      <c r="Q468" s="15"/>
      <c r="R468" s="15"/>
    </row>
    <row r="469" spans="1:18" ht="14.25" customHeight="1">
      <c r="A469" s="5">
        <v>964</v>
      </c>
      <c r="B469" s="8" t="s">
        <v>1189</v>
      </c>
      <c r="C469" s="7" t="s">
        <v>1190</v>
      </c>
      <c r="D469" s="10" t="s">
        <v>74</v>
      </c>
      <c r="E469" s="10" t="s">
        <v>202</v>
      </c>
      <c r="F469" s="10" t="s">
        <v>212</v>
      </c>
      <c r="G469" s="10" t="s">
        <v>108</v>
      </c>
      <c r="H469" s="10" t="s">
        <v>218</v>
      </c>
      <c r="I469" s="10" t="s">
        <v>61</v>
      </c>
      <c r="J469" s="12" t="s">
        <v>220</v>
      </c>
      <c r="K469" s="12" t="s">
        <v>221</v>
      </c>
      <c r="L469" s="13">
        <v>45817.583333333299</v>
      </c>
      <c r="M469" s="14">
        <v>45962.583333333299</v>
      </c>
      <c r="N469" s="15"/>
      <c r="O469" s="15"/>
      <c r="P469" s="15"/>
      <c r="Q469" s="15"/>
      <c r="R469" s="15"/>
    </row>
    <row r="470" spans="1:18" ht="14.25" customHeight="1">
      <c r="A470" s="5">
        <v>965</v>
      </c>
      <c r="B470" s="8" t="s">
        <v>1191</v>
      </c>
      <c r="C470" s="7" t="s">
        <v>1192</v>
      </c>
      <c r="D470" s="10" t="s">
        <v>29</v>
      </c>
      <c r="E470" s="10" t="s">
        <v>203</v>
      </c>
      <c r="F470" s="10" t="s">
        <v>212</v>
      </c>
      <c r="G470" s="10" t="s">
        <v>39</v>
      </c>
      <c r="H470" s="10" t="s">
        <v>240</v>
      </c>
      <c r="I470" s="10" t="s">
        <v>28</v>
      </c>
      <c r="J470" s="12" t="s">
        <v>220</v>
      </c>
      <c r="K470" s="12" t="s">
        <v>221</v>
      </c>
      <c r="L470" s="13">
        <v>45811.583333333299</v>
      </c>
      <c r="M470" s="18">
        <v>45823.583333333299</v>
      </c>
      <c r="N470" s="15"/>
      <c r="O470" s="15"/>
      <c r="P470" s="15"/>
      <c r="Q470" s="15"/>
      <c r="R470" s="15"/>
    </row>
    <row r="471" spans="1:18" ht="14.25" customHeight="1">
      <c r="A471" s="5">
        <v>966</v>
      </c>
      <c r="B471" s="8" t="s">
        <v>1193</v>
      </c>
      <c r="C471" s="7" t="s">
        <v>1194</v>
      </c>
      <c r="D471" s="10" t="s">
        <v>45</v>
      </c>
      <c r="E471" s="10" t="s">
        <v>201</v>
      </c>
      <c r="F471" s="10" t="s">
        <v>212</v>
      </c>
      <c r="G471" s="10" t="s">
        <v>46</v>
      </c>
      <c r="H471" s="10" t="s">
        <v>213</v>
      </c>
      <c r="I471" s="10" t="s">
        <v>214</v>
      </c>
      <c r="J471" s="12" t="s">
        <v>215</v>
      </c>
      <c r="K471" s="12" t="s">
        <v>208</v>
      </c>
      <c r="L471" s="13">
        <v>45840.583333333299</v>
      </c>
      <c r="M471" s="18"/>
      <c r="N471" s="15"/>
      <c r="O471" s="15"/>
      <c r="P471" s="15"/>
      <c r="Q471" s="15"/>
      <c r="R471" s="15"/>
    </row>
    <row r="472" spans="1:18" ht="14.25" customHeight="1">
      <c r="A472" s="5">
        <v>968</v>
      </c>
      <c r="B472" s="8" t="s">
        <v>1195</v>
      </c>
      <c r="C472" s="7" t="s">
        <v>1196</v>
      </c>
      <c r="D472" s="10" t="s">
        <v>74</v>
      </c>
      <c r="E472" s="10" t="s">
        <v>202</v>
      </c>
      <c r="F472" s="10" t="s">
        <v>212</v>
      </c>
      <c r="G472" s="10" t="s">
        <v>108</v>
      </c>
      <c r="H472" s="10" t="s">
        <v>218</v>
      </c>
      <c r="I472" s="10" t="s">
        <v>61</v>
      </c>
      <c r="J472" s="12" t="s">
        <v>220</v>
      </c>
      <c r="K472" s="12" t="s">
        <v>221</v>
      </c>
      <c r="L472" s="13">
        <v>45814.583333333299</v>
      </c>
      <c r="M472" s="14">
        <v>45815.583333333299</v>
      </c>
      <c r="N472" s="15"/>
      <c r="O472" s="15"/>
      <c r="P472" s="15"/>
      <c r="Q472" s="15"/>
      <c r="R472" s="15"/>
    </row>
    <row r="473" spans="1:18" ht="14.25" customHeight="1">
      <c r="A473" s="5">
        <v>969</v>
      </c>
      <c r="B473" s="8" t="s">
        <v>1197</v>
      </c>
      <c r="C473" s="7" t="s">
        <v>1198</v>
      </c>
      <c r="D473" s="10" t="s">
        <v>45</v>
      </c>
      <c r="E473" s="10" t="s">
        <v>201</v>
      </c>
      <c r="F473" s="10" t="s">
        <v>212</v>
      </c>
      <c r="G473" s="10" t="s">
        <v>46</v>
      </c>
      <c r="H473" s="10" t="s">
        <v>213</v>
      </c>
      <c r="I473" s="10" t="s">
        <v>67</v>
      </c>
      <c r="J473" s="12" t="s">
        <v>284</v>
      </c>
      <c r="K473" s="12" t="s">
        <v>221</v>
      </c>
      <c r="L473" s="13">
        <v>45814.583333333299</v>
      </c>
      <c r="M473" s="18">
        <v>45814.583333333299</v>
      </c>
      <c r="N473" s="15"/>
      <c r="O473" s="15"/>
      <c r="P473" s="15"/>
      <c r="Q473" s="15"/>
      <c r="R473" s="15"/>
    </row>
    <row r="474" spans="1:18" ht="14.25" customHeight="1">
      <c r="A474" s="5">
        <v>970</v>
      </c>
      <c r="B474" s="8" t="s">
        <v>1199</v>
      </c>
      <c r="C474" s="7" t="s">
        <v>1200</v>
      </c>
      <c r="D474" s="10" t="s">
        <v>45</v>
      </c>
      <c r="E474" s="10" t="s">
        <v>201</v>
      </c>
      <c r="F474" s="10" t="s">
        <v>212</v>
      </c>
      <c r="G474" s="10" t="s">
        <v>46</v>
      </c>
      <c r="H474" s="10" t="s">
        <v>240</v>
      </c>
      <c r="I474" s="10" t="s">
        <v>241</v>
      </c>
      <c r="J474" s="12" t="s">
        <v>284</v>
      </c>
      <c r="K474" s="12" t="s">
        <v>221</v>
      </c>
      <c r="L474" s="13">
        <v>45814.583333333299</v>
      </c>
      <c r="M474" s="18">
        <v>45865.583333333299</v>
      </c>
      <c r="N474" s="15"/>
      <c r="O474" s="15"/>
      <c r="P474" s="15"/>
      <c r="Q474" s="15"/>
      <c r="R474" s="15"/>
    </row>
    <row r="475" spans="1:18" ht="14.25" customHeight="1">
      <c r="A475" s="5">
        <v>971</v>
      </c>
      <c r="B475" s="8" t="s">
        <v>1201</v>
      </c>
      <c r="C475" s="7" t="s">
        <v>1202</v>
      </c>
      <c r="D475" s="10" t="s">
        <v>74</v>
      </c>
      <c r="E475" s="10" t="s">
        <v>201</v>
      </c>
      <c r="F475" s="10" t="s">
        <v>212</v>
      </c>
      <c r="G475" s="10" t="s">
        <v>136</v>
      </c>
      <c r="H475" s="10" t="s">
        <v>240</v>
      </c>
      <c r="I475" s="10" t="s">
        <v>241</v>
      </c>
      <c r="J475" s="12" t="s">
        <v>284</v>
      </c>
      <c r="K475" s="12" t="s">
        <v>221</v>
      </c>
      <c r="L475" s="13">
        <v>45818.583333333299</v>
      </c>
      <c r="M475" s="14">
        <v>45838.583333333299</v>
      </c>
      <c r="N475" s="15"/>
      <c r="O475" s="15"/>
      <c r="P475" s="15"/>
      <c r="Q475" s="15"/>
      <c r="R475" s="15"/>
    </row>
    <row r="476" spans="1:18" ht="14.25" customHeight="1">
      <c r="A476" s="5">
        <v>972</v>
      </c>
      <c r="B476" s="8" t="s">
        <v>1203</v>
      </c>
      <c r="C476" s="7" t="s">
        <v>1204</v>
      </c>
      <c r="D476" s="10" t="s">
        <v>45</v>
      </c>
      <c r="E476" s="10" t="s">
        <v>201</v>
      </c>
      <c r="F476" s="10" t="s">
        <v>212</v>
      </c>
      <c r="G476" s="10" t="s">
        <v>46</v>
      </c>
      <c r="H476" s="10" t="s">
        <v>213</v>
      </c>
      <c r="I476" s="10" t="s">
        <v>67</v>
      </c>
      <c r="J476" s="12" t="s">
        <v>220</v>
      </c>
      <c r="K476" s="12" t="s">
        <v>221</v>
      </c>
      <c r="L476" s="13">
        <v>45818.583333333299</v>
      </c>
      <c r="M476" s="18">
        <v>46130.583333333299</v>
      </c>
      <c r="N476" s="15"/>
      <c r="O476" s="15"/>
      <c r="P476" s="15"/>
      <c r="Q476" s="15"/>
      <c r="R476" s="15"/>
    </row>
    <row r="477" spans="1:18" ht="14.25" customHeight="1">
      <c r="A477" s="5">
        <v>973</v>
      </c>
      <c r="B477" s="8" t="s">
        <v>96</v>
      </c>
      <c r="C477" s="7" t="s">
        <v>97</v>
      </c>
      <c r="D477" s="10" t="s">
        <v>74</v>
      </c>
      <c r="E477" s="10" t="s">
        <v>78</v>
      </c>
      <c r="F477" s="10" t="s">
        <v>78</v>
      </c>
      <c r="G477" s="10" t="s">
        <v>78</v>
      </c>
      <c r="H477" s="10" t="s">
        <v>288</v>
      </c>
      <c r="I477" s="10" t="s">
        <v>85</v>
      </c>
      <c r="J477" s="12" t="s">
        <v>215</v>
      </c>
      <c r="K477" s="12" t="s">
        <v>221</v>
      </c>
      <c r="L477" s="13">
        <v>45819.583333333299</v>
      </c>
      <c r="M477" s="14">
        <v>46112.583333333299</v>
      </c>
      <c r="N477" s="15"/>
      <c r="O477" s="15"/>
      <c r="P477" s="15"/>
      <c r="Q477" s="15"/>
      <c r="R477" s="15"/>
    </row>
    <row r="478" spans="1:18" ht="14.25" customHeight="1">
      <c r="A478" s="5">
        <v>974</v>
      </c>
      <c r="B478" s="8" t="s">
        <v>98</v>
      </c>
      <c r="C478" s="7" t="s">
        <v>99</v>
      </c>
      <c r="D478" s="10" t="s">
        <v>74</v>
      </c>
      <c r="E478" s="10" t="s">
        <v>202</v>
      </c>
      <c r="F478" s="10" t="s">
        <v>259</v>
      </c>
      <c r="G478" s="10" t="s">
        <v>101</v>
      </c>
      <c r="H478" s="10" t="s">
        <v>101</v>
      </c>
      <c r="I478" s="10" t="s">
        <v>100</v>
      </c>
      <c r="J478" s="12" t="s">
        <v>215</v>
      </c>
      <c r="K478" s="12" t="s">
        <v>208</v>
      </c>
      <c r="L478" s="13">
        <v>45819.583333333299</v>
      </c>
      <c r="M478" s="14"/>
      <c r="N478" s="15"/>
      <c r="O478" s="15"/>
      <c r="P478" s="15"/>
      <c r="Q478" s="15"/>
      <c r="R478" s="15"/>
    </row>
    <row r="479" spans="1:18" ht="14.25" customHeight="1">
      <c r="A479" s="5">
        <v>975</v>
      </c>
      <c r="B479" s="8" t="s">
        <v>1205</v>
      </c>
      <c r="C479" s="7" t="s">
        <v>1206</v>
      </c>
      <c r="D479" s="10" t="s">
        <v>29</v>
      </c>
      <c r="E479" s="10" t="s">
        <v>203</v>
      </c>
      <c r="F479" s="10" t="s">
        <v>259</v>
      </c>
      <c r="G479" s="10" t="s">
        <v>36</v>
      </c>
      <c r="H479" s="10" t="s">
        <v>36</v>
      </c>
      <c r="I479" s="10" t="s">
        <v>1207</v>
      </c>
      <c r="J479" s="12" t="s">
        <v>471</v>
      </c>
      <c r="K479" s="12" t="s">
        <v>221</v>
      </c>
      <c r="L479" s="13">
        <v>45818.583333333299</v>
      </c>
      <c r="M479" s="14">
        <v>45940.583333333299</v>
      </c>
      <c r="N479" s="15"/>
      <c r="O479" s="15"/>
      <c r="P479" s="15"/>
      <c r="Q479" s="15"/>
      <c r="R479" s="15"/>
    </row>
    <row r="480" spans="1:18" ht="14.25" customHeight="1">
      <c r="A480" s="5">
        <v>976</v>
      </c>
      <c r="B480" s="8" t="s">
        <v>102</v>
      </c>
      <c r="C480" s="7" t="s">
        <v>103</v>
      </c>
      <c r="D480" s="10" t="s">
        <v>74</v>
      </c>
      <c r="E480" s="10" t="s">
        <v>202</v>
      </c>
      <c r="F480" s="10" t="s">
        <v>259</v>
      </c>
      <c r="G480" s="10" t="s">
        <v>101</v>
      </c>
      <c r="H480" s="10" t="s">
        <v>101</v>
      </c>
      <c r="I480" s="10" t="s">
        <v>104</v>
      </c>
      <c r="J480" s="12" t="s">
        <v>215</v>
      </c>
      <c r="K480" s="12" t="s">
        <v>221</v>
      </c>
      <c r="L480" s="13">
        <v>45818.583333333299</v>
      </c>
      <c r="M480" s="14">
        <v>45959.583333333299</v>
      </c>
      <c r="N480" s="15"/>
      <c r="O480" s="15"/>
      <c r="P480" s="15"/>
      <c r="Q480" s="15"/>
      <c r="R480" s="15"/>
    </row>
    <row r="481" spans="1:18" ht="14.25" customHeight="1">
      <c r="A481" s="5">
        <v>977</v>
      </c>
      <c r="B481" s="8" t="s">
        <v>1208</v>
      </c>
      <c r="C481" s="7" t="s">
        <v>1209</v>
      </c>
      <c r="D481" s="10" t="s">
        <v>29</v>
      </c>
      <c r="E481" s="10" t="s">
        <v>203</v>
      </c>
      <c r="F481" s="10" t="s">
        <v>212</v>
      </c>
      <c r="G481" s="10" t="s">
        <v>39</v>
      </c>
      <c r="H481" s="10" t="s">
        <v>240</v>
      </c>
      <c r="I481" s="10" t="s">
        <v>28</v>
      </c>
      <c r="J481" s="12" t="s">
        <v>284</v>
      </c>
      <c r="K481" s="12" t="s">
        <v>221</v>
      </c>
      <c r="L481" s="13">
        <v>45813.583333333299</v>
      </c>
      <c r="M481" s="14">
        <v>45844.583333333299</v>
      </c>
      <c r="N481" s="15"/>
      <c r="O481" s="15"/>
      <c r="P481" s="15"/>
      <c r="Q481" s="15"/>
      <c r="R481" s="15"/>
    </row>
    <row r="482" spans="1:18" ht="14.25" customHeight="1">
      <c r="A482" s="5">
        <v>978</v>
      </c>
      <c r="B482" s="8" t="s">
        <v>56</v>
      </c>
      <c r="C482" s="7" t="s">
        <v>57</v>
      </c>
      <c r="D482" s="10" t="s">
        <v>45</v>
      </c>
      <c r="E482" s="10" t="s">
        <v>201</v>
      </c>
      <c r="F482" s="10" t="s">
        <v>212</v>
      </c>
      <c r="G482" s="10" t="s">
        <v>46</v>
      </c>
      <c r="H482" s="10" t="s">
        <v>231</v>
      </c>
      <c r="I482" s="10" t="s">
        <v>58</v>
      </c>
      <c r="J482" s="12" t="s">
        <v>215</v>
      </c>
      <c r="K482" s="12" t="s">
        <v>208</v>
      </c>
      <c r="L482" s="13">
        <v>45818.583333333299</v>
      </c>
      <c r="M482" s="18"/>
      <c r="N482" s="15"/>
      <c r="O482" s="15"/>
      <c r="P482" s="15"/>
      <c r="Q482" s="15"/>
      <c r="R482" s="15"/>
    </row>
    <row r="483" spans="1:18" ht="14.25" customHeight="1">
      <c r="A483" s="5">
        <v>979</v>
      </c>
      <c r="B483" s="8" t="s">
        <v>1210</v>
      </c>
      <c r="C483" s="7" t="s">
        <v>1211</v>
      </c>
      <c r="D483" s="10" t="s">
        <v>29</v>
      </c>
      <c r="E483" s="10" t="s">
        <v>203</v>
      </c>
      <c r="F483" s="10" t="s">
        <v>212</v>
      </c>
      <c r="G483" s="10" t="s">
        <v>39</v>
      </c>
      <c r="H483" s="10" t="s">
        <v>240</v>
      </c>
      <c r="I483" s="10" t="s">
        <v>28</v>
      </c>
      <c r="J483" s="12" t="s">
        <v>220</v>
      </c>
      <c r="K483" s="12" t="s">
        <v>221</v>
      </c>
      <c r="L483" s="13">
        <v>45813.583333333299</v>
      </c>
      <c r="M483" s="18">
        <v>45889.583333333299</v>
      </c>
      <c r="N483" s="15"/>
      <c r="O483" s="15"/>
      <c r="P483" s="15"/>
      <c r="Q483" s="15"/>
      <c r="R483" s="15"/>
    </row>
    <row r="484" spans="1:18" ht="14.25" customHeight="1">
      <c r="A484" s="5">
        <v>980</v>
      </c>
      <c r="B484" s="8" t="s">
        <v>1212</v>
      </c>
      <c r="C484" s="7" t="s">
        <v>1213</v>
      </c>
      <c r="D484" s="10" t="s">
        <v>45</v>
      </c>
      <c r="E484" s="10" t="s">
        <v>201</v>
      </c>
      <c r="F484" s="10" t="s">
        <v>212</v>
      </c>
      <c r="G484" s="10" t="s">
        <v>46</v>
      </c>
      <c r="H484" s="10" t="s">
        <v>240</v>
      </c>
      <c r="I484" s="10" t="s">
        <v>1214</v>
      </c>
      <c r="J484" s="12" t="s">
        <v>284</v>
      </c>
      <c r="K484" s="12" t="s">
        <v>221</v>
      </c>
      <c r="L484" s="13">
        <v>45818.583333333299</v>
      </c>
      <c r="M484" s="18">
        <v>45869.583333333299</v>
      </c>
      <c r="N484" s="15"/>
      <c r="O484" s="15"/>
      <c r="P484" s="15"/>
      <c r="Q484" s="15"/>
      <c r="R484" s="15"/>
    </row>
    <row r="485" spans="1:18" ht="14.25" customHeight="1">
      <c r="A485" s="5">
        <v>981</v>
      </c>
      <c r="B485" s="8" t="s">
        <v>1215</v>
      </c>
      <c r="C485" s="7" t="s">
        <v>1216</v>
      </c>
      <c r="D485" s="10" t="s">
        <v>45</v>
      </c>
      <c r="E485" s="10" t="s">
        <v>201</v>
      </c>
      <c r="F485" s="10" t="s">
        <v>212</v>
      </c>
      <c r="G485" s="10" t="s">
        <v>46</v>
      </c>
      <c r="H485" s="10" t="s">
        <v>240</v>
      </c>
      <c r="I485" s="10" t="s">
        <v>70</v>
      </c>
      <c r="J485" s="12" t="s">
        <v>284</v>
      </c>
      <c r="K485" s="12" t="s">
        <v>221</v>
      </c>
      <c r="L485" s="13">
        <v>45818.583333333299</v>
      </c>
      <c r="M485" s="14">
        <v>45833.583333333299</v>
      </c>
      <c r="N485" s="15"/>
      <c r="O485" s="15"/>
      <c r="P485" s="15"/>
      <c r="Q485" s="15"/>
      <c r="R485" s="15"/>
    </row>
    <row r="486" spans="1:18" ht="14.25" customHeight="1">
      <c r="A486" s="5">
        <v>982</v>
      </c>
      <c r="B486" s="8" t="s">
        <v>59</v>
      </c>
      <c r="C486" s="7" t="s">
        <v>60</v>
      </c>
      <c r="D486" s="10" t="s">
        <v>45</v>
      </c>
      <c r="E486" s="10" t="s">
        <v>201</v>
      </c>
      <c r="F486" s="10" t="s">
        <v>212</v>
      </c>
      <c r="G486" s="10" t="s">
        <v>46</v>
      </c>
      <c r="H486" s="10" t="s">
        <v>218</v>
      </c>
      <c r="I486" s="10" t="s">
        <v>61</v>
      </c>
      <c r="J486" s="12" t="s">
        <v>215</v>
      </c>
      <c r="K486" s="12" t="s">
        <v>208</v>
      </c>
      <c r="L486" s="13">
        <v>45818.583333333299</v>
      </c>
      <c r="M486" s="14"/>
      <c r="N486" s="15"/>
      <c r="O486" s="15"/>
      <c r="P486" s="15"/>
      <c r="Q486" s="15"/>
      <c r="R486" s="15"/>
    </row>
    <row r="487" spans="1:18" ht="14.25" customHeight="1">
      <c r="A487" s="5">
        <v>983</v>
      </c>
      <c r="B487" s="8" t="s">
        <v>105</v>
      </c>
      <c r="C487" s="7" t="s">
        <v>106</v>
      </c>
      <c r="D487" s="10" t="s">
        <v>74</v>
      </c>
      <c r="E487" s="10" t="s">
        <v>202</v>
      </c>
      <c r="F487" s="10" t="s">
        <v>212</v>
      </c>
      <c r="G487" s="10" t="s">
        <v>108</v>
      </c>
      <c r="H487" s="10" t="s">
        <v>240</v>
      </c>
      <c r="I487" s="10" t="s">
        <v>107</v>
      </c>
      <c r="J487" s="12" t="s">
        <v>215</v>
      </c>
      <c r="K487" s="12" t="s">
        <v>221</v>
      </c>
      <c r="L487" s="13">
        <v>45822.583333333299</v>
      </c>
      <c r="M487" s="14">
        <v>45977.625</v>
      </c>
      <c r="N487" s="15"/>
      <c r="O487" s="15"/>
      <c r="P487" s="15"/>
      <c r="Q487" s="15"/>
      <c r="R487" s="15"/>
    </row>
    <row r="488" spans="1:18" ht="14.25" customHeight="1">
      <c r="A488" s="5">
        <v>984</v>
      </c>
      <c r="B488" s="8" t="s">
        <v>62</v>
      </c>
      <c r="C488" s="7" t="s">
        <v>63</v>
      </c>
      <c r="D488" s="10" t="s">
        <v>45</v>
      </c>
      <c r="E488" s="10" t="s">
        <v>201</v>
      </c>
      <c r="F488" s="10" t="s">
        <v>212</v>
      </c>
      <c r="G488" s="10" t="s">
        <v>136</v>
      </c>
      <c r="H488" s="10" t="s">
        <v>218</v>
      </c>
      <c r="I488" s="10" t="s">
        <v>64</v>
      </c>
      <c r="J488" s="12" t="s">
        <v>215</v>
      </c>
      <c r="K488" s="12" t="s">
        <v>208</v>
      </c>
      <c r="L488" s="13">
        <v>45811.583333333299</v>
      </c>
      <c r="M488" s="18"/>
      <c r="N488" s="15"/>
      <c r="O488" s="15"/>
      <c r="P488" s="15"/>
      <c r="Q488" s="15"/>
      <c r="R488" s="15"/>
    </row>
    <row r="489" spans="1:18" ht="14.25" customHeight="1">
      <c r="A489" s="5">
        <v>985</v>
      </c>
      <c r="B489" s="8" t="s">
        <v>1217</v>
      </c>
      <c r="C489" s="7" t="s">
        <v>1218</v>
      </c>
      <c r="D489" s="10" t="s">
        <v>74</v>
      </c>
      <c r="E489" s="10" t="s">
        <v>202</v>
      </c>
      <c r="F489" s="10" t="s">
        <v>212</v>
      </c>
      <c r="G489" s="10" t="s">
        <v>108</v>
      </c>
      <c r="H489" s="10" t="s">
        <v>218</v>
      </c>
      <c r="I489" s="10" t="s">
        <v>61</v>
      </c>
      <c r="J489" s="12" t="s">
        <v>220</v>
      </c>
      <c r="K489" s="12" t="s">
        <v>221</v>
      </c>
      <c r="L489" s="13">
        <v>45821.583333333299</v>
      </c>
      <c r="M489" s="14">
        <v>45869.583333333299</v>
      </c>
      <c r="N489" s="15"/>
      <c r="O489" s="15"/>
      <c r="P489" s="15"/>
      <c r="Q489" s="15"/>
      <c r="R489" s="15"/>
    </row>
    <row r="490" spans="1:18" ht="14.25" customHeight="1">
      <c r="A490" s="5">
        <v>986</v>
      </c>
      <c r="B490" s="8" t="s">
        <v>1219</v>
      </c>
      <c r="C490" s="7" t="s">
        <v>1220</v>
      </c>
      <c r="D490" s="10" t="s">
        <v>16</v>
      </c>
      <c r="E490" s="10" t="s">
        <v>211</v>
      </c>
      <c r="F490" s="10" t="s">
        <v>259</v>
      </c>
      <c r="G490" s="10" t="s">
        <v>75</v>
      </c>
      <c r="H490" s="10" t="s">
        <v>75</v>
      </c>
      <c r="I490" s="10" t="s">
        <v>1221</v>
      </c>
      <c r="J490" s="12" t="s">
        <v>284</v>
      </c>
      <c r="K490" s="12" t="s">
        <v>221</v>
      </c>
      <c r="L490" s="13">
        <v>45825.583333333299</v>
      </c>
      <c r="M490" s="14">
        <v>45884.583333333299</v>
      </c>
      <c r="N490" s="15"/>
      <c r="O490" s="15"/>
      <c r="P490" s="15"/>
      <c r="Q490" s="15"/>
      <c r="R490" s="15"/>
    </row>
    <row r="491" spans="1:18" ht="14.25" customHeight="1">
      <c r="A491" s="5">
        <v>987</v>
      </c>
      <c r="B491" s="8" t="s">
        <v>1222</v>
      </c>
      <c r="C491" s="7" t="s">
        <v>1223</v>
      </c>
      <c r="D491" s="10" t="s">
        <v>45</v>
      </c>
      <c r="E491" s="10" t="s">
        <v>201</v>
      </c>
      <c r="F491" s="10" t="s">
        <v>212</v>
      </c>
      <c r="G491" s="10" t="s">
        <v>46</v>
      </c>
      <c r="H491" s="10" t="s">
        <v>218</v>
      </c>
      <c r="I491" s="10" t="s">
        <v>61</v>
      </c>
      <c r="J491" s="12" t="s">
        <v>284</v>
      </c>
      <c r="K491" s="12" t="s">
        <v>221</v>
      </c>
      <c r="L491" s="13">
        <v>45825.583333333299</v>
      </c>
      <c r="M491" s="14">
        <v>45879.583333333299</v>
      </c>
      <c r="N491" s="15"/>
      <c r="O491" s="15"/>
      <c r="P491" s="15"/>
      <c r="Q491" s="15"/>
      <c r="R491" s="15"/>
    </row>
    <row r="492" spans="1:18" ht="14.25" customHeight="1">
      <c r="A492" s="5">
        <v>988</v>
      </c>
      <c r="B492" s="8" t="s">
        <v>65</v>
      </c>
      <c r="C492" s="7" t="s">
        <v>66</v>
      </c>
      <c r="D492" s="10" t="s">
        <v>45</v>
      </c>
      <c r="E492" s="10" t="s">
        <v>201</v>
      </c>
      <c r="F492" s="10" t="s">
        <v>212</v>
      </c>
      <c r="G492" s="10" t="s">
        <v>46</v>
      </c>
      <c r="H492" s="10" t="s">
        <v>213</v>
      </c>
      <c r="I492" s="10" t="s">
        <v>67</v>
      </c>
      <c r="J492" s="12" t="s">
        <v>215</v>
      </c>
      <c r="K492" s="12" t="s">
        <v>208</v>
      </c>
      <c r="L492" s="13">
        <v>45821.583333333299</v>
      </c>
      <c r="M492" s="18"/>
      <c r="N492" s="15"/>
      <c r="O492" s="15"/>
      <c r="P492" s="15"/>
      <c r="Q492" s="15"/>
      <c r="R492" s="15"/>
    </row>
    <row r="493" spans="1:18" ht="14.25" customHeight="1">
      <c r="A493" s="5">
        <v>989</v>
      </c>
      <c r="B493" s="8" t="s">
        <v>1224</v>
      </c>
      <c r="C493" s="7" t="s">
        <v>1225</v>
      </c>
      <c r="D493" s="10" t="s">
        <v>45</v>
      </c>
      <c r="E493" s="10" t="s">
        <v>201</v>
      </c>
      <c r="F493" s="10" t="s">
        <v>212</v>
      </c>
      <c r="G493" s="10" t="s">
        <v>136</v>
      </c>
      <c r="H493" s="10" t="s">
        <v>213</v>
      </c>
      <c r="I493" s="10" t="s">
        <v>67</v>
      </c>
      <c r="J493" s="12" t="s">
        <v>220</v>
      </c>
      <c r="K493" s="12" t="s">
        <v>221</v>
      </c>
      <c r="L493" s="13">
        <v>45820.583333333299</v>
      </c>
      <c r="M493" s="18">
        <v>46053.625</v>
      </c>
      <c r="N493" s="15"/>
      <c r="O493" s="15"/>
      <c r="P493" s="15"/>
      <c r="Q493" s="15"/>
      <c r="R493" s="15"/>
    </row>
    <row r="494" spans="1:18" ht="14.25" customHeight="1">
      <c r="A494" s="5">
        <v>990</v>
      </c>
      <c r="B494" s="8" t="s">
        <v>1226</v>
      </c>
      <c r="C494" s="7" t="s">
        <v>1227</v>
      </c>
      <c r="D494" s="10" t="s">
        <v>45</v>
      </c>
      <c r="E494" s="10" t="s">
        <v>201</v>
      </c>
      <c r="F494" s="10" t="s">
        <v>212</v>
      </c>
      <c r="G494" s="10" t="s">
        <v>136</v>
      </c>
      <c r="H494" s="10" t="s">
        <v>213</v>
      </c>
      <c r="I494" s="10" t="s">
        <v>67</v>
      </c>
      <c r="J494" s="12" t="s">
        <v>220</v>
      </c>
      <c r="K494" s="12" t="s">
        <v>221</v>
      </c>
      <c r="L494" s="13">
        <v>45825.583333333299</v>
      </c>
      <c r="M494" s="18">
        <v>46147.583333333299</v>
      </c>
      <c r="N494" s="15"/>
      <c r="O494" s="15"/>
      <c r="P494" s="15"/>
      <c r="Q494" s="15"/>
      <c r="R494" s="15"/>
    </row>
    <row r="495" spans="1:18" ht="14.25" customHeight="1">
      <c r="A495" s="5">
        <v>991</v>
      </c>
      <c r="B495" s="8" t="s">
        <v>1228</v>
      </c>
      <c r="C495" s="7" t="s">
        <v>1229</v>
      </c>
      <c r="D495" s="10" t="s">
        <v>45</v>
      </c>
      <c r="E495" s="10" t="s">
        <v>201</v>
      </c>
      <c r="F495" s="10" t="s">
        <v>212</v>
      </c>
      <c r="G495" s="10" t="s">
        <v>136</v>
      </c>
      <c r="H495" s="10" t="s">
        <v>218</v>
      </c>
      <c r="I495" s="10" t="s">
        <v>61</v>
      </c>
      <c r="J495" s="12" t="s">
        <v>220</v>
      </c>
      <c r="K495" s="12" t="s">
        <v>221</v>
      </c>
      <c r="L495" s="13">
        <v>45826.583333333299</v>
      </c>
      <c r="M495" s="14">
        <v>46012.625</v>
      </c>
      <c r="N495" s="15"/>
      <c r="O495" s="15"/>
      <c r="P495" s="15"/>
      <c r="Q495" s="15"/>
      <c r="R495" s="15"/>
    </row>
    <row r="496" spans="1:18" ht="14.25" customHeight="1">
      <c r="A496" s="5">
        <v>992</v>
      </c>
      <c r="B496" s="8" t="s">
        <v>161</v>
      </c>
      <c r="C496" s="7" t="s">
        <v>162</v>
      </c>
      <c r="D496" s="10" t="s">
        <v>74</v>
      </c>
      <c r="E496" s="10" t="s">
        <v>202</v>
      </c>
      <c r="F496" s="10" t="s">
        <v>259</v>
      </c>
      <c r="G496" s="10" t="s">
        <v>305</v>
      </c>
      <c r="H496" s="10" t="s">
        <v>305</v>
      </c>
      <c r="I496" s="10" t="s">
        <v>1230</v>
      </c>
      <c r="J496" s="12" t="s">
        <v>215</v>
      </c>
      <c r="K496" s="12" t="s">
        <v>208</v>
      </c>
      <c r="L496" s="13">
        <v>45824.583333333299</v>
      </c>
      <c r="M496" s="14"/>
      <c r="N496" s="15"/>
      <c r="O496" s="15"/>
      <c r="P496" s="15"/>
      <c r="Q496" s="15"/>
      <c r="R496" s="15"/>
    </row>
    <row r="497" spans="1:18" ht="14.25" customHeight="1">
      <c r="A497" s="5">
        <v>993</v>
      </c>
      <c r="B497" s="8" t="s">
        <v>179</v>
      </c>
      <c r="C497" s="7" t="s">
        <v>180</v>
      </c>
      <c r="D497" s="10" t="s">
        <v>29</v>
      </c>
      <c r="E497" s="10" t="s">
        <v>203</v>
      </c>
      <c r="F497" s="10" t="s">
        <v>212</v>
      </c>
      <c r="G497" s="10" t="s">
        <v>39</v>
      </c>
      <c r="H497" s="10" t="s">
        <v>266</v>
      </c>
      <c r="I497" s="10" t="s">
        <v>15</v>
      </c>
      <c r="J497" s="12" t="s">
        <v>215</v>
      </c>
      <c r="K497" s="12" t="s">
        <v>221</v>
      </c>
      <c r="L497" s="13">
        <v>45824.583333333299</v>
      </c>
      <c r="M497" s="14">
        <v>46142.583333333299</v>
      </c>
      <c r="N497" s="15"/>
      <c r="O497" s="15"/>
      <c r="P497" s="15"/>
      <c r="Q497" s="15"/>
      <c r="R497" s="15"/>
    </row>
    <row r="498" spans="1:18" ht="14.25" customHeight="1">
      <c r="A498" s="5">
        <v>994</v>
      </c>
      <c r="B498" s="8" t="s">
        <v>121</v>
      </c>
      <c r="C498" s="7" t="s">
        <v>122</v>
      </c>
      <c r="D498" s="10" t="s">
        <v>74</v>
      </c>
      <c r="E498" s="10" t="s">
        <v>78</v>
      </c>
      <c r="F498" s="10" t="s">
        <v>78</v>
      </c>
      <c r="G498" s="10" t="s">
        <v>78</v>
      </c>
      <c r="H498" s="10" t="s">
        <v>288</v>
      </c>
      <c r="I498" s="10" t="s">
        <v>51</v>
      </c>
      <c r="J498" s="12" t="s">
        <v>215</v>
      </c>
      <c r="K498" s="12" t="s">
        <v>221</v>
      </c>
      <c r="L498" s="13">
        <v>45823.583333333299</v>
      </c>
      <c r="M498" s="18">
        <v>45910.583333333299</v>
      </c>
      <c r="N498" s="15"/>
      <c r="O498" s="15"/>
      <c r="P498" s="15"/>
      <c r="Q498" s="15"/>
      <c r="R498" s="15"/>
    </row>
    <row r="499" spans="1:18" ht="14.25" customHeight="1">
      <c r="A499" s="5">
        <v>995</v>
      </c>
      <c r="B499" s="8" t="s">
        <v>1231</v>
      </c>
      <c r="C499" s="7" t="s">
        <v>1232</v>
      </c>
      <c r="D499" s="10" t="s">
        <v>29</v>
      </c>
      <c r="E499" s="10" t="s">
        <v>203</v>
      </c>
      <c r="F499" s="10" t="s">
        <v>212</v>
      </c>
      <c r="G499" s="10" t="s">
        <v>30</v>
      </c>
      <c r="H499" s="10" t="s">
        <v>240</v>
      </c>
      <c r="I499" s="10" t="s">
        <v>28</v>
      </c>
      <c r="J499" s="12" t="s">
        <v>220</v>
      </c>
      <c r="K499" s="12" t="s">
        <v>221</v>
      </c>
      <c r="L499" s="13">
        <v>45824.583333333299</v>
      </c>
      <c r="M499" s="18">
        <v>45961.583333333299</v>
      </c>
      <c r="N499" s="15"/>
      <c r="O499" s="15"/>
      <c r="P499" s="15"/>
      <c r="Q499" s="15"/>
      <c r="R499" s="15"/>
    </row>
    <row r="500" spans="1:18" ht="14.25" customHeight="1">
      <c r="A500" s="5">
        <v>996</v>
      </c>
      <c r="B500" s="8" t="s">
        <v>149</v>
      </c>
      <c r="C500" s="7" t="s">
        <v>150</v>
      </c>
      <c r="D500" s="10" t="s">
        <v>74</v>
      </c>
      <c r="E500" s="10" t="s">
        <v>202</v>
      </c>
      <c r="F500" s="10" t="s">
        <v>212</v>
      </c>
      <c r="G500" s="10" t="s">
        <v>120</v>
      </c>
      <c r="H500" s="10" t="s">
        <v>240</v>
      </c>
      <c r="I500" s="10" t="s">
        <v>107</v>
      </c>
      <c r="J500" s="12" t="s">
        <v>215</v>
      </c>
      <c r="K500" s="12" t="s">
        <v>221</v>
      </c>
      <c r="L500" s="13">
        <v>45824.583333333299</v>
      </c>
      <c r="M500" s="23">
        <v>46125.583333333299</v>
      </c>
      <c r="N500" s="15"/>
      <c r="O500" s="15"/>
      <c r="P500" s="15"/>
      <c r="Q500" s="15"/>
      <c r="R500" s="15"/>
    </row>
    <row r="501" spans="1:18" ht="14.25" customHeight="1">
      <c r="A501" s="5">
        <v>997</v>
      </c>
      <c r="B501" s="8" t="s">
        <v>1233</v>
      </c>
      <c r="C501" s="7" t="s">
        <v>1234</v>
      </c>
      <c r="D501" s="10" t="s">
        <v>74</v>
      </c>
      <c r="E501" s="10" t="s">
        <v>78</v>
      </c>
      <c r="F501" s="10" t="s">
        <v>78</v>
      </c>
      <c r="G501" s="10" t="s">
        <v>78</v>
      </c>
      <c r="H501" s="10" t="s">
        <v>288</v>
      </c>
      <c r="I501" s="10" t="s">
        <v>1135</v>
      </c>
      <c r="J501" s="12" t="s">
        <v>284</v>
      </c>
      <c r="K501" s="12" t="s">
        <v>221</v>
      </c>
      <c r="L501" s="13">
        <v>45821.583333333299</v>
      </c>
      <c r="M501" s="18">
        <v>45866.583333333299</v>
      </c>
      <c r="N501" s="15"/>
      <c r="O501" s="15"/>
      <c r="P501" s="15"/>
      <c r="Q501" s="15"/>
      <c r="R501" s="15"/>
    </row>
    <row r="502" spans="1:18" ht="14.25" customHeight="1">
      <c r="A502" s="5">
        <v>998</v>
      </c>
      <c r="B502" s="8" t="s">
        <v>1235</v>
      </c>
      <c r="C502" s="7" t="s">
        <v>1236</v>
      </c>
      <c r="D502" s="10" t="s">
        <v>74</v>
      </c>
      <c r="E502" s="10" t="s">
        <v>78</v>
      </c>
      <c r="F502" s="10" t="s">
        <v>78</v>
      </c>
      <c r="G502" s="10" t="s">
        <v>78</v>
      </c>
      <c r="H502" s="10" t="s">
        <v>288</v>
      </c>
      <c r="I502" s="10" t="s">
        <v>1135</v>
      </c>
      <c r="J502" s="12" t="s">
        <v>220</v>
      </c>
      <c r="K502" s="12" t="s">
        <v>221</v>
      </c>
      <c r="L502" s="13">
        <v>45821.583333333299</v>
      </c>
      <c r="M502" s="18">
        <v>45855.583333333299</v>
      </c>
      <c r="N502" s="15"/>
      <c r="O502" s="15"/>
      <c r="P502" s="15"/>
      <c r="Q502" s="15"/>
      <c r="R502" s="15"/>
    </row>
    <row r="503" spans="1:18" ht="14.25" customHeight="1">
      <c r="A503" s="5">
        <v>999</v>
      </c>
      <c r="B503" s="8" t="s">
        <v>1237</v>
      </c>
      <c r="C503" s="7" t="s">
        <v>1238</v>
      </c>
      <c r="D503" s="10" t="s">
        <v>74</v>
      </c>
      <c r="E503" s="10" t="s">
        <v>78</v>
      </c>
      <c r="F503" s="10" t="s">
        <v>78</v>
      </c>
      <c r="G503" s="10" t="s">
        <v>78</v>
      </c>
      <c r="H503" s="10" t="s">
        <v>288</v>
      </c>
      <c r="I503" s="10" t="s">
        <v>1135</v>
      </c>
      <c r="J503" s="12" t="s">
        <v>220</v>
      </c>
      <c r="K503" s="12" t="s">
        <v>221</v>
      </c>
      <c r="L503" s="13">
        <v>45821.583333333299</v>
      </c>
      <c r="M503" s="14">
        <v>45850.583333333299</v>
      </c>
      <c r="N503" s="15"/>
      <c r="O503" s="15"/>
      <c r="P503" s="15"/>
      <c r="Q503" s="15"/>
      <c r="R503" s="15"/>
    </row>
    <row r="504" spans="1:18" ht="14.25" customHeight="1">
      <c r="A504" s="5">
        <v>1000</v>
      </c>
      <c r="B504" s="8" t="s">
        <v>1239</v>
      </c>
      <c r="C504" s="7" t="s">
        <v>1240</v>
      </c>
      <c r="D504" s="10" t="s">
        <v>16</v>
      </c>
      <c r="E504" s="10" t="s">
        <v>211</v>
      </c>
      <c r="F504" s="10" t="s">
        <v>212</v>
      </c>
      <c r="G504" s="20" t="s">
        <v>17</v>
      </c>
      <c r="H504" s="10" t="s">
        <v>218</v>
      </c>
      <c r="I504" s="10" t="s">
        <v>61</v>
      </c>
      <c r="J504" s="12" t="s">
        <v>220</v>
      </c>
      <c r="K504" s="12" t="s">
        <v>221</v>
      </c>
      <c r="L504" s="13">
        <v>45824.583333333299</v>
      </c>
      <c r="M504" s="14">
        <v>45930.583333333299</v>
      </c>
      <c r="N504" s="15"/>
      <c r="O504" s="15"/>
      <c r="P504" s="15"/>
      <c r="Q504" s="15"/>
      <c r="R504" s="15"/>
    </row>
    <row r="505" spans="1:18" ht="14.25" customHeight="1">
      <c r="A505" s="5">
        <v>1001</v>
      </c>
      <c r="B505" s="8" t="s">
        <v>68</v>
      </c>
      <c r="C505" s="7" t="s">
        <v>69</v>
      </c>
      <c r="D505" s="10" t="s">
        <v>45</v>
      </c>
      <c r="E505" s="10" t="s">
        <v>201</v>
      </c>
      <c r="F505" s="10" t="s">
        <v>212</v>
      </c>
      <c r="G505" s="10" t="s">
        <v>46</v>
      </c>
      <c r="H505" s="10" t="s">
        <v>240</v>
      </c>
      <c r="I505" s="10" t="s">
        <v>70</v>
      </c>
      <c r="J505" s="12" t="s">
        <v>215</v>
      </c>
      <c r="K505" s="12" t="s">
        <v>208</v>
      </c>
      <c r="L505" s="13">
        <v>45822.583333333299</v>
      </c>
      <c r="M505" s="18"/>
      <c r="N505" s="15"/>
      <c r="O505" s="15"/>
      <c r="P505" s="15"/>
      <c r="Q505" s="15"/>
      <c r="R505" s="15"/>
    </row>
    <row r="506" spans="1:18" ht="14.25" customHeight="1">
      <c r="A506" s="5">
        <v>1002</v>
      </c>
      <c r="B506" s="8" t="s">
        <v>1241</v>
      </c>
      <c r="C506" s="7" t="s">
        <v>1242</v>
      </c>
      <c r="D506" s="10" t="s">
        <v>74</v>
      </c>
      <c r="E506" s="10" t="s">
        <v>202</v>
      </c>
      <c r="F506" s="10" t="s">
        <v>212</v>
      </c>
      <c r="G506" s="10" t="s">
        <v>108</v>
      </c>
      <c r="H506" s="10" t="s">
        <v>218</v>
      </c>
      <c r="I506" s="10" t="s">
        <v>61</v>
      </c>
      <c r="J506" s="12" t="s">
        <v>220</v>
      </c>
      <c r="K506" s="12" t="s">
        <v>221</v>
      </c>
      <c r="L506" s="13">
        <v>45823.583333333299</v>
      </c>
      <c r="M506" s="18">
        <v>45845.583333333299</v>
      </c>
      <c r="N506" s="15"/>
      <c r="O506" s="15"/>
      <c r="P506" s="15"/>
      <c r="Q506" s="15"/>
      <c r="R506" s="15"/>
    </row>
    <row r="507" spans="1:18" ht="14.25" customHeight="1">
      <c r="A507" s="5">
        <v>1003</v>
      </c>
      <c r="B507" s="8" t="s">
        <v>1243</v>
      </c>
      <c r="C507" s="7" t="s">
        <v>1244</v>
      </c>
      <c r="D507" s="10" t="s">
        <v>74</v>
      </c>
      <c r="E507" s="10" t="s">
        <v>202</v>
      </c>
      <c r="F507" s="10" t="s">
        <v>259</v>
      </c>
      <c r="G507" s="10" t="s">
        <v>296</v>
      </c>
      <c r="H507" s="10" t="s">
        <v>240</v>
      </c>
      <c r="I507" s="10" t="s">
        <v>1245</v>
      </c>
      <c r="J507" s="12" t="s">
        <v>284</v>
      </c>
      <c r="K507" s="12" t="s">
        <v>221</v>
      </c>
      <c r="L507" s="13">
        <v>45825.583333333299</v>
      </c>
      <c r="M507" s="14">
        <v>45883.583333333299</v>
      </c>
      <c r="N507" s="15"/>
      <c r="O507" s="15"/>
      <c r="P507" s="15"/>
      <c r="Q507" s="15"/>
      <c r="R507" s="15"/>
    </row>
    <row r="508" spans="1:18" ht="14.25" customHeight="1">
      <c r="A508" s="5">
        <v>1004</v>
      </c>
      <c r="B508" s="8" t="s">
        <v>1246</v>
      </c>
      <c r="C508" s="7" t="s">
        <v>1247</v>
      </c>
      <c r="D508" s="10" t="s">
        <v>29</v>
      </c>
      <c r="E508" s="10" t="s">
        <v>203</v>
      </c>
      <c r="F508" s="10" t="s">
        <v>212</v>
      </c>
      <c r="G508" s="10" t="s">
        <v>39</v>
      </c>
      <c r="H508" s="10" t="s">
        <v>240</v>
      </c>
      <c r="I508" s="10" t="s">
        <v>28</v>
      </c>
      <c r="J508" s="12" t="s">
        <v>220</v>
      </c>
      <c r="K508" s="12" t="s">
        <v>221</v>
      </c>
      <c r="L508" s="13">
        <v>45831.583333333299</v>
      </c>
      <c r="M508" s="14">
        <v>45884.583333333299</v>
      </c>
      <c r="N508" s="15"/>
      <c r="O508" s="15"/>
      <c r="P508" s="15"/>
      <c r="Q508" s="15"/>
      <c r="R508" s="15"/>
    </row>
    <row r="509" spans="1:18" ht="14.25" customHeight="1">
      <c r="A509" s="5">
        <v>1005</v>
      </c>
      <c r="B509" s="8" t="s">
        <v>1248</v>
      </c>
      <c r="C509" s="7" t="s">
        <v>1249</v>
      </c>
      <c r="D509" s="10" t="s">
        <v>74</v>
      </c>
      <c r="E509" s="10" t="s">
        <v>78</v>
      </c>
      <c r="F509" s="10" t="s">
        <v>78</v>
      </c>
      <c r="G509" s="10" t="s">
        <v>78</v>
      </c>
      <c r="H509" s="10" t="s">
        <v>288</v>
      </c>
      <c r="I509" s="10" t="s">
        <v>366</v>
      </c>
      <c r="J509" s="12" t="s">
        <v>284</v>
      </c>
      <c r="K509" s="12" t="s">
        <v>221</v>
      </c>
      <c r="L509" s="13">
        <v>45831.583333333299</v>
      </c>
      <c r="M509" s="14">
        <v>45850.583333333299</v>
      </c>
      <c r="N509" s="15"/>
      <c r="O509" s="15"/>
      <c r="P509" s="15"/>
      <c r="Q509" s="15"/>
      <c r="R509" s="15"/>
    </row>
    <row r="510" spans="1:18" ht="14.25" customHeight="1">
      <c r="A510" s="5">
        <v>1006</v>
      </c>
      <c r="B510" s="8" t="s">
        <v>1250</v>
      </c>
      <c r="C510" s="7" t="s">
        <v>1251</v>
      </c>
      <c r="D510" s="10" t="s">
        <v>74</v>
      </c>
      <c r="E510" s="10" t="s">
        <v>464</v>
      </c>
      <c r="F510" s="10" t="s">
        <v>78</v>
      </c>
      <c r="G510" s="10" t="s">
        <v>78</v>
      </c>
      <c r="H510" s="10" t="s">
        <v>288</v>
      </c>
      <c r="I510" s="10" t="s">
        <v>635</v>
      </c>
      <c r="J510" s="12" t="s">
        <v>220</v>
      </c>
      <c r="K510" s="12" t="s">
        <v>221</v>
      </c>
      <c r="L510" s="13">
        <v>45831.583333333299</v>
      </c>
      <c r="M510" s="18">
        <v>45831.583333333299</v>
      </c>
      <c r="N510" s="15"/>
      <c r="O510" s="15"/>
      <c r="P510" s="15"/>
      <c r="Q510" s="15"/>
      <c r="R510" s="15"/>
    </row>
    <row r="511" spans="1:18" ht="14.25" customHeight="1">
      <c r="A511" s="5">
        <v>1007</v>
      </c>
      <c r="B511" s="8" t="s">
        <v>155</v>
      </c>
      <c r="C511" s="7" t="s">
        <v>156</v>
      </c>
      <c r="D511" s="10" t="s">
        <v>74</v>
      </c>
      <c r="E511" s="10" t="s">
        <v>78</v>
      </c>
      <c r="F511" s="10" t="s">
        <v>78</v>
      </c>
      <c r="G511" s="10" t="s">
        <v>78</v>
      </c>
      <c r="H511" s="10" t="s">
        <v>288</v>
      </c>
      <c r="I511" s="10" t="s">
        <v>51</v>
      </c>
      <c r="J511" s="12" t="s">
        <v>215</v>
      </c>
      <c r="K511" s="12" t="s">
        <v>208</v>
      </c>
      <c r="L511" s="13">
        <v>45833.583333333299</v>
      </c>
      <c r="M511" s="18"/>
      <c r="N511" s="15"/>
      <c r="O511" s="15"/>
      <c r="P511" s="15"/>
      <c r="Q511" s="15"/>
      <c r="R511" s="15"/>
    </row>
    <row r="512" spans="1:18" ht="14.25" customHeight="1">
      <c r="A512" s="5">
        <v>1008</v>
      </c>
      <c r="B512" s="8" t="s">
        <v>1252</v>
      </c>
      <c r="C512" s="7" t="s">
        <v>1253</v>
      </c>
      <c r="D512" s="10" t="s">
        <v>16</v>
      </c>
      <c r="E512" s="10" t="s">
        <v>211</v>
      </c>
      <c r="F512" s="10" t="s">
        <v>212</v>
      </c>
      <c r="G512" s="10" t="s">
        <v>120</v>
      </c>
      <c r="H512" s="10" t="s">
        <v>240</v>
      </c>
      <c r="I512" s="10" t="s">
        <v>107</v>
      </c>
      <c r="J512" s="12" t="s">
        <v>220</v>
      </c>
      <c r="K512" s="12" t="s">
        <v>221</v>
      </c>
      <c r="L512" s="13">
        <v>45831.583333333299</v>
      </c>
      <c r="M512" s="14">
        <v>45833.583333333299</v>
      </c>
      <c r="N512" s="15"/>
      <c r="O512" s="15"/>
      <c r="P512" s="15"/>
      <c r="Q512" s="15"/>
      <c r="R512" s="15"/>
    </row>
    <row r="513" spans="1:18" ht="14.25" customHeight="1">
      <c r="A513" s="5">
        <v>1009</v>
      </c>
      <c r="B513" s="8" t="s">
        <v>157</v>
      </c>
      <c r="C513" s="7" t="s">
        <v>158</v>
      </c>
      <c r="D513" s="10" t="s">
        <v>74</v>
      </c>
      <c r="E513" s="10" t="s">
        <v>78</v>
      </c>
      <c r="F513" s="10" t="s">
        <v>78</v>
      </c>
      <c r="G513" s="10" t="s">
        <v>78</v>
      </c>
      <c r="H513" s="10" t="s">
        <v>288</v>
      </c>
      <c r="I513" s="10" t="s">
        <v>51</v>
      </c>
      <c r="J513" s="12" t="s">
        <v>215</v>
      </c>
      <c r="K513" s="12" t="s">
        <v>208</v>
      </c>
      <c r="L513" s="13">
        <v>45834.583333333299</v>
      </c>
      <c r="M513" s="14"/>
      <c r="N513" s="15"/>
      <c r="O513" s="15"/>
      <c r="P513" s="15"/>
      <c r="Q513" s="15"/>
      <c r="R513" s="15"/>
    </row>
    <row r="514" spans="1:18" ht="14.25" customHeight="1">
      <c r="A514" s="5">
        <v>1010</v>
      </c>
      <c r="B514" s="8" t="s">
        <v>1254</v>
      </c>
      <c r="C514" s="7" t="s">
        <v>1255</v>
      </c>
      <c r="D514" s="10" t="s">
        <v>74</v>
      </c>
      <c r="E514" s="10" t="s">
        <v>201</v>
      </c>
      <c r="F514" s="10" t="s">
        <v>212</v>
      </c>
      <c r="G514" s="10" t="s">
        <v>136</v>
      </c>
      <c r="H514" s="10" t="s">
        <v>213</v>
      </c>
      <c r="I514" s="10" t="s">
        <v>67</v>
      </c>
      <c r="J514" s="12" t="s">
        <v>220</v>
      </c>
      <c r="K514" s="12" t="s">
        <v>221</v>
      </c>
      <c r="L514" s="13">
        <v>45828.583333333299</v>
      </c>
      <c r="M514" s="14">
        <v>45829.583333333299</v>
      </c>
      <c r="N514" s="15"/>
      <c r="O514" s="15"/>
      <c r="P514" s="15"/>
      <c r="Q514" s="15"/>
      <c r="R514" s="15"/>
    </row>
    <row r="515" spans="1:18" ht="14.25" customHeight="1">
      <c r="A515" s="5">
        <v>1011</v>
      </c>
      <c r="B515" s="8" t="s">
        <v>1256</v>
      </c>
      <c r="C515" s="7" t="s">
        <v>752</v>
      </c>
      <c r="D515" s="10" t="s">
        <v>29</v>
      </c>
      <c r="E515" s="10" t="s">
        <v>203</v>
      </c>
      <c r="F515" s="10" t="s">
        <v>212</v>
      </c>
      <c r="G515" s="10" t="s">
        <v>39</v>
      </c>
      <c r="H515" s="10" t="s">
        <v>240</v>
      </c>
      <c r="I515" s="10" t="s">
        <v>28</v>
      </c>
      <c r="J515" s="12" t="s">
        <v>220</v>
      </c>
      <c r="K515" s="12" t="s">
        <v>221</v>
      </c>
      <c r="L515" s="13">
        <v>45831.583333333299</v>
      </c>
      <c r="M515" s="14">
        <v>45869.583333333299</v>
      </c>
      <c r="N515" s="15"/>
      <c r="O515" s="15"/>
      <c r="P515" s="15"/>
      <c r="Q515" s="15"/>
      <c r="R515" s="15"/>
    </row>
    <row r="516" spans="1:18" ht="14.25" customHeight="1">
      <c r="A516" s="5">
        <v>1012</v>
      </c>
      <c r="B516" s="8" t="s">
        <v>181</v>
      </c>
      <c r="C516" s="7" t="s">
        <v>182</v>
      </c>
      <c r="D516" s="10" t="s">
        <v>29</v>
      </c>
      <c r="E516" s="10" t="s">
        <v>203</v>
      </c>
      <c r="F516" s="10" t="s">
        <v>212</v>
      </c>
      <c r="G516" s="10" t="s">
        <v>1257</v>
      </c>
      <c r="H516" s="10" t="s">
        <v>240</v>
      </c>
      <c r="I516" s="10" t="s">
        <v>28</v>
      </c>
      <c r="J516" s="12" t="s">
        <v>215</v>
      </c>
      <c r="K516" s="12" t="s">
        <v>208</v>
      </c>
      <c r="L516" s="13">
        <v>45828.583333333299</v>
      </c>
      <c r="M516" s="14"/>
      <c r="N516" s="15"/>
      <c r="O516" s="15"/>
      <c r="P516" s="15"/>
      <c r="Q516" s="15"/>
      <c r="R516" s="15"/>
    </row>
    <row r="517" spans="1:18" ht="14.25" customHeight="1">
      <c r="A517" s="5">
        <v>1013</v>
      </c>
      <c r="B517" s="8" t="s">
        <v>183</v>
      </c>
      <c r="C517" s="7" t="s">
        <v>184</v>
      </c>
      <c r="D517" s="10" t="s">
        <v>29</v>
      </c>
      <c r="E517" s="10" t="s">
        <v>203</v>
      </c>
      <c r="F517" s="10" t="s">
        <v>212</v>
      </c>
      <c r="G517" s="10" t="s">
        <v>544</v>
      </c>
      <c r="H517" s="10" t="s">
        <v>240</v>
      </c>
      <c r="I517" s="10" t="s">
        <v>28</v>
      </c>
      <c r="J517" s="12" t="s">
        <v>215</v>
      </c>
      <c r="K517" s="12" t="s">
        <v>221</v>
      </c>
      <c r="L517" s="13">
        <v>45829.583333333299</v>
      </c>
      <c r="M517" s="14">
        <v>46089.625</v>
      </c>
      <c r="N517" s="15"/>
      <c r="O517" s="15"/>
      <c r="P517" s="15"/>
      <c r="Q517" s="15"/>
      <c r="R517" s="15"/>
    </row>
    <row r="518" spans="1:18" ht="14.25" customHeight="1">
      <c r="A518" s="5">
        <v>1014</v>
      </c>
      <c r="B518" s="8" t="s">
        <v>163</v>
      </c>
      <c r="C518" s="7" t="s">
        <v>164</v>
      </c>
      <c r="D518" s="10" t="s">
        <v>45</v>
      </c>
      <c r="E518" s="10" t="s">
        <v>201</v>
      </c>
      <c r="F518" s="10" t="s">
        <v>212</v>
      </c>
      <c r="G518" s="10" t="s">
        <v>136</v>
      </c>
      <c r="H518" s="10" t="s">
        <v>231</v>
      </c>
      <c r="I518" s="10" t="s">
        <v>58</v>
      </c>
      <c r="J518" s="12" t="s">
        <v>215</v>
      </c>
      <c r="K518" s="12" t="s">
        <v>208</v>
      </c>
      <c r="L518" s="13">
        <v>45829.583333333299</v>
      </c>
      <c r="M518" s="18"/>
      <c r="N518" s="15"/>
      <c r="O518" s="15"/>
      <c r="P518" s="15"/>
      <c r="Q518" s="15"/>
      <c r="R518" s="15"/>
    </row>
    <row r="519" spans="1:18" ht="14.25" customHeight="1">
      <c r="A519" s="5">
        <v>1015</v>
      </c>
      <c r="B519" s="8" t="s">
        <v>1258</v>
      </c>
      <c r="C519" s="7" t="s">
        <v>1259</v>
      </c>
      <c r="D519" s="10" t="s">
        <v>74</v>
      </c>
      <c r="E519" s="10" t="s">
        <v>202</v>
      </c>
      <c r="F519" s="10" t="s">
        <v>212</v>
      </c>
      <c r="G519" s="10" t="s">
        <v>95</v>
      </c>
      <c r="H519" s="10" t="s">
        <v>240</v>
      </c>
      <c r="I519" s="10" t="s">
        <v>107</v>
      </c>
      <c r="J519" s="12" t="s">
        <v>220</v>
      </c>
      <c r="K519" s="12" t="s">
        <v>221</v>
      </c>
      <c r="L519" s="13">
        <v>45831.583333333299</v>
      </c>
      <c r="M519" s="14">
        <v>45863.583333333299</v>
      </c>
      <c r="N519" s="15"/>
      <c r="O519" s="15"/>
      <c r="P519" s="15"/>
      <c r="Q519" s="15"/>
      <c r="R519" s="15"/>
    </row>
    <row r="520" spans="1:18" ht="14.25" customHeight="1">
      <c r="A520" s="5">
        <v>1016</v>
      </c>
      <c r="B520" s="8" t="s">
        <v>1260</v>
      </c>
      <c r="C520" s="7" t="s">
        <v>1261</v>
      </c>
      <c r="D520" s="10" t="s">
        <v>74</v>
      </c>
      <c r="E520" s="10" t="s">
        <v>464</v>
      </c>
      <c r="F520" s="10" t="s">
        <v>78</v>
      </c>
      <c r="G520" s="10" t="s">
        <v>78</v>
      </c>
      <c r="H520" s="10" t="s">
        <v>288</v>
      </c>
      <c r="I520" s="10" t="s">
        <v>635</v>
      </c>
      <c r="J520" s="12" t="s">
        <v>220</v>
      </c>
      <c r="K520" s="12" t="s">
        <v>221</v>
      </c>
      <c r="L520" s="13">
        <v>45829.583333333299</v>
      </c>
      <c r="M520" s="18">
        <v>45829.583333333299</v>
      </c>
      <c r="N520" s="15"/>
      <c r="O520" s="15"/>
      <c r="P520" s="15"/>
      <c r="Q520" s="15"/>
      <c r="R520" s="15"/>
    </row>
    <row r="521" spans="1:18" ht="14.25" customHeight="1">
      <c r="A521" s="5">
        <v>1017</v>
      </c>
      <c r="B521" s="8" t="s">
        <v>1262</v>
      </c>
      <c r="C521" s="7" t="s">
        <v>1263</v>
      </c>
      <c r="D521" s="10" t="s">
        <v>74</v>
      </c>
      <c r="E521" s="10" t="s">
        <v>78</v>
      </c>
      <c r="F521" s="10" t="s">
        <v>78</v>
      </c>
      <c r="G521" s="10" t="s">
        <v>78</v>
      </c>
      <c r="H521" s="10" t="s">
        <v>288</v>
      </c>
      <c r="I521" s="10" t="s">
        <v>85</v>
      </c>
      <c r="J521" s="12" t="s">
        <v>284</v>
      </c>
      <c r="K521" s="12" t="s">
        <v>221</v>
      </c>
      <c r="L521" s="13">
        <v>45831.583333333299</v>
      </c>
      <c r="M521" s="14">
        <v>45831.583333333299</v>
      </c>
      <c r="N521" s="15"/>
      <c r="O521" s="15"/>
      <c r="P521" s="15"/>
      <c r="Q521" s="15"/>
      <c r="R521" s="15"/>
    </row>
    <row r="522" spans="1:18" ht="14.25" customHeight="1">
      <c r="A522" s="5">
        <v>1018</v>
      </c>
      <c r="B522" s="8" t="s">
        <v>1264</v>
      </c>
      <c r="C522" s="7" t="s">
        <v>1265</v>
      </c>
      <c r="D522" s="10" t="s">
        <v>16</v>
      </c>
      <c r="E522" s="10" t="s">
        <v>211</v>
      </c>
      <c r="F522" s="10" t="s">
        <v>212</v>
      </c>
      <c r="G522" s="10" t="s">
        <v>120</v>
      </c>
      <c r="H522" s="10" t="s">
        <v>240</v>
      </c>
      <c r="I522" s="10" t="s">
        <v>107</v>
      </c>
      <c r="J522" s="12" t="s">
        <v>284</v>
      </c>
      <c r="K522" s="12" t="s">
        <v>221</v>
      </c>
      <c r="L522" s="13">
        <v>45833.583333333299</v>
      </c>
      <c r="M522" s="14">
        <v>45869.583333333299</v>
      </c>
      <c r="N522" s="15"/>
      <c r="O522" s="15"/>
      <c r="P522" s="15"/>
      <c r="Q522" s="15"/>
      <c r="R522" s="15"/>
    </row>
    <row r="523" spans="1:18" ht="14.25" customHeight="1">
      <c r="A523" s="5">
        <v>1019</v>
      </c>
      <c r="B523" s="8" t="s">
        <v>1266</v>
      </c>
      <c r="C523" s="7" t="s">
        <v>603</v>
      </c>
      <c r="D523" s="10" t="s">
        <v>45</v>
      </c>
      <c r="E523" s="10" t="s">
        <v>201</v>
      </c>
      <c r="F523" s="10" t="s">
        <v>212</v>
      </c>
      <c r="G523" s="10" t="s">
        <v>46</v>
      </c>
      <c r="H523" s="10" t="s">
        <v>213</v>
      </c>
      <c r="I523" s="10" t="s">
        <v>51</v>
      </c>
      <c r="J523" s="12" t="s">
        <v>220</v>
      </c>
      <c r="K523" s="12" t="s">
        <v>208</v>
      </c>
      <c r="L523" s="13">
        <v>45833.583333333299</v>
      </c>
      <c r="M523" s="18"/>
      <c r="N523" s="15"/>
      <c r="O523" s="15"/>
      <c r="P523" s="15"/>
      <c r="Q523" s="15"/>
      <c r="R523" s="15"/>
    </row>
    <row r="524" spans="1:18" ht="14.25" customHeight="1">
      <c r="A524" s="5">
        <v>1020</v>
      </c>
      <c r="B524" s="8" t="s">
        <v>1267</v>
      </c>
      <c r="C524" s="7" t="s">
        <v>1268</v>
      </c>
      <c r="D524" s="10" t="s">
        <v>45</v>
      </c>
      <c r="E524" s="10" t="s">
        <v>201</v>
      </c>
      <c r="F524" s="10" t="s">
        <v>212</v>
      </c>
      <c r="G524" s="10" t="s">
        <v>46</v>
      </c>
      <c r="H524" s="10" t="s">
        <v>213</v>
      </c>
      <c r="I524" s="10" t="s">
        <v>67</v>
      </c>
      <c r="J524" s="12" t="s">
        <v>215</v>
      </c>
      <c r="K524" s="12" t="s">
        <v>208</v>
      </c>
      <c r="L524" s="13">
        <v>45833.583333333299</v>
      </c>
      <c r="M524" s="18"/>
      <c r="N524" s="15"/>
      <c r="O524" s="15"/>
      <c r="P524" s="15"/>
      <c r="Q524" s="15"/>
      <c r="R524" s="15"/>
    </row>
    <row r="525" spans="1:18" ht="14.25" customHeight="1">
      <c r="A525" s="5">
        <v>1021</v>
      </c>
      <c r="B525" s="8" t="s">
        <v>1269</v>
      </c>
      <c r="C525" s="7" t="s">
        <v>1160</v>
      </c>
      <c r="D525" s="10" t="s">
        <v>45</v>
      </c>
      <c r="E525" s="10" t="s">
        <v>201</v>
      </c>
      <c r="F525" s="10" t="s">
        <v>212</v>
      </c>
      <c r="G525" s="10" t="s">
        <v>46</v>
      </c>
      <c r="H525" s="10" t="s">
        <v>218</v>
      </c>
      <c r="I525" s="10" t="s">
        <v>61</v>
      </c>
      <c r="J525" s="12" t="s">
        <v>215</v>
      </c>
      <c r="K525" s="12" t="s">
        <v>221</v>
      </c>
      <c r="L525" s="13">
        <v>45832.583333333299</v>
      </c>
      <c r="M525" s="18">
        <v>45910.583333333299</v>
      </c>
      <c r="N525" s="15"/>
      <c r="O525" s="15"/>
      <c r="P525" s="15"/>
      <c r="Q525" s="15"/>
      <c r="R525" s="15"/>
    </row>
    <row r="526" spans="1:18" ht="14.25" customHeight="1">
      <c r="A526" s="5">
        <v>1022</v>
      </c>
      <c r="B526" s="8" t="s">
        <v>1270</v>
      </c>
      <c r="C526" s="7" t="s">
        <v>1271</v>
      </c>
      <c r="D526" s="10" t="s">
        <v>45</v>
      </c>
      <c r="E526" s="10" t="s">
        <v>201</v>
      </c>
      <c r="F526" s="10" t="s">
        <v>212</v>
      </c>
      <c r="G526" s="10" t="s">
        <v>46</v>
      </c>
      <c r="H526" s="10" t="s">
        <v>218</v>
      </c>
      <c r="I526" s="10" t="s">
        <v>61</v>
      </c>
      <c r="J526" s="12" t="s">
        <v>220</v>
      </c>
      <c r="K526" s="12" t="s">
        <v>221</v>
      </c>
      <c r="L526" s="13">
        <v>45835.583333333299</v>
      </c>
      <c r="M526" s="14">
        <v>45883.583333333299</v>
      </c>
      <c r="N526" s="15"/>
      <c r="O526" s="15"/>
      <c r="P526" s="15"/>
      <c r="Q526" s="15"/>
      <c r="R526" s="15"/>
    </row>
    <row r="527" spans="1:18" ht="14.25" customHeight="1">
      <c r="A527" s="5">
        <v>1023</v>
      </c>
      <c r="B527" s="8" t="s">
        <v>167</v>
      </c>
      <c r="C527" s="7" t="s">
        <v>168</v>
      </c>
      <c r="D527" s="10" t="s">
        <v>45</v>
      </c>
      <c r="E527" s="10" t="s">
        <v>201</v>
      </c>
      <c r="F527" s="10" t="s">
        <v>212</v>
      </c>
      <c r="G527" s="10" t="s">
        <v>46</v>
      </c>
      <c r="H527" s="10" t="s">
        <v>231</v>
      </c>
      <c r="I527" s="10" t="s">
        <v>58</v>
      </c>
      <c r="J527" s="12" t="s">
        <v>215</v>
      </c>
      <c r="K527" s="12" t="s">
        <v>208</v>
      </c>
      <c r="L527" s="13">
        <v>45835.583333333299</v>
      </c>
      <c r="M527" s="14"/>
      <c r="N527" s="15"/>
      <c r="O527" s="15"/>
      <c r="P527" s="15"/>
      <c r="Q527" s="15"/>
      <c r="R527" s="15"/>
    </row>
    <row r="528" spans="1:18" ht="14.25" customHeight="1">
      <c r="A528" s="5">
        <v>1024</v>
      </c>
      <c r="B528" s="8" t="s">
        <v>1272</v>
      </c>
      <c r="C528" s="7" t="s">
        <v>1273</v>
      </c>
      <c r="D528" s="10" t="s">
        <v>74</v>
      </c>
      <c r="E528" s="10" t="s">
        <v>202</v>
      </c>
      <c r="F528" s="10" t="s">
        <v>212</v>
      </c>
      <c r="G528" s="10" t="s">
        <v>120</v>
      </c>
      <c r="H528" s="10" t="s">
        <v>218</v>
      </c>
      <c r="I528" s="10" t="s">
        <v>61</v>
      </c>
      <c r="J528" s="12" t="s">
        <v>220</v>
      </c>
      <c r="K528" s="12" t="s">
        <v>221</v>
      </c>
      <c r="L528" s="13">
        <v>45827.583333333299</v>
      </c>
      <c r="M528" s="14">
        <v>46016.625</v>
      </c>
      <c r="N528" s="15"/>
      <c r="O528" s="15"/>
      <c r="P528" s="15"/>
      <c r="Q528" s="15"/>
      <c r="R528" s="15"/>
    </row>
    <row r="529" spans="1:18" ht="14.25" customHeight="1">
      <c r="A529" s="5">
        <v>1025</v>
      </c>
      <c r="B529" s="8" t="s">
        <v>1274</v>
      </c>
      <c r="C529" s="7" t="s">
        <v>1275</v>
      </c>
      <c r="D529" s="10" t="s">
        <v>45</v>
      </c>
      <c r="E529" s="10" t="s">
        <v>201</v>
      </c>
      <c r="F529" s="10" t="s">
        <v>212</v>
      </c>
      <c r="G529" s="10" t="s">
        <v>46</v>
      </c>
      <c r="H529" s="10" t="s">
        <v>213</v>
      </c>
      <c r="I529" s="10" t="s">
        <v>67</v>
      </c>
      <c r="J529" s="12" t="s">
        <v>220</v>
      </c>
      <c r="K529" s="12" t="s">
        <v>208</v>
      </c>
      <c r="L529" s="13">
        <v>45827.583333333299</v>
      </c>
      <c r="M529" s="14"/>
      <c r="N529" s="15"/>
      <c r="O529" s="15"/>
      <c r="P529" s="15"/>
      <c r="Q529" s="15"/>
      <c r="R529" s="15"/>
    </row>
    <row r="530" spans="1:18" ht="14.25" customHeight="1">
      <c r="A530" s="5">
        <v>1026</v>
      </c>
      <c r="B530" s="8" t="s">
        <v>1276</v>
      </c>
      <c r="C530" s="7" t="s">
        <v>1277</v>
      </c>
      <c r="D530" s="10" t="s">
        <v>74</v>
      </c>
      <c r="E530" s="10" t="s">
        <v>201</v>
      </c>
      <c r="F530" s="10" t="s">
        <v>212</v>
      </c>
      <c r="G530" s="10" t="s">
        <v>136</v>
      </c>
      <c r="H530" s="10" t="s">
        <v>213</v>
      </c>
      <c r="I530" s="10" t="s">
        <v>67</v>
      </c>
      <c r="J530" s="12" t="s">
        <v>220</v>
      </c>
      <c r="K530" s="12" t="s">
        <v>221</v>
      </c>
      <c r="L530" s="13">
        <v>45827.583333333299</v>
      </c>
      <c r="M530" s="14">
        <v>45828.583333333299</v>
      </c>
      <c r="N530" s="15"/>
      <c r="O530" s="15"/>
      <c r="P530" s="15"/>
      <c r="Q530" s="15"/>
      <c r="R530" s="15"/>
    </row>
    <row r="531" spans="1:18" ht="14.25" customHeight="1">
      <c r="A531" s="5">
        <v>1027</v>
      </c>
      <c r="B531" s="8" t="s">
        <v>187</v>
      </c>
      <c r="C531" s="7" t="s">
        <v>188</v>
      </c>
      <c r="D531" s="10" t="s">
        <v>16</v>
      </c>
      <c r="E531" s="10" t="s">
        <v>211</v>
      </c>
      <c r="F531" s="10" t="s">
        <v>259</v>
      </c>
      <c r="G531" s="10" t="s">
        <v>305</v>
      </c>
      <c r="H531" s="10" t="s">
        <v>305</v>
      </c>
      <c r="I531" s="10" t="s">
        <v>1278</v>
      </c>
      <c r="J531" s="12" t="s">
        <v>215</v>
      </c>
      <c r="K531" s="12" t="s">
        <v>221</v>
      </c>
      <c r="L531" s="13">
        <v>45839.583333333299</v>
      </c>
      <c r="M531" s="18">
        <v>46081.625</v>
      </c>
      <c r="N531" s="15"/>
      <c r="O531" s="15"/>
      <c r="P531" s="15"/>
      <c r="Q531" s="15"/>
      <c r="R531" s="15"/>
    </row>
    <row r="532" spans="1:18" ht="14.25" customHeight="1">
      <c r="A532" s="5">
        <v>1028</v>
      </c>
      <c r="B532" s="8" t="s">
        <v>1279</v>
      </c>
      <c r="C532" s="7" t="s">
        <v>1280</v>
      </c>
      <c r="D532" s="10" t="s">
        <v>45</v>
      </c>
      <c r="E532" s="10" t="s">
        <v>201</v>
      </c>
      <c r="F532" s="10" t="s">
        <v>212</v>
      </c>
      <c r="G532" s="10" t="s">
        <v>46</v>
      </c>
      <c r="H532" s="10" t="s">
        <v>213</v>
      </c>
      <c r="I532" s="10" t="s">
        <v>67</v>
      </c>
      <c r="J532" s="12" t="s">
        <v>220</v>
      </c>
      <c r="K532" s="12" t="s">
        <v>221</v>
      </c>
      <c r="L532" s="13">
        <v>45835.583333333299</v>
      </c>
      <c r="M532" s="18">
        <v>45850.583333333299</v>
      </c>
      <c r="N532" s="15"/>
      <c r="O532" s="15"/>
      <c r="P532" s="15"/>
      <c r="Q532" s="15"/>
      <c r="R532" s="15"/>
    </row>
    <row r="533" spans="1:18" ht="14.25" customHeight="1">
      <c r="A533" s="5">
        <v>1029</v>
      </c>
      <c r="B533" s="8" t="s">
        <v>189</v>
      </c>
      <c r="C533" s="7" t="s">
        <v>190</v>
      </c>
      <c r="D533" s="10" t="s">
        <v>16</v>
      </c>
      <c r="E533" s="10" t="s">
        <v>211</v>
      </c>
      <c r="F533" s="10" t="s">
        <v>259</v>
      </c>
      <c r="G533" s="10" t="s">
        <v>1281</v>
      </c>
      <c r="H533" s="10" t="s">
        <v>1281</v>
      </c>
      <c r="I533" s="10" t="s">
        <v>1123</v>
      </c>
      <c r="J533" s="12" t="s">
        <v>215</v>
      </c>
      <c r="K533" s="12" t="s">
        <v>221</v>
      </c>
      <c r="L533" s="13">
        <v>45839.583333333299</v>
      </c>
      <c r="M533" s="14">
        <v>46115.583333333299</v>
      </c>
      <c r="N533" s="15"/>
      <c r="O533" s="15"/>
      <c r="P533" s="15"/>
      <c r="Q533" s="15"/>
      <c r="R533" s="15"/>
    </row>
    <row r="534" spans="1:18" ht="14.25" customHeight="1">
      <c r="A534" s="5">
        <v>1030</v>
      </c>
      <c r="B534" s="8" t="s">
        <v>191</v>
      </c>
      <c r="C534" s="7" t="s">
        <v>192</v>
      </c>
      <c r="D534" s="10" t="s">
        <v>16</v>
      </c>
      <c r="E534" s="10" t="s">
        <v>211</v>
      </c>
      <c r="F534" s="10" t="s">
        <v>259</v>
      </c>
      <c r="G534" s="10" t="s">
        <v>1281</v>
      </c>
      <c r="H534" s="10" t="s">
        <v>1281</v>
      </c>
      <c r="I534" s="10" t="s">
        <v>1123</v>
      </c>
      <c r="J534" s="12" t="s">
        <v>215</v>
      </c>
      <c r="K534" s="12" t="s">
        <v>208</v>
      </c>
      <c r="L534" s="13">
        <v>45839.583333333299</v>
      </c>
      <c r="M534" s="14"/>
      <c r="N534" s="15"/>
      <c r="O534" s="15"/>
      <c r="P534" s="15"/>
      <c r="Q534" s="15"/>
      <c r="R534" s="15"/>
    </row>
    <row r="535" spans="1:18" ht="14.25" customHeight="1">
      <c r="A535" s="5">
        <v>1031</v>
      </c>
      <c r="B535" s="8" t="s">
        <v>1282</v>
      </c>
      <c r="C535" s="7" t="s">
        <v>1283</v>
      </c>
      <c r="D535" s="10" t="s">
        <v>74</v>
      </c>
      <c r="E535" s="10" t="s">
        <v>464</v>
      </c>
      <c r="F535" s="10" t="s">
        <v>78</v>
      </c>
      <c r="G535" s="10" t="s">
        <v>78</v>
      </c>
      <c r="H535" s="10" t="s">
        <v>288</v>
      </c>
      <c r="I535" s="10" t="s">
        <v>635</v>
      </c>
      <c r="J535" s="12" t="s">
        <v>220</v>
      </c>
      <c r="K535" s="12" t="s">
        <v>221</v>
      </c>
      <c r="L535" s="13">
        <v>45839.583333333299</v>
      </c>
      <c r="M535" s="18">
        <v>45895.583333333299</v>
      </c>
      <c r="N535" s="15"/>
      <c r="O535" s="15"/>
      <c r="P535" s="15"/>
      <c r="Q535" s="15"/>
      <c r="R535" s="15"/>
    </row>
    <row r="536" spans="1:18" ht="14.25" customHeight="1">
      <c r="A536" s="5">
        <v>1032</v>
      </c>
      <c r="B536" s="8" t="s">
        <v>1284</v>
      </c>
      <c r="C536" s="7" t="s">
        <v>1285</v>
      </c>
      <c r="D536" s="10" t="s">
        <v>74</v>
      </c>
      <c r="E536" s="10" t="s">
        <v>464</v>
      </c>
      <c r="F536" s="10" t="s">
        <v>78</v>
      </c>
      <c r="G536" s="10" t="s">
        <v>78</v>
      </c>
      <c r="H536" s="10" t="s">
        <v>288</v>
      </c>
      <c r="I536" s="10" t="s">
        <v>635</v>
      </c>
      <c r="J536" s="12" t="s">
        <v>220</v>
      </c>
      <c r="K536" s="12" t="s">
        <v>221</v>
      </c>
      <c r="L536" s="13">
        <v>45841.583333333299</v>
      </c>
      <c r="M536" s="18">
        <v>45872.583333333299</v>
      </c>
      <c r="N536" s="15"/>
      <c r="O536" s="15"/>
      <c r="P536" s="15"/>
      <c r="Q536" s="15"/>
      <c r="R536" s="15"/>
    </row>
    <row r="537" spans="1:18" ht="14.25" customHeight="1">
      <c r="A537" s="5">
        <v>1033</v>
      </c>
      <c r="B537" s="8" t="s">
        <v>1286</v>
      </c>
      <c r="C537" s="7" t="s">
        <v>1287</v>
      </c>
      <c r="D537" s="10" t="s">
        <v>74</v>
      </c>
      <c r="E537" s="10" t="s">
        <v>464</v>
      </c>
      <c r="F537" s="10" t="s">
        <v>78</v>
      </c>
      <c r="G537" s="10" t="s">
        <v>78</v>
      </c>
      <c r="H537" s="10" t="s">
        <v>288</v>
      </c>
      <c r="I537" s="10" t="s">
        <v>635</v>
      </c>
      <c r="J537" s="12" t="s">
        <v>220</v>
      </c>
      <c r="K537" s="12" t="s">
        <v>221</v>
      </c>
      <c r="L537" s="13">
        <v>45839.583333333299</v>
      </c>
      <c r="M537" s="18">
        <v>45931.583333333299</v>
      </c>
      <c r="N537" s="15"/>
      <c r="O537" s="15"/>
      <c r="P537" s="15"/>
      <c r="Q537" s="15"/>
      <c r="R537" s="15"/>
    </row>
    <row r="538" spans="1:18" ht="14.25" customHeight="1">
      <c r="A538" s="5">
        <v>1034</v>
      </c>
      <c r="B538" s="8" t="s">
        <v>1288</v>
      </c>
      <c r="C538" s="7" t="s">
        <v>1289</v>
      </c>
      <c r="D538" s="10" t="s">
        <v>74</v>
      </c>
      <c r="E538" s="10" t="s">
        <v>464</v>
      </c>
      <c r="F538" s="10" t="s">
        <v>78</v>
      </c>
      <c r="G538" s="10" t="s">
        <v>78</v>
      </c>
      <c r="H538" s="10" t="s">
        <v>288</v>
      </c>
      <c r="I538" s="10" t="s">
        <v>635</v>
      </c>
      <c r="J538" s="12" t="s">
        <v>220</v>
      </c>
      <c r="K538" s="12" t="s">
        <v>221</v>
      </c>
      <c r="L538" s="13">
        <v>45841.583333333299</v>
      </c>
      <c r="M538" s="14">
        <v>45844.583333333299</v>
      </c>
      <c r="N538" s="15"/>
      <c r="O538" s="15"/>
      <c r="P538" s="15"/>
      <c r="Q538" s="15"/>
      <c r="R538" s="15"/>
    </row>
    <row r="539" spans="1:18" ht="14.25" customHeight="1">
      <c r="A539" s="5">
        <v>1035</v>
      </c>
      <c r="B539" s="8" t="s">
        <v>159</v>
      </c>
      <c r="C539" s="7" t="s">
        <v>160</v>
      </c>
      <c r="D539" s="10" t="s">
        <v>74</v>
      </c>
      <c r="E539" s="10" t="s">
        <v>78</v>
      </c>
      <c r="F539" s="10" t="s">
        <v>78</v>
      </c>
      <c r="G539" s="10" t="s">
        <v>78</v>
      </c>
      <c r="H539" s="10" t="s">
        <v>527</v>
      </c>
      <c r="I539" s="10" t="s">
        <v>1073</v>
      </c>
      <c r="J539" s="12" t="s">
        <v>215</v>
      </c>
      <c r="K539" s="12" t="s">
        <v>221</v>
      </c>
      <c r="L539" s="13">
        <v>45841.583333333299</v>
      </c>
      <c r="M539" s="18">
        <v>46032.625</v>
      </c>
      <c r="N539" s="15"/>
      <c r="O539" s="15"/>
      <c r="P539" s="15"/>
      <c r="Q539" s="15"/>
      <c r="R539" s="15"/>
    </row>
    <row r="540" spans="1:18" ht="14.25" customHeight="1">
      <c r="A540" s="5">
        <v>1036</v>
      </c>
      <c r="B540" s="8" t="s">
        <v>1290</v>
      </c>
      <c r="C540" s="7" t="s">
        <v>1291</v>
      </c>
      <c r="D540" s="10" t="s">
        <v>74</v>
      </c>
      <c r="E540" s="10" t="s">
        <v>464</v>
      </c>
      <c r="F540" s="10" t="s">
        <v>78</v>
      </c>
      <c r="G540" s="10" t="s">
        <v>78</v>
      </c>
      <c r="H540" s="10" t="s">
        <v>288</v>
      </c>
      <c r="I540" s="10" t="s">
        <v>635</v>
      </c>
      <c r="J540" s="12" t="s">
        <v>220</v>
      </c>
      <c r="K540" s="12" t="s">
        <v>221</v>
      </c>
      <c r="L540" s="13">
        <v>45841.583333333299</v>
      </c>
      <c r="M540" s="14">
        <v>45931.583333333299</v>
      </c>
      <c r="N540" s="15"/>
      <c r="O540" s="15"/>
      <c r="P540" s="15"/>
      <c r="Q540" s="15"/>
      <c r="R540" s="15"/>
    </row>
    <row r="541" spans="1:18" ht="14.25" customHeight="1">
      <c r="A541" s="5">
        <v>1037</v>
      </c>
      <c r="B541" s="8" t="s">
        <v>1292</v>
      </c>
      <c r="C541" s="7" t="s">
        <v>1293</v>
      </c>
      <c r="D541" s="10" t="s">
        <v>74</v>
      </c>
      <c r="E541" s="10" t="s">
        <v>464</v>
      </c>
      <c r="F541" s="10" t="s">
        <v>78</v>
      </c>
      <c r="G541" s="10" t="s">
        <v>78</v>
      </c>
      <c r="H541" s="10" t="s">
        <v>288</v>
      </c>
      <c r="I541" s="10" t="s">
        <v>635</v>
      </c>
      <c r="J541" s="12" t="s">
        <v>220</v>
      </c>
      <c r="K541" s="12" t="s">
        <v>221</v>
      </c>
      <c r="L541" s="13">
        <v>45839.583333333299</v>
      </c>
      <c r="M541" s="18">
        <v>45842.583333333299</v>
      </c>
      <c r="N541" s="15"/>
      <c r="O541" s="15"/>
      <c r="P541" s="15"/>
      <c r="Q541" s="15"/>
      <c r="R541" s="15"/>
    </row>
    <row r="542" spans="1:18" ht="14.25" customHeight="1">
      <c r="A542" s="5">
        <v>1038</v>
      </c>
      <c r="B542" s="8" t="s">
        <v>1294</v>
      </c>
      <c r="C542" s="7" t="s">
        <v>1295</v>
      </c>
      <c r="D542" s="10" t="s">
        <v>74</v>
      </c>
      <c r="E542" s="10" t="s">
        <v>202</v>
      </c>
      <c r="F542" s="10" t="s">
        <v>259</v>
      </c>
      <c r="G542" s="10" t="s">
        <v>101</v>
      </c>
      <c r="H542" s="10" t="s">
        <v>101</v>
      </c>
      <c r="I542" s="10" t="s">
        <v>100</v>
      </c>
      <c r="J542" s="12" t="s">
        <v>215</v>
      </c>
      <c r="K542" s="12" t="s">
        <v>208</v>
      </c>
      <c r="L542" s="13">
        <v>45855.583333333299</v>
      </c>
      <c r="M542" s="18"/>
      <c r="N542" s="15"/>
      <c r="O542" s="15"/>
      <c r="P542" s="15"/>
      <c r="Q542" s="15"/>
      <c r="R542" s="15"/>
    </row>
    <row r="543" spans="1:18" ht="14.25" customHeight="1">
      <c r="A543" s="5">
        <v>1039</v>
      </c>
      <c r="B543" s="8" t="s">
        <v>1296</v>
      </c>
      <c r="C543" s="7" t="s">
        <v>1297</v>
      </c>
      <c r="D543" s="10" t="s">
        <v>74</v>
      </c>
      <c r="E543" s="10" t="s">
        <v>202</v>
      </c>
      <c r="F543" s="10" t="s">
        <v>212</v>
      </c>
      <c r="G543" s="10" t="s">
        <v>108</v>
      </c>
      <c r="H543" s="10" t="s">
        <v>218</v>
      </c>
      <c r="I543" s="10" t="s">
        <v>61</v>
      </c>
      <c r="J543" s="12" t="s">
        <v>220</v>
      </c>
      <c r="K543" s="12" t="s">
        <v>208</v>
      </c>
      <c r="L543" s="13">
        <v>45843.583333333299</v>
      </c>
      <c r="M543" s="14"/>
      <c r="N543" s="15"/>
      <c r="O543" s="15"/>
      <c r="P543" s="15"/>
      <c r="Q543" s="15"/>
      <c r="R543" s="15"/>
    </row>
    <row r="544" spans="1:18" ht="14.25" customHeight="1">
      <c r="A544" s="5">
        <v>1040</v>
      </c>
      <c r="B544" s="8" t="s">
        <v>1298</v>
      </c>
      <c r="C544" s="7" t="s">
        <v>1299</v>
      </c>
      <c r="D544" s="10" t="s">
        <v>16</v>
      </c>
      <c r="E544" s="10" t="s">
        <v>211</v>
      </c>
      <c r="F544" s="10" t="s">
        <v>259</v>
      </c>
      <c r="G544" s="10" t="s">
        <v>25</v>
      </c>
      <c r="H544" s="10" t="s">
        <v>25</v>
      </c>
      <c r="I544" s="10" t="s">
        <v>777</v>
      </c>
      <c r="J544" s="12" t="s">
        <v>284</v>
      </c>
      <c r="K544" s="12" t="s">
        <v>221</v>
      </c>
      <c r="L544" s="13">
        <v>45846.583333333299</v>
      </c>
      <c r="M544" s="14">
        <v>45875.583333333299</v>
      </c>
      <c r="N544" s="15"/>
      <c r="O544" s="15"/>
      <c r="P544" s="15"/>
      <c r="Q544" s="15"/>
      <c r="R544" s="15"/>
    </row>
    <row r="545" spans="1:18" ht="14.25" customHeight="1">
      <c r="A545" s="5">
        <v>1041</v>
      </c>
      <c r="B545" s="8" t="s">
        <v>1300</v>
      </c>
      <c r="C545" s="7" t="s">
        <v>1301</v>
      </c>
      <c r="D545" s="10" t="s">
        <v>74</v>
      </c>
      <c r="E545" s="10" t="s">
        <v>464</v>
      </c>
      <c r="F545" s="10" t="s">
        <v>78</v>
      </c>
      <c r="G545" s="10" t="s">
        <v>78</v>
      </c>
      <c r="H545" s="10" t="s">
        <v>288</v>
      </c>
      <c r="I545" s="10" t="s">
        <v>1302</v>
      </c>
      <c r="J545" s="12" t="s">
        <v>471</v>
      </c>
      <c r="K545" s="12" t="s">
        <v>221</v>
      </c>
      <c r="L545" s="13">
        <v>45845.583333333299</v>
      </c>
      <c r="M545" s="18">
        <v>45849.583333333299</v>
      </c>
      <c r="N545" s="15"/>
      <c r="O545" s="15"/>
      <c r="P545" s="15"/>
      <c r="Q545" s="15"/>
      <c r="R545" s="15"/>
    </row>
    <row r="546" spans="1:18" ht="14.25" customHeight="1">
      <c r="A546" s="5">
        <v>1042</v>
      </c>
      <c r="B546" s="8" t="s">
        <v>1303</v>
      </c>
      <c r="C546" s="7" t="s">
        <v>1304</v>
      </c>
      <c r="D546" s="10" t="s">
        <v>74</v>
      </c>
      <c r="E546" s="10" t="s">
        <v>202</v>
      </c>
      <c r="F546" s="10" t="s">
        <v>259</v>
      </c>
      <c r="G546" s="10" t="s">
        <v>284</v>
      </c>
      <c r="H546" s="10" t="s">
        <v>284</v>
      </c>
      <c r="I546" s="10" t="s">
        <v>1305</v>
      </c>
      <c r="J546" s="12" t="s">
        <v>471</v>
      </c>
      <c r="K546" s="12" t="s">
        <v>221</v>
      </c>
      <c r="L546" s="13">
        <v>45839.583333333299</v>
      </c>
      <c r="M546" s="14">
        <v>45930.583333333299</v>
      </c>
      <c r="N546" s="15"/>
      <c r="O546" s="15"/>
      <c r="P546" s="15"/>
      <c r="Q546" s="15"/>
      <c r="R546" s="15"/>
    </row>
    <row r="547" spans="1:18" ht="14.25" customHeight="1">
      <c r="A547" s="5">
        <v>1043</v>
      </c>
      <c r="B547" s="8" t="s">
        <v>1306</v>
      </c>
      <c r="C547" s="7" t="s">
        <v>1307</v>
      </c>
      <c r="D547" s="10" t="s">
        <v>16</v>
      </c>
      <c r="E547" s="10" t="s">
        <v>211</v>
      </c>
      <c r="F547" s="10" t="s">
        <v>259</v>
      </c>
      <c r="G547" s="10" t="s">
        <v>36</v>
      </c>
      <c r="H547" s="10" t="s">
        <v>36</v>
      </c>
      <c r="I547" s="10" t="s">
        <v>1207</v>
      </c>
      <c r="J547" s="12" t="s">
        <v>471</v>
      </c>
      <c r="K547" s="12" t="s">
        <v>221</v>
      </c>
      <c r="L547" s="13">
        <v>45839.583333333299</v>
      </c>
      <c r="M547" s="14">
        <v>45933.583333333299</v>
      </c>
      <c r="N547" s="15"/>
      <c r="O547" s="15"/>
      <c r="P547" s="15"/>
      <c r="Q547" s="15"/>
      <c r="R547" s="15"/>
    </row>
    <row r="548" spans="1:18" ht="14.25" customHeight="1">
      <c r="A548" s="5">
        <v>1044</v>
      </c>
      <c r="B548" s="8" t="s">
        <v>1308</v>
      </c>
      <c r="C548" s="7" t="s">
        <v>1309</v>
      </c>
      <c r="D548" s="10" t="s">
        <v>74</v>
      </c>
      <c r="E548" s="10" t="s">
        <v>202</v>
      </c>
      <c r="F548" s="10" t="s">
        <v>212</v>
      </c>
      <c r="G548" s="10" t="s">
        <v>108</v>
      </c>
      <c r="H548" s="10" t="s">
        <v>231</v>
      </c>
      <c r="I548" s="10" t="s">
        <v>231</v>
      </c>
      <c r="J548" s="12" t="s">
        <v>284</v>
      </c>
      <c r="K548" s="12" t="s">
        <v>221</v>
      </c>
      <c r="L548" s="13">
        <v>45839.583333333299</v>
      </c>
      <c r="M548" s="18">
        <v>45839.583333333299</v>
      </c>
      <c r="N548" s="15"/>
      <c r="O548" s="15"/>
      <c r="P548" s="15"/>
      <c r="Q548" s="15"/>
      <c r="R548" s="15"/>
    </row>
    <row r="549" spans="1:18" ht="14.25" customHeight="1">
      <c r="A549" s="5">
        <v>1045</v>
      </c>
      <c r="B549" s="8" t="s">
        <v>1310</v>
      </c>
      <c r="C549" s="7" t="s">
        <v>1311</v>
      </c>
      <c r="D549" s="10" t="s">
        <v>74</v>
      </c>
      <c r="E549" s="10" t="s">
        <v>464</v>
      </c>
      <c r="F549" s="10" t="s">
        <v>78</v>
      </c>
      <c r="G549" s="10" t="s">
        <v>78</v>
      </c>
      <c r="H549" s="10" t="s">
        <v>288</v>
      </c>
      <c r="I549" s="10" t="s">
        <v>635</v>
      </c>
      <c r="J549" s="12" t="s">
        <v>220</v>
      </c>
      <c r="K549" s="12" t="s">
        <v>221</v>
      </c>
      <c r="L549" s="13">
        <v>45845.583333333299</v>
      </c>
      <c r="M549" s="18">
        <v>45878.583333333299</v>
      </c>
      <c r="N549" s="15"/>
      <c r="O549" s="15"/>
      <c r="P549" s="15"/>
      <c r="Q549" s="15"/>
      <c r="R549" s="15"/>
    </row>
    <row r="550" spans="1:18" ht="14.25" customHeight="1">
      <c r="A550" s="5">
        <v>1046</v>
      </c>
      <c r="B550" s="8" t="s">
        <v>1312</v>
      </c>
      <c r="C550" s="7" t="s">
        <v>1313</v>
      </c>
      <c r="D550" s="10" t="s">
        <v>45</v>
      </c>
      <c r="E550" s="10" t="s">
        <v>201</v>
      </c>
      <c r="F550" s="10" t="s">
        <v>212</v>
      </c>
      <c r="G550" s="10" t="s">
        <v>46</v>
      </c>
      <c r="H550" s="10" t="s">
        <v>240</v>
      </c>
      <c r="I550" s="10" t="s">
        <v>67</v>
      </c>
      <c r="J550" s="12" t="s">
        <v>284</v>
      </c>
      <c r="K550" s="12" t="s">
        <v>221</v>
      </c>
      <c r="L550" s="13">
        <v>45849.583333333299</v>
      </c>
      <c r="M550" s="18">
        <v>45930.583333333299</v>
      </c>
      <c r="N550" s="15"/>
      <c r="O550" s="15"/>
      <c r="P550" s="15"/>
      <c r="Q550" s="15"/>
      <c r="R550" s="15"/>
    </row>
    <row r="551" spans="1:18" ht="14.25" customHeight="1">
      <c r="A551" s="5">
        <v>1047</v>
      </c>
      <c r="B551" s="8" t="s">
        <v>1314</v>
      </c>
      <c r="C551" s="7" t="s">
        <v>1315</v>
      </c>
      <c r="D551" s="10" t="s">
        <v>16</v>
      </c>
      <c r="E551" s="10" t="s">
        <v>211</v>
      </c>
      <c r="F551" s="10" t="s">
        <v>212</v>
      </c>
      <c r="G551" s="10" t="s">
        <v>120</v>
      </c>
      <c r="H551" s="10" t="s">
        <v>218</v>
      </c>
      <c r="I551" s="10" t="s">
        <v>61</v>
      </c>
      <c r="J551" s="12" t="s">
        <v>220</v>
      </c>
      <c r="K551" s="12" t="s">
        <v>221</v>
      </c>
      <c r="L551" s="13">
        <v>45843.583333333299</v>
      </c>
      <c r="M551" s="14">
        <v>45865.583333333299</v>
      </c>
      <c r="N551" s="15"/>
      <c r="O551" s="15"/>
      <c r="P551" s="15"/>
      <c r="Q551" s="15"/>
      <c r="R551" s="15"/>
    </row>
    <row r="552" spans="1:18" ht="14.25" customHeight="1">
      <c r="A552" s="5">
        <v>1048</v>
      </c>
      <c r="B552" s="8" t="s">
        <v>1316</v>
      </c>
      <c r="C552" s="7" t="s">
        <v>1317</v>
      </c>
      <c r="D552" s="10" t="s">
        <v>45</v>
      </c>
      <c r="E552" s="10" t="s">
        <v>201</v>
      </c>
      <c r="F552" s="10" t="s">
        <v>212</v>
      </c>
      <c r="G552" s="10" t="s">
        <v>46</v>
      </c>
      <c r="H552" s="10" t="s">
        <v>213</v>
      </c>
      <c r="I552" s="10" t="s">
        <v>67</v>
      </c>
      <c r="J552" s="12" t="s">
        <v>215</v>
      </c>
      <c r="K552" s="12" t="s">
        <v>208</v>
      </c>
      <c r="L552" s="13">
        <v>45839.583333333299</v>
      </c>
      <c r="M552" s="18"/>
      <c r="N552" s="15"/>
      <c r="O552" s="15"/>
      <c r="P552" s="15"/>
      <c r="Q552" s="15"/>
      <c r="R552" s="15"/>
    </row>
    <row r="553" spans="1:18" ht="14.25" customHeight="1">
      <c r="A553" s="5">
        <v>1049</v>
      </c>
      <c r="B553" s="8" t="s">
        <v>1318</v>
      </c>
      <c r="C553" s="7" t="s">
        <v>1319</v>
      </c>
      <c r="D553" s="10" t="s">
        <v>16</v>
      </c>
      <c r="E553" s="10" t="s">
        <v>211</v>
      </c>
      <c r="F553" s="10" t="s">
        <v>212</v>
      </c>
      <c r="G553" s="10" t="s">
        <v>17</v>
      </c>
      <c r="H553" s="10" t="s">
        <v>218</v>
      </c>
      <c r="I553" s="10" t="s">
        <v>61</v>
      </c>
      <c r="J553" s="12" t="s">
        <v>220</v>
      </c>
      <c r="K553" s="12" t="s">
        <v>208</v>
      </c>
      <c r="L553" s="13">
        <v>45845.583333333299</v>
      </c>
      <c r="M553" s="18"/>
      <c r="N553" s="15"/>
      <c r="O553" s="15"/>
      <c r="P553" s="15"/>
      <c r="Q553" s="15"/>
      <c r="R553" s="15"/>
    </row>
    <row r="554" spans="1:18" ht="14.25" customHeight="1">
      <c r="A554" s="5">
        <v>1050</v>
      </c>
      <c r="B554" s="8" t="s">
        <v>1320</v>
      </c>
      <c r="C554" s="7" t="s">
        <v>1321</v>
      </c>
      <c r="D554" s="10" t="s">
        <v>74</v>
      </c>
      <c r="E554" s="10" t="s">
        <v>464</v>
      </c>
      <c r="F554" s="10" t="s">
        <v>78</v>
      </c>
      <c r="G554" s="10" t="s">
        <v>78</v>
      </c>
      <c r="H554" s="10" t="s">
        <v>288</v>
      </c>
      <c r="I554" s="10" t="s">
        <v>635</v>
      </c>
      <c r="J554" s="12" t="s">
        <v>220</v>
      </c>
      <c r="K554" s="12" t="s">
        <v>221</v>
      </c>
      <c r="L554" s="13">
        <v>45847.583333333299</v>
      </c>
      <c r="M554" s="18">
        <v>45847.583333333299</v>
      </c>
      <c r="N554" s="15"/>
      <c r="O554" s="15"/>
      <c r="P554" s="15"/>
      <c r="Q554" s="15"/>
      <c r="R554" s="15"/>
    </row>
    <row r="555" spans="1:18" ht="14.25" customHeight="1">
      <c r="A555" s="5">
        <v>1051</v>
      </c>
      <c r="B555" s="8" t="s">
        <v>1322</v>
      </c>
      <c r="C555" s="7" t="s">
        <v>1323</v>
      </c>
      <c r="D555" s="10" t="s">
        <v>74</v>
      </c>
      <c r="E555" s="10" t="s">
        <v>464</v>
      </c>
      <c r="F555" s="10" t="s">
        <v>78</v>
      </c>
      <c r="G555" s="10" t="s">
        <v>78</v>
      </c>
      <c r="H555" s="10" t="s">
        <v>288</v>
      </c>
      <c r="I555" s="10" t="s">
        <v>635</v>
      </c>
      <c r="J555" s="12" t="s">
        <v>220</v>
      </c>
      <c r="K555" s="12" t="s">
        <v>221</v>
      </c>
      <c r="L555" s="13">
        <v>45845.583333333299</v>
      </c>
      <c r="M555" s="14">
        <v>45845.583333333299</v>
      </c>
      <c r="N555" s="15"/>
      <c r="O555" s="15"/>
      <c r="P555" s="15"/>
      <c r="Q555" s="15"/>
      <c r="R555" s="15"/>
    </row>
    <row r="556" spans="1:18" ht="14.25" customHeight="1">
      <c r="A556" s="5">
        <v>1052</v>
      </c>
      <c r="B556" s="8" t="s">
        <v>1324</v>
      </c>
      <c r="C556" s="7" t="s">
        <v>1325</v>
      </c>
      <c r="D556" s="10" t="s">
        <v>74</v>
      </c>
      <c r="E556" s="10" t="s">
        <v>464</v>
      </c>
      <c r="F556" s="10" t="s">
        <v>78</v>
      </c>
      <c r="G556" s="10" t="s">
        <v>78</v>
      </c>
      <c r="H556" s="10" t="s">
        <v>288</v>
      </c>
      <c r="I556" s="10" t="s">
        <v>635</v>
      </c>
      <c r="J556" s="12" t="s">
        <v>220</v>
      </c>
      <c r="K556" s="12" t="s">
        <v>221</v>
      </c>
      <c r="L556" s="13">
        <v>45845.583333333299</v>
      </c>
      <c r="M556" s="14">
        <v>45897.583333333299</v>
      </c>
      <c r="N556" s="15"/>
      <c r="O556" s="15"/>
      <c r="P556" s="15"/>
      <c r="Q556" s="15"/>
      <c r="R556" s="15"/>
    </row>
    <row r="557" spans="1:18" ht="14.25" customHeight="1">
      <c r="A557" s="5">
        <v>1053</v>
      </c>
      <c r="B557" s="8" t="s">
        <v>1326</v>
      </c>
      <c r="C557" s="7" t="s">
        <v>752</v>
      </c>
      <c r="D557" s="10" t="s">
        <v>16</v>
      </c>
      <c r="E557" s="10" t="s">
        <v>211</v>
      </c>
      <c r="F557" s="10" t="s">
        <v>212</v>
      </c>
      <c r="G557" s="10" t="s">
        <v>17</v>
      </c>
      <c r="H557" s="10" t="s">
        <v>218</v>
      </c>
      <c r="I557" s="10" t="s">
        <v>61</v>
      </c>
      <c r="J557" s="12" t="s">
        <v>220</v>
      </c>
      <c r="K557" s="12" t="s">
        <v>221</v>
      </c>
      <c r="L557" s="13">
        <v>45847.583333333299</v>
      </c>
      <c r="M557" s="18">
        <v>45854.583333333299</v>
      </c>
      <c r="N557" s="15"/>
      <c r="O557" s="15"/>
      <c r="P557" s="15"/>
      <c r="Q557" s="15"/>
      <c r="R557" s="15"/>
    </row>
    <row r="558" spans="1:18" ht="14.25" customHeight="1">
      <c r="A558" s="5">
        <v>1054</v>
      </c>
      <c r="B558" s="8" t="s">
        <v>169</v>
      </c>
      <c r="C558" s="24" t="s">
        <v>170</v>
      </c>
      <c r="D558" s="10" t="s">
        <v>45</v>
      </c>
      <c r="E558" s="10" t="s">
        <v>201</v>
      </c>
      <c r="F558" s="10" t="s">
        <v>212</v>
      </c>
      <c r="G558" s="10" t="s">
        <v>46</v>
      </c>
      <c r="H558" s="10" t="s">
        <v>213</v>
      </c>
      <c r="I558" s="10" t="s">
        <v>51</v>
      </c>
      <c r="J558" s="12" t="s">
        <v>215</v>
      </c>
      <c r="K558" s="12" t="s">
        <v>208</v>
      </c>
      <c r="L558" s="13">
        <v>45848.583333333299</v>
      </c>
      <c r="M558" s="14"/>
      <c r="N558" s="15"/>
      <c r="O558" s="15"/>
      <c r="P558" s="15"/>
      <c r="Q558" s="15"/>
      <c r="R558" s="15"/>
    </row>
    <row r="559" spans="1:18" ht="14.25" customHeight="1">
      <c r="A559" s="5">
        <v>1055</v>
      </c>
      <c r="B559" s="8" t="s">
        <v>171</v>
      </c>
      <c r="C559" s="7" t="s">
        <v>172</v>
      </c>
      <c r="D559" s="10" t="s">
        <v>45</v>
      </c>
      <c r="E559" s="10" t="s">
        <v>201</v>
      </c>
      <c r="F559" s="10" t="s">
        <v>212</v>
      </c>
      <c r="G559" s="10" t="s">
        <v>46</v>
      </c>
      <c r="H559" s="10" t="s">
        <v>213</v>
      </c>
      <c r="I559" s="10" t="s">
        <v>51</v>
      </c>
      <c r="J559" s="12" t="s">
        <v>215</v>
      </c>
      <c r="K559" s="12" t="s">
        <v>208</v>
      </c>
      <c r="L559" s="13">
        <v>45848.583333333299</v>
      </c>
      <c r="M559" s="14"/>
      <c r="N559" s="15"/>
      <c r="O559" s="15"/>
      <c r="P559" s="15"/>
      <c r="Q559" s="15"/>
      <c r="R559" s="15"/>
    </row>
    <row r="560" spans="1:18" ht="14.25" customHeight="1">
      <c r="A560" s="5">
        <v>1056</v>
      </c>
      <c r="B560" s="8" t="s">
        <v>185</v>
      </c>
      <c r="C560" s="7" t="s">
        <v>186</v>
      </c>
      <c r="D560" s="10" t="s">
        <v>29</v>
      </c>
      <c r="E560" s="10" t="s">
        <v>203</v>
      </c>
      <c r="F560" s="10" t="s">
        <v>259</v>
      </c>
      <c r="G560" s="10" t="s">
        <v>540</v>
      </c>
      <c r="H560" s="10" t="s">
        <v>540</v>
      </c>
      <c r="I560" s="10" t="s">
        <v>586</v>
      </c>
      <c r="J560" s="12" t="s">
        <v>215</v>
      </c>
      <c r="K560" s="12" t="s">
        <v>208</v>
      </c>
      <c r="L560" s="13">
        <v>45848.583333333299</v>
      </c>
      <c r="M560" s="14"/>
      <c r="N560" s="15"/>
      <c r="O560" s="15"/>
      <c r="P560" s="15"/>
      <c r="Q560" s="15"/>
      <c r="R560" s="15"/>
    </row>
    <row r="561" spans="1:18" ht="14.25" customHeight="1">
      <c r="A561" s="5">
        <v>1057</v>
      </c>
      <c r="B561" s="8" t="s">
        <v>204</v>
      </c>
      <c r="C561" s="7" t="s">
        <v>205</v>
      </c>
      <c r="D561" s="10" t="s">
        <v>74</v>
      </c>
      <c r="E561" s="10" t="s">
        <v>202</v>
      </c>
      <c r="F561" s="10" t="s">
        <v>259</v>
      </c>
      <c r="G561" s="10" t="s">
        <v>101</v>
      </c>
      <c r="H561" s="10" t="s">
        <v>101</v>
      </c>
      <c r="I561" s="10" t="s">
        <v>337</v>
      </c>
      <c r="J561" s="12" t="s">
        <v>471</v>
      </c>
      <c r="K561" s="12" t="s">
        <v>221</v>
      </c>
      <c r="L561" s="13">
        <v>45848.583333333299</v>
      </c>
      <c r="M561" s="14">
        <v>45930.583333333299</v>
      </c>
      <c r="N561" s="15"/>
      <c r="O561" s="15"/>
      <c r="P561" s="15"/>
      <c r="Q561" s="15"/>
      <c r="R561" s="15"/>
    </row>
    <row r="562" spans="1:18" ht="14.25" customHeight="1">
      <c r="A562" s="5">
        <v>1058</v>
      </c>
      <c r="B562" s="8" t="s">
        <v>173</v>
      </c>
      <c r="C562" s="7" t="s">
        <v>174</v>
      </c>
      <c r="D562" s="10" t="s">
        <v>45</v>
      </c>
      <c r="E562" s="10" t="s">
        <v>201</v>
      </c>
      <c r="F562" s="10" t="s">
        <v>212</v>
      </c>
      <c r="G562" s="10" t="s">
        <v>46</v>
      </c>
      <c r="H562" s="10" t="s">
        <v>218</v>
      </c>
      <c r="I562" s="10" t="s">
        <v>61</v>
      </c>
      <c r="J562" s="12" t="s">
        <v>215</v>
      </c>
      <c r="K562" s="12" t="s">
        <v>221</v>
      </c>
      <c r="L562" s="13">
        <v>45852.583333333299</v>
      </c>
      <c r="M562" s="18">
        <v>46173.583333333299</v>
      </c>
      <c r="N562" s="15"/>
      <c r="O562" s="15"/>
      <c r="P562" s="15"/>
      <c r="Q562" s="15"/>
      <c r="R562" s="15"/>
    </row>
    <row r="563" spans="1:18" ht="14.25" customHeight="1">
      <c r="A563" s="5">
        <v>1059</v>
      </c>
      <c r="B563" s="8" t="s">
        <v>175</v>
      </c>
      <c r="C563" s="7" t="s">
        <v>176</v>
      </c>
      <c r="D563" s="10" t="s">
        <v>45</v>
      </c>
      <c r="E563" s="10" t="s">
        <v>201</v>
      </c>
      <c r="F563" s="10" t="s">
        <v>212</v>
      </c>
      <c r="G563" s="10" t="s">
        <v>136</v>
      </c>
      <c r="H563" s="10" t="s">
        <v>213</v>
      </c>
      <c r="I563" s="10" t="s">
        <v>70</v>
      </c>
      <c r="J563" s="12" t="s">
        <v>215</v>
      </c>
      <c r="K563" s="12" t="s">
        <v>208</v>
      </c>
      <c r="L563" s="13">
        <v>45852.583333333299</v>
      </c>
      <c r="M563" s="14"/>
      <c r="N563" s="15"/>
      <c r="O563" s="15"/>
      <c r="P563" s="15"/>
      <c r="Q563" s="15"/>
      <c r="R563" s="15"/>
    </row>
    <row r="564" spans="1:18" ht="14.25" customHeight="1">
      <c r="A564" s="5">
        <v>1060</v>
      </c>
      <c r="B564" s="8" t="s">
        <v>1327</v>
      </c>
      <c r="C564" s="7" t="s">
        <v>1328</v>
      </c>
      <c r="D564" s="10" t="s">
        <v>74</v>
      </c>
      <c r="E564" s="10" t="s">
        <v>78</v>
      </c>
      <c r="F564" s="10" t="s">
        <v>78</v>
      </c>
      <c r="G564" s="10" t="s">
        <v>78</v>
      </c>
      <c r="H564" s="10" t="s">
        <v>288</v>
      </c>
      <c r="I564" s="10" t="s">
        <v>366</v>
      </c>
      <c r="J564" s="12" t="s">
        <v>284</v>
      </c>
      <c r="K564" s="12" t="s">
        <v>221</v>
      </c>
      <c r="L564" s="13">
        <v>45855.583333333299</v>
      </c>
      <c r="M564" s="14">
        <v>45898.583333333299</v>
      </c>
      <c r="N564" s="15"/>
      <c r="O564" s="15"/>
      <c r="P564" s="15"/>
      <c r="Q564" s="15"/>
      <c r="R564" s="15"/>
    </row>
    <row r="565" spans="1:18" ht="14.25" customHeight="1">
      <c r="A565" s="5">
        <v>1061</v>
      </c>
      <c r="B565" s="8" t="s">
        <v>1329</v>
      </c>
      <c r="C565" s="7" t="s">
        <v>1330</v>
      </c>
      <c r="D565" s="10" t="s">
        <v>74</v>
      </c>
      <c r="E565" s="10" t="s">
        <v>464</v>
      </c>
      <c r="F565" s="10" t="s">
        <v>78</v>
      </c>
      <c r="G565" s="10" t="s">
        <v>78</v>
      </c>
      <c r="H565" s="10" t="s">
        <v>288</v>
      </c>
      <c r="I565" s="10" t="s">
        <v>635</v>
      </c>
      <c r="J565" s="12" t="s">
        <v>220</v>
      </c>
      <c r="K565" s="12" t="s">
        <v>221</v>
      </c>
      <c r="L565" s="13">
        <v>45852.583333333299</v>
      </c>
      <c r="M565" s="18">
        <v>45931.583333333299</v>
      </c>
      <c r="N565" s="15"/>
      <c r="O565" s="15"/>
      <c r="P565" s="15"/>
      <c r="Q565" s="15"/>
      <c r="R565" s="15"/>
    </row>
    <row r="566" spans="1:18" ht="14.25" customHeight="1">
      <c r="A566" s="5">
        <v>1062</v>
      </c>
      <c r="B566" s="8" t="s">
        <v>1331</v>
      </c>
      <c r="C566" s="7" t="s">
        <v>1332</v>
      </c>
      <c r="D566" s="10" t="s">
        <v>74</v>
      </c>
      <c r="E566" s="10" t="s">
        <v>464</v>
      </c>
      <c r="F566" s="10" t="s">
        <v>78</v>
      </c>
      <c r="G566" s="10" t="s">
        <v>78</v>
      </c>
      <c r="H566" s="10" t="s">
        <v>288</v>
      </c>
      <c r="I566" s="10" t="s">
        <v>635</v>
      </c>
      <c r="J566" s="12" t="s">
        <v>220</v>
      </c>
      <c r="K566" s="12" t="s">
        <v>221</v>
      </c>
      <c r="L566" s="13">
        <v>45855.583333333299</v>
      </c>
      <c r="M566" s="18">
        <v>45931.583333333299</v>
      </c>
      <c r="N566" s="15"/>
      <c r="O566" s="15"/>
      <c r="P566" s="15"/>
      <c r="Q566" s="15"/>
      <c r="R566" s="15"/>
    </row>
    <row r="567" spans="1:18" ht="14.25" customHeight="1">
      <c r="A567" s="5">
        <v>1063</v>
      </c>
      <c r="B567" s="8" t="s">
        <v>1333</v>
      </c>
      <c r="C567" s="7" t="s">
        <v>1334</v>
      </c>
      <c r="D567" s="10" t="s">
        <v>74</v>
      </c>
      <c r="E567" s="10" t="s">
        <v>464</v>
      </c>
      <c r="F567" s="10" t="s">
        <v>78</v>
      </c>
      <c r="G567" s="10" t="s">
        <v>78</v>
      </c>
      <c r="H567" s="10" t="s">
        <v>288</v>
      </c>
      <c r="I567" s="10" t="s">
        <v>635</v>
      </c>
      <c r="J567" s="12" t="s">
        <v>220</v>
      </c>
      <c r="K567" s="12" t="s">
        <v>221</v>
      </c>
      <c r="L567" s="13">
        <v>45859.583333333299</v>
      </c>
      <c r="M567" s="14">
        <v>45931.583333333299</v>
      </c>
      <c r="N567" s="15"/>
      <c r="O567" s="15"/>
      <c r="P567" s="15"/>
      <c r="Q567" s="15"/>
      <c r="R567" s="15"/>
    </row>
    <row r="568" spans="1:18" ht="14.25" customHeight="1">
      <c r="A568" s="5">
        <v>1064</v>
      </c>
      <c r="B568" s="8" t="s">
        <v>1335</v>
      </c>
      <c r="C568" s="7" t="s">
        <v>1336</v>
      </c>
      <c r="D568" s="10" t="s">
        <v>16</v>
      </c>
      <c r="E568" s="10" t="s">
        <v>211</v>
      </c>
      <c r="F568" s="10" t="s">
        <v>259</v>
      </c>
      <c r="G568" s="10" t="s">
        <v>36</v>
      </c>
      <c r="H568" s="10" t="s">
        <v>36</v>
      </c>
      <c r="I568" s="10" t="s">
        <v>1207</v>
      </c>
      <c r="J568" s="12" t="s">
        <v>471</v>
      </c>
      <c r="K568" s="12" t="s">
        <v>221</v>
      </c>
      <c r="L568" s="13">
        <v>45860.583333333299</v>
      </c>
      <c r="M568" s="14">
        <v>46022.625</v>
      </c>
      <c r="N568" s="15"/>
      <c r="O568" s="15"/>
      <c r="P568" s="15"/>
      <c r="Q568" s="15"/>
      <c r="R568" s="15"/>
    </row>
    <row r="569" spans="1:18" ht="14.25" customHeight="1">
      <c r="A569" s="5">
        <v>1065</v>
      </c>
      <c r="B569" s="8" t="s">
        <v>1337</v>
      </c>
      <c r="C569" s="7" t="s">
        <v>1338</v>
      </c>
      <c r="D569" s="10" t="s">
        <v>74</v>
      </c>
      <c r="E569" s="10" t="s">
        <v>464</v>
      </c>
      <c r="F569" s="10" t="s">
        <v>78</v>
      </c>
      <c r="G569" s="10" t="s">
        <v>78</v>
      </c>
      <c r="H569" s="10" t="s">
        <v>288</v>
      </c>
      <c r="I569" s="10" t="s">
        <v>635</v>
      </c>
      <c r="J569" s="12" t="s">
        <v>220</v>
      </c>
      <c r="K569" s="12" t="s">
        <v>221</v>
      </c>
      <c r="L569" s="13">
        <v>45860.583333333299</v>
      </c>
      <c r="M569" s="14">
        <v>45860.583333333299</v>
      </c>
      <c r="N569" s="15"/>
      <c r="O569" s="15"/>
      <c r="P569" s="15"/>
      <c r="Q569" s="15"/>
      <c r="R569" s="15"/>
    </row>
    <row r="570" spans="1:18" ht="14.25" customHeight="1">
      <c r="A570" s="5">
        <v>1066</v>
      </c>
      <c r="B570" s="8" t="s">
        <v>1339</v>
      </c>
      <c r="C570" s="7" t="s">
        <v>1340</v>
      </c>
      <c r="D570" s="10" t="s">
        <v>29</v>
      </c>
      <c r="E570" s="10" t="s">
        <v>203</v>
      </c>
      <c r="F570" s="10" t="s">
        <v>212</v>
      </c>
      <c r="G570" s="10" t="s">
        <v>39</v>
      </c>
      <c r="H570" s="10" t="s">
        <v>240</v>
      </c>
      <c r="I570" s="10" t="s">
        <v>28</v>
      </c>
      <c r="J570" s="12" t="s">
        <v>220</v>
      </c>
      <c r="K570" s="12" t="s">
        <v>221</v>
      </c>
      <c r="L570" s="13">
        <v>45861.583333333299</v>
      </c>
      <c r="M570" s="14">
        <v>45862.583333333299</v>
      </c>
      <c r="N570" s="15"/>
      <c r="O570" s="15"/>
      <c r="P570" s="15"/>
      <c r="Q570" s="15"/>
      <c r="R570" s="15"/>
    </row>
    <row r="571" spans="1:18" ht="14.25" customHeight="1">
      <c r="A571" s="5">
        <v>1067</v>
      </c>
      <c r="B571" s="8" t="s">
        <v>1341</v>
      </c>
      <c r="C571" s="7" t="s">
        <v>1342</v>
      </c>
      <c r="D571" s="10" t="s">
        <v>74</v>
      </c>
      <c r="E571" s="10" t="s">
        <v>202</v>
      </c>
      <c r="F571" s="10" t="s">
        <v>212</v>
      </c>
      <c r="G571" s="10" t="s">
        <v>108</v>
      </c>
      <c r="H571" s="10" t="s">
        <v>218</v>
      </c>
      <c r="I571" s="10" t="s">
        <v>61</v>
      </c>
      <c r="J571" s="12" t="s">
        <v>220</v>
      </c>
      <c r="K571" s="12" t="s">
        <v>221</v>
      </c>
      <c r="L571" s="13">
        <v>45859.583333333299</v>
      </c>
      <c r="M571" s="18">
        <v>45897.583333333299</v>
      </c>
      <c r="N571" s="15"/>
      <c r="O571" s="15"/>
      <c r="P571" s="15"/>
      <c r="Q571" s="15"/>
      <c r="R571" s="15"/>
    </row>
    <row r="572" spans="1:18" ht="14.25" customHeight="1">
      <c r="A572" s="5">
        <v>1068</v>
      </c>
      <c r="B572" s="8" t="s">
        <v>1343</v>
      </c>
      <c r="C572" s="7" t="s">
        <v>1344</v>
      </c>
      <c r="D572" s="10" t="s">
        <v>74</v>
      </c>
      <c r="E572" s="10" t="s">
        <v>202</v>
      </c>
      <c r="F572" s="10" t="s">
        <v>212</v>
      </c>
      <c r="G572" s="10" t="s">
        <v>108</v>
      </c>
      <c r="H572" s="10" t="s">
        <v>218</v>
      </c>
      <c r="I572" s="10" t="s">
        <v>61</v>
      </c>
      <c r="J572" s="12" t="s">
        <v>284</v>
      </c>
      <c r="K572" s="12" t="s">
        <v>221</v>
      </c>
      <c r="L572" s="13">
        <v>45859.583333333299</v>
      </c>
      <c r="M572" s="18">
        <v>45859.583333333299</v>
      </c>
      <c r="N572" s="15"/>
      <c r="O572" s="15"/>
      <c r="P572" s="15"/>
      <c r="Q572" s="15"/>
      <c r="R572" s="15"/>
    </row>
    <row r="573" spans="1:18" ht="14.25" customHeight="1">
      <c r="A573" s="5">
        <v>1069</v>
      </c>
      <c r="B573" s="8" t="s">
        <v>1345</v>
      </c>
      <c r="C573" s="7" t="s">
        <v>1346</v>
      </c>
      <c r="D573" s="10" t="s">
        <v>16</v>
      </c>
      <c r="E573" s="10" t="s">
        <v>211</v>
      </c>
      <c r="F573" s="10" t="s">
        <v>212</v>
      </c>
      <c r="G573" s="10" t="s">
        <v>120</v>
      </c>
      <c r="H573" s="10" t="s">
        <v>240</v>
      </c>
      <c r="I573" s="10" t="s">
        <v>107</v>
      </c>
      <c r="J573" s="12" t="s">
        <v>220</v>
      </c>
      <c r="K573" s="12" t="s">
        <v>221</v>
      </c>
      <c r="L573" s="13">
        <v>45859.583333333299</v>
      </c>
      <c r="M573" s="18">
        <v>45860.583333333299</v>
      </c>
      <c r="N573" s="15"/>
      <c r="O573" s="15"/>
      <c r="P573" s="15"/>
      <c r="Q573" s="15"/>
      <c r="R573" s="15"/>
    </row>
    <row r="574" spans="1:18" ht="14.25" customHeight="1">
      <c r="A574" s="5">
        <v>1070</v>
      </c>
      <c r="B574" s="8" t="s">
        <v>1347</v>
      </c>
      <c r="C574" s="7" t="s">
        <v>1348</v>
      </c>
      <c r="D574" s="10" t="s">
        <v>74</v>
      </c>
      <c r="E574" s="10" t="s">
        <v>202</v>
      </c>
      <c r="F574" s="10" t="s">
        <v>212</v>
      </c>
      <c r="G574" s="10" t="s">
        <v>120</v>
      </c>
      <c r="H574" s="10" t="s">
        <v>231</v>
      </c>
      <c r="I574" s="10" t="s">
        <v>58</v>
      </c>
      <c r="J574" s="12" t="s">
        <v>220</v>
      </c>
      <c r="K574" s="12" t="s">
        <v>221</v>
      </c>
      <c r="L574" s="13">
        <v>45861.583333333299</v>
      </c>
      <c r="M574" s="14">
        <v>45963.583333333299</v>
      </c>
      <c r="N574" s="15"/>
      <c r="O574" s="15"/>
      <c r="P574" s="15"/>
      <c r="Q574" s="15"/>
      <c r="R574" s="15"/>
    </row>
    <row r="575" spans="1:18" ht="14.25" customHeight="1">
      <c r="A575" s="5">
        <v>1071</v>
      </c>
      <c r="B575" s="8" t="s">
        <v>1349</v>
      </c>
      <c r="C575" s="7" t="s">
        <v>1350</v>
      </c>
      <c r="D575" s="10" t="s">
        <v>74</v>
      </c>
      <c r="E575" s="10" t="s">
        <v>78</v>
      </c>
      <c r="F575" s="10" t="s">
        <v>78</v>
      </c>
      <c r="G575" s="10" t="s">
        <v>78</v>
      </c>
      <c r="H575" s="10" t="s">
        <v>288</v>
      </c>
      <c r="I575" s="10" t="s">
        <v>1135</v>
      </c>
      <c r="J575" s="12" t="s">
        <v>220</v>
      </c>
      <c r="K575" s="12" t="s">
        <v>221</v>
      </c>
      <c r="L575" s="13">
        <v>45860.583333333299</v>
      </c>
      <c r="M575" s="18">
        <v>45887.583333333299</v>
      </c>
      <c r="N575" s="15"/>
      <c r="O575" s="15"/>
      <c r="P575" s="15"/>
      <c r="Q575" s="15"/>
      <c r="R575" s="15"/>
    </row>
    <row r="576" spans="1:18" ht="14.25" customHeight="1">
      <c r="A576" s="5">
        <v>1072</v>
      </c>
      <c r="B576" s="8" t="s">
        <v>1351</v>
      </c>
      <c r="C576" s="7" t="s">
        <v>1352</v>
      </c>
      <c r="D576" s="10" t="s">
        <v>16</v>
      </c>
      <c r="E576" s="10" t="s">
        <v>211</v>
      </c>
      <c r="F576" s="10" t="s">
        <v>259</v>
      </c>
      <c r="G576" s="10" t="s">
        <v>25</v>
      </c>
      <c r="H576" s="10" t="s">
        <v>25</v>
      </c>
      <c r="I576" s="10" t="s">
        <v>1353</v>
      </c>
      <c r="J576" s="12" t="s">
        <v>284</v>
      </c>
      <c r="K576" s="12" t="s">
        <v>221</v>
      </c>
      <c r="L576" s="13">
        <v>45862.583333333299</v>
      </c>
      <c r="M576" s="18">
        <v>45924.583333333299</v>
      </c>
      <c r="N576" s="15"/>
      <c r="O576" s="15"/>
      <c r="P576" s="15"/>
      <c r="Q576" s="15"/>
      <c r="R576" s="15"/>
    </row>
    <row r="577" spans="1:18" ht="14.25" customHeight="1">
      <c r="A577" s="5">
        <v>1073</v>
      </c>
      <c r="B577" s="8" t="s">
        <v>1354</v>
      </c>
      <c r="C577" s="7" t="s">
        <v>1355</v>
      </c>
      <c r="D577" s="10" t="s">
        <v>74</v>
      </c>
      <c r="E577" s="10" t="s">
        <v>464</v>
      </c>
      <c r="F577" s="10" t="s">
        <v>78</v>
      </c>
      <c r="G577" s="10" t="s">
        <v>78</v>
      </c>
      <c r="H577" s="10" t="s">
        <v>576</v>
      </c>
      <c r="I577" s="10" t="s">
        <v>577</v>
      </c>
      <c r="J577" s="12" t="s">
        <v>220</v>
      </c>
      <c r="K577" s="12" t="s">
        <v>221</v>
      </c>
      <c r="L577" s="13">
        <v>45866.583333333299</v>
      </c>
      <c r="M577" s="14">
        <v>45895.583333333299</v>
      </c>
      <c r="N577" s="15"/>
      <c r="O577" s="15"/>
      <c r="P577" s="15"/>
      <c r="Q577" s="15"/>
      <c r="R577" s="15"/>
    </row>
    <row r="578" spans="1:18" ht="14.25" customHeight="1">
      <c r="A578" s="5">
        <v>1074</v>
      </c>
      <c r="B578" s="8" t="s">
        <v>1356</v>
      </c>
      <c r="C578" s="7" t="s">
        <v>1357</v>
      </c>
      <c r="D578" s="10" t="s">
        <v>74</v>
      </c>
      <c r="E578" s="10" t="s">
        <v>464</v>
      </c>
      <c r="F578" s="10" t="s">
        <v>78</v>
      </c>
      <c r="G578" s="10" t="s">
        <v>78</v>
      </c>
      <c r="H578" s="10" t="s">
        <v>576</v>
      </c>
      <c r="I578" s="10" t="s">
        <v>577</v>
      </c>
      <c r="J578" s="12" t="s">
        <v>220</v>
      </c>
      <c r="K578" s="12" t="s">
        <v>221</v>
      </c>
      <c r="L578" s="13">
        <v>45866.583333333299</v>
      </c>
      <c r="M578" s="18">
        <v>45895.583333333299</v>
      </c>
      <c r="N578" s="15"/>
      <c r="O578" s="15"/>
      <c r="P578" s="15"/>
      <c r="Q578" s="15"/>
      <c r="R578" s="15"/>
    </row>
    <row r="579" spans="1:18" ht="14.25" customHeight="1">
      <c r="A579" s="5">
        <v>1075</v>
      </c>
      <c r="B579" s="8" t="s">
        <v>1358</v>
      </c>
      <c r="C579" s="7" t="s">
        <v>1359</v>
      </c>
      <c r="D579" s="10" t="s">
        <v>74</v>
      </c>
      <c r="E579" s="10" t="s">
        <v>464</v>
      </c>
      <c r="F579" s="10" t="s">
        <v>78</v>
      </c>
      <c r="G579" s="10" t="s">
        <v>78</v>
      </c>
      <c r="H579" s="10" t="s">
        <v>576</v>
      </c>
      <c r="I579" s="10" t="s">
        <v>577</v>
      </c>
      <c r="J579" s="12" t="s">
        <v>220</v>
      </c>
      <c r="K579" s="12" t="s">
        <v>221</v>
      </c>
      <c r="L579" s="13">
        <v>45866.583333333299</v>
      </c>
      <c r="M579" s="18">
        <v>45902.583333333299</v>
      </c>
      <c r="N579" s="15"/>
      <c r="O579" s="15"/>
      <c r="P579" s="15"/>
      <c r="Q579" s="15"/>
      <c r="R579" s="15"/>
    </row>
    <row r="580" spans="1:18" ht="14.25" customHeight="1">
      <c r="A580" s="5">
        <v>1076</v>
      </c>
      <c r="B580" s="8" t="s">
        <v>1360</v>
      </c>
      <c r="C580" s="7" t="s">
        <v>1361</v>
      </c>
      <c r="D580" s="10" t="s">
        <v>74</v>
      </c>
      <c r="E580" s="10" t="s">
        <v>464</v>
      </c>
      <c r="F580" s="10" t="s">
        <v>78</v>
      </c>
      <c r="G580" s="10" t="s">
        <v>78</v>
      </c>
      <c r="H580" s="10" t="s">
        <v>288</v>
      </c>
      <c r="I580" s="10" t="s">
        <v>635</v>
      </c>
      <c r="J580" s="12" t="s">
        <v>220</v>
      </c>
      <c r="K580" s="12" t="s">
        <v>221</v>
      </c>
      <c r="L580" s="13">
        <v>45866.583333333299</v>
      </c>
      <c r="M580" s="18">
        <v>45912.583333333299</v>
      </c>
      <c r="N580" s="15"/>
      <c r="O580" s="15"/>
      <c r="P580" s="15"/>
      <c r="Q580" s="15"/>
      <c r="R580" s="15"/>
    </row>
    <row r="581" spans="1:18" ht="14.25" customHeight="1">
      <c r="A581" s="5">
        <v>1077</v>
      </c>
      <c r="B581" s="8" t="s">
        <v>1362</v>
      </c>
      <c r="C581" s="7" t="s">
        <v>1363</v>
      </c>
      <c r="D581" s="10" t="s">
        <v>74</v>
      </c>
      <c r="E581" s="10" t="s">
        <v>464</v>
      </c>
      <c r="F581" s="10" t="s">
        <v>78</v>
      </c>
      <c r="G581" s="10" t="s">
        <v>78</v>
      </c>
      <c r="H581" s="10" t="s">
        <v>288</v>
      </c>
      <c r="I581" s="10" t="s">
        <v>635</v>
      </c>
      <c r="J581" s="12" t="s">
        <v>220</v>
      </c>
      <c r="K581" s="12" t="s">
        <v>221</v>
      </c>
      <c r="L581" s="13">
        <v>45867.583333333299</v>
      </c>
      <c r="M581" s="18">
        <v>45867.583333333299</v>
      </c>
      <c r="N581" s="15"/>
      <c r="O581" s="15"/>
      <c r="P581" s="15"/>
      <c r="Q581" s="15"/>
      <c r="R581" s="15"/>
    </row>
    <row r="582" spans="1:18" ht="14.25" customHeight="1">
      <c r="A582" s="5">
        <v>1078</v>
      </c>
      <c r="B582" s="8" t="s">
        <v>1364</v>
      </c>
      <c r="C582" s="7" t="s">
        <v>1365</v>
      </c>
      <c r="D582" s="10" t="s">
        <v>16</v>
      </c>
      <c r="E582" s="10" t="s">
        <v>211</v>
      </c>
      <c r="F582" s="10" t="s">
        <v>259</v>
      </c>
      <c r="G582" s="10" t="s">
        <v>101</v>
      </c>
      <c r="H582" s="10" t="s">
        <v>101</v>
      </c>
      <c r="I582" s="10" t="s">
        <v>337</v>
      </c>
      <c r="J582" s="12" t="s">
        <v>215</v>
      </c>
      <c r="K582" s="12" t="s">
        <v>221</v>
      </c>
      <c r="L582" s="13">
        <v>45867.583333333299</v>
      </c>
      <c r="M582" s="18">
        <v>46112.583333333299</v>
      </c>
      <c r="N582" s="15"/>
      <c r="O582" s="15"/>
      <c r="P582" s="15"/>
      <c r="Q582" s="15"/>
      <c r="R582" s="15"/>
    </row>
    <row r="583" spans="1:18" ht="14.25" customHeight="1">
      <c r="A583" s="5">
        <v>1079</v>
      </c>
      <c r="B583" s="8" t="s">
        <v>1366</v>
      </c>
      <c r="C583" s="24" t="s">
        <v>1367</v>
      </c>
      <c r="D583" s="10" t="s">
        <v>16</v>
      </c>
      <c r="E583" s="19" t="s">
        <v>211</v>
      </c>
      <c r="F583" s="10" t="s">
        <v>259</v>
      </c>
      <c r="G583" s="10" t="s">
        <v>75</v>
      </c>
      <c r="H583" s="10" t="s">
        <v>75</v>
      </c>
      <c r="I583" s="10" t="s">
        <v>1368</v>
      </c>
      <c r="J583" s="22" t="s">
        <v>215</v>
      </c>
      <c r="K583" s="12" t="s">
        <v>221</v>
      </c>
      <c r="L583" s="16">
        <v>45867.583333333299</v>
      </c>
      <c r="M583" s="18">
        <v>45996.625</v>
      </c>
      <c r="N583" s="15"/>
      <c r="O583" s="15"/>
      <c r="P583" s="15"/>
      <c r="Q583" s="15"/>
      <c r="R583" s="15"/>
    </row>
    <row r="584" spans="1:18" ht="14.25" customHeight="1">
      <c r="A584" s="5">
        <v>1080</v>
      </c>
      <c r="B584" s="8" t="s">
        <v>1369</v>
      </c>
      <c r="C584" s="7" t="s">
        <v>1370</v>
      </c>
      <c r="D584" s="10" t="s">
        <v>74</v>
      </c>
      <c r="E584" s="10" t="s">
        <v>464</v>
      </c>
      <c r="F584" s="10" t="s">
        <v>78</v>
      </c>
      <c r="G584" s="10" t="s">
        <v>78</v>
      </c>
      <c r="H584" s="10" t="s">
        <v>288</v>
      </c>
      <c r="I584" s="10" t="s">
        <v>1371</v>
      </c>
      <c r="J584" s="12" t="s">
        <v>284</v>
      </c>
      <c r="K584" s="12" t="s">
        <v>221</v>
      </c>
      <c r="L584" s="13">
        <v>45866.583333333299</v>
      </c>
      <c r="M584" s="14">
        <v>45866.583333333299</v>
      </c>
      <c r="N584" s="15"/>
      <c r="O584" s="15"/>
      <c r="P584" s="15"/>
      <c r="Q584" s="15"/>
      <c r="R584" s="15"/>
    </row>
    <row r="585" spans="1:18" ht="14.25" customHeight="1">
      <c r="A585" s="5">
        <v>1081</v>
      </c>
      <c r="B585" s="8" t="s">
        <v>1372</v>
      </c>
      <c r="C585" s="24" t="s">
        <v>483</v>
      </c>
      <c r="D585" s="10" t="s">
        <v>74</v>
      </c>
      <c r="E585" s="10" t="s">
        <v>202</v>
      </c>
      <c r="F585" s="10" t="s">
        <v>259</v>
      </c>
      <c r="G585" s="10" t="s">
        <v>101</v>
      </c>
      <c r="H585" s="10" t="s">
        <v>101</v>
      </c>
      <c r="I585" s="10" t="s">
        <v>100</v>
      </c>
      <c r="J585" s="12" t="s">
        <v>220</v>
      </c>
      <c r="K585" s="12" t="s">
        <v>221</v>
      </c>
      <c r="L585" s="13">
        <v>45867.583333333299</v>
      </c>
      <c r="M585" s="14">
        <v>46101.583333333299</v>
      </c>
      <c r="N585" s="15"/>
      <c r="O585" s="15"/>
      <c r="P585" s="15"/>
      <c r="Q585" s="15"/>
      <c r="R585" s="15"/>
    </row>
    <row r="586" spans="1:18" ht="14.25" customHeight="1">
      <c r="A586" s="5">
        <v>1082</v>
      </c>
      <c r="B586" s="8" t="s">
        <v>1373</v>
      </c>
      <c r="C586" s="7" t="s">
        <v>1374</v>
      </c>
      <c r="D586" s="10" t="s">
        <v>74</v>
      </c>
      <c r="E586" s="10" t="s">
        <v>464</v>
      </c>
      <c r="F586" s="10" t="s">
        <v>78</v>
      </c>
      <c r="G586" s="10" t="s">
        <v>78</v>
      </c>
      <c r="H586" s="10" t="s">
        <v>288</v>
      </c>
      <c r="I586" s="10" t="s">
        <v>635</v>
      </c>
      <c r="J586" s="12" t="s">
        <v>220</v>
      </c>
      <c r="K586" s="12" t="s">
        <v>221</v>
      </c>
      <c r="L586" s="13">
        <v>45866.583333333299</v>
      </c>
      <c r="M586" s="14">
        <v>45889.583333333299</v>
      </c>
      <c r="N586" s="15"/>
      <c r="O586" s="15"/>
      <c r="P586" s="15"/>
      <c r="Q586" s="15"/>
      <c r="R586" s="15"/>
    </row>
    <row r="587" spans="1:18" ht="14.25" customHeight="1">
      <c r="A587" s="5">
        <v>1083</v>
      </c>
      <c r="B587" s="8" t="s">
        <v>1375</v>
      </c>
      <c r="C587" s="7" t="s">
        <v>1376</v>
      </c>
      <c r="D587" s="10" t="s">
        <v>74</v>
      </c>
      <c r="E587" s="10" t="s">
        <v>202</v>
      </c>
      <c r="F587" s="10" t="s">
        <v>212</v>
      </c>
      <c r="G587" s="10" t="s">
        <v>108</v>
      </c>
      <c r="H587" s="10" t="s">
        <v>218</v>
      </c>
      <c r="I587" s="10" t="s">
        <v>61</v>
      </c>
      <c r="J587" s="12" t="s">
        <v>220</v>
      </c>
      <c r="K587" s="12" t="s">
        <v>221</v>
      </c>
      <c r="L587" s="13">
        <v>45871.583333333299</v>
      </c>
      <c r="M587" s="14">
        <v>45887.583333333299</v>
      </c>
      <c r="N587" s="15"/>
      <c r="O587" s="15"/>
      <c r="P587" s="15"/>
      <c r="Q587" s="15"/>
      <c r="R587" s="15"/>
    </row>
    <row r="588" spans="1:18" ht="14.25" customHeight="1">
      <c r="A588" s="5">
        <v>1084</v>
      </c>
      <c r="B588" s="8" t="s">
        <v>1377</v>
      </c>
      <c r="C588" s="7" t="s">
        <v>1378</v>
      </c>
      <c r="D588" s="10" t="s">
        <v>74</v>
      </c>
      <c r="E588" s="10" t="s">
        <v>202</v>
      </c>
      <c r="F588" s="10" t="s">
        <v>212</v>
      </c>
      <c r="G588" s="10" t="s">
        <v>120</v>
      </c>
      <c r="H588" s="10" t="s">
        <v>231</v>
      </c>
      <c r="I588" s="10" t="s">
        <v>58</v>
      </c>
      <c r="J588" s="12" t="s">
        <v>220</v>
      </c>
      <c r="K588" s="12" t="s">
        <v>221</v>
      </c>
      <c r="L588" s="13">
        <v>45870.583333333299</v>
      </c>
      <c r="M588" s="14">
        <v>45934.583333333299</v>
      </c>
      <c r="N588" s="15"/>
      <c r="O588" s="15"/>
      <c r="P588" s="15"/>
      <c r="Q588" s="15"/>
      <c r="R588" s="15"/>
    </row>
    <row r="589" spans="1:18" ht="14.25" customHeight="1">
      <c r="A589" s="5">
        <v>1085</v>
      </c>
      <c r="B589" s="8" t="s">
        <v>1379</v>
      </c>
      <c r="C589" s="7" t="s">
        <v>1380</v>
      </c>
      <c r="D589" s="10" t="s">
        <v>74</v>
      </c>
      <c r="E589" s="10" t="s">
        <v>202</v>
      </c>
      <c r="F589" s="10" t="s">
        <v>212</v>
      </c>
      <c r="G589" s="10" t="s">
        <v>108</v>
      </c>
      <c r="H589" s="10" t="s">
        <v>218</v>
      </c>
      <c r="I589" s="10" t="s">
        <v>61</v>
      </c>
      <c r="J589" s="12" t="s">
        <v>220</v>
      </c>
      <c r="K589" s="12" t="s">
        <v>221</v>
      </c>
      <c r="L589" s="13">
        <v>45870.583333333299</v>
      </c>
      <c r="M589" s="18">
        <v>45886.583333333299</v>
      </c>
      <c r="N589" s="15"/>
      <c r="O589" s="15"/>
      <c r="P589" s="15"/>
      <c r="Q589" s="15"/>
      <c r="R589" s="15"/>
    </row>
    <row r="590" spans="1:18" ht="14.25" customHeight="1">
      <c r="A590" s="5">
        <v>1086</v>
      </c>
      <c r="B590" s="8" t="s">
        <v>1381</v>
      </c>
      <c r="C590" s="7" t="s">
        <v>1382</v>
      </c>
      <c r="D590" s="10" t="s">
        <v>45</v>
      </c>
      <c r="E590" s="10" t="s">
        <v>201</v>
      </c>
      <c r="F590" s="10" t="s">
        <v>212</v>
      </c>
      <c r="G590" s="10" t="s">
        <v>136</v>
      </c>
      <c r="H590" s="10" t="s">
        <v>240</v>
      </c>
      <c r="I590" s="10" t="s">
        <v>241</v>
      </c>
      <c r="J590" s="12" t="s">
        <v>284</v>
      </c>
      <c r="K590" s="12" t="s">
        <v>221</v>
      </c>
      <c r="L590" s="13">
        <v>45870.583333333299</v>
      </c>
      <c r="M590" s="18">
        <v>45930.583333333299</v>
      </c>
      <c r="N590" s="15"/>
      <c r="O590" s="15"/>
      <c r="P590" s="15"/>
      <c r="Q590" s="15"/>
      <c r="R590" s="15"/>
    </row>
    <row r="591" spans="1:18" ht="14.25" customHeight="1">
      <c r="A591" s="5">
        <v>1087</v>
      </c>
      <c r="B591" s="8" t="s">
        <v>1383</v>
      </c>
      <c r="C591" s="7" t="s">
        <v>1384</v>
      </c>
      <c r="D591" s="10" t="s">
        <v>74</v>
      </c>
      <c r="E591" s="10" t="s">
        <v>202</v>
      </c>
      <c r="F591" s="10" t="s">
        <v>212</v>
      </c>
      <c r="G591" s="10" t="s">
        <v>108</v>
      </c>
      <c r="H591" s="10" t="s">
        <v>218</v>
      </c>
      <c r="I591" s="10" t="s">
        <v>61</v>
      </c>
      <c r="J591" s="12" t="s">
        <v>220</v>
      </c>
      <c r="K591" s="12" t="s">
        <v>221</v>
      </c>
      <c r="L591" s="13">
        <v>45873.583333333299</v>
      </c>
      <c r="M591" s="14">
        <v>46022.625</v>
      </c>
      <c r="N591" s="15"/>
      <c r="O591" s="15"/>
      <c r="P591" s="15"/>
      <c r="Q591" s="15"/>
      <c r="R591" s="15"/>
    </row>
    <row r="592" spans="1:18" ht="14.25" customHeight="1">
      <c r="A592" s="5">
        <v>1088</v>
      </c>
      <c r="B592" s="8" t="s">
        <v>1385</v>
      </c>
      <c r="C592" s="24" t="s">
        <v>1386</v>
      </c>
      <c r="D592" s="19" t="s">
        <v>29</v>
      </c>
      <c r="E592" s="19" t="s">
        <v>203</v>
      </c>
      <c r="F592" s="19" t="s">
        <v>212</v>
      </c>
      <c r="G592" s="19" t="s">
        <v>39</v>
      </c>
      <c r="H592" s="19" t="s">
        <v>266</v>
      </c>
      <c r="I592" s="19" t="s">
        <v>319</v>
      </c>
      <c r="J592" s="22" t="s">
        <v>284</v>
      </c>
      <c r="K592" s="12" t="s">
        <v>221</v>
      </c>
      <c r="L592" s="16">
        <v>45874.583333333299</v>
      </c>
      <c r="M592" s="25">
        <v>45874.583333333299</v>
      </c>
      <c r="N592" s="15"/>
      <c r="O592" s="15"/>
      <c r="P592" s="15"/>
      <c r="Q592" s="15"/>
      <c r="R592" s="15"/>
    </row>
    <row r="593" spans="1:18" ht="14.25" customHeight="1">
      <c r="A593" s="5">
        <v>1089</v>
      </c>
      <c r="B593" s="8" t="s">
        <v>1387</v>
      </c>
      <c r="C593" s="7" t="s">
        <v>1388</v>
      </c>
      <c r="D593" s="10" t="s">
        <v>74</v>
      </c>
      <c r="E593" s="10" t="s">
        <v>202</v>
      </c>
      <c r="F593" s="10" t="s">
        <v>259</v>
      </c>
      <c r="G593" s="10" t="s">
        <v>480</v>
      </c>
      <c r="H593" s="10" t="s">
        <v>480</v>
      </c>
      <c r="I593" s="10" t="s">
        <v>1116</v>
      </c>
      <c r="J593" s="12" t="s">
        <v>471</v>
      </c>
      <c r="K593" s="12" t="s">
        <v>221</v>
      </c>
      <c r="L593" s="13">
        <v>45873.583333333299</v>
      </c>
      <c r="M593" s="18">
        <v>45881.583333333299</v>
      </c>
      <c r="N593" s="15"/>
      <c r="O593" s="15"/>
      <c r="P593" s="15"/>
      <c r="Q593" s="15"/>
      <c r="R593" s="15"/>
    </row>
    <row r="594" spans="1:18" ht="14.25" customHeight="1">
      <c r="A594" s="5">
        <v>1090</v>
      </c>
      <c r="B594" s="8" t="s">
        <v>1389</v>
      </c>
      <c r="C594" s="7" t="s">
        <v>1390</v>
      </c>
      <c r="D594" s="10" t="s">
        <v>74</v>
      </c>
      <c r="E594" s="10" t="s">
        <v>464</v>
      </c>
      <c r="F594" s="10" t="s">
        <v>78</v>
      </c>
      <c r="G594" s="10" t="s">
        <v>78</v>
      </c>
      <c r="H594" s="10" t="s">
        <v>288</v>
      </c>
      <c r="I594" s="10" t="s">
        <v>635</v>
      </c>
      <c r="J594" s="12" t="s">
        <v>220</v>
      </c>
      <c r="K594" s="12" t="s">
        <v>221</v>
      </c>
      <c r="L594" s="13">
        <v>45873.583333333299</v>
      </c>
      <c r="M594" s="14">
        <v>45890.583333333299</v>
      </c>
      <c r="N594" s="15"/>
      <c r="O594" s="15"/>
      <c r="P594" s="15"/>
      <c r="Q594" s="15"/>
      <c r="R594" s="15"/>
    </row>
    <row r="595" spans="1:18" ht="14.25" customHeight="1">
      <c r="A595" s="5">
        <v>1091</v>
      </c>
      <c r="B595" s="8" t="s">
        <v>1391</v>
      </c>
      <c r="C595" s="7" t="s">
        <v>1392</v>
      </c>
      <c r="D595" s="10" t="s">
        <v>74</v>
      </c>
      <c r="E595" s="10" t="s">
        <v>1393</v>
      </c>
      <c r="F595" s="10" t="s">
        <v>78</v>
      </c>
      <c r="G595" s="10" t="s">
        <v>78</v>
      </c>
      <c r="H595" s="10" t="s">
        <v>576</v>
      </c>
      <c r="I595" s="10" t="s">
        <v>1394</v>
      </c>
      <c r="J595" s="12" t="s">
        <v>1395</v>
      </c>
      <c r="K595" s="12" t="s">
        <v>221</v>
      </c>
      <c r="L595" s="13">
        <v>45870.583333333299</v>
      </c>
      <c r="M595" s="14">
        <v>45960.583333333299</v>
      </c>
      <c r="N595" s="15"/>
      <c r="O595" s="15"/>
      <c r="P595" s="15"/>
      <c r="Q595" s="15"/>
      <c r="R595" s="15"/>
    </row>
    <row r="596" spans="1:18" ht="14.25" customHeight="1">
      <c r="A596" s="5">
        <v>1092</v>
      </c>
      <c r="B596" s="8" t="s">
        <v>1396</v>
      </c>
      <c r="C596" s="7" t="s">
        <v>1397</v>
      </c>
      <c r="D596" s="10" t="s">
        <v>74</v>
      </c>
      <c r="E596" s="10" t="s">
        <v>202</v>
      </c>
      <c r="F596" s="10" t="s">
        <v>259</v>
      </c>
      <c r="G596" s="10" t="s">
        <v>75</v>
      </c>
      <c r="H596" s="10" t="s">
        <v>75</v>
      </c>
      <c r="I596" s="10" t="s">
        <v>1398</v>
      </c>
      <c r="J596" s="12" t="s">
        <v>215</v>
      </c>
      <c r="K596" s="12" t="s">
        <v>221</v>
      </c>
      <c r="L596" s="13">
        <v>45880.583333333299</v>
      </c>
      <c r="M596" s="14">
        <v>46150.583333333299</v>
      </c>
      <c r="N596" s="15"/>
      <c r="O596" s="15"/>
      <c r="P596" s="15"/>
      <c r="Q596" s="15"/>
      <c r="R596" s="15"/>
    </row>
    <row r="597" spans="1:18" ht="14.25" customHeight="1">
      <c r="A597" s="5">
        <v>1093</v>
      </c>
      <c r="B597" s="8" t="s">
        <v>1399</v>
      </c>
      <c r="C597" s="7" t="s">
        <v>1400</v>
      </c>
      <c r="D597" s="10" t="s">
        <v>74</v>
      </c>
      <c r="E597" s="10" t="s">
        <v>202</v>
      </c>
      <c r="F597" s="10" t="s">
        <v>259</v>
      </c>
      <c r="G597" s="10" t="s">
        <v>540</v>
      </c>
      <c r="H597" s="10" t="s">
        <v>540</v>
      </c>
      <c r="I597" s="10" t="s">
        <v>1401</v>
      </c>
      <c r="J597" s="12" t="s">
        <v>284</v>
      </c>
      <c r="K597" s="12" t="s">
        <v>221</v>
      </c>
      <c r="L597" s="13">
        <v>45881.583333333299</v>
      </c>
      <c r="M597" s="14">
        <v>45935.583333333299</v>
      </c>
      <c r="N597" s="15"/>
      <c r="O597" s="15"/>
      <c r="P597" s="15"/>
      <c r="Q597" s="15"/>
      <c r="R597" s="15"/>
    </row>
    <row r="598" spans="1:18" ht="14.25" customHeight="1">
      <c r="A598" s="5">
        <v>1094</v>
      </c>
      <c r="B598" s="8" t="s">
        <v>1402</v>
      </c>
      <c r="C598" s="7" t="s">
        <v>1403</v>
      </c>
      <c r="D598" s="10" t="s">
        <v>16</v>
      </c>
      <c r="E598" s="10" t="s">
        <v>211</v>
      </c>
      <c r="F598" s="10" t="s">
        <v>212</v>
      </c>
      <c r="G598" s="10" t="s">
        <v>17</v>
      </c>
      <c r="H598" s="10" t="s">
        <v>218</v>
      </c>
      <c r="I598" s="10" t="s">
        <v>61</v>
      </c>
      <c r="J598" s="12" t="s">
        <v>220</v>
      </c>
      <c r="K598" s="12" t="s">
        <v>208</v>
      </c>
      <c r="L598" s="13">
        <v>45880.583333333299</v>
      </c>
      <c r="M598" s="14"/>
      <c r="N598" s="15"/>
      <c r="O598" s="15"/>
      <c r="P598" s="15"/>
      <c r="Q598" s="15"/>
      <c r="R598" s="15"/>
    </row>
    <row r="599" spans="1:18" ht="14.25" customHeight="1">
      <c r="A599" s="5">
        <v>1095</v>
      </c>
      <c r="B599" s="8" t="s">
        <v>1404</v>
      </c>
      <c r="C599" s="7" t="s">
        <v>1405</v>
      </c>
      <c r="D599" s="10" t="s">
        <v>74</v>
      </c>
      <c r="E599" s="10" t="s">
        <v>464</v>
      </c>
      <c r="F599" s="10" t="s">
        <v>212</v>
      </c>
      <c r="G599" s="10" t="s">
        <v>1406</v>
      </c>
      <c r="H599" s="10" t="s">
        <v>480</v>
      </c>
      <c r="I599" s="10" t="s">
        <v>1407</v>
      </c>
      <c r="J599" s="12" t="s">
        <v>220</v>
      </c>
      <c r="K599" s="12" t="s">
        <v>221</v>
      </c>
      <c r="L599" s="13">
        <v>45883.583333333299</v>
      </c>
      <c r="M599" s="14">
        <v>45960.583333333299</v>
      </c>
      <c r="N599" s="15"/>
      <c r="O599" s="15"/>
      <c r="P599" s="15"/>
      <c r="Q599" s="15"/>
      <c r="R599" s="15"/>
    </row>
    <row r="600" spans="1:18" ht="14.25" customHeight="1">
      <c r="A600" s="5">
        <v>1096</v>
      </c>
      <c r="B600" s="8" t="s">
        <v>1408</v>
      </c>
      <c r="C600" s="7" t="s">
        <v>1409</v>
      </c>
      <c r="D600" s="10" t="s">
        <v>74</v>
      </c>
      <c r="E600" s="10" t="s">
        <v>464</v>
      </c>
      <c r="F600" s="10" t="s">
        <v>212</v>
      </c>
      <c r="G600" s="10" t="s">
        <v>1410</v>
      </c>
      <c r="H600" s="10" t="s">
        <v>480</v>
      </c>
      <c r="I600" s="10" t="s">
        <v>1407</v>
      </c>
      <c r="J600" s="12" t="s">
        <v>220</v>
      </c>
      <c r="K600" s="12" t="s">
        <v>221</v>
      </c>
      <c r="L600" s="13">
        <v>45883.583333333299</v>
      </c>
      <c r="M600" s="18">
        <v>45883.583333333299</v>
      </c>
      <c r="N600" s="15"/>
      <c r="O600" s="15"/>
      <c r="P600" s="15"/>
      <c r="Q600" s="15"/>
      <c r="R600" s="15"/>
    </row>
    <row r="601" spans="1:18" ht="14.25" customHeight="1">
      <c r="A601" s="5">
        <v>1097</v>
      </c>
      <c r="B601" s="8" t="s">
        <v>1411</v>
      </c>
      <c r="C601" s="7" t="s">
        <v>1412</v>
      </c>
      <c r="D601" s="10" t="s">
        <v>74</v>
      </c>
      <c r="E601" s="10" t="s">
        <v>464</v>
      </c>
      <c r="F601" s="10" t="s">
        <v>78</v>
      </c>
      <c r="G601" s="10" t="s">
        <v>78</v>
      </c>
      <c r="H601" s="10" t="s">
        <v>288</v>
      </c>
      <c r="I601" s="10" t="s">
        <v>635</v>
      </c>
      <c r="J601" s="12" t="s">
        <v>220</v>
      </c>
      <c r="K601" s="12" t="s">
        <v>221</v>
      </c>
      <c r="L601" s="13">
        <v>45877.583333333299</v>
      </c>
      <c r="M601" s="18">
        <v>45931.583333333299</v>
      </c>
      <c r="N601" s="15"/>
      <c r="O601" s="15"/>
      <c r="P601" s="15"/>
      <c r="Q601" s="15"/>
      <c r="R601" s="15"/>
    </row>
    <row r="602" spans="1:18" ht="14.25" customHeight="1">
      <c r="A602" s="5">
        <v>1098</v>
      </c>
      <c r="B602" s="8" t="s">
        <v>1413</v>
      </c>
      <c r="C602" s="7" t="s">
        <v>1414</v>
      </c>
      <c r="D602" s="10" t="s">
        <v>74</v>
      </c>
      <c r="E602" s="10" t="s">
        <v>464</v>
      </c>
      <c r="F602" s="10" t="s">
        <v>78</v>
      </c>
      <c r="G602" s="10" t="s">
        <v>78</v>
      </c>
      <c r="H602" s="10" t="s">
        <v>288</v>
      </c>
      <c r="I602" s="10" t="s">
        <v>635</v>
      </c>
      <c r="J602" s="12" t="s">
        <v>220</v>
      </c>
      <c r="K602" s="12" t="s">
        <v>221</v>
      </c>
      <c r="L602" s="13">
        <v>45881.583333333299</v>
      </c>
      <c r="M602" s="14">
        <v>45931.583333333299</v>
      </c>
      <c r="N602" s="15"/>
      <c r="O602" s="15"/>
      <c r="P602" s="15"/>
      <c r="Q602" s="15"/>
      <c r="R602" s="15"/>
    </row>
    <row r="603" spans="1:18" ht="14.25" customHeight="1">
      <c r="A603" s="5">
        <v>1099</v>
      </c>
      <c r="B603" s="8" t="s">
        <v>1415</v>
      </c>
      <c r="C603" s="7" t="s">
        <v>1416</v>
      </c>
      <c r="D603" s="10" t="s">
        <v>74</v>
      </c>
      <c r="E603" s="10" t="s">
        <v>464</v>
      </c>
      <c r="F603" s="10" t="s">
        <v>78</v>
      </c>
      <c r="G603" s="10" t="s">
        <v>78</v>
      </c>
      <c r="H603" s="10" t="s">
        <v>288</v>
      </c>
      <c r="I603" s="10" t="s">
        <v>635</v>
      </c>
      <c r="J603" s="12" t="s">
        <v>220</v>
      </c>
      <c r="K603" s="12" t="s">
        <v>221</v>
      </c>
      <c r="L603" s="13">
        <v>45880.583333333299</v>
      </c>
      <c r="M603" s="18">
        <v>45882.583333333299</v>
      </c>
      <c r="N603" s="15"/>
      <c r="O603" s="15"/>
      <c r="P603" s="15"/>
      <c r="Q603" s="15"/>
      <c r="R603" s="15"/>
    </row>
    <row r="604" spans="1:18" ht="14.25" customHeight="1">
      <c r="A604" s="5">
        <v>1100</v>
      </c>
      <c r="B604" s="8" t="s">
        <v>1417</v>
      </c>
      <c r="C604" s="7" t="s">
        <v>1418</v>
      </c>
      <c r="D604" s="10" t="s">
        <v>74</v>
      </c>
      <c r="E604" s="10" t="s">
        <v>464</v>
      </c>
      <c r="F604" s="10" t="s">
        <v>212</v>
      </c>
      <c r="G604" s="10" t="s">
        <v>1406</v>
      </c>
      <c r="H604" s="10" t="s">
        <v>480</v>
      </c>
      <c r="I604" s="10" t="s">
        <v>1407</v>
      </c>
      <c r="J604" s="12" t="s">
        <v>220</v>
      </c>
      <c r="K604" s="12" t="s">
        <v>221</v>
      </c>
      <c r="L604" s="13">
        <v>45883.583333333299</v>
      </c>
      <c r="M604" s="14">
        <v>45960.583333333299</v>
      </c>
      <c r="N604" s="15"/>
      <c r="O604" s="15"/>
      <c r="P604" s="15"/>
      <c r="Q604" s="15"/>
      <c r="R604" s="15"/>
    </row>
    <row r="605" spans="1:18" ht="14.25" customHeight="1">
      <c r="A605" s="5">
        <v>1101</v>
      </c>
      <c r="B605" s="8" t="s">
        <v>1419</v>
      </c>
      <c r="C605" s="24" t="s">
        <v>1420</v>
      </c>
      <c r="D605" s="19" t="s">
        <v>74</v>
      </c>
      <c r="E605" s="19" t="s">
        <v>464</v>
      </c>
      <c r="F605" s="19" t="s">
        <v>212</v>
      </c>
      <c r="G605" s="19" t="s">
        <v>1410</v>
      </c>
      <c r="H605" s="19" t="s">
        <v>480</v>
      </c>
      <c r="I605" s="19" t="s">
        <v>1407</v>
      </c>
      <c r="J605" s="22" t="s">
        <v>220</v>
      </c>
      <c r="K605" s="12" t="s">
        <v>221</v>
      </c>
      <c r="L605" s="16">
        <v>45883.583333333299</v>
      </c>
      <c r="M605" s="18">
        <v>45960.583333333299</v>
      </c>
      <c r="N605" s="15"/>
      <c r="O605" s="15"/>
      <c r="P605" s="15"/>
      <c r="Q605" s="15"/>
      <c r="R605" s="15"/>
    </row>
    <row r="606" spans="1:18" ht="14.25" customHeight="1">
      <c r="A606" s="5">
        <v>1102</v>
      </c>
      <c r="B606" s="8" t="s">
        <v>1421</v>
      </c>
      <c r="C606" s="24" t="s">
        <v>1422</v>
      </c>
      <c r="D606" s="19" t="s">
        <v>74</v>
      </c>
      <c r="E606" s="19" t="s">
        <v>202</v>
      </c>
      <c r="F606" s="19" t="s">
        <v>212</v>
      </c>
      <c r="G606" s="19" t="s">
        <v>120</v>
      </c>
      <c r="H606" s="19" t="s">
        <v>218</v>
      </c>
      <c r="I606" s="19" t="s">
        <v>61</v>
      </c>
      <c r="J606" s="22" t="s">
        <v>220</v>
      </c>
      <c r="K606" s="12" t="s">
        <v>221</v>
      </c>
      <c r="L606" s="16">
        <v>45882.583333333299</v>
      </c>
      <c r="M606" s="14">
        <v>45961.583333333299</v>
      </c>
      <c r="N606" s="15"/>
      <c r="O606" s="15"/>
      <c r="P606" s="15"/>
      <c r="Q606" s="15"/>
      <c r="R606" s="15"/>
    </row>
    <row r="607" spans="1:18" ht="14.25" customHeight="1">
      <c r="A607" s="5">
        <v>1103</v>
      </c>
      <c r="B607" s="8" t="s">
        <v>1423</v>
      </c>
      <c r="C607" s="24" t="s">
        <v>1424</v>
      </c>
      <c r="D607" s="10" t="s">
        <v>74</v>
      </c>
      <c r="E607" s="10" t="s">
        <v>464</v>
      </c>
      <c r="F607" s="19" t="s">
        <v>212</v>
      </c>
      <c r="G607" s="19" t="s">
        <v>1410</v>
      </c>
      <c r="H607" s="19" t="s">
        <v>480</v>
      </c>
      <c r="I607" s="19" t="s">
        <v>1407</v>
      </c>
      <c r="J607" s="22" t="s">
        <v>1395</v>
      </c>
      <c r="K607" s="12" t="s">
        <v>221</v>
      </c>
      <c r="L607" s="16">
        <v>45883.583333333299</v>
      </c>
      <c r="M607" s="18">
        <v>45960.583333333299</v>
      </c>
      <c r="N607" s="15"/>
      <c r="O607" s="15"/>
      <c r="P607" s="15"/>
      <c r="Q607" s="15"/>
      <c r="R607" s="15"/>
    </row>
    <row r="608" spans="1:18" ht="14.25" customHeight="1">
      <c r="A608" s="5">
        <v>1104</v>
      </c>
      <c r="B608" s="8" t="s">
        <v>1425</v>
      </c>
      <c r="C608" s="24" t="s">
        <v>1426</v>
      </c>
      <c r="D608" s="19" t="s">
        <v>74</v>
      </c>
      <c r="E608" s="19" t="s">
        <v>464</v>
      </c>
      <c r="F608" s="10" t="s">
        <v>212</v>
      </c>
      <c r="G608" s="10" t="s">
        <v>1410</v>
      </c>
      <c r="H608" s="10" t="s">
        <v>480</v>
      </c>
      <c r="I608" s="10" t="s">
        <v>1407</v>
      </c>
      <c r="J608" s="22" t="s">
        <v>220</v>
      </c>
      <c r="K608" s="12" t="s">
        <v>221</v>
      </c>
      <c r="L608" s="16">
        <v>45883.583333333299</v>
      </c>
      <c r="M608" s="18">
        <v>45960.583333333299</v>
      </c>
      <c r="N608" s="15"/>
      <c r="O608" s="15"/>
      <c r="P608" s="15"/>
      <c r="Q608" s="15"/>
      <c r="R608" s="15"/>
    </row>
    <row r="609" spans="1:18" ht="14.25" customHeight="1">
      <c r="A609" s="5">
        <v>1105</v>
      </c>
      <c r="B609" s="8" t="s">
        <v>1427</v>
      </c>
      <c r="C609" s="24" t="s">
        <v>1428</v>
      </c>
      <c r="D609" s="19" t="s">
        <v>74</v>
      </c>
      <c r="E609" s="19" t="s">
        <v>464</v>
      </c>
      <c r="F609" s="19" t="s">
        <v>212</v>
      </c>
      <c r="G609" s="19" t="s">
        <v>1410</v>
      </c>
      <c r="H609" s="19" t="s">
        <v>480</v>
      </c>
      <c r="I609" s="19" t="s">
        <v>1407</v>
      </c>
      <c r="J609" s="22" t="s">
        <v>220</v>
      </c>
      <c r="K609" s="12" t="s">
        <v>221</v>
      </c>
      <c r="L609" s="16">
        <v>45883.583333333299</v>
      </c>
      <c r="M609" s="14">
        <v>45960.583333333299</v>
      </c>
      <c r="N609" s="15"/>
      <c r="O609" s="15"/>
      <c r="P609" s="15"/>
      <c r="Q609" s="15"/>
      <c r="R609" s="15"/>
    </row>
    <row r="610" spans="1:18" ht="14.25" customHeight="1">
      <c r="A610" s="5">
        <v>1106</v>
      </c>
      <c r="B610" s="8" t="s">
        <v>1429</v>
      </c>
      <c r="C610" s="24" t="s">
        <v>1430</v>
      </c>
      <c r="D610" s="10" t="s">
        <v>74</v>
      </c>
      <c r="E610" s="10" t="s">
        <v>464</v>
      </c>
      <c r="F610" s="19" t="s">
        <v>212</v>
      </c>
      <c r="G610" s="19" t="s">
        <v>1410</v>
      </c>
      <c r="H610" s="19" t="s">
        <v>480</v>
      </c>
      <c r="I610" s="19" t="s">
        <v>1407</v>
      </c>
      <c r="J610" s="22" t="s">
        <v>220</v>
      </c>
      <c r="K610" s="12" t="s">
        <v>221</v>
      </c>
      <c r="L610" s="16">
        <v>45883.583333333299</v>
      </c>
      <c r="M610" s="14">
        <v>45960.583333333299</v>
      </c>
      <c r="N610" s="15"/>
      <c r="O610" s="15"/>
      <c r="P610" s="15"/>
      <c r="Q610" s="15"/>
      <c r="R610" s="15"/>
    </row>
    <row r="611" spans="1:18" ht="14.25" customHeight="1">
      <c r="A611" s="5">
        <v>1107</v>
      </c>
      <c r="B611" s="8" t="s">
        <v>1431</v>
      </c>
      <c r="C611" s="24" t="s">
        <v>1432</v>
      </c>
      <c r="D611" s="19" t="s">
        <v>74</v>
      </c>
      <c r="E611" s="19" t="s">
        <v>202</v>
      </c>
      <c r="F611" s="19" t="s">
        <v>212</v>
      </c>
      <c r="G611" s="19" t="s">
        <v>108</v>
      </c>
      <c r="H611" s="19" t="s">
        <v>218</v>
      </c>
      <c r="I611" s="19" t="s">
        <v>61</v>
      </c>
      <c r="J611" s="22" t="s">
        <v>220</v>
      </c>
      <c r="K611" s="12" t="s">
        <v>208</v>
      </c>
      <c r="L611" s="16">
        <v>45882.583333333299</v>
      </c>
      <c r="M611" s="18"/>
      <c r="N611" s="15"/>
      <c r="O611" s="15"/>
      <c r="P611" s="15"/>
      <c r="Q611" s="15"/>
      <c r="R611" s="15"/>
    </row>
    <row r="612" spans="1:18" ht="14.25" customHeight="1">
      <c r="A612" s="5">
        <v>1108</v>
      </c>
      <c r="B612" s="8" t="s">
        <v>1433</v>
      </c>
      <c r="C612" s="24" t="s">
        <v>1434</v>
      </c>
      <c r="D612" s="19" t="s">
        <v>16</v>
      </c>
      <c r="E612" s="19" t="s">
        <v>211</v>
      </c>
      <c r="F612" s="19" t="s">
        <v>259</v>
      </c>
      <c r="G612" s="19" t="s">
        <v>25</v>
      </c>
      <c r="H612" s="19" t="s">
        <v>25</v>
      </c>
      <c r="I612" s="19" t="s">
        <v>1435</v>
      </c>
      <c r="J612" s="22" t="s">
        <v>284</v>
      </c>
      <c r="K612" s="12" t="s">
        <v>221</v>
      </c>
      <c r="L612" s="16">
        <v>45888.583333333299</v>
      </c>
      <c r="M612" s="14">
        <v>45941.583333333299</v>
      </c>
      <c r="N612" s="15"/>
      <c r="O612" s="15"/>
      <c r="P612" s="15"/>
      <c r="Q612" s="15"/>
      <c r="R612" s="15"/>
    </row>
    <row r="613" spans="1:18" ht="14.25" customHeight="1">
      <c r="A613" s="5">
        <v>1109</v>
      </c>
      <c r="B613" s="8" t="s">
        <v>1436</v>
      </c>
      <c r="C613" s="24" t="s">
        <v>1437</v>
      </c>
      <c r="D613" s="19" t="s">
        <v>16</v>
      </c>
      <c r="E613" s="19" t="s">
        <v>211</v>
      </c>
      <c r="F613" s="19" t="s">
        <v>259</v>
      </c>
      <c r="G613" s="19" t="s">
        <v>25</v>
      </c>
      <c r="H613" s="19" t="s">
        <v>25</v>
      </c>
      <c r="I613" s="19" t="s">
        <v>1438</v>
      </c>
      <c r="J613" s="22" t="s">
        <v>284</v>
      </c>
      <c r="K613" s="12" t="s">
        <v>221</v>
      </c>
      <c r="L613" s="16">
        <v>45888.583333333299</v>
      </c>
      <c r="M613" s="14">
        <v>45912.583333333299</v>
      </c>
      <c r="N613" s="15"/>
      <c r="O613" s="15"/>
      <c r="P613" s="15"/>
      <c r="Q613" s="15"/>
      <c r="R613" s="15"/>
    </row>
    <row r="614" spans="1:18" ht="14.25" customHeight="1">
      <c r="A614" s="5">
        <v>1110</v>
      </c>
      <c r="B614" s="8" t="s">
        <v>1439</v>
      </c>
      <c r="C614" s="24" t="s">
        <v>1440</v>
      </c>
      <c r="D614" s="19" t="s">
        <v>74</v>
      </c>
      <c r="E614" s="19" t="s">
        <v>202</v>
      </c>
      <c r="F614" s="10" t="s">
        <v>259</v>
      </c>
      <c r="G614" s="10" t="s">
        <v>480</v>
      </c>
      <c r="H614" s="10" t="s">
        <v>480</v>
      </c>
      <c r="I614" s="19" t="s">
        <v>1441</v>
      </c>
      <c r="J614" s="22" t="s">
        <v>471</v>
      </c>
      <c r="K614" s="12" t="s">
        <v>221</v>
      </c>
      <c r="L614" s="16">
        <v>45888.583333333299</v>
      </c>
      <c r="M614" s="18">
        <v>45944.583333333299</v>
      </c>
      <c r="N614" s="15"/>
      <c r="O614" s="15"/>
      <c r="P614" s="15"/>
      <c r="Q614" s="15"/>
      <c r="R614" s="15"/>
    </row>
    <row r="615" spans="1:18" ht="14.25" customHeight="1">
      <c r="A615" s="5">
        <v>1111</v>
      </c>
      <c r="B615" s="8" t="s">
        <v>1442</v>
      </c>
      <c r="C615" s="24" t="s">
        <v>1443</v>
      </c>
      <c r="D615" s="19" t="s">
        <v>74</v>
      </c>
      <c r="E615" s="19" t="s">
        <v>202</v>
      </c>
      <c r="F615" s="10" t="s">
        <v>212</v>
      </c>
      <c r="G615" s="10" t="s">
        <v>95</v>
      </c>
      <c r="H615" s="10" t="s">
        <v>218</v>
      </c>
      <c r="I615" s="10" t="s">
        <v>107</v>
      </c>
      <c r="J615" s="22" t="s">
        <v>220</v>
      </c>
      <c r="K615" s="12" t="s">
        <v>221</v>
      </c>
      <c r="L615" s="16">
        <v>45884.583333333299</v>
      </c>
      <c r="M615" s="14">
        <v>46081.625</v>
      </c>
      <c r="N615" s="15"/>
      <c r="O615" s="15"/>
      <c r="P615" s="15"/>
      <c r="Q615" s="15"/>
      <c r="R615" s="15"/>
    </row>
    <row r="616" spans="1:18" ht="14.25" customHeight="1">
      <c r="A616" s="5">
        <v>1112</v>
      </c>
      <c r="B616" s="26" t="s">
        <v>1444</v>
      </c>
      <c r="C616" s="24" t="s">
        <v>543</v>
      </c>
      <c r="D616" s="19" t="s">
        <v>74</v>
      </c>
      <c r="E616" s="19" t="s">
        <v>464</v>
      </c>
      <c r="F616" s="10" t="s">
        <v>212</v>
      </c>
      <c r="G616" s="19" t="s">
        <v>1445</v>
      </c>
      <c r="H616" s="19" t="s">
        <v>480</v>
      </c>
      <c r="I616" s="10" t="s">
        <v>1407</v>
      </c>
      <c r="J616" s="22" t="s">
        <v>220</v>
      </c>
      <c r="K616" s="12" t="s">
        <v>221</v>
      </c>
      <c r="L616" s="16">
        <v>45884.583333333299</v>
      </c>
      <c r="M616" s="18">
        <v>45960.583333333299</v>
      </c>
      <c r="N616" s="15"/>
      <c r="O616" s="15"/>
      <c r="P616" s="15"/>
      <c r="Q616" s="15"/>
      <c r="R616" s="15"/>
    </row>
    <row r="617" spans="1:18" ht="14.25" customHeight="1">
      <c r="A617" s="5">
        <v>1113</v>
      </c>
      <c r="B617" s="26" t="s">
        <v>1446</v>
      </c>
      <c r="C617" s="24" t="s">
        <v>1447</v>
      </c>
      <c r="D617" s="19" t="s">
        <v>74</v>
      </c>
      <c r="E617" s="19" t="s">
        <v>464</v>
      </c>
      <c r="F617" s="19" t="s">
        <v>212</v>
      </c>
      <c r="G617" s="19" t="s">
        <v>1445</v>
      </c>
      <c r="H617" s="19" t="s">
        <v>480</v>
      </c>
      <c r="I617" s="19" t="s">
        <v>1407</v>
      </c>
      <c r="J617" s="22" t="s">
        <v>220</v>
      </c>
      <c r="K617" s="12" t="s">
        <v>221</v>
      </c>
      <c r="L617" s="16">
        <v>45884.583333333299</v>
      </c>
      <c r="M617" s="18">
        <v>45960.583333333299</v>
      </c>
      <c r="N617" s="15"/>
      <c r="O617" s="15"/>
      <c r="P617" s="15"/>
      <c r="Q617" s="15"/>
      <c r="R617" s="15"/>
    </row>
    <row r="618" spans="1:18" ht="14.25" customHeight="1">
      <c r="A618" s="5">
        <v>1114</v>
      </c>
      <c r="B618" s="26" t="s">
        <v>1448</v>
      </c>
      <c r="C618" s="24" t="s">
        <v>1449</v>
      </c>
      <c r="D618" s="19" t="s">
        <v>74</v>
      </c>
      <c r="E618" s="19" t="s">
        <v>464</v>
      </c>
      <c r="F618" s="19" t="s">
        <v>212</v>
      </c>
      <c r="G618" s="19" t="s">
        <v>1406</v>
      </c>
      <c r="H618" s="19" t="s">
        <v>480</v>
      </c>
      <c r="I618" s="19" t="s">
        <v>1407</v>
      </c>
      <c r="J618" s="22" t="s">
        <v>220</v>
      </c>
      <c r="K618" s="12" t="s">
        <v>221</v>
      </c>
      <c r="L618" s="16">
        <v>45887.583333333299</v>
      </c>
      <c r="M618" s="14">
        <v>45960.583333333299</v>
      </c>
      <c r="N618" s="15"/>
      <c r="O618" s="15"/>
      <c r="P618" s="15"/>
      <c r="Q618" s="15"/>
      <c r="R618" s="15"/>
    </row>
    <row r="619" spans="1:18" ht="14.25" customHeight="1">
      <c r="A619" s="5">
        <v>1115</v>
      </c>
      <c r="B619" s="26" t="s">
        <v>1450</v>
      </c>
      <c r="C619" s="24" t="s">
        <v>1451</v>
      </c>
      <c r="D619" s="19" t="s">
        <v>16</v>
      </c>
      <c r="E619" s="19" t="s">
        <v>211</v>
      </c>
      <c r="F619" s="19" t="s">
        <v>212</v>
      </c>
      <c r="G619" s="19" t="s">
        <v>17</v>
      </c>
      <c r="H619" s="19" t="s">
        <v>218</v>
      </c>
      <c r="I619" s="19" t="s">
        <v>61</v>
      </c>
      <c r="J619" s="22" t="s">
        <v>220</v>
      </c>
      <c r="K619" s="12" t="s">
        <v>208</v>
      </c>
      <c r="L619" s="16">
        <v>45887.583333333299</v>
      </c>
      <c r="M619" s="18"/>
      <c r="N619" s="15"/>
      <c r="O619" s="15"/>
      <c r="P619" s="15"/>
      <c r="Q619" s="15"/>
      <c r="R619" s="15"/>
    </row>
    <row r="620" spans="1:18" ht="14.25" customHeight="1">
      <c r="A620" s="5">
        <v>1116</v>
      </c>
      <c r="B620" s="26" t="s">
        <v>1452</v>
      </c>
      <c r="C620" s="24" t="s">
        <v>1453</v>
      </c>
      <c r="D620" s="10" t="s">
        <v>29</v>
      </c>
      <c r="E620" s="19" t="s">
        <v>203</v>
      </c>
      <c r="F620" s="19" t="s">
        <v>212</v>
      </c>
      <c r="G620" s="27" t="s">
        <v>39</v>
      </c>
      <c r="H620" s="19" t="s">
        <v>240</v>
      </c>
      <c r="I620" s="19" t="s">
        <v>28</v>
      </c>
      <c r="J620" s="22" t="s">
        <v>215</v>
      </c>
      <c r="K620" s="12" t="s">
        <v>221</v>
      </c>
      <c r="L620" s="16">
        <v>45887.583333333299</v>
      </c>
      <c r="M620" s="18">
        <v>46143.583333333299</v>
      </c>
      <c r="N620" s="15"/>
      <c r="O620" s="15"/>
      <c r="P620" s="15"/>
      <c r="Q620" s="15"/>
      <c r="R620" s="15"/>
    </row>
    <row r="621" spans="1:18" ht="14.25" customHeight="1">
      <c r="A621" s="5">
        <v>1117</v>
      </c>
      <c r="B621" s="26" t="s">
        <v>1454</v>
      </c>
      <c r="C621" s="24" t="s">
        <v>1455</v>
      </c>
      <c r="D621" s="10" t="s">
        <v>74</v>
      </c>
      <c r="E621" s="19" t="s">
        <v>464</v>
      </c>
      <c r="F621" s="19" t="s">
        <v>78</v>
      </c>
      <c r="G621" s="27" t="s">
        <v>78</v>
      </c>
      <c r="H621" s="19" t="s">
        <v>288</v>
      </c>
      <c r="I621" s="19" t="s">
        <v>635</v>
      </c>
      <c r="J621" s="22" t="s">
        <v>220</v>
      </c>
      <c r="K621" s="12" t="s">
        <v>221</v>
      </c>
      <c r="L621" s="16">
        <v>45887.583333333299</v>
      </c>
      <c r="M621" s="14">
        <v>45886.583333333299</v>
      </c>
      <c r="N621" s="15"/>
      <c r="O621" s="15"/>
      <c r="P621" s="15"/>
      <c r="Q621" s="15"/>
      <c r="R621" s="15"/>
    </row>
    <row r="622" spans="1:18" ht="14.25" customHeight="1">
      <c r="A622" s="5">
        <v>1118</v>
      </c>
      <c r="B622" s="26" t="s">
        <v>1456</v>
      </c>
      <c r="C622" s="24" t="s">
        <v>1457</v>
      </c>
      <c r="D622" s="19" t="s">
        <v>74</v>
      </c>
      <c r="E622" s="19" t="s">
        <v>464</v>
      </c>
      <c r="F622" s="10" t="s">
        <v>78</v>
      </c>
      <c r="G622" s="10" t="s">
        <v>78</v>
      </c>
      <c r="H622" s="10" t="s">
        <v>288</v>
      </c>
      <c r="I622" s="10" t="s">
        <v>635</v>
      </c>
      <c r="J622" s="22" t="s">
        <v>220</v>
      </c>
      <c r="K622" s="12" t="s">
        <v>221</v>
      </c>
      <c r="L622" s="16">
        <v>45887.583333333299</v>
      </c>
      <c r="M622" s="18">
        <v>45931.583333333299</v>
      </c>
      <c r="N622" s="15"/>
      <c r="O622" s="15"/>
      <c r="P622" s="15"/>
      <c r="Q622" s="15"/>
      <c r="R622" s="15"/>
    </row>
    <row r="623" spans="1:18" ht="14.25" customHeight="1">
      <c r="A623" s="5">
        <v>1119</v>
      </c>
      <c r="B623" s="26" t="s">
        <v>1458</v>
      </c>
      <c r="C623" s="24" t="s">
        <v>1459</v>
      </c>
      <c r="D623" s="19" t="s">
        <v>74</v>
      </c>
      <c r="E623" s="19" t="s">
        <v>1393</v>
      </c>
      <c r="F623" s="10" t="s">
        <v>78</v>
      </c>
      <c r="G623" s="10" t="s">
        <v>78</v>
      </c>
      <c r="H623" s="10" t="s">
        <v>576</v>
      </c>
      <c r="I623" s="10" t="s">
        <v>1394</v>
      </c>
      <c r="J623" s="22" t="s">
        <v>1395</v>
      </c>
      <c r="K623" s="12" t="s">
        <v>221</v>
      </c>
      <c r="L623" s="16">
        <v>45887.583333333299</v>
      </c>
      <c r="M623" s="18">
        <v>45960.583333333299</v>
      </c>
      <c r="N623" s="15"/>
      <c r="O623" s="15"/>
      <c r="P623" s="15"/>
      <c r="Q623" s="15"/>
      <c r="R623" s="15"/>
    </row>
    <row r="624" spans="1:18" ht="14.25" customHeight="1">
      <c r="A624" s="5">
        <v>1120</v>
      </c>
      <c r="B624" s="26" t="s">
        <v>1460</v>
      </c>
      <c r="C624" s="24" t="s">
        <v>1461</v>
      </c>
      <c r="D624" s="19" t="s">
        <v>74</v>
      </c>
      <c r="E624" s="19" t="s">
        <v>464</v>
      </c>
      <c r="F624" s="10" t="s">
        <v>78</v>
      </c>
      <c r="G624" s="10" t="s">
        <v>78</v>
      </c>
      <c r="H624" s="10" t="s">
        <v>576</v>
      </c>
      <c r="I624" s="10" t="s">
        <v>577</v>
      </c>
      <c r="J624" s="22" t="s">
        <v>220</v>
      </c>
      <c r="K624" s="12" t="s">
        <v>221</v>
      </c>
      <c r="L624" s="16">
        <v>45889.583333333299</v>
      </c>
      <c r="M624" s="18">
        <v>45889.583333333299</v>
      </c>
      <c r="N624" s="15"/>
      <c r="O624" s="15"/>
      <c r="P624" s="15"/>
      <c r="Q624" s="15"/>
      <c r="R624" s="15"/>
    </row>
    <row r="625" spans="1:18" ht="14.25" customHeight="1">
      <c r="A625" s="5">
        <v>1121</v>
      </c>
      <c r="B625" s="26" t="s">
        <v>1462</v>
      </c>
      <c r="C625" s="24" t="s">
        <v>1463</v>
      </c>
      <c r="D625" s="19" t="s">
        <v>29</v>
      </c>
      <c r="E625" s="19" t="s">
        <v>203</v>
      </c>
      <c r="F625" s="10" t="s">
        <v>212</v>
      </c>
      <c r="G625" s="10" t="s">
        <v>544</v>
      </c>
      <c r="H625" s="10" t="s">
        <v>240</v>
      </c>
      <c r="I625" s="10" t="s">
        <v>28</v>
      </c>
      <c r="J625" s="22" t="s">
        <v>220</v>
      </c>
      <c r="K625" s="12" t="s">
        <v>221</v>
      </c>
      <c r="L625" s="16">
        <v>45888.583333333299</v>
      </c>
      <c r="M625" s="14">
        <v>45930.583333333299</v>
      </c>
      <c r="N625" s="15"/>
      <c r="O625" s="15"/>
      <c r="P625" s="15"/>
      <c r="Q625" s="15"/>
      <c r="R625" s="15"/>
    </row>
    <row r="626" spans="1:18" ht="14.25" customHeight="1">
      <c r="A626" s="5">
        <v>1122</v>
      </c>
      <c r="B626" s="26" t="s">
        <v>1464</v>
      </c>
      <c r="C626" s="24" t="s">
        <v>1465</v>
      </c>
      <c r="D626" s="19" t="s">
        <v>29</v>
      </c>
      <c r="E626" s="19" t="s">
        <v>203</v>
      </c>
      <c r="F626" s="10" t="s">
        <v>212</v>
      </c>
      <c r="G626" s="19" t="s">
        <v>39</v>
      </c>
      <c r="H626" s="19" t="s">
        <v>240</v>
      </c>
      <c r="I626" s="10" t="s">
        <v>28</v>
      </c>
      <c r="J626" s="22" t="s">
        <v>284</v>
      </c>
      <c r="K626" s="12" t="s">
        <v>221</v>
      </c>
      <c r="L626" s="16">
        <v>45887.583333333299</v>
      </c>
      <c r="M626" s="18">
        <v>45893.583333333299</v>
      </c>
      <c r="N626" s="15"/>
      <c r="O626" s="15"/>
      <c r="P626" s="15"/>
      <c r="Q626" s="15"/>
      <c r="R626" s="15"/>
    </row>
    <row r="627" spans="1:18" ht="14.25" customHeight="1">
      <c r="A627" s="5">
        <v>1123</v>
      </c>
      <c r="B627" s="26" t="s">
        <v>1466</v>
      </c>
      <c r="C627" s="24" t="s">
        <v>1467</v>
      </c>
      <c r="D627" s="10" t="s">
        <v>29</v>
      </c>
      <c r="E627" s="19" t="s">
        <v>203</v>
      </c>
      <c r="F627" s="19" t="s">
        <v>212</v>
      </c>
      <c r="G627" s="27" t="s">
        <v>39</v>
      </c>
      <c r="H627" s="19" t="s">
        <v>240</v>
      </c>
      <c r="I627" s="19" t="s">
        <v>28</v>
      </c>
      <c r="J627" s="22" t="s">
        <v>220</v>
      </c>
      <c r="K627" s="12" t="s">
        <v>221</v>
      </c>
      <c r="L627" s="16">
        <v>45888.583333333299</v>
      </c>
      <c r="M627" s="18">
        <v>45908.583333333299</v>
      </c>
      <c r="N627" s="15"/>
      <c r="O627" s="15"/>
      <c r="P627" s="15"/>
      <c r="Q627" s="15"/>
      <c r="R627" s="15"/>
    </row>
    <row r="628" spans="1:18" ht="14.25" customHeight="1">
      <c r="A628" s="5">
        <v>1124</v>
      </c>
      <c r="B628" s="26" t="s">
        <v>1468</v>
      </c>
      <c r="C628" s="24" t="s">
        <v>1469</v>
      </c>
      <c r="D628" s="10" t="s">
        <v>74</v>
      </c>
      <c r="E628" s="19" t="s">
        <v>464</v>
      </c>
      <c r="F628" s="19" t="s">
        <v>78</v>
      </c>
      <c r="G628" s="27" t="s">
        <v>78</v>
      </c>
      <c r="H628" s="19" t="s">
        <v>576</v>
      </c>
      <c r="I628" s="19" t="s">
        <v>577</v>
      </c>
      <c r="J628" s="22" t="s">
        <v>220</v>
      </c>
      <c r="K628" s="12" t="s">
        <v>221</v>
      </c>
      <c r="L628" s="16">
        <v>45891.583333333299</v>
      </c>
      <c r="M628" s="18">
        <v>45931.583333333299</v>
      </c>
      <c r="N628" s="15"/>
      <c r="O628" s="15"/>
      <c r="P628" s="15"/>
      <c r="Q628" s="15"/>
      <c r="R628" s="15"/>
    </row>
    <row r="629" spans="1:18" ht="14.25" customHeight="1">
      <c r="A629" s="5">
        <v>1125</v>
      </c>
      <c r="B629" s="26" t="s">
        <v>1470</v>
      </c>
      <c r="C629" s="24" t="s">
        <v>1471</v>
      </c>
      <c r="D629" s="10" t="s">
        <v>74</v>
      </c>
      <c r="E629" s="10" t="s">
        <v>464</v>
      </c>
      <c r="F629" s="19" t="s">
        <v>78</v>
      </c>
      <c r="G629" s="19" t="s">
        <v>78</v>
      </c>
      <c r="H629" s="19" t="s">
        <v>576</v>
      </c>
      <c r="I629" s="19" t="s">
        <v>577</v>
      </c>
      <c r="J629" s="22" t="s">
        <v>220</v>
      </c>
      <c r="K629" s="12" t="s">
        <v>221</v>
      </c>
      <c r="L629" s="16">
        <v>45891.583333333299</v>
      </c>
      <c r="M629" s="18">
        <v>45931.583333333299</v>
      </c>
      <c r="N629" s="15"/>
      <c r="O629" s="15"/>
      <c r="P629" s="15"/>
      <c r="Q629" s="15"/>
      <c r="R629" s="15"/>
    </row>
    <row r="630" spans="1:18" ht="14.25" customHeight="1">
      <c r="A630" s="5">
        <v>1126</v>
      </c>
      <c r="B630" s="26" t="s">
        <v>1472</v>
      </c>
      <c r="C630" s="24" t="s">
        <v>1473</v>
      </c>
      <c r="D630" s="19" t="s">
        <v>29</v>
      </c>
      <c r="E630" s="19" t="s">
        <v>203</v>
      </c>
      <c r="F630" s="19" t="s">
        <v>212</v>
      </c>
      <c r="G630" s="19" t="s">
        <v>30</v>
      </c>
      <c r="H630" s="19" t="s">
        <v>240</v>
      </c>
      <c r="I630" s="19" t="s">
        <v>28</v>
      </c>
      <c r="J630" s="22" t="s">
        <v>220</v>
      </c>
      <c r="K630" s="12" t="s">
        <v>221</v>
      </c>
      <c r="L630" s="16">
        <v>45891.583333333299</v>
      </c>
      <c r="M630" s="18">
        <v>45891.583333333299</v>
      </c>
      <c r="N630" s="15"/>
      <c r="O630" s="15"/>
      <c r="P630" s="15"/>
      <c r="Q630" s="15"/>
      <c r="R630" s="15"/>
    </row>
    <row r="631" spans="1:18" ht="14.25" customHeight="1">
      <c r="A631" s="5">
        <v>1127</v>
      </c>
      <c r="B631" s="26" t="s">
        <v>1474</v>
      </c>
      <c r="C631" s="24" t="s">
        <v>1475</v>
      </c>
      <c r="D631" s="10" t="s">
        <v>16</v>
      </c>
      <c r="E631" s="19" t="s">
        <v>211</v>
      </c>
      <c r="F631" s="19" t="s">
        <v>259</v>
      </c>
      <c r="G631" s="27" t="s">
        <v>75</v>
      </c>
      <c r="H631" s="19" t="s">
        <v>75</v>
      </c>
      <c r="I631" s="19" t="s">
        <v>1476</v>
      </c>
      <c r="J631" s="22" t="s">
        <v>284</v>
      </c>
      <c r="K631" s="12" t="s">
        <v>221</v>
      </c>
      <c r="L631" s="16">
        <v>45895.583333333299</v>
      </c>
      <c r="M631" s="18">
        <v>45895.583333333299</v>
      </c>
      <c r="N631" s="15"/>
      <c r="O631" s="15"/>
      <c r="P631" s="15"/>
      <c r="Q631" s="15"/>
      <c r="R631" s="15"/>
    </row>
    <row r="632" spans="1:18" ht="14.25" customHeight="1">
      <c r="A632" s="5">
        <v>1128</v>
      </c>
      <c r="B632" s="26" t="s">
        <v>1477</v>
      </c>
      <c r="C632" s="24" t="s">
        <v>1478</v>
      </c>
      <c r="D632" s="10" t="s">
        <v>74</v>
      </c>
      <c r="E632" s="19" t="s">
        <v>202</v>
      </c>
      <c r="F632" s="19" t="s">
        <v>212</v>
      </c>
      <c r="G632" s="27" t="s">
        <v>108</v>
      </c>
      <c r="H632" s="19" t="s">
        <v>218</v>
      </c>
      <c r="I632" s="19" t="s">
        <v>61</v>
      </c>
      <c r="J632" s="22" t="s">
        <v>220</v>
      </c>
      <c r="K632" s="12" t="s">
        <v>221</v>
      </c>
      <c r="L632" s="16">
        <v>45894.583333333299</v>
      </c>
      <c r="M632" s="18">
        <v>46022.625</v>
      </c>
      <c r="N632" s="15"/>
      <c r="O632" s="15"/>
      <c r="P632" s="15"/>
      <c r="Q632" s="15"/>
      <c r="R632" s="15"/>
    </row>
    <row r="633" spans="1:18" ht="14.25" customHeight="1">
      <c r="A633" s="5">
        <v>1129</v>
      </c>
      <c r="B633" s="26" t="s">
        <v>1479</v>
      </c>
      <c r="C633" s="24" t="s">
        <v>1480</v>
      </c>
      <c r="D633" s="10" t="s">
        <v>74</v>
      </c>
      <c r="E633" s="19" t="s">
        <v>202</v>
      </c>
      <c r="F633" s="19" t="s">
        <v>212</v>
      </c>
      <c r="G633" s="27" t="s">
        <v>120</v>
      </c>
      <c r="H633" s="19" t="s">
        <v>240</v>
      </c>
      <c r="I633" s="19" t="s">
        <v>107</v>
      </c>
      <c r="J633" s="22" t="s">
        <v>284</v>
      </c>
      <c r="K633" s="12" t="s">
        <v>221</v>
      </c>
      <c r="L633" s="16">
        <v>45894.583333333299</v>
      </c>
      <c r="M633" s="18">
        <v>45894.583333333299</v>
      </c>
      <c r="N633" s="15"/>
      <c r="O633" s="15"/>
      <c r="P633" s="15"/>
      <c r="Q633" s="15"/>
      <c r="R633" s="15"/>
    </row>
    <row r="634" spans="1:18" ht="14.25" customHeight="1">
      <c r="A634" s="5">
        <v>1130</v>
      </c>
      <c r="B634" s="28" t="s">
        <v>1481</v>
      </c>
      <c r="C634" s="24" t="s">
        <v>1482</v>
      </c>
      <c r="D634" s="19" t="s">
        <v>74</v>
      </c>
      <c r="E634" s="19" t="s">
        <v>464</v>
      </c>
      <c r="F634" s="19" t="s">
        <v>212</v>
      </c>
      <c r="G634" s="19" t="s">
        <v>1410</v>
      </c>
      <c r="H634" s="19" t="s">
        <v>480</v>
      </c>
      <c r="I634" s="19" t="s">
        <v>1407</v>
      </c>
      <c r="J634" s="22" t="s">
        <v>220</v>
      </c>
      <c r="K634" s="12" t="s">
        <v>221</v>
      </c>
      <c r="L634" s="16">
        <v>45895.583333333299</v>
      </c>
      <c r="M634" s="18">
        <v>45960.583333333299</v>
      </c>
      <c r="N634" s="15"/>
      <c r="O634" s="15"/>
      <c r="P634" s="15"/>
      <c r="Q634" s="15"/>
      <c r="R634" s="15"/>
    </row>
    <row r="635" spans="1:18" ht="14.25" customHeight="1">
      <c r="A635" s="5">
        <v>1131</v>
      </c>
      <c r="B635" s="28" t="s">
        <v>1483</v>
      </c>
      <c r="C635" s="24" t="s">
        <v>1484</v>
      </c>
      <c r="D635" s="19" t="s">
        <v>74</v>
      </c>
      <c r="E635" s="19" t="s">
        <v>202</v>
      </c>
      <c r="F635" s="19" t="s">
        <v>212</v>
      </c>
      <c r="G635" s="19" t="s">
        <v>120</v>
      </c>
      <c r="H635" s="19" t="s">
        <v>218</v>
      </c>
      <c r="I635" s="19" t="s">
        <v>61</v>
      </c>
      <c r="J635" s="22" t="s">
        <v>220</v>
      </c>
      <c r="K635" s="12" t="s">
        <v>221</v>
      </c>
      <c r="L635" s="16">
        <v>45894.583333333299</v>
      </c>
      <c r="M635" s="29">
        <v>46016.625</v>
      </c>
      <c r="N635" s="15"/>
      <c r="O635" s="15"/>
      <c r="P635" s="15"/>
      <c r="Q635" s="15"/>
      <c r="R635" s="15"/>
    </row>
    <row r="636" spans="1:18" ht="14.25" customHeight="1">
      <c r="A636" s="5">
        <v>1132</v>
      </c>
      <c r="B636" s="28" t="s">
        <v>1485</v>
      </c>
      <c r="C636" s="24" t="s">
        <v>1486</v>
      </c>
      <c r="D636" s="19" t="s">
        <v>74</v>
      </c>
      <c r="E636" s="19" t="s">
        <v>202</v>
      </c>
      <c r="F636" s="19" t="s">
        <v>212</v>
      </c>
      <c r="G636" s="19" t="s">
        <v>120</v>
      </c>
      <c r="H636" s="19" t="s">
        <v>231</v>
      </c>
      <c r="I636" s="19" t="s">
        <v>58</v>
      </c>
      <c r="J636" s="22" t="s">
        <v>284</v>
      </c>
      <c r="K636" s="12" t="s">
        <v>221</v>
      </c>
      <c r="L636" s="16">
        <v>45894.583333333299</v>
      </c>
      <c r="M636" s="14">
        <v>45894.583333333299</v>
      </c>
      <c r="N636" s="15"/>
      <c r="O636" s="15"/>
      <c r="P636" s="15"/>
      <c r="Q636" s="15"/>
      <c r="R636" s="15"/>
    </row>
    <row r="637" spans="1:18" ht="14.25" customHeight="1">
      <c r="A637" s="5">
        <v>1133</v>
      </c>
      <c r="B637" s="28" t="s">
        <v>1487</v>
      </c>
      <c r="C637" s="24" t="s">
        <v>1488</v>
      </c>
      <c r="D637" s="19" t="s">
        <v>74</v>
      </c>
      <c r="E637" s="19" t="s">
        <v>464</v>
      </c>
      <c r="F637" s="19" t="s">
        <v>78</v>
      </c>
      <c r="G637" s="19" t="s">
        <v>78</v>
      </c>
      <c r="H637" s="19" t="s">
        <v>288</v>
      </c>
      <c r="I637" s="19" t="s">
        <v>635</v>
      </c>
      <c r="J637" s="22" t="s">
        <v>220</v>
      </c>
      <c r="K637" s="12" t="s">
        <v>221</v>
      </c>
      <c r="L637" s="16">
        <v>45894.583333333299</v>
      </c>
      <c r="M637" s="18">
        <v>45898.583333333299</v>
      </c>
      <c r="N637" s="15"/>
      <c r="O637" s="15"/>
      <c r="P637" s="15"/>
      <c r="Q637" s="15"/>
      <c r="R637" s="15"/>
    </row>
    <row r="638" spans="1:18" ht="14.25" customHeight="1">
      <c r="A638" s="5">
        <v>1134</v>
      </c>
      <c r="B638" s="26" t="s">
        <v>1489</v>
      </c>
      <c r="C638" s="24" t="s">
        <v>1490</v>
      </c>
      <c r="D638" s="19" t="s">
        <v>74</v>
      </c>
      <c r="E638" s="19" t="s">
        <v>464</v>
      </c>
      <c r="F638" s="19" t="s">
        <v>78</v>
      </c>
      <c r="G638" s="19" t="s">
        <v>78</v>
      </c>
      <c r="H638" s="19" t="s">
        <v>288</v>
      </c>
      <c r="I638" s="19" t="s">
        <v>635</v>
      </c>
      <c r="J638" s="22" t="s">
        <v>220</v>
      </c>
      <c r="K638" s="12" t="s">
        <v>221</v>
      </c>
      <c r="L638" s="16">
        <v>45894.583333333299</v>
      </c>
      <c r="M638" s="18">
        <v>45931.583333333299</v>
      </c>
      <c r="N638" s="15"/>
      <c r="O638" s="15"/>
      <c r="P638" s="15"/>
      <c r="Q638" s="15"/>
      <c r="R638" s="15"/>
    </row>
    <row r="639" spans="1:18" ht="14.25" customHeight="1">
      <c r="A639" s="5">
        <v>1135</v>
      </c>
      <c r="B639" s="26" t="s">
        <v>1491</v>
      </c>
      <c r="C639" s="24" t="s">
        <v>1492</v>
      </c>
      <c r="D639" s="19" t="s">
        <v>74</v>
      </c>
      <c r="E639" s="19" t="s">
        <v>464</v>
      </c>
      <c r="F639" s="19" t="s">
        <v>78</v>
      </c>
      <c r="G639" s="19" t="s">
        <v>78</v>
      </c>
      <c r="H639" s="19" t="s">
        <v>288</v>
      </c>
      <c r="I639" s="19" t="s">
        <v>635</v>
      </c>
      <c r="J639" s="22" t="s">
        <v>220</v>
      </c>
      <c r="K639" s="12" t="s">
        <v>221</v>
      </c>
      <c r="L639" s="16">
        <v>45894.583333333299</v>
      </c>
      <c r="M639" s="18">
        <v>45931.583333333299</v>
      </c>
      <c r="N639" s="15"/>
      <c r="O639" s="15"/>
      <c r="P639" s="15"/>
      <c r="Q639" s="15"/>
      <c r="R639" s="15"/>
    </row>
    <row r="640" spans="1:18" ht="14.25" customHeight="1">
      <c r="A640" s="5">
        <v>1136</v>
      </c>
      <c r="B640" s="26" t="s">
        <v>1493</v>
      </c>
      <c r="C640" s="24" t="s">
        <v>1494</v>
      </c>
      <c r="D640" s="19" t="s">
        <v>74</v>
      </c>
      <c r="E640" s="19" t="s">
        <v>464</v>
      </c>
      <c r="F640" s="19" t="s">
        <v>212</v>
      </c>
      <c r="G640" s="19" t="s">
        <v>1445</v>
      </c>
      <c r="H640" s="19" t="s">
        <v>480</v>
      </c>
      <c r="I640" s="19" t="s">
        <v>1407</v>
      </c>
      <c r="J640" s="22" t="s">
        <v>220</v>
      </c>
      <c r="K640" s="12" t="s">
        <v>221</v>
      </c>
      <c r="L640" s="16">
        <v>45897.583333333299</v>
      </c>
      <c r="M640" s="18">
        <v>45960.583333333299</v>
      </c>
      <c r="N640" s="15"/>
      <c r="O640" s="15"/>
      <c r="P640" s="15"/>
      <c r="Q640" s="15"/>
      <c r="R640" s="15"/>
    </row>
    <row r="641" spans="1:18" ht="14.25" customHeight="1">
      <c r="A641" s="5">
        <v>1137</v>
      </c>
      <c r="B641" s="26" t="s">
        <v>1495</v>
      </c>
      <c r="C641" s="24" t="s">
        <v>1496</v>
      </c>
      <c r="D641" s="19" t="s">
        <v>74</v>
      </c>
      <c r="E641" s="19" t="s">
        <v>464</v>
      </c>
      <c r="F641" s="19" t="s">
        <v>212</v>
      </c>
      <c r="G641" s="19" t="s">
        <v>1406</v>
      </c>
      <c r="H641" s="19" t="s">
        <v>480</v>
      </c>
      <c r="I641" s="19" t="s">
        <v>1407</v>
      </c>
      <c r="J641" s="22" t="s">
        <v>220</v>
      </c>
      <c r="K641" s="12" t="s">
        <v>221</v>
      </c>
      <c r="L641" s="16">
        <v>45895.583333333299</v>
      </c>
      <c r="M641" s="18">
        <v>45960.583333333299</v>
      </c>
      <c r="N641" s="15"/>
      <c r="O641" s="15"/>
      <c r="P641" s="15"/>
      <c r="Q641" s="15"/>
      <c r="R641" s="15"/>
    </row>
    <row r="642" spans="1:18" ht="14.25" customHeight="1">
      <c r="A642" s="5">
        <v>1138</v>
      </c>
      <c r="B642" s="26" t="s">
        <v>1497</v>
      </c>
      <c r="C642" s="24" t="s">
        <v>1498</v>
      </c>
      <c r="D642" s="19" t="s">
        <v>74</v>
      </c>
      <c r="E642" s="19" t="s">
        <v>464</v>
      </c>
      <c r="F642" s="19" t="s">
        <v>212</v>
      </c>
      <c r="G642" s="19" t="s">
        <v>1406</v>
      </c>
      <c r="H642" s="19" t="s">
        <v>480</v>
      </c>
      <c r="I642" s="19" t="s">
        <v>1407</v>
      </c>
      <c r="J642" s="22" t="s">
        <v>220</v>
      </c>
      <c r="K642" s="12" t="s">
        <v>221</v>
      </c>
      <c r="L642" s="16">
        <v>45895.583333333299</v>
      </c>
      <c r="M642" s="18">
        <v>45960.583333333299</v>
      </c>
      <c r="N642" s="15"/>
      <c r="O642" s="15"/>
      <c r="P642" s="15"/>
      <c r="Q642" s="15"/>
      <c r="R642" s="15"/>
    </row>
    <row r="643" spans="1:18" ht="14.25" customHeight="1">
      <c r="A643" s="5">
        <v>1139</v>
      </c>
      <c r="B643" s="26" t="s">
        <v>1499</v>
      </c>
      <c r="C643" s="24" t="s">
        <v>1500</v>
      </c>
      <c r="D643" s="19" t="s">
        <v>74</v>
      </c>
      <c r="E643" s="19" t="s">
        <v>464</v>
      </c>
      <c r="F643" s="19" t="s">
        <v>78</v>
      </c>
      <c r="G643" s="19" t="s">
        <v>78</v>
      </c>
      <c r="H643" s="19" t="s">
        <v>288</v>
      </c>
      <c r="I643" s="19" t="s">
        <v>635</v>
      </c>
      <c r="J643" s="22" t="s">
        <v>220</v>
      </c>
      <c r="K643" s="12" t="s">
        <v>221</v>
      </c>
      <c r="L643" s="16">
        <v>45899.583333333299</v>
      </c>
      <c r="M643" s="18">
        <v>45899.583333333299</v>
      </c>
      <c r="N643" s="15"/>
      <c r="O643" s="15"/>
      <c r="P643" s="15"/>
      <c r="Q643" s="15"/>
      <c r="R643" s="15"/>
    </row>
    <row r="644" spans="1:18" ht="14.25" customHeight="1">
      <c r="A644" s="5">
        <v>1140</v>
      </c>
      <c r="B644" s="26" t="s">
        <v>1501</v>
      </c>
      <c r="C644" s="24" t="s">
        <v>1502</v>
      </c>
      <c r="D644" s="19" t="s">
        <v>74</v>
      </c>
      <c r="E644" s="19" t="s">
        <v>464</v>
      </c>
      <c r="F644" s="19" t="s">
        <v>78</v>
      </c>
      <c r="G644" s="19" t="s">
        <v>78</v>
      </c>
      <c r="H644" s="19" t="s">
        <v>576</v>
      </c>
      <c r="I644" s="19" t="s">
        <v>577</v>
      </c>
      <c r="J644" s="22" t="s">
        <v>220</v>
      </c>
      <c r="K644" s="12" t="s">
        <v>221</v>
      </c>
      <c r="L644" s="16">
        <v>45897.583333333299</v>
      </c>
      <c r="M644" s="18">
        <v>45931.583333333299</v>
      </c>
      <c r="N644" s="15"/>
      <c r="O644" s="15"/>
      <c r="P644" s="15"/>
      <c r="Q644" s="15"/>
      <c r="R644" s="15"/>
    </row>
    <row r="645" spans="1:18" ht="14.25" customHeight="1">
      <c r="A645" s="5">
        <v>1141</v>
      </c>
      <c r="B645" s="26" t="s">
        <v>1503</v>
      </c>
      <c r="C645" s="24" t="s">
        <v>1504</v>
      </c>
      <c r="D645" s="19" t="s">
        <v>29</v>
      </c>
      <c r="E645" s="19" t="s">
        <v>203</v>
      </c>
      <c r="F645" s="19" t="s">
        <v>212</v>
      </c>
      <c r="G645" s="19" t="s">
        <v>30</v>
      </c>
      <c r="H645" s="19" t="s">
        <v>240</v>
      </c>
      <c r="I645" s="19" t="s">
        <v>28</v>
      </c>
      <c r="J645" s="22" t="s">
        <v>220</v>
      </c>
      <c r="K645" s="12" t="s">
        <v>221</v>
      </c>
      <c r="L645" s="16">
        <v>45895.583333333299</v>
      </c>
      <c r="M645" s="14">
        <v>45896.583333333299</v>
      </c>
      <c r="N645" s="15"/>
      <c r="O645" s="15"/>
      <c r="P645" s="15"/>
      <c r="Q645" s="15"/>
      <c r="R645" s="15"/>
    </row>
    <row r="646" spans="1:18" ht="14.25" customHeight="1">
      <c r="A646" s="5">
        <v>1142</v>
      </c>
      <c r="B646" s="26" t="s">
        <v>1505</v>
      </c>
      <c r="C646" s="24" t="s">
        <v>1506</v>
      </c>
      <c r="D646" s="19" t="s">
        <v>74</v>
      </c>
      <c r="E646" s="19" t="s">
        <v>464</v>
      </c>
      <c r="F646" s="19" t="s">
        <v>212</v>
      </c>
      <c r="G646" s="19" t="s">
        <v>1445</v>
      </c>
      <c r="H646" s="19" t="s">
        <v>480</v>
      </c>
      <c r="I646" s="19" t="s">
        <v>1407</v>
      </c>
      <c r="J646" s="22" t="s">
        <v>220</v>
      </c>
      <c r="K646" s="12" t="s">
        <v>221</v>
      </c>
      <c r="L646" s="16">
        <v>45898.583333333299</v>
      </c>
      <c r="M646" s="18">
        <v>45960.583333333299</v>
      </c>
      <c r="N646" s="15"/>
      <c r="O646" s="15"/>
      <c r="P646" s="15"/>
      <c r="Q646" s="15"/>
      <c r="R646" s="15"/>
    </row>
    <row r="647" spans="1:18" ht="14.25" customHeight="1">
      <c r="A647" s="5">
        <v>1143</v>
      </c>
      <c r="B647" s="26" t="s">
        <v>1507</v>
      </c>
      <c r="C647" s="24" t="s">
        <v>1508</v>
      </c>
      <c r="D647" s="19" t="s">
        <v>74</v>
      </c>
      <c r="E647" s="19" t="s">
        <v>464</v>
      </c>
      <c r="F647" s="19" t="s">
        <v>78</v>
      </c>
      <c r="G647" s="19" t="s">
        <v>78</v>
      </c>
      <c r="H647" s="19" t="s">
        <v>576</v>
      </c>
      <c r="I647" s="19" t="s">
        <v>577</v>
      </c>
      <c r="J647" s="22" t="s">
        <v>220</v>
      </c>
      <c r="K647" s="12" t="s">
        <v>221</v>
      </c>
      <c r="L647" s="16">
        <v>45900.583333333299</v>
      </c>
      <c r="M647" s="18">
        <v>45931.583333333299</v>
      </c>
      <c r="N647" s="15"/>
      <c r="O647" s="15"/>
      <c r="P647" s="15"/>
      <c r="Q647" s="15"/>
      <c r="R647" s="15"/>
    </row>
    <row r="648" spans="1:18" ht="14.25" customHeight="1">
      <c r="A648" s="5">
        <v>1145</v>
      </c>
      <c r="B648" s="26" t="s">
        <v>1509</v>
      </c>
      <c r="C648" s="24" t="s">
        <v>1510</v>
      </c>
      <c r="D648" s="19" t="s">
        <v>74</v>
      </c>
      <c r="E648" s="19" t="s">
        <v>464</v>
      </c>
      <c r="F648" s="19" t="s">
        <v>78</v>
      </c>
      <c r="G648" s="19" t="s">
        <v>78</v>
      </c>
      <c r="H648" s="19" t="s">
        <v>576</v>
      </c>
      <c r="I648" s="19" t="s">
        <v>577</v>
      </c>
      <c r="J648" s="22" t="s">
        <v>220</v>
      </c>
      <c r="K648" s="12" t="s">
        <v>221</v>
      </c>
      <c r="L648" s="16">
        <v>45899.583333333299</v>
      </c>
      <c r="M648" s="14">
        <v>45899.583333333299</v>
      </c>
      <c r="N648" s="15"/>
      <c r="O648" s="15"/>
      <c r="P648" s="15"/>
      <c r="Q648" s="15"/>
      <c r="R648" s="15"/>
    </row>
    <row r="649" spans="1:18" ht="14.25" customHeight="1">
      <c r="A649" s="5">
        <v>1146</v>
      </c>
      <c r="B649" s="26" t="s">
        <v>1511</v>
      </c>
      <c r="C649" s="24" t="s">
        <v>1512</v>
      </c>
      <c r="D649" s="19" t="s">
        <v>74</v>
      </c>
      <c r="E649" s="19" t="s">
        <v>202</v>
      </c>
      <c r="F649" s="19" t="s">
        <v>259</v>
      </c>
      <c r="G649" s="19" t="s">
        <v>36</v>
      </c>
      <c r="H649" s="19" t="s">
        <v>36</v>
      </c>
      <c r="I649" s="19" t="s">
        <v>608</v>
      </c>
      <c r="J649" s="22" t="s">
        <v>215</v>
      </c>
      <c r="K649" s="12" t="s">
        <v>208</v>
      </c>
      <c r="L649" s="16">
        <v>45903.583333333299</v>
      </c>
      <c r="M649" s="14"/>
      <c r="N649" s="15"/>
      <c r="O649" s="15"/>
      <c r="P649" s="15"/>
      <c r="Q649" s="15"/>
      <c r="R649" s="15"/>
    </row>
    <row r="650" spans="1:18" ht="14.25" customHeight="1">
      <c r="A650" s="5">
        <v>1147</v>
      </c>
      <c r="B650" s="26" t="s">
        <v>1513</v>
      </c>
      <c r="C650" s="24" t="s">
        <v>1514</v>
      </c>
      <c r="D650" s="19" t="s">
        <v>16</v>
      </c>
      <c r="E650" s="19" t="s">
        <v>399</v>
      </c>
      <c r="F650" s="19" t="s">
        <v>259</v>
      </c>
      <c r="G650" s="19" t="s">
        <v>415</v>
      </c>
      <c r="H650" s="19" t="s">
        <v>415</v>
      </c>
      <c r="I650" s="19" t="s">
        <v>1515</v>
      </c>
      <c r="J650" s="22" t="s">
        <v>284</v>
      </c>
      <c r="K650" s="12" t="s">
        <v>221</v>
      </c>
      <c r="L650" s="16">
        <v>45903.583333333299</v>
      </c>
      <c r="M650" s="14">
        <v>45936.583333333299</v>
      </c>
      <c r="N650" s="15"/>
      <c r="O650" s="15"/>
      <c r="P650" s="15"/>
      <c r="Q650" s="15"/>
      <c r="R650" s="15"/>
    </row>
    <row r="651" spans="1:18" ht="14.25" customHeight="1">
      <c r="A651" s="5">
        <v>1148</v>
      </c>
      <c r="B651" s="26" t="s">
        <v>1516</v>
      </c>
      <c r="C651" s="24" t="s">
        <v>1517</v>
      </c>
      <c r="D651" s="19" t="s">
        <v>74</v>
      </c>
      <c r="E651" s="19" t="s">
        <v>464</v>
      </c>
      <c r="F651" s="19" t="s">
        <v>78</v>
      </c>
      <c r="G651" s="19" t="s">
        <v>78</v>
      </c>
      <c r="H651" s="19" t="s">
        <v>288</v>
      </c>
      <c r="I651" s="19" t="s">
        <v>635</v>
      </c>
      <c r="J651" s="22" t="s">
        <v>220</v>
      </c>
      <c r="K651" s="12" t="s">
        <v>221</v>
      </c>
      <c r="L651" s="16">
        <v>45903.583333333299</v>
      </c>
      <c r="M651" s="25">
        <v>45931.583333333299</v>
      </c>
      <c r="N651" s="15"/>
      <c r="O651" s="15"/>
      <c r="P651" s="15"/>
      <c r="Q651" s="15"/>
      <c r="R651" s="15"/>
    </row>
    <row r="652" spans="1:18" ht="14.25" customHeight="1">
      <c r="A652" s="5">
        <v>1149</v>
      </c>
      <c r="B652" s="28" t="s">
        <v>1518</v>
      </c>
      <c r="C652" s="24" t="s">
        <v>1519</v>
      </c>
      <c r="D652" s="19" t="s">
        <v>74</v>
      </c>
      <c r="E652" s="19" t="s">
        <v>78</v>
      </c>
      <c r="F652" s="19" t="s">
        <v>78</v>
      </c>
      <c r="G652" s="19" t="s">
        <v>78</v>
      </c>
      <c r="H652" s="19" t="s">
        <v>527</v>
      </c>
      <c r="I652" s="19" t="s">
        <v>1520</v>
      </c>
      <c r="J652" s="22" t="s">
        <v>215</v>
      </c>
      <c r="K652" s="12" t="s">
        <v>221</v>
      </c>
      <c r="L652" s="16">
        <v>45903.583333333299</v>
      </c>
      <c r="M652" s="18">
        <v>46052.625</v>
      </c>
      <c r="N652" s="15"/>
      <c r="O652" s="15"/>
      <c r="P652" s="15"/>
      <c r="Q652" s="15"/>
      <c r="R652" s="15"/>
    </row>
    <row r="653" spans="1:18" ht="14.25" customHeight="1">
      <c r="A653" s="5">
        <v>1150</v>
      </c>
      <c r="B653" s="28" t="s">
        <v>1521</v>
      </c>
      <c r="C653" s="24" t="s">
        <v>1522</v>
      </c>
      <c r="D653" s="19" t="s">
        <v>45</v>
      </c>
      <c r="E653" s="19" t="s">
        <v>201</v>
      </c>
      <c r="F653" s="19" t="s">
        <v>212</v>
      </c>
      <c r="G653" s="19" t="s">
        <v>136</v>
      </c>
      <c r="H653" s="19" t="s">
        <v>213</v>
      </c>
      <c r="I653" s="19" t="s">
        <v>67</v>
      </c>
      <c r="J653" s="22" t="s">
        <v>220</v>
      </c>
      <c r="K653" s="12" t="s">
        <v>221</v>
      </c>
      <c r="L653" s="16">
        <v>45903.583333333299</v>
      </c>
      <c r="M653" s="18">
        <v>46111.583333333299</v>
      </c>
      <c r="N653" s="15"/>
      <c r="O653" s="15"/>
      <c r="P653" s="15"/>
      <c r="Q653" s="15"/>
      <c r="R653" s="15"/>
    </row>
    <row r="654" spans="1:18" ht="14.25" customHeight="1">
      <c r="A654" s="5">
        <v>1151</v>
      </c>
      <c r="B654" s="28" t="s">
        <v>1523</v>
      </c>
      <c r="C654" s="24" t="s">
        <v>1524</v>
      </c>
      <c r="D654" s="19" t="s">
        <v>74</v>
      </c>
      <c r="E654" s="19" t="s">
        <v>464</v>
      </c>
      <c r="F654" s="19" t="s">
        <v>78</v>
      </c>
      <c r="G654" s="19" t="s">
        <v>78</v>
      </c>
      <c r="H654" s="19" t="s">
        <v>288</v>
      </c>
      <c r="I654" s="19" t="s">
        <v>635</v>
      </c>
      <c r="J654" s="22" t="s">
        <v>220</v>
      </c>
      <c r="K654" s="12" t="s">
        <v>221</v>
      </c>
      <c r="L654" s="16">
        <v>45903.583333333299</v>
      </c>
      <c r="M654" s="18">
        <v>45907.583333333299</v>
      </c>
      <c r="N654" s="15"/>
      <c r="O654" s="15"/>
      <c r="P654" s="15"/>
      <c r="Q654" s="15"/>
      <c r="R654" s="15"/>
    </row>
    <row r="655" spans="1:18" ht="14.25" customHeight="1">
      <c r="A655" s="5">
        <v>1153</v>
      </c>
      <c r="B655" s="28" t="s">
        <v>1525</v>
      </c>
      <c r="C655" s="24" t="s">
        <v>1526</v>
      </c>
      <c r="D655" s="19" t="s">
        <v>29</v>
      </c>
      <c r="E655" s="19" t="s">
        <v>203</v>
      </c>
      <c r="F655" s="19" t="s">
        <v>212</v>
      </c>
      <c r="G655" s="19" t="s">
        <v>39</v>
      </c>
      <c r="H655" s="19" t="s">
        <v>240</v>
      </c>
      <c r="I655" s="19" t="s">
        <v>28</v>
      </c>
      <c r="J655" s="22" t="s">
        <v>220</v>
      </c>
      <c r="K655" s="12" t="s">
        <v>221</v>
      </c>
      <c r="L655" s="16">
        <v>45903.583333333299</v>
      </c>
      <c r="M655" s="14">
        <v>45962.583333333299</v>
      </c>
      <c r="N655" s="15"/>
      <c r="O655" s="15"/>
      <c r="P655" s="15"/>
      <c r="Q655" s="15"/>
      <c r="R655" s="15"/>
    </row>
    <row r="656" spans="1:18" ht="14.25" customHeight="1">
      <c r="A656" s="5">
        <v>1154</v>
      </c>
      <c r="B656" s="28" t="s">
        <v>1527</v>
      </c>
      <c r="C656" s="24" t="s">
        <v>1528</v>
      </c>
      <c r="D656" s="19" t="s">
        <v>29</v>
      </c>
      <c r="E656" s="19" t="s">
        <v>203</v>
      </c>
      <c r="F656" s="19" t="s">
        <v>212</v>
      </c>
      <c r="G656" s="19" t="s">
        <v>544</v>
      </c>
      <c r="H656" s="19" t="s">
        <v>240</v>
      </c>
      <c r="I656" s="10" t="s">
        <v>28</v>
      </c>
      <c r="J656" s="22" t="s">
        <v>220</v>
      </c>
      <c r="K656" s="12" t="s">
        <v>221</v>
      </c>
      <c r="L656" s="16">
        <v>45904.583333333299</v>
      </c>
      <c r="M656" s="25">
        <v>46171.583333333299</v>
      </c>
      <c r="N656" s="15"/>
      <c r="O656" s="15"/>
      <c r="P656" s="15"/>
      <c r="Q656" s="15"/>
      <c r="R656" s="15"/>
    </row>
    <row r="657" spans="1:18" ht="14.25" customHeight="1">
      <c r="A657" s="5">
        <v>1155</v>
      </c>
      <c r="B657" s="28" t="s">
        <v>1529</v>
      </c>
      <c r="C657" s="24" t="s">
        <v>1530</v>
      </c>
      <c r="D657" s="19" t="s">
        <v>74</v>
      </c>
      <c r="E657" s="19" t="s">
        <v>464</v>
      </c>
      <c r="F657" s="19" t="s">
        <v>78</v>
      </c>
      <c r="G657" s="19" t="s">
        <v>78</v>
      </c>
      <c r="H657" s="19" t="s">
        <v>288</v>
      </c>
      <c r="I657" s="19" t="s">
        <v>635</v>
      </c>
      <c r="J657" s="22" t="s">
        <v>220</v>
      </c>
      <c r="K657" s="12" t="s">
        <v>221</v>
      </c>
      <c r="L657" s="16">
        <v>45906.583333333299</v>
      </c>
      <c r="M657" s="29">
        <v>45914.583333333299</v>
      </c>
      <c r="N657" s="15"/>
      <c r="O657" s="15"/>
      <c r="P657" s="15"/>
      <c r="Q657" s="15"/>
      <c r="R657" s="15"/>
    </row>
    <row r="658" spans="1:18" ht="14.25" customHeight="1">
      <c r="A658" s="5">
        <v>1156</v>
      </c>
      <c r="B658" s="28" t="s">
        <v>1531</v>
      </c>
      <c r="C658" s="24" t="s">
        <v>1532</v>
      </c>
      <c r="D658" s="19" t="s">
        <v>74</v>
      </c>
      <c r="E658" s="19" t="s">
        <v>202</v>
      </c>
      <c r="F658" s="19" t="s">
        <v>212</v>
      </c>
      <c r="G658" s="19" t="s">
        <v>95</v>
      </c>
      <c r="H658" s="19" t="s">
        <v>240</v>
      </c>
      <c r="I658" s="19" t="s">
        <v>107</v>
      </c>
      <c r="J658" s="22" t="s">
        <v>220</v>
      </c>
      <c r="K658" s="12" t="s">
        <v>208</v>
      </c>
      <c r="L658" s="16">
        <v>45903.583333333299</v>
      </c>
      <c r="M658" s="25"/>
      <c r="N658" s="15"/>
      <c r="O658" s="15"/>
      <c r="P658" s="15"/>
      <c r="Q658" s="15"/>
      <c r="R658" s="15"/>
    </row>
    <row r="659" spans="1:18" ht="14.25" customHeight="1">
      <c r="A659" s="5">
        <v>1157</v>
      </c>
      <c r="B659" s="28" t="s">
        <v>1533</v>
      </c>
      <c r="C659" s="24" t="s">
        <v>1534</v>
      </c>
      <c r="D659" s="19" t="s">
        <v>16</v>
      </c>
      <c r="E659" s="19" t="s">
        <v>211</v>
      </c>
      <c r="F659" s="19" t="s">
        <v>259</v>
      </c>
      <c r="G659" s="19" t="s">
        <v>75</v>
      </c>
      <c r="H659" s="19" t="s">
        <v>75</v>
      </c>
      <c r="I659" s="19" t="s">
        <v>1535</v>
      </c>
      <c r="J659" s="22" t="s">
        <v>215</v>
      </c>
      <c r="K659" s="12" t="s">
        <v>208</v>
      </c>
      <c r="L659" s="16">
        <v>45909.583333333299</v>
      </c>
      <c r="M659" s="30"/>
      <c r="N659" s="15"/>
      <c r="O659" s="15"/>
      <c r="P659" s="15"/>
      <c r="Q659" s="15"/>
      <c r="R659" s="15"/>
    </row>
    <row r="660" spans="1:18" ht="14.25" customHeight="1">
      <c r="A660" s="5">
        <v>1158</v>
      </c>
      <c r="B660" s="28" t="s">
        <v>1536</v>
      </c>
      <c r="C660" s="24" t="s">
        <v>1537</v>
      </c>
      <c r="D660" s="19" t="s">
        <v>74</v>
      </c>
      <c r="E660" s="19" t="s">
        <v>202</v>
      </c>
      <c r="F660" s="19" t="s">
        <v>259</v>
      </c>
      <c r="G660" s="19" t="s">
        <v>101</v>
      </c>
      <c r="H660" s="19" t="s">
        <v>101</v>
      </c>
      <c r="I660" s="19" t="s">
        <v>100</v>
      </c>
      <c r="J660" s="22" t="s">
        <v>220</v>
      </c>
      <c r="K660" s="12" t="s">
        <v>221</v>
      </c>
      <c r="L660" s="16">
        <v>45909.583333333299</v>
      </c>
      <c r="M660" s="29">
        <v>46285.583333333299</v>
      </c>
      <c r="N660" s="15"/>
      <c r="O660" s="15"/>
      <c r="P660" s="15"/>
      <c r="Q660" s="15"/>
      <c r="R660" s="15"/>
    </row>
    <row r="661" spans="1:18" ht="14.25" customHeight="1">
      <c r="A661" s="5">
        <v>1159</v>
      </c>
      <c r="B661" s="28" t="s">
        <v>1538</v>
      </c>
      <c r="C661" s="24" t="s">
        <v>1539</v>
      </c>
      <c r="D661" s="19" t="s">
        <v>16</v>
      </c>
      <c r="E661" s="19" t="s">
        <v>211</v>
      </c>
      <c r="F661" s="19" t="s">
        <v>259</v>
      </c>
      <c r="G661" s="19" t="s">
        <v>101</v>
      </c>
      <c r="H661" s="19" t="s">
        <v>101</v>
      </c>
      <c r="I661" s="19" t="s">
        <v>100</v>
      </c>
      <c r="J661" s="22" t="s">
        <v>220</v>
      </c>
      <c r="K661" s="12" t="s">
        <v>221</v>
      </c>
      <c r="L661" s="16">
        <v>45909.583333333299</v>
      </c>
      <c r="M661" s="25">
        <v>46083.625</v>
      </c>
      <c r="N661" s="15"/>
      <c r="O661" s="15"/>
      <c r="P661" s="15"/>
      <c r="Q661" s="15"/>
      <c r="R661" s="15"/>
    </row>
    <row r="662" spans="1:18" ht="14.25" customHeight="1">
      <c r="A662" s="5">
        <v>1160</v>
      </c>
      <c r="B662" s="28" t="s">
        <v>1540</v>
      </c>
      <c r="C662" s="24" t="s">
        <v>1541</v>
      </c>
      <c r="D662" s="19" t="s">
        <v>74</v>
      </c>
      <c r="E662" s="19" t="s">
        <v>464</v>
      </c>
      <c r="F662" s="19" t="s">
        <v>78</v>
      </c>
      <c r="G662" s="19" t="s">
        <v>78</v>
      </c>
      <c r="H662" s="19" t="s">
        <v>288</v>
      </c>
      <c r="I662" s="19" t="s">
        <v>635</v>
      </c>
      <c r="J662" s="22" t="s">
        <v>220</v>
      </c>
      <c r="K662" s="12" t="s">
        <v>221</v>
      </c>
      <c r="L662" s="16">
        <v>45903.583333333299</v>
      </c>
      <c r="M662" s="25">
        <v>45931.583333333299</v>
      </c>
      <c r="N662" s="15"/>
      <c r="O662" s="15"/>
      <c r="P662" s="15"/>
      <c r="Q662" s="15"/>
      <c r="R662" s="15"/>
    </row>
    <row r="663" spans="1:18" ht="14.25" customHeight="1">
      <c r="A663" s="5">
        <v>1161</v>
      </c>
      <c r="B663" s="28" t="s">
        <v>1542</v>
      </c>
      <c r="C663" s="24" t="s">
        <v>1543</v>
      </c>
      <c r="D663" s="19" t="s">
        <v>74</v>
      </c>
      <c r="E663" s="19" t="s">
        <v>464</v>
      </c>
      <c r="F663" s="19" t="s">
        <v>78</v>
      </c>
      <c r="G663" s="19" t="s">
        <v>78</v>
      </c>
      <c r="H663" s="19" t="s">
        <v>288</v>
      </c>
      <c r="I663" s="19" t="s">
        <v>635</v>
      </c>
      <c r="J663" s="22" t="s">
        <v>220</v>
      </c>
      <c r="K663" s="12" t="s">
        <v>221</v>
      </c>
      <c r="L663" s="16">
        <v>45905.583333333299</v>
      </c>
      <c r="M663" s="29">
        <v>45931.583333333299</v>
      </c>
      <c r="N663" s="15"/>
      <c r="O663" s="15"/>
      <c r="P663" s="15"/>
      <c r="Q663" s="15"/>
      <c r="R663" s="15"/>
    </row>
    <row r="664" spans="1:18" ht="14.25" customHeight="1">
      <c r="A664" s="5">
        <v>1162</v>
      </c>
      <c r="B664" s="28" t="s">
        <v>1544</v>
      </c>
      <c r="C664" s="24" t="s">
        <v>1545</v>
      </c>
      <c r="D664" s="19" t="s">
        <v>74</v>
      </c>
      <c r="E664" s="19" t="s">
        <v>464</v>
      </c>
      <c r="F664" s="19" t="s">
        <v>78</v>
      </c>
      <c r="G664" s="19" t="s">
        <v>78</v>
      </c>
      <c r="H664" s="19" t="s">
        <v>288</v>
      </c>
      <c r="I664" s="19" t="s">
        <v>635</v>
      </c>
      <c r="J664" s="22" t="s">
        <v>220</v>
      </c>
      <c r="K664" s="12" t="s">
        <v>221</v>
      </c>
      <c r="L664" s="16">
        <v>45908.583333333299</v>
      </c>
      <c r="M664" s="29">
        <v>45931.583333333299</v>
      </c>
      <c r="N664" s="15"/>
      <c r="O664" s="15"/>
      <c r="P664" s="15"/>
      <c r="Q664" s="15"/>
      <c r="R664" s="15"/>
    </row>
    <row r="665" spans="1:18" ht="14.25" customHeight="1">
      <c r="A665" s="5">
        <v>1163</v>
      </c>
      <c r="B665" s="28" t="s">
        <v>1546</v>
      </c>
      <c r="C665" s="24" t="s">
        <v>1547</v>
      </c>
      <c r="D665" s="19" t="s">
        <v>45</v>
      </c>
      <c r="E665" s="19" t="s">
        <v>201</v>
      </c>
      <c r="F665" s="19" t="s">
        <v>212</v>
      </c>
      <c r="G665" s="19" t="s">
        <v>136</v>
      </c>
      <c r="H665" s="19" t="s">
        <v>218</v>
      </c>
      <c r="I665" s="19" t="s">
        <v>61</v>
      </c>
      <c r="J665" s="22" t="s">
        <v>220</v>
      </c>
      <c r="K665" s="12" t="s">
        <v>221</v>
      </c>
      <c r="L665" s="16">
        <v>45910.583333333299</v>
      </c>
      <c r="M665" s="29">
        <v>45930.583333333299</v>
      </c>
      <c r="N665" s="15"/>
      <c r="O665" s="15"/>
      <c r="P665" s="15"/>
      <c r="Q665" s="15"/>
      <c r="R665" s="15"/>
    </row>
    <row r="666" spans="1:18" ht="14.25" customHeight="1">
      <c r="A666" s="5">
        <v>1164</v>
      </c>
      <c r="B666" s="28" t="s">
        <v>1548</v>
      </c>
      <c r="C666" s="24" t="s">
        <v>1549</v>
      </c>
      <c r="D666" s="19" t="s">
        <v>74</v>
      </c>
      <c r="E666" s="19" t="s">
        <v>1393</v>
      </c>
      <c r="F666" s="19" t="s">
        <v>78</v>
      </c>
      <c r="G666" s="19" t="s">
        <v>78</v>
      </c>
      <c r="H666" s="19" t="s">
        <v>288</v>
      </c>
      <c r="I666" s="19" t="s">
        <v>85</v>
      </c>
      <c r="J666" s="22" t="s">
        <v>1395</v>
      </c>
      <c r="K666" s="12" t="s">
        <v>221</v>
      </c>
      <c r="L666" s="16">
        <v>45940.583333333299</v>
      </c>
      <c r="M666" s="29">
        <v>45960.583333333299</v>
      </c>
      <c r="N666" s="15"/>
      <c r="O666" s="15"/>
      <c r="P666" s="15"/>
      <c r="Q666" s="15"/>
      <c r="R666" s="15"/>
    </row>
    <row r="667" spans="1:18" ht="14.25" customHeight="1">
      <c r="A667" s="5">
        <v>1165</v>
      </c>
      <c r="B667" s="28" t="s">
        <v>1550</v>
      </c>
      <c r="C667" s="24" t="s">
        <v>1530</v>
      </c>
      <c r="D667" s="19" t="s">
        <v>74</v>
      </c>
      <c r="E667" s="19" t="s">
        <v>464</v>
      </c>
      <c r="F667" s="19" t="s">
        <v>78</v>
      </c>
      <c r="G667" s="19" t="s">
        <v>78</v>
      </c>
      <c r="H667" s="19" t="s">
        <v>576</v>
      </c>
      <c r="I667" s="19" t="s">
        <v>577</v>
      </c>
      <c r="J667" s="22" t="s">
        <v>220</v>
      </c>
      <c r="K667" s="12" t="s">
        <v>221</v>
      </c>
      <c r="L667" s="16">
        <v>45913.583333333299</v>
      </c>
      <c r="M667" s="29">
        <v>45913.583333333299</v>
      </c>
      <c r="N667" s="15"/>
      <c r="O667" s="15"/>
      <c r="P667" s="15"/>
      <c r="Q667" s="15"/>
      <c r="R667" s="15"/>
    </row>
    <row r="668" spans="1:18" ht="14.25" customHeight="1">
      <c r="A668" s="5">
        <v>1166</v>
      </c>
      <c r="B668" s="28" t="s">
        <v>1551</v>
      </c>
      <c r="C668" s="24" t="s">
        <v>1552</v>
      </c>
      <c r="D668" s="19" t="s">
        <v>74</v>
      </c>
      <c r="E668" s="19" t="s">
        <v>464</v>
      </c>
      <c r="F668" s="19" t="s">
        <v>78</v>
      </c>
      <c r="G668" s="19" t="s">
        <v>78</v>
      </c>
      <c r="H668" s="19" t="s">
        <v>576</v>
      </c>
      <c r="I668" s="19" t="s">
        <v>577</v>
      </c>
      <c r="J668" s="22" t="s">
        <v>220</v>
      </c>
      <c r="K668" s="12" t="s">
        <v>221</v>
      </c>
      <c r="L668" s="16">
        <v>45913.583333333299</v>
      </c>
      <c r="M668" s="29">
        <v>45931.583333333299</v>
      </c>
      <c r="N668" s="15"/>
      <c r="O668" s="15"/>
      <c r="P668" s="15"/>
      <c r="Q668" s="15"/>
      <c r="R668" s="15"/>
    </row>
    <row r="669" spans="1:18" ht="14.25" customHeight="1">
      <c r="A669" s="5">
        <v>1167</v>
      </c>
      <c r="B669" s="28" t="s">
        <v>1553</v>
      </c>
      <c r="C669" s="24" t="s">
        <v>1554</v>
      </c>
      <c r="D669" s="19" t="s">
        <v>16</v>
      </c>
      <c r="E669" s="19" t="s">
        <v>211</v>
      </c>
      <c r="F669" s="19" t="s">
        <v>259</v>
      </c>
      <c r="G669" s="19" t="s">
        <v>75</v>
      </c>
      <c r="H669" s="19" t="s">
        <v>75</v>
      </c>
      <c r="I669" s="19" t="s">
        <v>90</v>
      </c>
      <c r="J669" s="22" t="s">
        <v>284</v>
      </c>
      <c r="K669" s="12" t="s">
        <v>221</v>
      </c>
      <c r="L669" s="16">
        <v>45916.583333333299</v>
      </c>
      <c r="M669" s="25">
        <v>45936.583333333299</v>
      </c>
      <c r="N669" s="15"/>
      <c r="O669" s="15"/>
      <c r="P669" s="15"/>
      <c r="Q669" s="15"/>
      <c r="R669" s="15"/>
    </row>
    <row r="670" spans="1:18" ht="14.25" customHeight="1">
      <c r="A670" s="5">
        <v>1168</v>
      </c>
      <c r="B670" s="28" t="s">
        <v>1555</v>
      </c>
      <c r="C670" s="24" t="s">
        <v>1556</v>
      </c>
      <c r="D670" s="19" t="s">
        <v>16</v>
      </c>
      <c r="E670" s="19" t="s">
        <v>211</v>
      </c>
      <c r="F670" s="19" t="s">
        <v>259</v>
      </c>
      <c r="G670" s="19" t="s">
        <v>408</v>
      </c>
      <c r="H670" s="19" t="s">
        <v>408</v>
      </c>
      <c r="I670" s="19" t="s">
        <v>1128</v>
      </c>
      <c r="J670" s="22" t="s">
        <v>471</v>
      </c>
      <c r="K670" s="12" t="s">
        <v>221</v>
      </c>
      <c r="L670" s="16">
        <v>45916.583333333299</v>
      </c>
      <c r="M670" s="29">
        <v>45956.583333333299</v>
      </c>
      <c r="N670" s="15"/>
      <c r="O670" s="15"/>
      <c r="P670" s="15"/>
      <c r="Q670" s="15"/>
      <c r="R670" s="15"/>
    </row>
    <row r="671" spans="1:18" ht="14.25" customHeight="1">
      <c r="A671" s="5">
        <v>1169</v>
      </c>
      <c r="B671" s="28" t="s">
        <v>1557</v>
      </c>
      <c r="C671" s="24" t="s">
        <v>1558</v>
      </c>
      <c r="D671" s="19" t="s">
        <v>74</v>
      </c>
      <c r="E671" s="19" t="s">
        <v>464</v>
      </c>
      <c r="F671" s="19" t="s">
        <v>78</v>
      </c>
      <c r="G671" s="19" t="s">
        <v>78</v>
      </c>
      <c r="H671" s="19" t="s">
        <v>576</v>
      </c>
      <c r="I671" s="19" t="s">
        <v>577</v>
      </c>
      <c r="J671" s="22" t="s">
        <v>220</v>
      </c>
      <c r="K671" s="12" t="s">
        <v>221</v>
      </c>
      <c r="L671" s="16">
        <v>45911.583333333299</v>
      </c>
      <c r="M671" s="25">
        <v>45931.583333333299</v>
      </c>
      <c r="N671" s="15"/>
      <c r="O671" s="15"/>
      <c r="P671" s="15"/>
      <c r="Q671" s="15"/>
      <c r="R671" s="15"/>
    </row>
    <row r="672" spans="1:18" ht="14.25" customHeight="1">
      <c r="A672" s="5">
        <v>1170</v>
      </c>
      <c r="B672" s="28" t="s">
        <v>1559</v>
      </c>
      <c r="C672" s="24" t="s">
        <v>1560</v>
      </c>
      <c r="D672" s="19" t="s">
        <v>16</v>
      </c>
      <c r="E672" s="19" t="s">
        <v>211</v>
      </c>
      <c r="F672" s="19" t="s">
        <v>259</v>
      </c>
      <c r="G672" s="19" t="s">
        <v>75</v>
      </c>
      <c r="H672" s="19" t="s">
        <v>75</v>
      </c>
      <c r="I672" s="19" t="s">
        <v>1476</v>
      </c>
      <c r="J672" s="22" t="s">
        <v>215</v>
      </c>
      <c r="K672" s="12" t="s">
        <v>208</v>
      </c>
      <c r="L672" s="16">
        <v>45919.583333333299</v>
      </c>
      <c r="M672" s="30"/>
      <c r="N672" s="15"/>
      <c r="O672" s="15"/>
      <c r="P672" s="15"/>
      <c r="Q672" s="15"/>
      <c r="R672" s="15"/>
    </row>
    <row r="673" spans="1:18" ht="14.25" customHeight="1">
      <c r="A673" s="5">
        <v>1171</v>
      </c>
      <c r="B673" s="28" t="s">
        <v>1561</v>
      </c>
      <c r="C673" s="24" t="s">
        <v>1562</v>
      </c>
      <c r="D673" s="19" t="s">
        <v>29</v>
      </c>
      <c r="E673" s="19" t="s">
        <v>203</v>
      </c>
      <c r="F673" s="19" t="s">
        <v>212</v>
      </c>
      <c r="G673" s="19" t="s">
        <v>30</v>
      </c>
      <c r="H673" s="19" t="s">
        <v>240</v>
      </c>
      <c r="I673" s="19" t="s">
        <v>28</v>
      </c>
      <c r="J673" s="22" t="s">
        <v>284</v>
      </c>
      <c r="K673" s="12" t="s">
        <v>221</v>
      </c>
      <c r="L673" s="16">
        <v>45915.583333333299</v>
      </c>
      <c r="M673" s="29">
        <v>45942.583333333299</v>
      </c>
      <c r="N673" s="15"/>
      <c r="O673" s="15"/>
      <c r="P673" s="15"/>
      <c r="Q673" s="15"/>
      <c r="R673" s="15"/>
    </row>
    <row r="674" spans="1:18" ht="14.25" customHeight="1">
      <c r="A674" s="5">
        <v>1172</v>
      </c>
      <c r="B674" s="28" t="s">
        <v>1563</v>
      </c>
      <c r="C674" s="24" t="s">
        <v>1564</v>
      </c>
      <c r="D674" s="19" t="s">
        <v>45</v>
      </c>
      <c r="E674" s="19" t="s">
        <v>201</v>
      </c>
      <c r="F674" s="19" t="s">
        <v>212</v>
      </c>
      <c r="G674" s="19" t="s">
        <v>46</v>
      </c>
      <c r="H674" s="19" t="s">
        <v>240</v>
      </c>
      <c r="I674" s="19" t="s">
        <v>70</v>
      </c>
      <c r="J674" s="22" t="s">
        <v>215</v>
      </c>
      <c r="K674" s="12" t="s">
        <v>208</v>
      </c>
      <c r="L674" s="16">
        <v>45915.583333333299</v>
      </c>
      <c r="M674" s="30"/>
      <c r="N674" s="15"/>
      <c r="O674" s="15"/>
      <c r="P674" s="15"/>
      <c r="Q674" s="15"/>
      <c r="R674" s="15"/>
    </row>
    <row r="675" spans="1:18" ht="14.25" customHeight="1">
      <c r="A675" s="5">
        <v>1173</v>
      </c>
      <c r="B675" s="28" t="s">
        <v>1565</v>
      </c>
      <c r="C675" s="24" t="s">
        <v>1566</v>
      </c>
      <c r="D675" s="19" t="s">
        <v>16</v>
      </c>
      <c r="E675" s="19" t="s">
        <v>211</v>
      </c>
      <c r="F675" s="19" t="s">
        <v>212</v>
      </c>
      <c r="G675" s="19" t="s">
        <v>17</v>
      </c>
      <c r="H675" s="19" t="s">
        <v>213</v>
      </c>
      <c r="I675" s="19" t="s">
        <v>67</v>
      </c>
      <c r="J675" s="22" t="s">
        <v>220</v>
      </c>
      <c r="K675" s="12" t="s">
        <v>208</v>
      </c>
      <c r="L675" s="16">
        <v>45915.583333333299</v>
      </c>
      <c r="M675" s="25"/>
      <c r="N675" s="15"/>
      <c r="O675" s="15"/>
      <c r="P675" s="15"/>
      <c r="Q675" s="15"/>
      <c r="R675" s="15"/>
    </row>
    <row r="676" spans="1:18" ht="14.25" customHeight="1">
      <c r="A676" s="5">
        <v>1174</v>
      </c>
      <c r="B676" s="28" t="s">
        <v>1567</v>
      </c>
      <c r="C676" s="24" t="s">
        <v>1568</v>
      </c>
      <c r="D676" s="19" t="s">
        <v>74</v>
      </c>
      <c r="E676" s="19" t="s">
        <v>464</v>
      </c>
      <c r="F676" s="19" t="s">
        <v>78</v>
      </c>
      <c r="G676" s="19" t="s">
        <v>78</v>
      </c>
      <c r="H676" s="19" t="s">
        <v>576</v>
      </c>
      <c r="I676" s="31" t="s">
        <v>577</v>
      </c>
      <c r="J676" s="22" t="s">
        <v>220</v>
      </c>
      <c r="K676" s="12" t="s">
        <v>221</v>
      </c>
      <c r="L676" s="16">
        <v>45915.583333333299</v>
      </c>
      <c r="M676" s="18">
        <v>45931.583333333299</v>
      </c>
      <c r="N676" s="15"/>
      <c r="O676" s="15"/>
      <c r="P676" s="15"/>
      <c r="Q676" s="15"/>
      <c r="R676" s="15"/>
    </row>
    <row r="677" spans="1:18" ht="14.25" customHeight="1">
      <c r="A677" s="5">
        <v>1175</v>
      </c>
      <c r="B677" s="28" t="s">
        <v>1569</v>
      </c>
      <c r="C677" s="24" t="s">
        <v>1570</v>
      </c>
      <c r="D677" s="19" t="s">
        <v>74</v>
      </c>
      <c r="E677" s="19" t="s">
        <v>202</v>
      </c>
      <c r="F677" s="19" t="s">
        <v>212</v>
      </c>
      <c r="G677" s="19" t="s">
        <v>95</v>
      </c>
      <c r="H677" s="20" t="s">
        <v>218</v>
      </c>
      <c r="I677" s="31" t="s">
        <v>61</v>
      </c>
      <c r="J677" s="22" t="s">
        <v>220</v>
      </c>
      <c r="K677" s="12" t="s">
        <v>221</v>
      </c>
      <c r="L677" s="16">
        <v>45917.583333333299</v>
      </c>
      <c r="M677" s="18">
        <v>45930.583333333299</v>
      </c>
      <c r="N677" s="15"/>
      <c r="O677" s="15"/>
      <c r="P677" s="15"/>
      <c r="Q677" s="15"/>
      <c r="R677" s="15"/>
    </row>
    <row r="678" spans="1:18" ht="14.25" customHeight="1">
      <c r="A678" s="5">
        <v>1176</v>
      </c>
      <c r="B678" s="28" t="s">
        <v>1571</v>
      </c>
      <c r="C678" s="24" t="s">
        <v>1572</v>
      </c>
      <c r="D678" s="19" t="s">
        <v>74</v>
      </c>
      <c r="E678" s="19" t="s">
        <v>464</v>
      </c>
      <c r="F678" s="19" t="s">
        <v>78</v>
      </c>
      <c r="G678" s="19" t="s">
        <v>78</v>
      </c>
      <c r="H678" s="19" t="s">
        <v>288</v>
      </c>
      <c r="I678" s="31" t="s">
        <v>635</v>
      </c>
      <c r="J678" s="22" t="s">
        <v>220</v>
      </c>
      <c r="K678" s="12" t="s">
        <v>221</v>
      </c>
      <c r="L678" s="16">
        <v>45915.583333333299</v>
      </c>
      <c r="M678" s="14">
        <v>45917.583333333299</v>
      </c>
      <c r="N678" s="15"/>
      <c r="O678" s="15"/>
      <c r="P678" s="15"/>
      <c r="Q678" s="15"/>
      <c r="R678" s="15"/>
    </row>
    <row r="679" spans="1:18" ht="14.25" customHeight="1">
      <c r="A679" s="5">
        <v>1177</v>
      </c>
      <c r="B679" s="28" t="s">
        <v>1573</v>
      </c>
      <c r="C679" s="24" t="s">
        <v>1574</v>
      </c>
      <c r="D679" s="19" t="s">
        <v>16</v>
      </c>
      <c r="E679" s="19" t="s">
        <v>211</v>
      </c>
      <c r="F679" s="19" t="s">
        <v>212</v>
      </c>
      <c r="G679" s="19" t="s">
        <v>17</v>
      </c>
      <c r="H679" s="19" t="s">
        <v>218</v>
      </c>
      <c r="I679" s="31" t="s">
        <v>61</v>
      </c>
      <c r="J679" s="22" t="s">
        <v>220</v>
      </c>
      <c r="K679" s="12" t="s">
        <v>221</v>
      </c>
      <c r="L679" s="16">
        <v>45922.583333333299</v>
      </c>
      <c r="M679" s="18">
        <v>46111.583333333299</v>
      </c>
      <c r="N679" s="15"/>
      <c r="O679" s="15"/>
      <c r="P679" s="15"/>
      <c r="Q679" s="15"/>
      <c r="R679" s="15"/>
    </row>
    <row r="680" spans="1:18" ht="14.25" customHeight="1">
      <c r="A680" s="5">
        <v>1178</v>
      </c>
      <c r="B680" s="28" t="s">
        <v>1575</v>
      </c>
      <c r="C680" s="24" t="s">
        <v>1576</v>
      </c>
      <c r="D680" s="19" t="s">
        <v>29</v>
      </c>
      <c r="E680" s="19" t="s">
        <v>203</v>
      </c>
      <c r="F680" s="19" t="s">
        <v>259</v>
      </c>
      <c r="G680" s="19" t="s">
        <v>36</v>
      </c>
      <c r="H680" s="19" t="s">
        <v>36</v>
      </c>
      <c r="I680" s="31" t="s">
        <v>608</v>
      </c>
      <c r="J680" s="22" t="s">
        <v>215</v>
      </c>
      <c r="K680" s="12" t="s">
        <v>208</v>
      </c>
      <c r="L680" s="16">
        <v>45923.583333333299</v>
      </c>
      <c r="M680" s="18"/>
      <c r="N680" s="15"/>
      <c r="O680" s="15"/>
      <c r="P680" s="15"/>
      <c r="Q680" s="15"/>
      <c r="R680" s="15"/>
    </row>
    <row r="681" spans="1:18" ht="14.25" customHeight="1">
      <c r="A681" s="5">
        <v>1179</v>
      </c>
      <c r="B681" s="28" t="s">
        <v>1577</v>
      </c>
      <c r="C681" s="24" t="s">
        <v>1578</v>
      </c>
      <c r="D681" s="19" t="s">
        <v>74</v>
      </c>
      <c r="E681" s="19" t="s">
        <v>202</v>
      </c>
      <c r="F681" s="19" t="s">
        <v>212</v>
      </c>
      <c r="G681" s="19" t="s">
        <v>108</v>
      </c>
      <c r="H681" s="19" t="s">
        <v>218</v>
      </c>
      <c r="I681" s="10" t="s">
        <v>61</v>
      </c>
      <c r="J681" s="22" t="s">
        <v>220</v>
      </c>
      <c r="K681" s="12" t="s">
        <v>208</v>
      </c>
      <c r="L681" s="16">
        <v>45922.583333333299</v>
      </c>
      <c r="M681" s="30"/>
      <c r="N681" s="15"/>
      <c r="O681" s="15"/>
      <c r="P681" s="15"/>
      <c r="Q681" s="15"/>
      <c r="R681" s="15"/>
    </row>
    <row r="682" spans="1:18" ht="14.25" customHeight="1">
      <c r="A682" s="5">
        <v>1180</v>
      </c>
      <c r="B682" s="28" t="s">
        <v>1579</v>
      </c>
      <c r="C682" s="24" t="s">
        <v>1580</v>
      </c>
      <c r="D682" s="19" t="s">
        <v>16</v>
      </c>
      <c r="E682" s="19" t="s">
        <v>211</v>
      </c>
      <c r="F682" s="19" t="s">
        <v>259</v>
      </c>
      <c r="G682" s="19" t="s">
        <v>25</v>
      </c>
      <c r="H682" s="19" t="s">
        <v>25</v>
      </c>
      <c r="I682" s="31" t="s">
        <v>1581</v>
      </c>
      <c r="J682" s="22" t="s">
        <v>471</v>
      </c>
      <c r="K682" s="12" t="s">
        <v>221</v>
      </c>
      <c r="L682" s="16">
        <v>45930.583333333299</v>
      </c>
      <c r="M682" s="14">
        <v>46142.583333333299</v>
      </c>
      <c r="N682" s="15"/>
      <c r="O682" s="15"/>
      <c r="P682" s="15"/>
      <c r="Q682" s="15"/>
      <c r="R682" s="15"/>
    </row>
    <row r="683" spans="1:18" ht="14.25" customHeight="1">
      <c r="A683" s="5">
        <v>1181</v>
      </c>
      <c r="B683" s="28" t="s">
        <v>1582</v>
      </c>
      <c r="C683" s="24" t="s">
        <v>1583</v>
      </c>
      <c r="D683" s="19" t="s">
        <v>16</v>
      </c>
      <c r="E683" s="19" t="s">
        <v>211</v>
      </c>
      <c r="F683" s="19" t="s">
        <v>259</v>
      </c>
      <c r="G683" s="19" t="s">
        <v>25</v>
      </c>
      <c r="H683" s="19" t="s">
        <v>25</v>
      </c>
      <c r="I683" s="31" t="s">
        <v>1584</v>
      </c>
      <c r="J683" s="22" t="s">
        <v>215</v>
      </c>
      <c r="K683" s="12" t="s">
        <v>208</v>
      </c>
      <c r="L683" s="16">
        <v>45924.583333333299</v>
      </c>
      <c r="M683" s="18"/>
      <c r="N683" s="15"/>
      <c r="O683" s="15"/>
      <c r="P683" s="15"/>
      <c r="Q683" s="15"/>
      <c r="R683" s="15"/>
    </row>
    <row r="684" spans="1:18" ht="14.25" customHeight="1">
      <c r="A684" s="5">
        <v>1182</v>
      </c>
      <c r="B684" s="28" t="s">
        <v>1585</v>
      </c>
      <c r="C684" s="24" t="s">
        <v>1586</v>
      </c>
      <c r="D684" s="19" t="s">
        <v>16</v>
      </c>
      <c r="E684" s="19" t="s">
        <v>399</v>
      </c>
      <c r="F684" s="19" t="s">
        <v>259</v>
      </c>
      <c r="G684" s="19" t="s">
        <v>404</v>
      </c>
      <c r="H684" s="19" t="s">
        <v>404</v>
      </c>
      <c r="I684" s="31" t="s">
        <v>420</v>
      </c>
      <c r="J684" s="22" t="s">
        <v>215</v>
      </c>
      <c r="K684" s="12" t="s">
        <v>208</v>
      </c>
      <c r="L684" s="16">
        <v>45930.583333333299</v>
      </c>
      <c r="M684" s="18"/>
      <c r="N684" s="15"/>
      <c r="O684" s="15"/>
      <c r="P684" s="15"/>
      <c r="Q684" s="15"/>
      <c r="R684" s="15"/>
    </row>
    <row r="685" spans="1:18" ht="14.25" customHeight="1">
      <c r="A685" s="5">
        <v>1183</v>
      </c>
      <c r="B685" s="28" t="s">
        <v>1587</v>
      </c>
      <c r="C685" s="24" t="s">
        <v>1588</v>
      </c>
      <c r="D685" s="19" t="s">
        <v>16</v>
      </c>
      <c r="E685" s="19" t="s">
        <v>399</v>
      </c>
      <c r="F685" s="19" t="s">
        <v>259</v>
      </c>
      <c r="G685" s="19" t="s">
        <v>21</v>
      </c>
      <c r="H685" s="19" t="s">
        <v>21</v>
      </c>
      <c r="I685" s="31" t="s">
        <v>1589</v>
      </c>
      <c r="J685" s="22" t="s">
        <v>284</v>
      </c>
      <c r="K685" s="12" t="s">
        <v>221</v>
      </c>
      <c r="L685" s="16">
        <v>45930.583333333299</v>
      </c>
      <c r="M685" s="18">
        <v>45991.625</v>
      </c>
      <c r="N685" s="15"/>
      <c r="O685" s="15"/>
      <c r="P685" s="15"/>
      <c r="Q685" s="15"/>
      <c r="R685" s="15"/>
    </row>
    <row r="686" spans="1:18" ht="14.25" customHeight="1">
      <c r="A686" s="5">
        <v>1184</v>
      </c>
      <c r="B686" s="28" t="s">
        <v>1590</v>
      </c>
      <c r="C686" s="24" t="s">
        <v>1591</v>
      </c>
      <c r="D686" s="19" t="s">
        <v>16</v>
      </c>
      <c r="E686" s="19" t="s">
        <v>211</v>
      </c>
      <c r="F686" s="19" t="s">
        <v>259</v>
      </c>
      <c r="G686" s="19" t="s">
        <v>101</v>
      </c>
      <c r="H686" s="19" t="s">
        <v>101</v>
      </c>
      <c r="I686" s="31" t="s">
        <v>1592</v>
      </c>
      <c r="J686" s="22" t="s">
        <v>215</v>
      </c>
      <c r="K686" s="12" t="s">
        <v>208</v>
      </c>
      <c r="L686" s="16">
        <v>45951.583333333299</v>
      </c>
      <c r="M686" s="14"/>
      <c r="N686" s="15"/>
      <c r="O686" s="15"/>
      <c r="P686" s="15"/>
      <c r="Q686" s="15"/>
      <c r="R686" s="15"/>
    </row>
    <row r="687" spans="1:18" ht="14.25" customHeight="1">
      <c r="A687" s="5">
        <v>1185</v>
      </c>
      <c r="B687" s="28" t="s">
        <v>1593</v>
      </c>
      <c r="C687" s="24" t="s">
        <v>1594</v>
      </c>
      <c r="D687" s="19" t="s">
        <v>16</v>
      </c>
      <c r="E687" s="19" t="s">
        <v>211</v>
      </c>
      <c r="F687" s="19" t="s">
        <v>259</v>
      </c>
      <c r="G687" s="19" t="s">
        <v>25</v>
      </c>
      <c r="H687" s="19" t="s">
        <v>25</v>
      </c>
      <c r="I687" s="31" t="s">
        <v>1435</v>
      </c>
      <c r="J687" s="22" t="s">
        <v>215</v>
      </c>
      <c r="K687" s="12" t="s">
        <v>208</v>
      </c>
      <c r="L687" s="16">
        <v>45944.583333333299</v>
      </c>
      <c r="M687" s="18"/>
      <c r="N687" s="15"/>
      <c r="O687" s="15"/>
      <c r="P687" s="15"/>
      <c r="Q687" s="15"/>
      <c r="R687" s="15"/>
    </row>
    <row r="688" spans="1:18" ht="14.25" customHeight="1">
      <c r="A688" s="5">
        <v>1186</v>
      </c>
      <c r="B688" s="28" t="s">
        <v>1595</v>
      </c>
      <c r="C688" s="24" t="s">
        <v>1596</v>
      </c>
      <c r="D688" s="19" t="s">
        <v>29</v>
      </c>
      <c r="E688" s="19" t="s">
        <v>203</v>
      </c>
      <c r="F688" s="19" t="s">
        <v>212</v>
      </c>
      <c r="G688" s="19" t="s">
        <v>544</v>
      </c>
      <c r="H688" s="19" t="s">
        <v>266</v>
      </c>
      <c r="I688" s="31" t="s">
        <v>319</v>
      </c>
      <c r="J688" s="22" t="s">
        <v>284</v>
      </c>
      <c r="K688" s="12" t="s">
        <v>221</v>
      </c>
      <c r="L688" s="16">
        <v>45936.583333333299</v>
      </c>
      <c r="M688" s="18">
        <v>46006.625</v>
      </c>
      <c r="N688" s="15"/>
      <c r="O688" s="15"/>
      <c r="P688" s="15"/>
      <c r="Q688" s="15"/>
      <c r="R688" s="15"/>
    </row>
    <row r="689" spans="1:18" ht="14.25" customHeight="1">
      <c r="A689" s="5">
        <v>1187</v>
      </c>
      <c r="B689" s="28" t="s">
        <v>1597</v>
      </c>
      <c r="C689" s="24" t="s">
        <v>1598</v>
      </c>
      <c r="D689" s="19" t="s">
        <v>16</v>
      </c>
      <c r="E689" s="19" t="s">
        <v>211</v>
      </c>
      <c r="F689" s="19" t="s">
        <v>259</v>
      </c>
      <c r="G689" s="19" t="s">
        <v>36</v>
      </c>
      <c r="H689" s="19" t="s">
        <v>36</v>
      </c>
      <c r="I689" s="19" t="s">
        <v>1078</v>
      </c>
      <c r="J689" s="22" t="s">
        <v>471</v>
      </c>
      <c r="K689" s="12" t="s">
        <v>221</v>
      </c>
      <c r="L689" s="16">
        <v>45937.583333333299</v>
      </c>
      <c r="M689" s="29">
        <v>45993.625</v>
      </c>
      <c r="N689" s="15"/>
      <c r="O689" s="15"/>
      <c r="P689" s="15"/>
      <c r="Q689" s="15"/>
      <c r="R689" s="15"/>
    </row>
    <row r="690" spans="1:18" ht="14.25" customHeight="1">
      <c r="A690" s="5">
        <v>1188</v>
      </c>
      <c r="B690" s="28" t="s">
        <v>1599</v>
      </c>
      <c r="C690" s="24" t="s">
        <v>1600</v>
      </c>
      <c r="D690" s="19" t="s">
        <v>74</v>
      </c>
      <c r="E690" s="19" t="s">
        <v>78</v>
      </c>
      <c r="F690" s="19" t="s">
        <v>78</v>
      </c>
      <c r="G690" s="19" t="s">
        <v>78</v>
      </c>
      <c r="H690" s="19" t="s">
        <v>266</v>
      </c>
      <c r="I690" s="19" t="s">
        <v>1371</v>
      </c>
      <c r="J690" s="22" t="s">
        <v>215</v>
      </c>
      <c r="K690" s="12" t="s">
        <v>208</v>
      </c>
      <c r="L690" s="16">
        <v>45939.583333333299</v>
      </c>
      <c r="M690" s="30"/>
      <c r="N690" s="15"/>
      <c r="O690" s="15"/>
      <c r="P690" s="15"/>
      <c r="Q690" s="15"/>
      <c r="R690" s="15"/>
    </row>
    <row r="691" spans="1:18" ht="14.25" customHeight="1">
      <c r="A691" s="5">
        <v>1189</v>
      </c>
      <c r="B691" s="28" t="s">
        <v>1601</v>
      </c>
      <c r="C691" s="24" t="s">
        <v>1602</v>
      </c>
      <c r="D691" s="19" t="s">
        <v>74</v>
      </c>
      <c r="E691" s="19" t="s">
        <v>78</v>
      </c>
      <c r="F691" s="19" t="s">
        <v>78</v>
      </c>
      <c r="G691" s="19" t="s">
        <v>78</v>
      </c>
      <c r="H691" s="19" t="s">
        <v>288</v>
      </c>
      <c r="I691" s="19" t="s">
        <v>51</v>
      </c>
      <c r="J691" s="22" t="s">
        <v>215</v>
      </c>
      <c r="K691" s="12" t="s">
        <v>208</v>
      </c>
      <c r="L691" s="16">
        <v>45940.583333333299</v>
      </c>
      <c r="M691" s="30"/>
      <c r="N691" s="15"/>
      <c r="O691" s="15"/>
      <c r="P691" s="15"/>
      <c r="Q691" s="15"/>
      <c r="R691" s="15"/>
    </row>
    <row r="692" spans="1:18" ht="14.25" customHeight="1">
      <c r="A692" s="5">
        <v>1190</v>
      </c>
      <c r="B692" s="28" t="s">
        <v>1603</v>
      </c>
      <c r="C692" s="24" t="s">
        <v>1604</v>
      </c>
      <c r="D692" s="19" t="s">
        <v>74</v>
      </c>
      <c r="E692" s="19" t="s">
        <v>78</v>
      </c>
      <c r="F692" s="19" t="s">
        <v>78</v>
      </c>
      <c r="G692" s="19" t="s">
        <v>78</v>
      </c>
      <c r="H692" s="19" t="s">
        <v>288</v>
      </c>
      <c r="I692" s="19" t="s">
        <v>366</v>
      </c>
      <c r="J692" s="22" t="s">
        <v>215</v>
      </c>
      <c r="K692" s="12" t="s">
        <v>221</v>
      </c>
      <c r="L692" s="16">
        <v>45938.583333333299</v>
      </c>
      <c r="M692" s="29">
        <v>46076.625</v>
      </c>
      <c r="N692" s="15"/>
      <c r="O692" s="15"/>
      <c r="P692" s="15"/>
      <c r="Q692" s="15"/>
      <c r="R692" s="15"/>
    </row>
    <row r="693" spans="1:18" ht="14.25" customHeight="1">
      <c r="A693" s="5">
        <v>1191</v>
      </c>
      <c r="B693" s="28" t="s">
        <v>1605</v>
      </c>
      <c r="C693" s="24" t="s">
        <v>1606</v>
      </c>
      <c r="D693" s="19" t="s">
        <v>74</v>
      </c>
      <c r="E693" s="19" t="s">
        <v>78</v>
      </c>
      <c r="F693" s="19" t="s">
        <v>78</v>
      </c>
      <c r="G693" s="19" t="s">
        <v>78</v>
      </c>
      <c r="H693" s="19" t="s">
        <v>288</v>
      </c>
      <c r="I693" s="19" t="s">
        <v>85</v>
      </c>
      <c r="J693" s="22" t="s">
        <v>284</v>
      </c>
      <c r="K693" s="12" t="s">
        <v>221</v>
      </c>
      <c r="L693" s="16">
        <v>45939.583333333299</v>
      </c>
      <c r="M693" s="29">
        <v>45964.625</v>
      </c>
      <c r="N693" s="15"/>
      <c r="O693" s="15"/>
      <c r="P693" s="15"/>
      <c r="Q693" s="15"/>
      <c r="R693" s="15"/>
    </row>
    <row r="694" spans="1:18" ht="14.25" customHeight="1">
      <c r="A694" s="5">
        <v>1192</v>
      </c>
      <c r="B694" s="28" t="s">
        <v>1607</v>
      </c>
      <c r="C694" s="24" t="s">
        <v>1608</v>
      </c>
      <c r="D694" s="19" t="s">
        <v>74</v>
      </c>
      <c r="E694" s="19" t="s">
        <v>78</v>
      </c>
      <c r="F694" s="19" t="s">
        <v>78</v>
      </c>
      <c r="G694" s="19" t="s">
        <v>78</v>
      </c>
      <c r="H694" s="19" t="s">
        <v>288</v>
      </c>
      <c r="I694" s="19" t="s">
        <v>85</v>
      </c>
      <c r="J694" s="22" t="s">
        <v>215</v>
      </c>
      <c r="K694" s="12" t="s">
        <v>208</v>
      </c>
      <c r="L694" s="16">
        <v>45941.583333333299</v>
      </c>
      <c r="M694" s="30"/>
      <c r="N694" s="15"/>
      <c r="O694" s="15"/>
      <c r="P694" s="15"/>
      <c r="Q694" s="15"/>
      <c r="R694" s="15"/>
    </row>
    <row r="695" spans="1:18" ht="14.25" customHeight="1">
      <c r="A695" s="5">
        <v>1193</v>
      </c>
      <c r="B695" s="28" t="s">
        <v>1609</v>
      </c>
      <c r="C695" s="24" t="s">
        <v>1610</v>
      </c>
      <c r="D695" s="19" t="s">
        <v>29</v>
      </c>
      <c r="E695" s="19" t="s">
        <v>203</v>
      </c>
      <c r="F695" s="19" t="s">
        <v>212</v>
      </c>
      <c r="G695" s="19" t="s">
        <v>30</v>
      </c>
      <c r="H695" s="19" t="s">
        <v>240</v>
      </c>
      <c r="I695" s="19" t="s">
        <v>28</v>
      </c>
      <c r="J695" s="22" t="s">
        <v>220</v>
      </c>
      <c r="K695" s="12" t="s">
        <v>208</v>
      </c>
      <c r="L695" s="16">
        <v>45943.583333333299</v>
      </c>
      <c r="M695" s="30"/>
      <c r="N695" s="15"/>
      <c r="O695" s="15"/>
      <c r="P695" s="15"/>
      <c r="Q695" s="15"/>
      <c r="R695" s="15"/>
    </row>
    <row r="696" spans="1:18" ht="14.25" customHeight="1">
      <c r="A696" s="5">
        <v>1194</v>
      </c>
      <c r="B696" s="28" t="s">
        <v>1611</v>
      </c>
      <c r="C696" s="24" t="s">
        <v>1612</v>
      </c>
      <c r="D696" s="19" t="s">
        <v>29</v>
      </c>
      <c r="E696" s="19" t="s">
        <v>203</v>
      </c>
      <c r="F696" s="19" t="s">
        <v>212</v>
      </c>
      <c r="G696" s="19" t="s">
        <v>544</v>
      </c>
      <c r="H696" s="19" t="s">
        <v>240</v>
      </c>
      <c r="I696" s="19" t="s">
        <v>28</v>
      </c>
      <c r="J696" s="22" t="s">
        <v>220</v>
      </c>
      <c r="K696" s="12" t="s">
        <v>221</v>
      </c>
      <c r="L696" s="16">
        <v>45937.583333333299</v>
      </c>
      <c r="M696" s="29">
        <v>46053.625</v>
      </c>
      <c r="N696" s="15"/>
      <c r="O696" s="15"/>
      <c r="P696" s="15"/>
      <c r="Q696" s="15"/>
      <c r="R696" s="15"/>
    </row>
    <row r="697" spans="1:18" ht="14.25" customHeight="1">
      <c r="A697" s="5">
        <v>1195</v>
      </c>
      <c r="B697" s="28" t="s">
        <v>1613</v>
      </c>
      <c r="C697" s="24" t="s">
        <v>1614</v>
      </c>
      <c r="D697" s="19" t="s">
        <v>45</v>
      </c>
      <c r="E697" s="19" t="s">
        <v>201</v>
      </c>
      <c r="F697" s="19" t="s">
        <v>212</v>
      </c>
      <c r="G697" s="19" t="s">
        <v>136</v>
      </c>
      <c r="H697" s="19" t="s">
        <v>240</v>
      </c>
      <c r="I697" s="19" t="s">
        <v>241</v>
      </c>
      <c r="J697" s="22" t="s">
        <v>284</v>
      </c>
      <c r="K697" s="12" t="s">
        <v>221</v>
      </c>
      <c r="L697" s="16">
        <v>45940.583333333299</v>
      </c>
      <c r="M697" s="29">
        <v>45960.583333333299</v>
      </c>
      <c r="N697" s="15"/>
      <c r="O697" s="15"/>
      <c r="P697" s="15"/>
      <c r="Q697" s="15"/>
      <c r="R697" s="15"/>
    </row>
    <row r="698" spans="1:18" ht="14.25" customHeight="1">
      <c r="A698" s="5">
        <v>1196</v>
      </c>
      <c r="B698" s="28" t="s">
        <v>1615</v>
      </c>
      <c r="C698" s="24" t="s">
        <v>1616</v>
      </c>
      <c r="D698" s="19" t="s">
        <v>29</v>
      </c>
      <c r="E698" s="19" t="s">
        <v>203</v>
      </c>
      <c r="F698" s="19" t="s">
        <v>212</v>
      </c>
      <c r="G698" s="19" t="s">
        <v>30</v>
      </c>
      <c r="H698" s="19" t="s">
        <v>240</v>
      </c>
      <c r="I698" s="19" t="s">
        <v>28</v>
      </c>
      <c r="J698" s="22" t="s">
        <v>215</v>
      </c>
      <c r="K698" s="12" t="s">
        <v>221</v>
      </c>
      <c r="L698" s="16">
        <v>45939.583333333299</v>
      </c>
      <c r="M698" s="29">
        <v>46049.625</v>
      </c>
      <c r="N698" s="15"/>
      <c r="O698" s="15"/>
      <c r="P698" s="15"/>
      <c r="Q698" s="15"/>
      <c r="R698" s="15"/>
    </row>
    <row r="699" spans="1:18" ht="14.25" customHeight="1">
      <c r="A699" s="5">
        <v>1197</v>
      </c>
      <c r="B699" s="28" t="s">
        <v>1617</v>
      </c>
      <c r="C699" s="24" t="s">
        <v>1618</v>
      </c>
      <c r="D699" s="19" t="s">
        <v>29</v>
      </c>
      <c r="E699" s="19" t="s">
        <v>203</v>
      </c>
      <c r="F699" s="19" t="s">
        <v>259</v>
      </c>
      <c r="G699" s="19" t="s">
        <v>101</v>
      </c>
      <c r="H699" s="19" t="s">
        <v>101</v>
      </c>
      <c r="I699" s="19" t="s">
        <v>100</v>
      </c>
      <c r="J699" s="22" t="s">
        <v>220</v>
      </c>
      <c r="K699" s="12" t="s">
        <v>221</v>
      </c>
      <c r="L699" s="16">
        <v>45933.583333333299</v>
      </c>
      <c r="M699" s="29">
        <v>46188.583333333299</v>
      </c>
      <c r="N699" s="15"/>
      <c r="O699" s="15"/>
      <c r="P699" s="15"/>
      <c r="Q699" s="15"/>
      <c r="R699" s="15"/>
    </row>
    <row r="700" spans="1:18" ht="14.25" customHeight="1">
      <c r="A700" s="5">
        <v>1198</v>
      </c>
      <c r="B700" s="28" t="s">
        <v>1619</v>
      </c>
      <c r="C700" s="24" t="s">
        <v>1620</v>
      </c>
      <c r="D700" s="19" t="s">
        <v>29</v>
      </c>
      <c r="E700" s="19" t="s">
        <v>203</v>
      </c>
      <c r="F700" s="19" t="s">
        <v>212</v>
      </c>
      <c r="G700" s="19" t="s">
        <v>30</v>
      </c>
      <c r="H700" s="19" t="s">
        <v>240</v>
      </c>
      <c r="I700" s="19" t="s">
        <v>28</v>
      </c>
      <c r="J700" s="22" t="s">
        <v>215</v>
      </c>
      <c r="K700" s="12" t="s">
        <v>208</v>
      </c>
      <c r="L700" s="16">
        <v>45943.583333333299</v>
      </c>
      <c r="M700" s="25"/>
      <c r="N700" s="15"/>
      <c r="O700" s="15"/>
      <c r="P700" s="15"/>
      <c r="Q700" s="15"/>
      <c r="R700" s="15"/>
    </row>
    <row r="701" spans="1:18" ht="14.25" customHeight="1">
      <c r="A701" s="5">
        <v>1199</v>
      </c>
      <c r="B701" s="28" t="s">
        <v>1621</v>
      </c>
      <c r="C701" s="24" t="s">
        <v>1622</v>
      </c>
      <c r="D701" s="19" t="s">
        <v>29</v>
      </c>
      <c r="E701" s="19" t="s">
        <v>203</v>
      </c>
      <c r="F701" s="19" t="s">
        <v>212</v>
      </c>
      <c r="G701" s="19" t="s">
        <v>39</v>
      </c>
      <c r="H701" s="19" t="s">
        <v>240</v>
      </c>
      <c r="I701" s="19" t="s">
        <v>28</v>
      </c>
      <c r="J701" s="22" t="s">
        <v>215</v>
      </c>
      <c r="K701" s="12" t="s">
        <v>208</v>
      </c>
      <c r="L701" s="16">
        <v>45943.583333333299</v>
      </c>
      <c r="M701" s="30"/>
      <c r="N701" s="15"/>
      <c r="O701" s="15"/>
      <c r="P701" s="15"/>
      <c r="Q701" s="15"/>
      <c r="R701" s="15"/>
    </row>
    <row r="702" spans="1:18" ht="14.25" customHeight="1">
      <c r="A702" s="5">
        <v>1200</v>
      </c>
      <c r="B702" s="28" t="s">
        <v>1623</v>
      </c>
      <c r="C702" s="24" t="s">
        <v>1624</v>
      </c>
      <c r="D702" s="19" t="s">
        <v>45</v>
      </c>
      <c r="E702" s="19" t="s">
        <v>201</v>
      </c>
      <c r="F702" s="19" t="s">
        <v>212</v>
      </c>
      <c r="G702" s="19" t="s">
        <v>46</v>
      </c>
      <c r="H702" s="19" t="s">
        <v>218</v>
      </c>
      <c r="I702" s="19" t="s">
        <v>61</v>
      </c>
      <c r="J702" s="22" t="s">
        <v>220</v>
      </c>
      <c r="K702" s="12" t="s">
        <v>208</v>
      </c>
      <c r="L702" s="16">
        <v>45931.583333333299</v>
      </c>
      <c r="M702" s="25"/>
      <c r="N702" s="15"/>
      <c r="O702" s="15"/>
      <c r="P702" s="15"/>
      <c r="Q702" s="15"/>
      <c r="R702" s="15"/>
    </row>
    <row r="703" spans="1:18" ht="14.25" customHeight="1">
      <c r="A703" s="5">
        <v>1201</v>
      </c>
      <c r="B703" s="28" t="s">
        <v>1625</v>
      </c>
      <c r="C703" s="24" t="s">
        <v>1626</v>
      </c>
      <c r="D703" s="19" t="s">
        <v>74</v>
      </c>
      <c r="E703" s="19" t="s">
        <v>78</v>
      </c>
      <c r="F703" s="19" t="s">
        <v>78</v>
      </c>
      <c r="G703" s="19" t="s">
        <v>78</v>
      </c>
      <c r="H703" s="19" t="s">
        <v>288</v>
      </c>
      <c r="I703" s="19" t="s">
        <v>85</v>
      </c>
      <c r="J703" s="22" t="s">
        <v>284</v>
      </c>
      <c r="K703" s="12" t="s">
        <v>221</v>
      </c>
      <c r="L703" s="16">
        <v>45931.583333333299</v>
      </c>
      <c r="M703" s="29">
        <v>45932.583333333299</v>
      </c>
      <c r="N703" s="15"/>
      <c r="O703" s="15"/>
      <c r="P703" s="15"/>
      <c r="Q703" s="15"/>
      <c r="R703" s="15"/>
    </row>
    <row r="704" spans="1:18" ht="14.25" customHeight="1">
      <c r="A704" s="5">
        <v>1202</v>
      </c>
      <c r="B704" s="28" t="s">
        <v>1627</v>
      </c>
      <c r="C704" s="24" t="s">
        <v>1628</v>
      </c>
      <c r="D704" s="19" t="s">
        <v>74</v>
      </c>
      <c r="E704" s="19" t="s">
        <v>78</v>
      </c>
      <c r="F704" s="19" t="s">
        <v>78</v>
      </c>
      <c r="G704" s="19" t="s">
        <v>78</v>
      </c>
      <c r="H704" s="19" t="s">
        <v>288</v>
      </c>
      <c r="I704" s="19" t="s">
        <v>85</v>
      </c>
      <c r="J704" s="22" t="s">
        <v>284</v>
      </c>
      <c r="K704" s="12" t="s">
        <v>221</v>
      </c>
      <c r="L704" s="16">
        <v>45931.583333333299</v>
      </c>
      <c r="M704" s="29">
        <v>45931.583333333299</v>
      </c>
      <c r="N704" s="15"/>
      <c r="O704" s="15"/>
      <c r="P704" s="15"/>
      <c r="Q704" s="15"/>
      <c r="R704" s="15"/>
    </row>
    <row r="705" spans="1:18" ht="14.25" customHeight="1">
      <c r="A705" s="5">
        <v>1203</v>
      </c>
      <c r="B705" s="28" t="s">
        <v>1629</v>
      </c>
      <c r="C705" s="24" t="s">
        <v>1630</v>
      </c>
      <c r="D705" s="19" t="s">
        <v>45</v>
      </c>
      <c r="E705" s="19" t="s">
        <v>201</v>
      </c>
      <c r="F705" s="19" t="s">
        <v>212</v>
      </c>
      <c r="G705" s="19" t="s">
        <v>46</v>
      </c>
      <c r="H705" s="19" t="s">
        <v>213</v>
      </c>
      <c r="I705" s="19" t="s">
        <v>67</v>
      </c>
      <c r="J705" s="22" t="s">
        <v>215</v>
      </c>
      <c r="K705" s="12" t="s">
        <v>208</v>
      </c>
      <c r="L705" s="16">
        <v>45931.583333333299</v>
      </c>
      <c r="M705" s="30"/>
      <c r="N705" s="15"/>
      <c r="O705" s="15"/>
      <c r="P705" s="15"/>
      <c r="Q705" s="15"/>
      <c r="R705" s="15"/>
    </row>
    <row r="706" spans="1:18" ht="14.25" customHeight="1">
      <c r="A706" s="5">
        <v>1204</v>
      </c>
      <c r="B706" s="26" t="s">
        <v>1631</v>
      </c>
      <c r="C706" s="24" t="s">
        <v>1632</v>
      </c>
      <c r="D706" s="19" t="s">
        <v>45</v>
      </c>
      <c r="E706" s="19" t="s">
        <v>201</v>
      </c>
      <c r="F706" s="19" t="s">
        <v>212</v>
      </c>
      <c r="G706" s="19" t="s">
        <v>46</v>
      </c>
      <c r="H706" s="19" t="s">
        <v>213</v>
      </c>
      <c r="I706" s="19" t="s">
        <v>67</v>
      </c>
      <c r="J706" s="22" t="s">
        <v>215</v>
      </c>
      <c r="K706" s="12" t="s">
        <v>221</v>
      </c>
      <c r="L706" s="16">
        <v>45931.583333333299</v>
      </c>
      <c r="M706" s="21">
        <v>46081.625</v>
      </c>
      <c r="N706" s="15"/>
      <c r="O706" s="15"/>
      <c r="P706" s="15"/>
      <c r="Q706" s="15"/>
      <c r="R706" s="15"/>
    </row>
    <row r="707" spans="1:18" ht="14.25" customHeight="1">
      <c r="A707" s="5">
        <v>1205</v>
      </c>
      <c r="B707" s="26" t="s">
        <v>1633</v>
      </c>
      <c r="C707" s="24" t="s">
        <v>1634</v>
      </c>
      <c r="D707" s="19" t="s">
        <v>74</v>
      </c>
      <c r="E707" s="19" t="s">
        <v>202</v>
      </c>
      <c r="F707" s="19" t="s">
        <v>259</v>
      </c>
      <c r="G707" s="19" t="s">
        <v>284</v>
      </c>
      <c r="H707" s="19" t="s">
        <v>284</v>
      </c>
      <c r="I707" s="19" t="s">
        <v>1635</v>
      </c>
      <c r="J707" s="22" t="s">
        <v>215</v>
      </c>
      <c r="K707" s="12" t="s">
        <v>221</v>
      </c>
      <c r="L707" s="16">
        <v>45946.583333333299</v>
      </c>
      <c r="M707" s="29">
        <v>46133.583333333299</v>
      </c>
      <c r="N707" s="15"/>
      <c r="O707" s="15"/>
      <c r="P707" s="15"/>
      <c r="Q707" s="15"/>
      <c r="R707" s="15"/>
    </row>
    <row r="708" spans="1:18" ht="14.25" customHeight="1">
      <c r="A708" s="5">
        <v>1206</v>
      </c>
      <c r="B708" s="26" t="s">
        <v>1636</v>
      </c>
      <c r="C708" s="24" t="s">
        <v>1323</v>
      </c>
      <c r="D708" s="19" t="s">
        <v>74</v>
      </c>
      <c r="E708" s="19" t="s">
        <v>78</v>
      </c>
      <c r="F708" s="19" t="s">
        <v>78</v>
      </c>
      <c r="G708" s="19" t="s">
        <v>78</v>
      </c>
      <c r="H708" s="19" t="s">
        <v>288</v>
      </c>
      <c r="I708" s="10" t="s">
        <v>366</v>
      </c>
      <c r="J708" s="22" t="s">
        <v>284</v>
      </c>
      <c r="K708" s="12" t="s">
        <v>221</v>
      </c>
      <c r="L708" s="16">
        <v>45947.583333333299</v>
      </c>
      <c r="M708" s="29">
        <v>45958.583333333299</v>
      </c>
      <c r="N708" s="15"/>
      <c r="O708" s="15"/>
      <c r="P708" s="15"/>
      <c r="Q708" s="15"/>
      <c r="R708" s="15"/>
    </row>
    <row r="709" spans="1:18" ht="14.25" customHeight="1">
      <c r="A709" s="5">
        <v>1207</v>
      </c>
      <c r="B709" s="26" t="s">
        <v>1637</v>
      </c>
      <c r="C709" s="24" t="s">
        <v>1638</v>
      </c>
      <c r="D709" s="19" t="s">
        <v>29</v>
      </c>
      <c r="E709" s="19" t="s">
        <v>203</v>
      </c>
      <c r="F709" s="19" t="s">
        <v>212</v>
      </c>
      <c r="G709" s="19" t="s">
        <v>544</v>
      </c>
      <c r="H709" s="19" t="s">
        <v>240</v>
      </c>
      <c r="I709" s="19" t="s">
        <v>28</v>
      </c>
      <c r="J709" s="22" t="s">
        <v>1395</v>
      </c>
      <c r="K709" s="12" t="s">
        <v>221</v>
      </c>
      <c r="L709" s="16">
        <v>45944.583333333299</v>
      </c>
      <c r="M709" s="29">
        <v>45968.625</v>
      </c>
      <c r="N709" s="15"/>
      <c r="O709" s="15"/>
      <c r="P709" s="15"/>
      <c r="Q709" s="15"/>
      <c r="R709" s="15"/>
    </row>
    <row r="710" spans="1:18" ht="14.25" customHeight="1">
      <c r="A710" s="5">
        <v>1208</v>
      </c>
      <c r="B710" s="26" t="s">
        <v>1639</v>
      </c>
      <c r="C710" s="24" t="s">
        <v>1640</v>
      </c>
      <c r="D710" s="19" t="s">
        <v>74</v>
      </c>
      <c r="E710" s="19" t="s">
        <v>464</v>
      </c>
      <c r="F710" s="19" t="s">
        <v>78</v>
      </c>
      <c r="G710" s="19" t="s">
        <v>78</v>
      </c>
      <c r="H710" s="19" t="s">
        <v>288</v>
      </c>
      <c r="I710" s="19" t="s">
        <v>635</v>
      </c>
      <c r="J710" s="22" t="s">
        <v>471</v>
      </c>
      <c r="K710" s="12" t="s">
        <v>221</v>
      </c>
      <c r="L710" s="16">
        <v>45931.583333333299</v>
      </c>
      <c r="M710" s="25">
        <v>45991.625</v>
      </c>
      <c r="N710" s="15"/>
      <c r="O710" s="15"/>
      <c r="P710" s="15"/>
      <c r="Q710" s="15"/>
      <c r="R710" s="15"/>
    </row>
    <row r="711" spans="1:18" ht="14.25" customHeight="1">
      <c r="A711" s="5">
        <v>1209</v>
      </c>
      <c r="B711" s="26" t="s">
        <v>1641</v>
      </c>
      <c r="C711" s="24" t="s">
        <v>1642</v>
      </c>
      <c r="D711" s="19" t="s">
        <v>74</v>
      </c>
      <c r="E711" s="19" t="s">
        <v>464</v>
      </c>
      <c r="F711" s="19" t="s">
        <v>78</v>
      </c>
      <c r="G711" s="19" t="s">
        <v>78</v>
      </c>
      <c r="H711" s="19" t="s">
        <v>288</v>
      </c>
      <c r="I711" s="19" t="s">
        <v>635</v>
      </c>
      <c r="J711" s="22" t="s">
        <v>471</v>
      </c>
      <c r="K711" s="12" t="s">
        <v>221</v>
      </c>
      <c r="L711" s="16">
        <v>45931.583333333299</v>
      </c>
      <c r="M711" s="25">
        <v>45991.625</v>
      </c>
      <c r="N711" s="15"/>
      <c r="O711" s="15"/>
      <c r="P711" s="15"/>
      <c r="Q711" s="15"/>
      <c r="R711" s="15"/>
    </row>
    <row r="712" spans="1:18" ht="14.25" customHeight="1">
      <c r="A712" s="5">
        <v>1210</v>
      </c>
      <c r="B712" s="28" t="s">
        <v>1643</v>
      </c>
      <c r="C712" s="32" t="s">
        <v>1644</v>
      </c>
      <c r="D712" s="10" t="s">
        <v>74</v>
      </c>
      <c r="E712" s="10" t="s">
        <v>464</v>
      </c>
      <c r="F712" s="10" t="s">
        <v>78</v>
      </c>
      <c r="G712" s="10" t="s">
        <v>78</v>
      </c>
      <c r="H712" s="10" t="s">
        <v>288</v>
      </c>
      <c r="I712" s="10" t="s">
        <v>635</v>
      </c>
      <c r="J712" s="33" t="s">
        <v>471</v>
      </c>
      <c r="K712" s="33" t="s">
        <v>221</v>
      </c>
      <c r="L712" s="13">
        <v>45931.583333333299</v>
      </c>
      <c r="M712" s="18">
        <v>45957.583333333299</v>
      </c>
      <c r="N712" s="15"/>
      <c r="O712" s="15"/>
      <c r="P712" s="15"/>
      <c r="Q712" s="15"/>
      <c r="R712" s="15"/>
    </row>
    <row r="713" spans="1:18" ht="14.25" customHeight="1">
      <c r="A713" s="5">
        <v>1211</v>
      </c>
      <c r="B713" s="28" t="s">
        <v>1645</v>
      </c>
      <c r="C713" s="7" t="s">
        <v>1646</v>
      </c>
      <c r="D713" s="10" t="s">
        <v>74</v>
      </c>
      <c r="E713" s="10" t="s">
        <v>202</v>
      </c>
      <c r="F713" s="10" t="s">
        <v>212</v>
      </c>
      <c r="G713" s="10" t="s">
        <v>120</v>
      </c>
      <c r="H713" s="10" t="s">
        <v>231</v>
      </c>
      <c r="I713" s="10" t="s">
        <v>58</v>
      </c>
      <c r="J713" s="12" t="s">
        <v>284</v>
      </c>
      <c r="K713" s="12" t="s">
        <v>221</v>
      </c>
      <c r="L713" s="13">
        <v>45957.583333333299</v>
      </c>
      <c r="M713" s="18">
        <v>45960.583333333299</v>
      </c>
      <c r="N713" s="15"/>
      <c r="O713" s="15"/>
      <c r="P713" s="15"/>
      <c r="Q713" s="15"/>
      <c r="R713" s="15"/>
    </row>
    <row r="714" spans="1:18" ht="14.25" customHeight="1">
      <c r="A714" s="5">
        <v>1212</v>
      </c>
      <c r="B714" s="28" t="s">
        <v>1647</v>
      </c>
      <c r="C714" s="24" t="s">
        <v>1648</v>
      </c>
      <c r="D714" s="19" t="s">
        <v>45</v>
      </c>
      <c r="E714" s="19" t="s">
        <v>201</v>
      </c>
      <c r="F714" s="19" t="s">
        <v>212</v>
      </c>
      <c r="G714" s="19" t="s">
        <v>136</v>
      </c>
      <c r="H714" s="19" t="s">
        <v>218</v>
      </c>
      <c r="I714" s="19" t="s">
        <v>61</v>
      </c>
      <c r="J714" s="22" t="s">
        <v>220</v>
      </c>
      <c r="K714" s="12" t="s">
        <v>208</v>
      </c>
      <c r="L714" s="16">
        <v>45959.583333333299</v>
      </c>
      <c r="M714" s="30"/>
      <c r="N714" s="15"/>
      <c r="O714" s="15"/>
      <c r="P714" s="15"/>
      <c r="Q714" s="15"/>
      <c r="R714" s="15"/>
    </row>
    <row r="715" spans="1:18" ht="14.25" customHeight="1">
      <c r="A715" s="5">
        <v>1213</v>
      </c>
      <c r="B715" s="28" t="s">
        <v>1649</v>
      </c>
      <c r="C715" s="7" t="s">
        <v>1650</v>
      </c>
      <c r="D715" s="10" t="s">
        <v>45</v>
      </c>
      <c r="E715" s="10" t="s">
        <v>201</v>
      </c>
      <c r="F715" s="10" t="s">
        <v>212</v>
      </c>
      <c r="G715" s="10" t="s">
        <v>136</v>
      </c>
      <c r="H715" s="10" t="s">
        <v>240</v>
      </c>
      <c r="I715" s="10" t="s">
        <v>241</v>
      </c>
      <c r="J715" s="12" t="s">
        <v>215</v>
      </c>
      <c r="K715" s="12" t="s">
        <v>208</v>
      </c>
      <c r="L715" s="13">
        <v>45958.583333333299</v>
      </c>
      <c r="M715" s="18"/>
      <c r="N715" s="15"/>
      <c r="O715" s="15"/>
      <c r="P715" s="15"/>
      <c r="Q715" s="15"/>
      <c r="R715" s="15"/>
    </row>
    <row r="716" spans="1:18" ht="14.25" customHeight="1">
      <c r="A716" s="5">
        <v>1214</v>
      </c>
      <c r="B716" s="28" t="s">
        <v>1651</v>
      </c>
      <c r="C716" s="7" t="s">
        <v>1652</v>
      </c>
      <c r="D716" s="10" t="s">
        <v>74</v>
      </c>
      <c r="E716" s="10" t="s">
        <v>202</v>
      </c>
      <c r="F716" s="10" t="s">
        <v>212</v>
      </c>
      <c r="G716" s="10" t="s">
        <v>120</v>
      </c>
      <c r="H716" s="10" t="s">
        <v>240</v>
      </c>
      <c r="I716" s="10" t="s">
        <v>107</v>
      </c>
      <c r="J716" s="12" t="s">
        <v>215</v>
      </c>
      <c r="K716" s="12" t="s">
        <v>221</v>
      </c>
      <c r="L716" s="13">
        <v>45959.583333333299</v>
      </c>
      <c r="M716" s="18">
        <v>46152.583333333299</v>
      </c>
      <c r="N716" s="15"/>
      <c r="O716" s="15"/>
      <c r="P716" s="15"/>
      <c r="Q716" s="15"/>
      <c r="R716" s="15"/>
    </row>
    <row r="717" spans="1:18" ht="14.25" customHeight="1">
      <c r="A717" s="5">
        <v>1215</v>
      </c>
      <c r="B717" s="28" t="s">
        <v>1653</v>
      </c>
      <c r="C717" s="7" t="s">
        <v>1654</v>
      </c>
      <c r="D717" s="10" t="s">
        <v>74</v>
      </c>
      <c r="E717" s="10" t="s">
        <v>202</v>
      </c>
      <c r="F717" s="10" t="s">
        <v>212</v>
      </c>
      <c r="G717" s="10" t="s">
        <v>120</v>
      </c>
      <c r="H717" s="10" t="s">
        <v>218</v>
      </c>
      <c r="I717" s="10" t="s">
        <v>61</v>
      </c>
      <c r="J717" s="12" t="s">
        <v>220</v>
      </c>
      <c r="K717" s="12" t="s">
        <v>221</v>
      </c>
      <c r="L717" s="13">
        <v>45964.625</v>
      </c>
      <c r="M717" s="18">
        <v>46053.625</v>
      </c>
      <c r="N717" s="15"/>
      <c r="O717" s="15"/>
      <c r="P717" s="15"/>
      <c r="Q717" s="15"/>
      <c r="R717" s="15"/>
    </row>
    <row r="718" spans="1:18" ht="14.25" customHeight="1">
      <c r="A718" s="5">
        <v>1216</v>
      </c>
      <c r="B718" s="28" t="s">
        <v>1655</v>
      </c>
      <c r="C718" s="7" t="s">
        <v>1656</v>
      </c>
      <c r="D718" s="10" t="s">
        <v>45</v>
      </c>
      <c r="E718" s="10" t="s">
        <v>201</v>
      </c>
      <c r="F718" s="10" t="s">
        <v>212</v>
      </c>
      <c r="G718" s="10" t="s">
        <v>46</v>
      </c>
      <c r="H718" s="10" t="s">
        <v>218</v>
      </c>
      <c r="I718" s="10" t="s">
        <v>61</v>
      </c>
      <c r="J718" s="12" t="s">
        <v>1395</v>
      </c>
      <c r="K718" s="12" t="s">
        <v>221</v>
      </c>
      <c r="L718" s="13">
        <v>45950.583333333299</v>
      </c>
      <c r="M718" s="18">
        <v>45988.625</v>
      </c>
      <c r="N718" s="15"/>
      <c r="O718" s="15"/>
      <c r="P718" s="15"/>
      <c r="Q718" s="15"/>
      <c r="R718" s="15"/>
    </row>
    <row r="719" spans="1:18" ht="14.25" customHeight="1">
      <c r="A719" s="5">
        <v>1217</v>
      </c>
      <c r="B719" s="28" t="s">
        <v>1657</v>
      </c>
      <c r="C719" s="7" t="s">
        <v>1658</v>
      </c>
      <c r="D719" s="10" t="s">
        <v>16</v>
      </c>
      <c r="E719" s="10" t="s">
        <v>399</v>
      </c>
      <c r="F719" s="10" t="s">
        <v>259</v>
      </c>
      <c r="G719" s="10" t="s">
        <v>21</v>
      </c>
      <c r="H719" s="10" t="s">
        <v>21</v>
      </c>
      <c r="I719" s="10" t="s">
        <v>1659</v>
      </c>
      <c r="J719" s="12" t="s">
        <v>215</v>
      </c>
      <c r="K719" s="12" t="s">
        <v>208</v>
      </c>
      <c r="L719" s="13">
        <v>45972.625</v>
      </c>
      <c r="M719" s="18"/>
      <c r="N719" s="15"/>
      <c r="O719" s="15"/>
      <c r="P719" s="15"/>
      <c r="Q719" s="15"/>
      <c r="R719" s="15"/>
    </row>
    <row r="720" spans="1:18" ht="14.25" customHeight="1">
      <c r="A720" s="5">
        <v>1218</v>
      </c>
      <c r="B720" s="28" t="s">
        <v>1660</v>
      </c>
      <c r="C720" s="7" t="s">
        <v>1661</v>
      </c>
      <c r="D720" s="10" t="s">
        <v>74</v>
      </c>
      <c r="E720" s="10" t="s">
        <v>78</v>
      </c>
      <c r="F720" s="10" t="s">
        <v>78</v>
      </c>
      <c r="G720" s="10" t="s">
        <v>78</v>
      </c>
      <c r="H720" s="10" t="s">
        <v>288</v>
      </c>
      <c r="I720" s="10" t="s">
        <v>85</v>
      </c>
      <c r="J720" s="12" t="s">
        <v>215</v>
      </c>
      <c r="K720" s="12" t="s">
        <v>208</v>
      </c>
      <c r="L720" s="13">
        <v>45860.583333333299</v>
      </c>
      <c r="M720" s="18"/>
      <c r="N720" s="15"/>
      <c r="O720" s="15"/>
      <c r="P720" s="15"/>
      <c r="Q720" s="15"/>
      <c r="R720" s="15"/>
    </row>
    <row r="721" spans="1:18" ht="14.25" customHeight="1">
      <c r="A721" s="5">
        <v>1219</v>
      </c>
      <c r="B721" s="28" t="s">
        <v>1662</v>
      </c>
      <c r="C721" s="7" t="s">
        <v>1663</v>
      </c>
      <c r="D721" s="10" t="s">
        <v>29</v>
      </c>
      <c r="E721" s="10" t="s">
        <v>203</v>
      </c>
      <c r="F721" s="10" t="s">
        <v>212</v>
      </c>
      <c r="G721" s="10" t="s">
        <v>30</v>
      </c>
      <c r="H721" s="19" t="s">
        <v>240</v>
      </c>
      <c r="I721" s="10" t="s">
        <v>28</v>
      </c>
      <c r="J721" s="12" t="s">
        <v>1395</v>
      </c>
      <c r="K721" s="12" t="s">
        <v>221</v>
      </c>
      <c r="L721" s="13">
        <v>45971.625</v>
      </c>
      <c r="M721" s="18">
        <v>46017.625</v>
      </c>
      <c r="N721" s="15"/>
      <c r="O721" s="15"/>
      <c r="P721" s="15"/>
      <c r="Q721" s="15"/>
      <c r="R721" s="15"/>
    </row>
    <row r="722" spans="1:18" ht="14.25" customHeight="1">
      <c r="A722" s="5">
        <v>1220</v>
      </c>
      <c r="B722" s="28" t="s">
        <v>1664</v>
      </c>
      <c r="C722" s="7" t="s">
        <v>1665</v>
      </c>
      <c r="D722" s="10" t="s">
        <v>45</v>
      </c>
      <c r="E722" s="10" t="s">
        <v>201</v>
      </c>
      <c r="F722" s="10" t="s">
        <v>212</v>
      </c>
      <c r="G722" s="10" t="s">
        <v>136</v>
      </c>
      <c r="H722" s="10" t="s">
        <v>218</v>
      </c>
      <c r="I722" s="10" t="s">
        <v>61</v>
      </c>
      <c r="J722" s="12" t="s">
        <v>215</v>
      </c>
      <c r="K722" s="12" t="s">
        <v>208</v>
      </c>
      <c r="L722" s="14">
        <v>45965.625</v>
      </c>
      <c r="M722" s="18"/>
      <c r="N722" s="15"/>
      <c r="O722" s="15"/>
      <c r="P722" s="15"/>
      <c r="Q722" s="15"/>
      <c r="R722" s="15"/>
    </row>
    <row r="723" spans="1:18" ht="14.25" customHeight="1">
      <c r="A723" s="5">
        <v>1221</v>
      </c>
      <c r="B723" s="28" t="s">
        <v>1666</v>
      </c>
      <c r="C723" s="7" t="s">
        <v>1667</v>
      </c>
      <c r="D723" s="10" t="s">
        <v>29</v>
      </c>
      <c r="E723" s="10" t="s">
        <v>203</v>
      </c>
      <c r="F723" s="10" t="s">
        <v>212</v>
      </c>
      <c r="G723" s="10" t="s">
        <v>30</v>
      </c>
      <c r="H723" s="10" t="s">
        <v>240</v>
      </c>
      <c r="I723" s="10" t="s">
        <v>28</v>
      </c>
      <c r="J723" s="12" t="s">
        <v>220</v>
      </c>
      <c r="K723" s="12" t="s">
        <v>221</v>
      </c>
      <c r="L723" s="14">
        <v>45965.625</v>
      </c>
      <c r="M723" s="18">
        <v>46159.583333333299</v>
      </c>
      <c r="N723" s="15"/>
      <c r="O723" s="15"/>
      <c r="P723" s="15"/>
      <c r="Q723" s="15"/>
      <c r="R723" s="15"/>
    </row>
    <row r="724" spans="1:18" ht="14.25" customHeight="1">
      <c r="A724" s="5">
        <v>1222</v>
      </c>
      <c r="B724" s="28" t="s">
        <v>1668</v>
      </c>
      <c r="C724" s="7" t="s">
        <v>1669</v>
      </c>
      <c r="D724" s="10" t="s">
        <v>74</v>
      </c>
      <c r="E724" s="10" t="s">
        <v>202</v>
      </c>
      <c r="F724" s="10" t="s">
        <v>259</v>
      </c>
      <c r="G724" s="10" t="s">
        <v>480</v>
      </c>
      <c r="H724" s="10" t="s">
        <v>480</v>
      </c>
      <c r="I724" s="10" t="s">
        <v>1670</v>
      </c>
      <c r="J724" s="12" t="s">
        <v>284</v>
      </c>
      <c r="K724" s="12" t="s">
        <v>221</v>
      </c>
      <c r="L724" s="14">
        <v>45965.625</v>
      </c>
      <c r="M724" s="18">
        <v>46064.625</v>
      </c>
      <c r="N724" s="15"/>
      <c r="O724" s="15"/>
      <c r="P724" s="15"/>
      <c r="Q724" s="15"/>
      <c r="R724" s="15"/>
    </row>
    <row r="725" spans="1:18" ht="20.25" customHeight="1">
      <c r="A725" s="5">
        <v>1223</v>
      </c>
      <c r="B725" s="28" t="s">
        <v>1671</v>
      </c>
      <c r="C725" s="7" t="s">
        <v>1672</v>
      </c>
      <c r="D725" s="19" t="s">
        <v>74</v>
      </c>
      <c r="E725" s="19" t="s">
        <v>78</v>
      </c>
      <c r="F725" s="19" t="s">
        <v>78</v>
      </c>
      <c r="G725" s="19" t="s">
        <v>78</v>
      </c>
      <c r="H725" s="19" t="s">
        <v>266</v>
      </c>
      <c r="I725" s="10" t="s">
        <v>289</v>
      </c>
      <c r="J725" s="22" t="s">
        <v>284</v>
      </c>
      <c r="K725" s="12" t="s">
        <v>221</v>
      </c>
      <c r="L725" s="18">
        <v>45965.625</v>
      </c>
      <c r="M725" s="18">
        <v>46003.625</v>
      </c>
      <c r="N725" s="15"/>
      <c r="O725" s="15"/>
      <c r="P725" s="15"/>
      <c r="Q725" s="15"/>
      <c r="R725" s="15"/>
    </row>
    <row r="726" spans="1:18" ht="20.25" customHeight="1">
      <c r="A726" s="5">
        <v>1224</v>
      </c>
      <c r="B726" s="28" t="s">
        <v>1673</v>
      </c>
      <c r="C726" s="7" t="s">
        <v>1674</v>
      </c>
      <c r="D726" s="19" t="s">
        <v>74</v>
      </c>
      <c r="E726" s="19" t="s">
        <v>78</v>
      </c>
      <c r="F726" s="19" t="s">
        <v>78</v>
      </c>
      <c r="G726" s="19" t="s">
        <v>78</v>
      </c>
      <c r="H726" s="19" t="s">
        <v>288</v>
      </c>
      <c r="I726" s="10" t="s">
        <v>85</v>
      </c>
      <c r="J726" s="22" t="s">
        <v>215</v>
      </c>
      <c r="K726" s="12" t="s">
        <v>221</v>
      </c>
      <c r="L726" s="18">
        <v>45971.625</v>
      </c>
      <c r="M726" s="18">
        <v>46173.583333333299</v>
      </c>
      <c r="N726" s="15"/>
      <c r="O726" s="15"/>
      <c r="P726" s="15"/>
      <c r="Q726" s="15"/>
      <c r="R726" s="15"/>
    </row>
    <row r="727" spans="1:18" ht="20.25" customHeight="1">
      <c r="A727" s="5">
        <v>1225</v>
      </c>
      <c r="B727" s="28" t="s">
        <v>1675</v>
      </c>
      <c r="C727" s="24" t="s">
        <v>1676</v>
      </c>
      <c r="D727" s="19" t="s">
        <v>74</v>
      </c>
      <c r="E727" s="19" t="s">
        <v>78</v>
      </c>
      <c r="F727" s="19" t="s">
        <v>78</v>
      </c>
      <c r="G727" s="19" t="s">
        <v>78</v>
      </c>
      <c r="H727" s="19" t="s">
        <v>288</v>
      </c>
      <c r="I727" s="10" t="s">
        <v>85</v>
      </c>
      <c r="J727" s="22" t="s">
        <v>215</v>
      </c>
      <c r="K727" s="12" t="s">
        <v>221</v>
      </c>
      <c r="L727" s="18">
        <v>45972.625</v>
      </c>
      <c r="M727" s="18">
        <v>46181.583333333299</v>
      </c>
      <c r="N727" s="15"/>
      <c r="O727" s="15"/>
      <c r="P727" s="15"/>
      <c r="Q727" s="15"/>
      <c r="R727" s="15"/>
    </row>
    <row r="728" spans="1:18" ht="20.25" customHeight="1">
      <c r="A728" s="5">
        <v>1226</v>
      </c>
      <c r="B728" s="28" t="s">
        <v>1677</v>
      </c>
      <c r="C728" s="24" t="s">
        <v>829</v>
      </c>
      <c r="D728" s="19" t="s">
        <v>74</v>
      </c>
      <c r="E728" s="19" t="s">
        <v>202</v>
      </c>
      <c r="F728" s="19" t="s">
        <v>212</v>
      </c>
      <c r="G728" s="19" t="s">
        <v>95</v>
      </c>
      <c r="H728" s="19" t="s">
        <v>231</v>
      </c>
      <c r="I728" s="10" t="s">
        <v>58</v>
      </c>
      <c r="J728" s="22" t="s">
        <v>220</v>
      </c>
      <c r="K728" s="12" t="s">
        <v>208</v>
      </c>
      <c r="L728" s="18">
        <v>45964.625</v>
      </c>
      <c r="M728" s="18"/>
      <c r="N728" s="15"/>
      <c r="O728" s="15"/>
      <c r="P728" s="15"/>
      <c r="Q728" s="15"/>
      <c r="R728" s="15"/>
    </row>
    <row r="729" spans="1:18" ht="20.25" customHeight="1">
      <c r="A729" s="5">
        <v>1227</v>
      </c>
      <c r="B729" s="28" t="s">
        <v>1678</v>
      </c>
      <c r="C729" s="24" t="s">
        <v>1679</v>
      </c>
      <c r="D729" s="19" t="s">
        <v>16</v>
      </c>
      <c r="E729" s="19" t="s">
        <v>211</v>
      </c>
      <c r="F729" s="19" t="s">
        <v>212</v>
      </c>
      <c r="G729" s="19" t="s">
        <v>17</v>
      </c>
      <c r="H729" s="19" t="s">
        <v>240</v>
      </c>
      <c r="I729" s="10" t="s">
        <v>241</v>
      </c>
      <c r="J729" s="22" t="s">
        <v>220</v>
      </c>
      <c r="K729" s="12" t="s">
        <v>208</v>
      </c>
      <c r="L729" s="18">
        <v>45978.625</v>
      </c>
      <c r="M729" s="18"/>
      <c r="N729" s="15"/>
      <c r="O729" s="15"/>
      <c r="P729" s="15"/>
      <c r="Q729" s="15"/>
      <c r="R729" s="15"/>
    </row>
    <row r="730" spans="1:18" ht="20.25" customHeight="1">
      <c r="A730" s="5">
        <v>1228</v>
      </c>
      <c r="B730" s="28" t="s">
        <v>1680</v>
      </c>
      <c r="C730" s="24" t="s">
        <v>1681</v>
      </c>
      <c r="D730" s="19" t="s">
        <v>29</v>
      </c>
      <c r="E730" s="19" t="s">
        <v>203</v>
      </c>
      <c r="F730" s="19" t="s">
        <v>259</v>
      </c>
      <c r="G730" s="19" t="s">
        <v>36</v>
      </c>
      <c r="H730" s="19" t="s">
        <v>36</v>
      </c>
      <c r="I730" s="10" t="s">
        <v>1078</v>
      </c>
      <c r="J730" s="22" t="s">
        <v>471</v>
      </c>
      <c r="K730" s="12" t="s">
        <v>221</v>
      </c>
      <c r="L730" s="18">
        <v>45972.625</v>
      </c>
      <c r="M730" s="18">
        <v>46147.583333333299</v>
      </c>
      <c r="N730" s="15"/>
      <c r="O730" s="15"/>
      <c r="P730" s="15"/>
      <c r="Q730" s="15"/>
      <c r="R730" s="15"/>
    </row>
    <row r="731" spans="1:18" ht="20.25" customHeight="1">
      <c r="A731" s="5">
        <v>1229</v>
      </c>
      <c r="B731" s="28" t="s">
        <v>1682</v>
      </c>
      <c r="C731" s="24" t="s">
        <v>877</v>
      </c>
      <c r="D731" s="19" t="s">
        <v>45</v>
      </c>
      <c r="E731" s="19" t="s">
        <v>201</v>
      </c>
      <c r="F731" s="19" t="s">
        <v>259</v>
      </c>
      <c r="G731" s="19" t="s">
        <v>101</v>
      </c>
      <c r="H731" s="19" t="s">
        <v>101</v>
      </c>
      <c r="I731" s="10" t="s">
        <v>337</v>
      </c>
      <c r="J731" s="22" t="s">
        <v>215</v>
      </c>
      <c r="K731" s="12" t="s">
        <v>208</v>
      </c>
      <c r="L731" s="18">
        <v>45972.625</v>
      </c>
      <c r="M731" s="18"/>
      <c r="N731" s="15"/>
      <c r="O731" s="15"/>
      <c r="P731" s="15"/>
      <c r="Q731" s="15"/>
      <c r="R731" s="15"/>
    </row>
    <row r="732" spans="1:18" ht="20.25" customHeight="1">
      <c r="A732" s="5">
        <v>1230</v>
      </c>
      <c r="B732" s="28" t="s">
        <v>1683</v>
      </c>
      <c r="C732" s="24" t="s">
        <v>1684</v>
      </c>
      <c r="D732" s="19" t="s">
        <v>74</v>
      </c>
      <c r="E732" s="19" t="s">
        <v>78</v>
      </c>
      <c r="F732" s="19" t="s">
        <v>78</v>
      </c>
      <c r="G732" s="19" t="s">
        <v>78</v>
      </c>
      <c r="H732" s="19" t="s">
        <v>288</v>
      </c>
      <c r="I732" s="10" t="s">
        <v>85</v>
      </c>
      <c r="J732" s="22" t="s">
        <v>215</v>
      </c>
      <c r="K732" s="12" t="s">
        <v>208</v>
      </c>
      <c r="L732" s="18">
        <v>45978.625</v>
      </c>
      <c r="M732" s="18"/>
      <c r="N732" s="15"/>
      <c r="O732" s="15"/>
      <c r="P732" s="15"/>
      <c r="Q732" s="15"/>
      <c r="R732" s="15"/>
    </row>
    <row r="733" spans="1:18" ht="20.25" customHeight="1">
      <c r="A733" s="5">
        <v>1231</v>
      </c>
      <c r="B733" s="28" t="s">
        <v>1685</v>
      </c>
      <c r="C733" s="24" t="s">
        <v>1686</v>
      </c>
      <c r="D733" s="19" t="s">
        <v>74</v>
      </c>
      <c r="E733" s="19" t="s">
        <v>1687</v>
      </c>
      <c r="F733" s="19" t="s">
        <v>78</v>
      </c>
      <c r="G733" s="19" t="s">
        <v>78</v>
      </c>
      <c r="H733" s="19" t="s">
        <v>288</v>
      </c>
      <c r="I733" s="10" t="s">
        <v>1688</v>
      </c>
      <c r="J733" s="22" t="s">
        <v>220</v>
      </c>
      <c r="K733" s="12" t="s">
        <v>221</v>
      </c>
      <c r="L733" s="18">
        <v>45972.625</v>
      </c>
      <c r="M733" s="18">
        <v>46055.625</v>
      </c>
      <c r="N733" s="15"/>
      <c r="O733" s="15"/>
      <c r="P733" s="15"/>
      <c r="Q733" s="15"/>
      <c r="R733" s="15"/>
    </row>
    <row r="734" spans="1:18" ht="20.25" customHeight="1">
      <c r="A734" s="5">
        <v>1232</v>
      </c>
      <c r="B734" s="28" t="s">
        <v>1689</v>
      </c>
      <c r="C734" s="24" t="s">
        <v>1690</v>
      </c>
      <c r="D734" s="19" t="s">
        <v>74</v>
      </c>
      <c r="E734" s="19" t="s">
        <v>1687</v>
      </c>
      <c r="F734" s="19" t="s">
        <v>78</v>
      </c>
      <c r="G734" s="19" t="s">
        <v>78</v>
      </c>
      <c r="H734" s="19" t="s">
        <v>288</v>
      </c>
      <c r="I734" s="10" t="s">
        <v>1688</v>
      </c>
      <c r="J734" s="22" t="s">
        <v>220</v>
      </c>
      <c r="K734" s="12" t="s">
        <v>221</v>
      </c>
      <c r="L734" s="18">
        <v>45971.625</v>
      </c>
      <c r="M734" s="18">
        <v>46055.625</v>
      </c>
      <c r="N734" s="15"/>
      <c r="O734" s="15"/>
      <c r="P734" s="15"/>
      <c r="Q734" s="15"/>
      <c r="R734" s="15"/>
    </row>
    <row r="735" spans="1:18" ht="20.25" customHeight="1">
      <c r="A735" s="5">
        <v>1233</v>
      </c>
      <c r="B735" s="28" t="s">
        <v>1691</v>
      </c>
      <c r="C735" s="24" t="s">
        <v>1692</v>
      </c>
      <c r="D735" s="19" t="s">
        <v>29</v>
      </c>
      <c r="E735" s="19" t="s">
        <v>203</v>
      </c>
      <c r="F735" s="19" t="s">
        <v>212</v>
      </c>
      <c r="G735" s="19" t="s">
        <v>39</v>
      </c>
      <c r="H735" s="19" t="s">
        <v>240</v>
      </c>
      <c r="I735" s="10" t="s">
        <v>28</v>
      </c>
      <c r="J735" s="22" t="s">
        <v>284</v>
      </c>
      <c r="K735" s="12" t="s">
        <v>221</v>
      </c>
      <c r="L735" s="18">
        <v>45979.625</v>
      </c>
      <c r="M735" s="18">
        <v>46053.625</v>
      </c>
      <c r="N735" s="15"/>
      <c r="O735" s="15"/>
      <c r="P735" s="15"/>
      <c r="Q735" s="15"/>
      <c r="R735" s="15"/>
    </row>
    <row r="736" spans="1:18" ht="20.25" customHeight="1">
      <c r="A736" s="5">
        <v>1234</v>
      </c>
      <c r="B736" s="28" t="s">
        <v>1693</v>
      </c>
      <c r="C736" s="24" t="s">
        <v>1694</v>
      </c>
      <c r="D736" s="19" t="s">
        <v>74</v>
      </c>
      <c r="E736" s="19" t="s">
        <v>78</v>
      </c>
      <c r="F736" s="19" t="s">
        <v>78</v>
      </c>
      <c r="G736" s="19" t="s">
        <v>78</v>
      </c>
      <c r="H736" s="19" t="s">
        <v>527</v>
      </c>
      <c r="I736" s="10" t="s">
        <v>113</v>
      </c>
      <c r="J736" s="22" t="s">
        <v>284</v>
      </c>
      <c r="K736" s="12" t="s">
        <v>221</v>
      </c>
      <c r="L736" s="18">
        <v>45975.625</v>
      </c>
      <c r="M736" s="18">
        <v>45991.625</v>
      </c>
      <c r="N736" s="15"/>
      <c r="O736" s="15"/>
      <c r="P736" s="15"/>
      <c r="Q736" s="15"/>
      <c r="R736" s="15"/>
    </row>
    <row r="737" spans="1:18" ht="20.25" customHeight="1">
      <c r="A737" s="5">
        <v>1235</v>
      </c>
      <c r="B737" s="28" t="s">
        <v>1695</v>
      </c>
      <c r="C737" s="24" t="s">
        <v>1696</v>
      </c>
      <c r="D737" s="19" t="s">
        <v>45</v>
      </c>
      <c r="E737" s="19" t="s">
        <v>201</v>
      </c>
      <c r="F737" s="19" t="s">
        <v>212</v>
      </c>
      <c r="G737" s="19" t="s">
        <v>136</v>
      </c>
      <c r="H737" s="19" t="s">
        <v>240</v>
      </c>
      <c r="I737" s="10" t="s">
        <v>241</v>
      </c>
      <c r="J737" s="22" t="s">
        <v>220</v>
      </c>
      <c r="K737" s="12" t="s">
        <v>221</v>
      </c>
      <c r="L737" s="18">
        <v>45976.625</v>
      </c>
      <c r="M737" s="18">
        <v>46173.583333333299</v>
      </c>
      <c r="N737" s="15"/>
      <c r="O737" s="15"/>
      <c r="P737" s="15"/>
      <c r="Q737" s="15"/>
      <c r="R737" s="15"/>
    </row>
    <row r="738" spans="1:18" ht="20.25" customHeight="1">
      <c r="A738" s="5">
        <v>1236</v>
      </c>
      <c r="B738" s="28" t="s">
        <v>1697</v>
      </c>
      <c r="C738" s="24" t="s">
        <v>1698</v>
      </c>
      <c r="D738" s="19" t="s">
        <v>74</v>
      </c>
      <c r="E738" s="19" t="s">
        <v>1687</v>
      </c>
      <c r="F738" s="19" t="s">
        <v>78</v>
      </c>
      <c r="G738" s="19" t="s">
        <v>78</v>
      </c>
      <c r="H738" s="19" t="s">
        <v>288</v>
      </c>
      <c r="I738" s="10" t="s">
        <v>1688</v>
      </c>
      <c r="J738" s="22" t="s">
        <v>220</v>
      </c>
      <c r="K738" s="12" t="s">
        <v>221</v>
      </c>
      <c r="L738" s="18">
        <v>45981.625</v>
      </c>
      <c r="M738" s="18">
        <v>46055.625</v>
      </c>
      <c r="N738" s="15"/>
      <c r="O738" s="15"/>
      <c r="P738" s="15"/>
      <c r="Q738" s="15"/>
      <c r="R738" s="15"/>
    </row>
    <row r="739" spans="1:18" ht="20.25" customHeight="1">
      <c r="A739" s="5">
        <v>1237</v>
      </c>
      <c r="B739" s="28" t="s">
        <v>1699</v>
      </c>
      <c r="C739" s="24" t="s">
        <v>1700</v>
      </c>
      <c r="D739" s="19" t="s">
        <v>74</v>
      </c>
      <c r="E739" s="19" t="s">
        <v>640</v>
      </c>
      <c r="F739" s="19" t="s">
        <v>78</v>
      </c>
      <c r="G739" s="19" t="s">
        <v>78</v>
      </c>
      <c r="H739" s="19" t="s">
        <v>288</v>
      </c>
      <c r="I739" s="10" t="s">
        <v>641</v>
      </c>
      <c r="J739" s="22" t="s">
        <v>1395</v>
      </c>
      <c r="K739" s="12" t="s">
        <v>221</v>
      </c>
      <c r="L739" s="18">
        <v>45981.625</v>
      </c>
      <c r="M739" s="18">
        <v>46016.625</v>
      </c>
      <c r="N739" s="15"/>
      <c r="O739" s="15"/>
      <c r="P739" s="15"/>
      <c r="Q739" s="15"/>
      <c r="R739" s="15"/>
    </row>
    <row r="740" spans="1:18" ht="20.25" customHeight="1">
      <c r="A740" s="5">
        <v>1238</v>
      </c>
      <c r="B740" s="28" t="s">
        <v>1701</v>
      </c>
      <c r="C740" s="24" t="s">
        <v>1702</v>
      </c>
      <c r="D740" s="19" t="s">
        <v>74</v>
      </c>
      <c r="E740" s="19" t="s">
        <v>1687</v>
      </c>
      <c r="F740" s="19" t="s">
        <v>78</v>
      </c>
      <c r="G740" s="19" t="s">
        <v>78</v>
      </c>
      <c r="H740" s="19" t="s">
        <v>576</v>
      </c>
      <c r="I740" s="10" t="s">
        <v>1703</v>
      </c>
      <c r="J740" s="22" t="s">
        <v>220</v>
      </c>
      <c r="K740" s="12" t="s">
        <v>221</v>
      </c>
      <c r="L740" s="18">
        <v>45975.625</v>
      </c>
      <c r="M740" s="18">
        <v>46066.625</v>
      </c>
      <c r="N740" s="15"/>
      <c r="O740" s="15"/>
      <c r="P740" s="15"/>
      <c r="Q740" s="15"/>
      <c r="R740" s="15"/>
    </row>
    <row r="741" spans="1:18" ht="20.25" customHeight="1">
      <c r="A741" s="5">
        <v>1239</v>
      </c>
      <c r="B741" s="28" t="s">
        <v>1704</v>
      </c>
      <c r="C741" s="24" t="s">
        <v>1705</v>
      </c>
      <c r="D741" s="19" t="s">
        <v>74</v>
      </c>
      <c r="E741" s="19" t="s">
        <v>1687</v>
      </c>
      <c r="F741" s="19" t="s">
        <v>78</v>
      </c>
      <c r="G741" s="19" t="s">
        <v>78</v>
      </c>
      <c r="H741" s="19" t="s">
        <v>576</v>
      </c>
      <c r="I741" s="10" t="s">
        <v>1703</v>
      </c>
      <c r="J741" s="22" t="s">
        <v>220</v>
      </c>
      <c r="K741" s="12" t="s">
        <v>221</v>
      </c>
      <c r="L741" s="18">
        <v>45975.625</v>
      </c>
      <c r="M741" s="18">
        <v>46066.625</v>
      </c>
      <c r="N741" s="15"/>
      <c r="O741" s="15"/>
      <c r="P741" s="15"/>
      <c r="Q741" s="15"/>
      <c r="R741" s="15"/>
    </row>
    <row r="742" spans="1:18" ht="20.25" customHeight="1">
      <c r="A742" s="5">
        <v>1240</v>
      </c>
      <c r="B742" s="28" t="s">
        <v>1706</v>
      </c>
      <c r="C742" s="24" t="s">
        <v>1707</v>
      </c>
      <c r="D742" s="19" t="s">
        <v>74</v>
      </c>
      <c r="E742" s="19" t="s">
        <v>202</v>
      </c>
      <c r="F742" s="19" t="s">
        <v>259</v>
      </c>
      <c r="G742" s="19" t="s">
        <v>480</v>
      </c>
      <c r="H742" s="19" t="s">
        <v>480</v>
      </c>
      <c r="I742" s="10" t="s">
        <v>1708</v>
      </c>
      <c r="J742" s="22" t="s">
        <v>471</v>
      </c>
      <c r="K742" s="12" t="s">
        <v>221</v>
      </c>
      <c r="L742" s="18">
        <v>45982.625</v>
      </c>
      <c r="M742" s="18">
        <v>46059.625</v>
      </c>
      <c r="N742" s="15"/>
      <c r="O742" s="15"/>
      <c r="P742" s="15"/>
      <c r="Q742" s="15"/>
      <c r="R742" s="15"/>
    </row>
    <row r="743" spans="1:18" ht="20.25" customHeight="1">
      <c r="A743" s="5">
        <v>1241</v>
      </c>
      <c r="B743" s="28" t="s">
        <v>1709</v>
      </c>
      <c r="C743" s="24" t="s">
        <v>1710</v>
      </c>
      <c r="D743" s="19" t="s">
        <v>74</v>
      </c>
      <c r="E743" s="19" t="s">
        <v>202</v>
      </c>
      <c r="F743" s="19" t="s">
        <v>212</v>
      </c>
      <c r="G743" s="19" t="s">
        <v>120</v>
      </c>
      <c r="H743" s="19" t="s">
        <v>231</v>
      </c>
      <c r="I743" s="10" t="s">
        <v>58</v>
      </c>
      <c r="J743" s="22" t="s">
        <v>284</v>
      </c>
      <c r="K743" s="12" t="s">
        <v>221</v>
      </c>
      <c r="L743" s="18">
        <v>45981.625</v>
      </c>
      <c r="M743" s="18">
        <v>45992.625</v>
      </c>
      <c r="N743" s="15"/>
      <c r="O743" s="15"/>
      <c r="P743" s="15"/>
      <c r="Q743" s="15"/>
      <c r="R743" s="15"/>
    </row>
    <row r="744" spans="1:18" ht="20.25" customHeight="1">
      <c r="A744" s="5">
        <v>1242</v>
      </c>
      <c r="B744" s="28" t="s">
        <v>1711</v>
      </c>
      <c r="C744" s="24" t="s">
        <v>1712</v>
      </c>
      <c r="D744" s="19" t="s">
        <v>29</v>
      </c>
      <c r="E744" s="19" t="s">
        <v>203</v>
      </c>
      <c r="F744" s="19" t="s">
        <v>212</v>
      </c>
      <c r="G744" s="19" t="s">
        <v>1257</v>
      </c>
      <c r="H744" s="19" t="s">
        <v>266</v>
      </c>
      <c r="I744" s="10" t="s">
        <v>319</v>
      </c>
      <c r="J744" s="22" t="s">
        <v>215</v>
      </c>
      <c r="K744" s="12" t="s">
        <v>208</v>
      </c>
      <c r="L744" s="18">
        <v>45978.625</v>
      </c>
      <c r="M744" s="18"/>
      <c r="N744" s="15"/>
      <c r="O744" s="15"/>
      <c r="P744" s="15"/>
      <c r="Q744" s="15"/>
      <c r="R744" s="15"/>
    </row>
    <row r="745" spans="1:18" ht="20.25" customHeight="1">
      <c r="A745" s="5">
        <v>1243</v>
      </c>
      <c r="B745" s="28" t="s">
        <v>1713</v>
      </c>
      <c r="C745" s="24" t="s">
        <v>1714</v>
      </c>
      <c r="D745" s="19" t="s">
        <v>74</v>
      </c>
      <c r="E745" s="19" t="s">
        <v>202</v>
      </c>
      <c r="F745" s="19" t="s">
        <v>259</v>
      </c>
      <c r="G745" s="19" t="s">
        <v>305</v>
      </c>
      <c r="H745" s="19" t="s">
        <v>305</v>
      </c>
      <c r="I745" s="10" t="s">
        <v>316</v>
      </c>
      <c r="J745" s="22" t="s">
        <v>215</v>
      </c>
      <c r="K745" s="12" t="s">
        <v>221</v>
      </c>
      <c r="L745" s="18">
        <v>45979.625</v>
      </c>
      <c r="M745" s="18">
        <v>46066.625</v>
      </c>
      <c r="N745" s="15"/>
      <c r="O745" s="15"/>
      <c r="P745" s="15"/>
      <c r="Q745" s="15"/>
      <c r="R745" s="15"/>
    </row>
    <row r="746" spans="1:18" ht="20.25" customHeight="1">
      <c r="A746" s="5">
        <v>1244</v>
      </c>
      <c r="B746" s="28" t="s">
        <v>1715</v>
      </c>
      <c r="C746" s="24" t="s">
        <v>1716</v>
      </c>
      <c r="D746" s="19" t="s">
        <v>16</v>
      </c>
      <c r="E746" s="19" t="s">
        <v>211</v>
      </c>
      <c r="F746" s="19" t="s">
        <v>259</v>
      </c>
      <c r="G746" s="19" t="s">
        <v>480</v>
      </c>
      <c r="H746" s="19" t="s">
        <v>480</v>
      </c>
      <c r="I746" s="10" t="s">
        <v>1717</v>
      </c>
      <c r="J746" s="22" t="s">
        <v>215</v>
      </c>
      <c r="K746" s="12" t="s">
        <v>208</v>
      </c>
      <c r="L746" s="18">
        <v>45979.625</v>
      </c>
      <c r="M746" s="18"/>
      <c r="N746" s="15"/>
      <c r="O746" s="15"/>
      <c r="P746" s="15"/>
      <c r="Q746" s="15"/>
      <c r="R746" s="15"/>
    </row>
    <row r="747" spans="1:18" ht="20.25" customHeight="1">
      <c r="A747" s="5">
        <v>1245</v>
      </c>
      <c r="B747" s="28" t="s">
        <v>1718</v>
      </c>
      <c r="C747" s="24" t="s">
        <v>1348</v>
      </c>
      <c r="D747" s="19" t="s">
        <v>29</v>
      </c>
      <c r="E747" s="19" t="s">
        <v>203</v>
      </c>
      <c r="F747" s="19" t="s">
        <v>212</v>
      </c>
      <c r="G747" s="19" t="s">
        <v>544</v>
      </c>
      <c r="H747" s="19" t="s">
        <v>240</v>
      </c>
      <c r="I747" s="10" t="s">
        <v>28</v>
      </c>
      <c r="J747" s="22" t="s">
        <v>1395</v>
      </c>
      <c r="K747" s="12" t="s">
        <v>221</v>
      </c>
      <c r="L747" s="18">
        <v>45986.625</v>
      </c>
      <c r="M747" s="18">
        <v>46046.625</v>
      </c>
      <c r="N747" s="15"/>
      <c r="O747" s="15"/>
      <c r="P747" s="15"/>
      <c r="Q747" s="15"/>
      <c r="R747" s="15"/>
    </row>
    <row r="748" spans="1:18" ht="20.25" customHeight="1">
      <c r="A748" s="5">
        <v>1246</v>
      </c>
      <c r="B748" s="28" t="s">
        <v>1719</v>
      </c>
      <c r="C748" s="24" t="s">
        <v>1720</v>
      </c>
      <c r="D748" s="19" t="s">
        <v>74</v>
      </c>
      <c r="E748" s="19" t="s">
        <v>202</v>
      </c>
      <c r="F748" s="19" t="s">
        <v>212</v>
      </c>
      <c r="G748" s="19" t="s">
        <v>120</v>
      </c>
      <c r="H748" s="19" t="s">
        <v>231</v>
      </c>
      <c r="I748" s="10" t="s">
        <v>58</v>
      </c>
      <c r="J748" s="22" t="s">
        <v>220</v>
      </c>
      <c r="K748" s="12" t="s">
        <v>208</v>
      </c>
      <c r="L748" s="18">
        <v>45982.625</v>
      </c>
      <c r="M748" s="18"/>
      <c r="N748" s="15"/>
      <c r="O748" s="15"/>
      <c r="P748" s="15"/>
      <c r="Q748" s="15"/>
      <c r="R748" s="15"/>
    </row>
    <row r="749" spans="1:18" ht="20.25" customHeight="1">
      <c r="A749" s="5">
        <v>1247</v>
      </c>
      <c r="B749" s="28" t="s">
        <v>1721</v>
      </c>
      <c r="C749" s="24" t="s">
        <v>1722</v>
      </c>
      <c r="D749" s="19" t="s">
        <v>74</v>
      </c>
      <c r="E749" s="19" t="s">
        <v>78</v>
      </c>
      <c r="F749" s="19" t="s">
        <v>78</v>
      </c>
      <c r="G749" s="19" t="s">
        <v>78</v>
      </c>
      <c r="H749" s="19" t="s">
        <v>288</v>
      </c>
      <c r="I749" s="10" t="s">
        <v>85</v>
      </c>
      <c r="J749" s="22" t="s">
        <v>215</v>
      </c>
      <c r="K749" s="12" t="s">
        <v>208</v>
      </c>
      <c r="L749" s="18">
        <v>45981.625</v>
      </c>
      <c r="M749" s="18"/>
      <c r="N749" s="15"/>
      <c r="O749" s="15"/>
      <c r="P749" s="15"/>
      <c r="Q749" s="15"/>
      <c r="R749" s="15"/>
    </row>
    <row r="750" spans="1:18" ht="20.25" customHeight="1">
      <c r="A750" s="5">
        <v>1248</v>
      </c>
      <c r="B750" s="28" t="s">
        <v>1723</v>
      </c>
      <c r="C750" s="24" t="s">
        <v>1724</v>
      </c>
      <c r="D750" s="19" t="s">
        <v>74</v>
      </c>
      <c r="E750" s="19" t="s">
        <v>640</v>
      </c>
      <c r="F750" s="19" t="s">
        <v>78</v>
      </c>
      <c r="G750" s="19" t="s">
        <v>78</v>
      </c>
      <c r="H750" s="19" t="s">
        <v>288</v>
      </c>
      <c r="I750" s="10" t="s">
        <v>641</v>
      </c>
      <c r="J750" s="22" t="s">
        <v>1395</v>
      </c>
      <c r="K750" s="12" t="s">
        <v>221</v>
      </c>
      <c r="L750" s="18">
        <v>45989.625</v>
      </c>
      <c r="M750" s="18">
        <v>46016.625</v>
      </c>
      <c r="N750" s="15"/>
      <c r="O750" s="15"/>
      <c r="P750" s="15"/>
      <c r="Q750" s="15"/>
      <c r="R750" s="15"/>
    </row>
    <row r="751" spans="1:18" ht="20.25" customHeight="1">
      <c r="A751" s="5">
        <v>1249</v>
      </c>
      <c r="B751" s="28" t="s">
        <v>1725</v>
      </c>
      <c r="C751" s="24" t="s">
        <v>1726</v>
      </c>
      <c r="D751" s="19" t="s">
        <v>74</v>
      </c>
      <c r="E751" s="19" t="s">
        <v>640</v>
      </c>
      <c r="F751" s="19" t="s">
        <v>78</v>
      </c>
      <c r="G751" s="19" t="s">
        <v>78</v>
      </c>
      <c r="H751" s="19" t="s">
        <v>288</v>
      </c>
      <c r="I751" s="10" t="s">
        <v>641</v>
      </c>
      <c r="J751" s="22" t="s">
        <v>1395</v>
      </c>
      <c r="K751" s="12" t="s">
        <v>221</v>
      </c>
      <c r="L751" s="18">
        <v>45989.625</v>
      </c>
      <c r="M751" s="18">
        <v>45997.625</v>
      </c>
      <c r="N751" s="15"/>
      <c r="O751" s="15"/>
      <c r="P751" s="15"/>
      <c r="Q751" s="15"/>
      <c r="R751" s="15"/>
    </row>
    <row r="752" spans="1:18" ht="20.25" customHeight="1">
      <c r="A752" s="5">
        <v>1250</v>
      </c>
      <c r="B752" s="28" t="s">
        <v>1727</v>
      </c>
      <c r="C752" s="24" t="s">
        <v>1728</v>
      </c>
      <c r="D752" s="19" t="s">
        <v>74</v>
      </c>
      <c r="E752" s="19" t="s">
        <v>640</v>
      </c>
      <c r="F752" s="19" t="s">
        <v>78</v>
      </c>
      <c r="G752" s="19" t="s">
        <v>78</v>
      </c>
      <c r="H752" s="19" t="s">
        <v>288</v>
      </c>
      <c r="I752" s="10" t="s">
        <v>641</v>
      </c>
      <c r="J752" s="24" t="s">
        <v>1395</v>
      </c>
      <c r="K752" s="7" t="s">
        <v>221</v>
      </c>
      <c r="L752" s="18">
        <v>45990.625</v>
      </c>
      <c r="M752" s="18">
        <v>45998.625</v>
      </c>
      <c r="N752" s="15"/>
      <c r="O752" s="15"/>
      <c r="P752" s="15"/>
      <c r="Q752" s="15"/>
      <c r="R752" s="15"/>
    </row>
    <row r="753" spans="1:18" ht="20.25" customHeight="1">
      <c r="A753" s="5">
        <v>1251</v>
      </c>
      <c r="B753" s="28" t="s">
        <v>1729</v>
      </c>
      <c r="C753" s="24" t="s">
        <v>1730</v>
      </c>
      <c r="D753" s="19" t="s">
        <v>74</v>
      </c>
      <c r="E753" s="19" t="s">
        <v>640</v>
      </c>
      <c r="F753" s="19" t="s">
        <v>78</v>
      </c>
      <c r="G753" s="19" t="s">
        <v>78</v>
      </c>
      <c r="H753" s="19" t="s">
        <v>288</v>
      </c>
      <c r="I753" s="10" t="s">
        <v>641</v>
      </c>
      <c r="J753" s="24" t="s">
        <v>1395</v>
      </c>
      <c r="K753" s="7" t="s">
        <v>221</v>
      </c>
      <c r="L753" s="18">
        <v>45981.625</v>
      </c>
      <c r="M753" s="18">
        <v>46016.625</v>
      </c>
      <c r="N753" s="15"/>
      <c r="O753" s="15"/>
      <c r="P753" s="15"/>
      <c r="Q753" s="15"/>
      <c r="R753" s="15"/>
    </row>
    <row r="754" spans="1:18" ht="20.25" customHeight="1">
      <c r="A754" s="5">
        <v>1252</v>
      </c>
      <c r="B754" s="28" t="s">
        <v>1731</v>
      </c>
      <c r="C754" s="24" t="s">
        <v>1732</v>
      </c>
      <c r="D754" s="19" t="s">
        <v>74</v>
      </c>
      <c r="E754" s="19" t="s">
        <v>1687</v>
      </c>
      <c r="F754" s="19" t="s">
        <v>78</v>
      </c>
      <c r="G754" s="19" t="s">
        <v>78</v>
      </c>
      <c r="H754" s="19" t="s">
        <v>576</v>
      </c>
      <c r="I754" s="10" t="s">
        <v>1703</v>
      </c>
      <c r="J754" s="24" t="s">
        <v>220</v>
      </c>
      <c r="K754" s="7" t="s">
        <v>221</v>
      </c>
      <c r="L754" s="18">
        <v>45988.625</v>
      </c>
      <c r="M754" s="18">
        <v>46066.625</v>
      </c>
      <c r="N754" s="15"/>
      <c r="O754" s="15"/>
      <c r="P754" s="15"/>
      <c r="Q754" s="15"/>
      <c r="R754" s="15"/>
    </row>
    <row r="755" spans="1:18" ht="20.25" customHeight="1">
      <c r="A755" s="5">
        <v>1253</v>
      </c>
      <c r="B755" s="28" t="s">
        <v>1733</v>
      </c>
      <c r="C755" s="24" t="s">
        <v>1734</v>
      </c>
      <c r="D755" s="19" t="s">
        <v>74</v>
      </c>
      <c r="E755" s="19" t="s">
        <v>1687</v>
      </c>
      <c r="F755" s="19" t="s">
        <v>78</v>
      </c>
      <c r="G755" s="19" t="s">
        <v>78</v>
      </c>
      <c r="H755" s="19" t="s">
        <v>576</v>
      </c>
      <c r="I755" s="10" t="s">
        <v>1703</v>
      </c>
      <c r="J755" s="24" t="s">
        <v>220</v>
      </c>
      <c r="K755" s="7" t="s">
        <v>221</v>
      </c>
      <c r="L755" s="18">
        <v>45988.625</v>
      </c>
      <c r="M755" s="18">
        <v>46066.625</v>
      </c>
      <c r="N755" s="15"/>
      <c r="O755" s="15"/>
      <c r="P755" s="15"/>
      <c r="Q755" s="15"/>
      <c r="R755" s="15"/>
    </row>
    <row r="756" spans="1:18" ht="20.25" customHeight="1">
      <c r="A756" s="5">
        <v>1254</v>
      </c>
      <c r="B756" s="28" t="s">
        <v>1735</v>
      </c>
      <c r="C756" s="24" t="s">
        <v>1736</v>
      </c>
      <c r="D756" s="19" t="s">
        <v>74</v>
      </c>
      <c r="E756" s="19" t="s">
        <v>202</v>
      </c>
      <c r="F756" s="19" t="s">
        <v>212</v>
      </c>
      <c r="G756" s="19" t="s">
        <v>108</v>
      </c>
      <c r="H756" s="19" t="s">
        <v>266</v>
      </c>
      <c r="I756" s="10" t="s">
        <v>15</v>
      </c>
      <c r="J756" s="24" t="s">
        <v>215</v>
      </c>
      <c r="K756" s="7" t="s">
        <v>208</v>
      </c>
      <c r="L756" s="18">
        <v>45989.625</v>
      </c>
      <c r="M756" s="18"/>
      <c r="N756" s="15"/>
      <c r="O756" s="15"/>
      <c r="P756" s="15"/>
      <c r="Q756" s="15"/>
      <c r="R756" s="15"/>
    </row>
    <row r="757" spans="1:18" ht="20.25" customHeight="1">
      <c r="A757" s="5">
        <v>1255</v>
      </c>
      <c r="B757" s="28" t="s">
        <v>1737</v>
      </c>
      <c r="C757" s="24" t="s">
        <v>1738</v>
      </c>
      <c r="D757" s="19" t="s">
        <v>29</v>
      </c>
      <c r="E757" s="19" t="s">
        <v>203</v>
      </c>
      <c r="F757" s="19" t="s">
        <v>212</v>
      </c>
      <c r="G757" s="19" t="s">
        <v>30</v>
      </c>
      <c r="H757" s="19" t="s">
        <v>266</v>
      </c>
      <c r="I757" s="10" t="s">
        <v>15</v>
      </c>
      <c r="J757" s="24" t="s">
        <v>215</v>
      </c>
      <c r="K757" s="7" t="s">
        <v>208</v>
      </c>
      <c r="L757" s="18">
        <v>45999.625</v>
      </c>
      <c r="M757" s="18"/>
      <c r="N757" s="15"/>
      <c r="O757" s="15"/>
      <c r="P757" s="15"/>
      <c r="Q757" s="15"/>
      <c r="R757" s="15"/>
    </row>
    <row r="758" spans="1:18" ht="20.25" customHeight="1">
      <c r="A758" s="5">
        <v>1256</v>
      </c>
      <c r="B758" s="28" t="s">
        <v>1739</v>
      </c>
      <c r="C758" s="24" t="s">
        <v>1740</v>
      </c>
      <c r="D758" s="19" t="s">
        <v>74</v>
      </c>
      <c r="E758" s="19" t="s">
        <v>202</v>
      </c>
      <c r="F758" s="19" t="s">
        <v>212</v>
      </c>
      <c r="G758" s="19" t="s">
        <v>108</v>
      </c>
      <c r="H758" s="19" t="s">
        <v>218</v>
      </c>
      <c r="I758" s="10" t="s">
        <v>61</v>
      </c>
      <c r="J758" s="24" t="s">
        <v>1395</v>
      </c>
      <c r="K758" s="7" t="s">
        <v>221</v>
      </c>
      <c r="L758" s="18">
        <v>45992.625</v>
      </c>
      <c r="M758" s="18">
        <v>46081.625</v>
      </c>
      <c r="N758" s="15"/>
      <c r="O758" s="15"/>
      <c r="P758" s="15"/>
      <c r="Q758" s="15"/>
      <c r="R758" s="15"/>
    </row>
    <row r="759" spans="1:18" ht="20.25" customHeight="1">
      <c r="A759" s="5">
        <v>1257</v>
      </c>
      <c r="B759" s="28" t="s">
        <v>1741</v>
      </c>
      <c r="C759" s="24" t="s">
        <v>1742</v>
      </c>
      <c r="D759" s="19" t="s">
        <v>16</v>
      </c>
      <c r="E759" s="19" t="s">
        <v>211</v>
      </c>
      <c r="F759" s="19" t="s">
        <v>259</v>
      </c>
      <c r="G759" s="19" t="s">
        <v>284</v>
      </c>
      <c r="H759" s="19" t="s">
        <v>284</v>
      </c>
      <c r="I759" s="10" t="s">
        <v>1743</v>
      </c>
      <c r="J759" s="24" t="s">
        <v>215</v>
      </c>
      <c r="K759" s="7" t="s">
        <v>208</v>
      </c>
      <c r="L759" s="18">
        <v>45993.625</v>
      </c>
      <c r="M759" s="18"/>
      <c r="N759" s="15"/>
      <c r="O759" s="15"/>
      <c r="P759" s="15"/>
      <c r="Q759" s="15"/>
      <c r="R759" s="15"/>
    </row>
    <row r="760" spans="1:18" ht="20.25" customHeight="1">
      <c r="A760" s="5">
        <v>1258</v>
      </c>
      <c r="B760" s="28" t="s">
        <v>1744</v>
      </c>
      <c r="C760" s="24" t="s">
        <v>1745</v>
      </c>
      <c r="D760" s="19" t="s">
        <v>74</v>
      </c>
      <c r="E760" s="19" t="s">
        <v>1687</v>
      </c>
      <c r="F760" s="19" t="s">
        <v>78</v>
      </c>
      <c r="G760" s="19" t="s">
        <v>78</v>
      </c>
      <c r="H760" s="19" t="s">
        <v>576</v>
      </c>
      <c r="I760" s="10" t="s">
        <v>1703</v>
      </c>
      <c r="J760" s="24" t="s">
        <v>1395</v>
      </c>
      <c r="K760" s="7" t="s">
        <v>221</v>
      </c>
      <c r="L760" s="18">
        <v>45992.625</v>
      </c>
      <c r="M760" s="18">
        <v>46026.625</v>
      </c>
      <c r="N760" s="15"/>
      <c r="O760" s="15"/>
      <c r="P760" s="15"/>
      <c r="Q760" s="15"/>
      <c r="R760" s="15"/>
    </row>
    <row r="761" spans="1:18" ht="20.25" customHeight="1">
      <c r="A761" s="5">
        <v>1259</v>
      </c>
      <c r="B761" s="28" t="s">
        <v>1746</v>
      </c>
      <c r="C761" s="24" t="s">
        <v>1334</v>
      </c>
      <c r="D761" s="19" t="s">
        <v>74</v>
      </c>
      <c r="E761" s="19" t="s">
        <v>1687</v>
      </c>
      <c r="F761" s="19" t="s">
        <v>78</v>
      </c>
      <c r="G761" s="19" t="s">
        <v>78</v>
      </c>
      <c r="H761" s="19" t="s">
        <v>288</v>
      </c>
      <c r="I761" s="10" t="s">
        <v>1688</v>
      </c>
      <c r="J761" s="24" t="s">
        <v>1395</v>
      </c>
      <c r="K761" s="7" t="s">
        <v>221</v>
      </c>
      <c r="L761" s="18">
        <v>45993.625</v>
      </c>
      <c r="M761" s="18">
        <v>46055.625</v>
      </c>
      <c r="N761" s="15"/>
      <c r="O761" s="15"/>
      <c r="P761" s="15"/>
      <c r="Q761" s="15"/>
      <c r="R761" s="15"/>
    </row>
    <row r="762" spans="1:18" ht="20.25" customHeight="1">
      <c r="A762" s="5">
        <v>1260</v>
      </c>
      <c r="B762" s="28" t="s">
        <v>1747</v>
      </c>
      <c r="C762" s="24" t="s">
        <v>1748</v>
      </c>
      <c r="D762" s="19" t="s">
        <v>74</v>
      </c>
      <c r="E762" s="19" t="s">
        <v>1687</v>
      </c>
      <c r="F762" s="19" t="s">
        <v>78</v>
      </c>
      <c r="G762" s="19" t="s">
        <v>78</v>
      </c>
      <c r="H762" s="19" t="s">
        <v>288</v>
      </c>
      <c r="I762" s="10" t="s">
        <v>1688</v>
      </c>
      <c r="J762" s="24" t="s">
        <v>220</v>
      </c>
      <c r="K762" s="7" t="s">
        <v>221</v>
      </c>
      <c r="L762" s="18">
        <v>45992.625</v>
      </c>
      <c r="M762" s="18">
        <v>46055.625</v>
      </c>
      <c r="N762" s="15"/>
      <c r="O762" s="15"/>
      <c r="P762" s="15"/>
      <c r="Q762" s="15"/>
      <c r="R762" s="15"/>
    </row>
    <row r="763" spans="1:18" ht="20.25" customHeight="1">
      <c r="A763" s="5">
        <v>1261</v>
      </c>
      <c r="B763" s="28" t="s">
        <v>1749</v>
      </c>
      <c r="C763" s="24" t="s">
        <v>1750</v>
      </c>
      <c r="D763" s="19" t="s">
        <v>74</v>
      </c>
      <c r="E763" s="19" t="s">
        <v>1687</v>
      </c>
      <c r="F763" s="19" t="s">
        <v>78</v>
      </c>
      <c r="G763" s="19" t="s">
        <v>78</v>
      </c>
      <c r="H763" s="19" t="s">
        <v>576</v>
      </c>
      <c r="I763" s="10" t="s">
        <v>1703</v>
      </c>
      <c r="J763" s="24" t="s">
        <v>220</v>
      </c>
      <c r="K763" s="7" t="s">
        <v>221</v>
      </c>
      <c r="L763" s="18">
        <v>45992.625</v>
      </c>
      <c r="M763" s="18">
        <v>46066.625</v>
      </c>
      <c r="N763" s="15"/>
      <c r="O763" s="15"/>
      <c r="P763" s="15"/>
      <c r="Q763" s="15"/>
      <c r="R763" s="15"/>
    </row>
    <row r="764" spans="1:18" ht="20.25" customHeight="1">
      <c r="A764" s="5">
        <v>1262</v>
      </c>
      <c r="B764" s="28" t="s">
        <v>1751</v>
      </c>
      <c r="C764" s="24" t="s">
        <v>1752</v>
      </c>
      <c r="D764" s="19" t="s">
        <v>74</v>
      </c>
      <c r="E764" s="19" t="s">
        <v>1687</v>
      </c>
      <c r="F764" s="19" t="s">
        <v>78</v>
      </c>
      <c r="G764" s="19" t="s">
        <v>78</v>
      </c>
      <c r="H764" s="19" t="s">
        <v>576</v>
      </c>
      <c r="I764" s="10" t="s">
        <v>1703</v>
      </c>
      <c r="J764" s="24" t="s">
        <v>220</v>
      </c>
      <c r="K764" s="7" t="s">
        <v>221</v>
      </c>
      <c r="L764" s="18">
        <v>45992.625</v>
      </c>
      <c r="M764" s="18">
        <v>46066.625</v>
      </c>
      <c r="N764" s="15"/>
      <c r="O764" s="15"/>
      <c r="P764" s="15"/>
      <c r="Q764" s="15"/>
      <c r="R764" s="15"/>
    </row>
    <row r="765" spans="1:18" ht="20.25" customHeight="1">
      <c r="A765" s="5">
        <v>1263</v>
      </c>
      <c r="B765" s="28" t="s">
        <v>1753</v>
      </c>
      <c r="C765" s="24" t="s">
        <v>1754</v>
      </c>
      <c r="D765" s="19" t="s">
        <v>74</v>
      </c>
      <c r="E765" s="19" t="s">
        <v>1687</v>
      </c>
      <c r="F765" s="19" t="s">
        <v>78</v>
      </c>
      <c r="G765" s="19" t="s">
        <v>78</v>
      </c>
      <c r="H765" s="19" t="s">
        <v>576</v>
      </c>
      <c r="I765" s="10" t="s">
        <v>1703</v>
      </c>
      <c r="J765" s="24" t="s">
        <v>220</v>
      </c>
      <c r="K765" s="7" t="s">
        <v>221</v>
      </c>
      <c r="L765" s="18">
        <v>45992.625</v>
      </c>
      <c r="M765" s="18">
        <v>46066.625</v>
      </c>
      <c r="N765" s="15"/>
      <c r="O765" s="15"/>
      <c r="P765" s="15"/>
      <c r="Q765" s="15"/>
      <c r="R765" s="15"/>
    </row>
    <row r="766" spans="1:18" ht="20.25" customHeight="1">
      <c r="A766" s="5">
        <v>1264</v>
      </c>
      <c r="B766" s="28" t="s">
        <v>1755</v>
      </c>
      <c r="C766" s="24" t="s">
        <v>1756</v>
      </c>
      <c r="D766" s="19" t="s">
        <v>29</v>
      </c>
      <c r="E766" s="19" t="s">
        <v>203</v>
      </c>
      <c r="F766" s="19" t="s">
        <v>212</v>
      </c>
      <c r="G766" s="19" t="s">
        <v>39</v>
      </c>
      <c r="H766" s="19" t="s">
        <v>240</v>
      </c>
      <c r="I766" s="10" t="s">
        <v>28</v>
      </c>
      <c r="J766" s="24" t="s">
        <v>1395</v>
      </c>
      <c r="K766" s="7" t="s">
        <v>221</v>
      </c>
      <c r="L766" s="18">
        <v>45993.625</v>
      </c>
      <c r="M766" s="18">
        <v>46003.625</v>
      </c>
      <c r="N766" s="15"/>
      <c r="O766" s="15"/>
      <c r="P766" s="15"/>
      <c r="Q766" s="15"/>
      <c r="R766" s="15"/>
    </row>
    <row r="767" spans="1:18" ht="20.25" customHeight="1">
      <c r="A767" s="5">
        <v>1265</v>
      </c>
      <c r="B767" s="28" t="s">
        <v>1757</v>
      </c>
      <c r="C767" s="24" t="s">
        <v>1758</v>
      </c>
      <c r="D767" s="19" t="s">
        <v>74</v>
      </c>
      <c r="E767" s="19" t="s">
        <v>640</v>
      </c>
      <c r="F767" s="19" t="s">
        <v>78</v>
      </c>
      <c r="G767" s="19" t="s">
        <v>78</v>
      </c>
      <c r="H767" s="19" t="s">
        <v>288</v>
      </c>
      <c r="I767" s="10" t="s">
        <v>641</v>
      </c>
      <c r="J767" s="24" t="s">
        <v>1395</v>
      </c>
      <c r="K767" s="7" t="s">
        <v>221</v>
      </c>
      <c r="L767" s="18">
        <v>45993.625</v>
      </c>
      <c r="M767" s="18">
        <v>46016.625</v>
      </c>
      <c r="N767" s="15"/>
      <c r="O767" s="15"/>
      <c r="P767" s="15"/>
      <c r="Q767" s="15"/>
      <c r="R767" s="15"/>
    </row>
    <row r="768" spans="1:18" ht="20.25" customHeight="1">
      <c r="A768" s="5">
        <v>1266</v>
      </c>
      <c r="B768" s="28" t="s">
        <v>1759</v>
      </c>
      <c r="C768" s="24" t="s">
        <v>1760</v>
      </c>
      <c r="D768" s="19" t="s">
        <v>29</v>
      </c>
      <c r="E768" s="19" t="s">
        <v>203</v>
      </c>
      <c r="F768" s="19" t="s">
        <v>212</v>
      </c>
      <c r="G768" s="19" t="s">
        <v>544</v>
      </c>
      <c r="H768" s="19" t="s">
        <v>240</v>
      </c>
      <c r="I768" s="10" t="s">
        <v>28</v>
      </c>
      <c r="J768" s="24" t="s">
        <v>1395</v>
      </c>
      <c r="K768" s="7" t="s">
        <v>221</v>
      </c>
      <c r="L768" s="18">
        <v>45997.625</v>
      </c>
      <c r="M768" s="18">
        <v>46009.625</v>
      </c>
      <c r="N768" s="15"/>
      <c r="O768" s="15"/>
      <c r="P768" s="15"/>
      <c r="Q768" s="15"/>
      <c r="R768" s="15"/>
    </row>
    <row r="769" spans="1:18" ht="20.25" customHeight="1">
      <c r="A769" s="5">
        <v>1267</v>
      </c>
      <c r="B769" s="28" t="s">
        <v>1761</v>
      </c>
      <c r="C769" s="24" t="s">
        <v>1762</v>
      </c>
      <c r="D769" s="19" t="s">
        <v>29</v>
      </c>
      <c r="E769" s="19" t="s">
        <v>203</v>
      </c>
      <c r="F769" s="19" t="s">
        <v>212</v>
      </c>
      <c r="G769" s="19" t="s">
        <v>39</v>
      </c>
      <c r="H769" s="19" t="s">
        <v>240</v>
      </c>
      <c r="I769" s="10" t="s">
        <v>28</v>
      </c>
      <c r="J769" s="24" t="s">
        <v>1395</v>
      </c>
      <c r="K769" s="7" t="s">
        <v>221</v>
      </c>
      <c r="L769" s="18">
        <v>45999.625</v>
      </c>
      <c r="M769" s="18">
        <v>46061.625</v>
      </c>
      <c r="N769" s="15"/>
      <c r="O769" s="15"/>
      <c r="P769" s="15"/>
      <c r="Q769" s="15"/>
      <c r="R769" s="15"/>
    </row>
    <row r="770" spans="1:18" ht="20.25" customHeight="1">
      <c r="A770" s="5">
        <v>1268</v>
      </c>
      <c r="B770" s="28" t="s">
        <v>1763</v>
      </c>
      <c r="C770" s="24" t="s">
        <v>1764</v>
      </c>
      <c r="D770" s="19" t="s">
        <v>74</v>
      </c>
      <c r="E770" s="19" t="s">
        <v>1687</v>
      </c>
      <c r="F770" s="19" t="s">
        <v>78</v>
      </c>
      <c r="G770" s="19" t="s">
        <v>78</v>
      </c>
      <c r="H770" s="19" t="s">
        <v>576</v>
      </c>
      <c r="I770" s="10" t="s">
        <v>1703</v>
      </c>
      <c r="J770" s="24" t="s">
        <v>1395</v>
      </c>
      <c r="K770" s="7" t="s">
        <v>221</v>
      </c>
      <c r="L770" s="18">
        <v>45996.625</v>
      </c>
      <c r="M770" s="18">
        <v>46066.625</v>
      </c>
      <c r="N770" s="15"/>
      <c r="O770" s="15"/>
      <c r="P770" s="15"/>
      <c r="Q770" s="15"/>
      <c r="R770" s="15"/>
    </row>
    <row r="771" spans="1:18" ht="20.25" customHeight="1">
      <c r="A771" s="5">
        <v>1269</v>
      </c>
      <c r="B771" s="28" t="s">
        <v>1765</v>
      </c>
      <c r="C771" s="24" t="s">
        <v>1766</v>
      </c>
      <c r="D771" s="19" t="s">
        <v>74</v>
      </c>
      <c r="E771" s="19" t="s">
        <v>640</v>
      </c>
      <c r="F771" s="19" t="s">
        <v>78</v>
      </c>
      <c r="G771" s="19" t="s">
        <v>78</v>
      </c>
      <c r="H771" s="19" t="s">
        <v>288</v>
      </c>
      <c r="I771" s="10" t="s">
        <v>641</v>
      </c>
      <c r="J771" s="24" t="s">
        <v>1395</v>
      </c>
      <c r="K771" s="7" t="s">
        <v>221</v>
      </c>
      <c r="L771" s="18">
        <v>45996.625</v>
      </c>
      <c r="M771" s="18">
        <v>46016.625</v>
      </c>
      <c r="N771" s="15"/>
      <c r="O771" s="15"/>
      <c r="P771" s="15"/>
      <c r="Q771" s="15"/>
      <c r="R771" s="15"/>
    </row>
    <row r="772" spans="1:18" ht="20.25" customHeight="1">
      <c r="A772" s="5">
        <v>1270</v>
      </c>
      <c r="B772" s="28" t="s">
        <v>1767</v>
      </c>
      <c r="C772" s="24" t="s">
        <v>1283</v>
      </c>
      <c r="D772" s="19" t="s">
        <v>16</v>
      </c>
      <c r="E772" s="19" t="s">
        <v>211</v>
      </c>
      <c r="F772" s="19" t="s">
        <v>212</v>
      </c>
      <c r="G772" s="19" t="s">
        <v>17</v>
      </c>
      <c r="H772" s="19" t="s">
        <v>213</v>
      </c>
      <c r="I772" s="10" t="s">
        <v>1768</v>
      </c>
      <c r="J772" s="24" t="s">
        <v>220</v>
      </c>
      <c r="K772" s="7" t="s">
        <v>208</v>
      </c>
      <c r="L772" s="18">
        <v>45997.625</v>
      </c>
      <c r="M772" s="18"/>
      <c r="N772" s="15"/>
      <c r="O772" s="15"/>
      <c r="P772" s="15"/>
      <c r="Q772" s="15"/>
      <c r="R772" s="15"/>
    </row>
    <row r="773" spans="1:18" ht="20.25" customHeight="1">
      <c r="A773" s="5">
        <v>1271</v>
      </c>
      <c r="B773" s="28" t="s">
        <v>1769</v>
      </c>
      <c r="C773" s="24" t="s">
        <v>1770</v>
      </c>
      <c r="D773" s="19" t="s">
        <v>74</v>
      </c>
      <c r="E773" s="19" t="s">
        <v>640</v>
      </c>
      <c r="F773" s="19" t="s">
        <v>78</v>
      </c>
      <c r="G773" s="19" t="s">
        <v>78</v>
      </c>
      <c r="H773" s="19" t="s">
        <v>288</v>
      </c>
      <c r="I773" s="10" t="s">
        <v>641</v>
      </c>
      <c r="J773" s="24" t="s">
        <v>1395</v>
      </c>
      <c r="K773" s="7" t="s">
        <v>221</v>
      </c>
      <c r="L773" s="18">
        <v>46001.625</v>
      </c>
      <c r="M773" s="18">
        <v>46016.625</v>
      </c>
      <c r="N773" s="15"/>
      <c r="O773" s="15"/>
      <c r="P773" s="15"/>
      <c r="Q773" s="15"/>
      <c r="R773" s="15"/>
    </row>
    <row r="774" spans="1:18" ht="20.25" customHeight="1">
      <c r="A774" s="5">
        <v>1272</v>
      </c>
      <c r="B774" s="28" t="s">
        <v>1771</v>
      </c>
      <c r="C774" s="24" t="s">
        <v>1772</v>
      </c>
      <c r="D774" s="19" t="s">
        <v>74</v>
      </c>
      <c r="E774" s="19" t="s">
        <v>640</v>
      </c>
      <c r="F774" s="19" t="s">
        <v>78</v>
      </c>
      <c r="G774" s="19" t="s">
        <v>78</v>
      </c>
      <c r="H774" s="19" t="s">
        <v>288</v>
      </c>
      <c r="I774" s="10" t="s">
        <v>641</v>
      </c>
      <c r="J774" s="24" t="s">
        <v>1395</v>
      </c>
      <c r="K774" s="7" t="s">
        <v>221</v>
      </c>
      <c r="L774" s="18">
        <v>46001.625</v>
      </c>
      <c r="M774" s="18">
        <v>46016.625</v>
      </c>
      <c r="N774" s="15"/>
      <c r="O774" s="15"/>
      <c r="P774" s="15"/>
      <c r="Q774" s="15"/>
      <c r="R774" s="15"/>
    </row>
    <row r="775" spans="1:18" ht="20.25" customHeight="1">
      <c r="A775" s="5">
        <v>1273</v>
      </c>
      <c r="B775" s="28" t="s">
        <v>1773</v>
      </c>
      <c r="C775" s="24" t="s">
        <v>1774</v>
      </c>
      <c r="D775" s="19" t="s">
        <v>74</v>
      </c>
      <c r="E775" s="19" t="s">
        <v>202</v>
      </c>
      <c r="F775" s="19" t="s">
        <v>212</v>
      </c>
      <c r="G775" s="19" t="s">
        <v>108</v>
      </c>
      <c r="H775" s="19" t="s">
        <v>231</v>
      </c>
      <c r="I775" s="10" t="s">
        <v>58</v>
      </c>
      <c r="J775" s="24" t="s">
        <v>1395</v>
      </c>
      <c r="K775" s="7" t="s">
        <v>221</v>
      </c>
      <c r="L775" s="18">
        <v>46002.625</v>
      </c>
      <c r="M775" s="18">
        <v>46053.625</v>
      </c>
      <c r="N775" s="15"/>
      <c r="O775" s="15"/>
      <c r="P775" s="15"/>
      <c r="Q775" s="15"/>
      <c r="R775" s="15"/>
    </row>
    <row r="776" spans="1:18" ht="20.25" customHeight="1">
      <c r="A776" s="5">
        <v>1274</v>
      </c>
      <c r="B776" s="28" t="s">
        <v>1775</v>
      </c>
      <c r="C776" s="24" t="s">
        <v>1776</v>
      </c>
      <c r="D776" s="19" t="s">
        <v>45</v>
      </c>
      <c r="E776" s="19" t="s">
        <v>201</v>
      </c>
      <c r="F776" s="19" t="s">
        <v>212</v>
      </c>
      <c r="G776" s="19" t="s">
        <v>46</v>
      </c>
      <c r="H776" s="19" t="s">
        <v>218</v>
      </c>
      <c r="I776" s="10" t="s">
        <v>61</v>
      </c>
      <c r="J776" s="24" t="s">
        <v>1395</v>
      </c>
      <c r="K776" s="7" t="s">
        <v>221</v>
      </c>
      <c r="L776" s="18">
        <v>46002.625</v>
      </c>
      <c r="M776" s="18">
        <v>46053.625</v>
      </c>
      <c r="N776" s="15"/>
      <c r="O776" s="15"/>
      <c r="P776" s="15"/>
      <c r="Q776" s="15"/>
      <c r="R776" s="15"/>
    </row>
    <row r="777" spans="1:18" ht="20.25" customHeight="1">
      <c r="A777" s="5">
        <v>1275</v>
      </c>
      <c r="B777" s="28" t="s">
        <v>1777</v>
      </c>
      <c r="C777" s="24" t="s">
        <v>1778</v>
      </c>
      <c r="D777" s="19" t="s">
        <v>74</v>
      </c>
      <c r="E777" s="19" t="s">
        <v>1687</v>
      </c>
      <c r="F777" s="19" t="s">
        <v>78</v>
      </c>
      <c r="G777" s="19" t="s">
        <v>78</v>
      </c>
      <c r="H777" s="19" t="s">
        <v>288</v>
      </c>
      <c r="I777" s="10" t="s">
        <v>1688</v>
      </c>
      <c r="J777" s="24" t="s">
        <v>1395</v>
      </c>
      <c r="K777" s="7" t="s">
        <v>221</v>
      </c>
      <c r="L777" s="18">
        <v>46003.625</v>
      </c>
      <c r="M777" s="18">
        <v>46087.625</v>
      </c>
      <c r="N777" s="15"/>
      <c r="O777" s="15"/>
      <c r="P777" s="15"/>
      <c r="Q777" s="15"/>
      <c r="R777" s="15"/>
    </row>
    <row r="778" spans="1:18" ht="20.25" customHeight="1">
      <c r="A778" s="5">
        <v>1276</v>
      </c>
      <c r="B778" s="28" t="s">
        <v>1779</v>
      </c>
      <c r="C778" s="24" t="s">
        <v>1780</v>
      </c>
      <c r="D778" s="19" t="s">
        <v>74</v>
      </c>
      <c r="E778" s="19" t="s">
        <v>1687</v>
      </c>
      <c r="F778" s="19" t="s">
        <v>78</v>
      </c>
      <c r="G778" s="19" t="s">
        <v>78</v>
      </c>
      <c r="H778" s="19" t="s">
        <v>288</v>
      </c>
      <c r="I778" s="10" t="s">
        <v>1688</v>
      </c>
      <c r="J778" s="24" t="s">
        <v>1395</v>
      </c>
      <c r="K778" s="7" t="s">
        <v>221</v>
      </c>
      <c r="L778" s="18">
        <v>46002.625</v>
      </c>
      <c r="M778" s="18">
        <v>46087.625</v>
      </c>
      <c r="N778" s="15"/>
      <c r="O778" s="15"/>
      <c r="P778" s="15"/>
      <c r="Q778" s="15"/>
      <c r="R778" s="15"/>
    </row>
    <row r="779" spans="1:18" ht="20.25" customHeight="1">
      <c r="A779" s="5">
        <v>1277</v>
      </c>
      <c r="B779" s="28" t="s">
        <v>1781</v>
      </c>
      <c r="C779" s="24" t="s">
        <v>1782</v>
      </c>
      <c r="D779" s="19" t="s">
        <v>74</v>
      </c>
      <c r="E779" s="19" t="s">
        <v>1687</v>
      </c>
      <c r="F779" s="19" t="s">
        <v>78</v>
      </c>
      <c r="G779" s="19" t="s">
        <v>78</v>
      </c>
      <c r="H779" s="19" t="s">
        <v>288</v>
      </c>
      <c r="I779" s="10" t="s">
        <v>1688</v>
      </c>
      <c r="J779" s="24" t="s">
        <v>1395</v>
      </c>
      <c r="K779" s="7" t="s">
        <v>221</v>
      </c>
      <c r="L779" s="18">
        <v>46002.625</v>
      </c>
      <c r="M779" s="18">
        <v>46087.625</v>
      </c>
      <c r="N779" s="15"/>
      <c r="O779" s="15"/>
      <c r="P779" s="15"/>
      <c r="Q779" s="15"/>
      <c r="R779" s="15"/>
    </row>
    <row r="780" spans="1:18" ht="20.25" customHeight="1">
      <c r="A780" s="5">
        <v>1278</v>
      </c>
      <c r="B780" s="28" t="s">
        <v>1783</v>
      </c>
      <c r="C780" s="24" t="s">
        <v>388</v>
      </c>
      <c r="D780" s="19" t="s">
        <v>74</v>
      </c>
      <c r="E780" s="19" t="s">
        <v>202</v>
      </c>
      <c r="F780" s="19" t="s">
        <v>212</v>
      </c>
      <c r="G780" s="19" t="s">
        <v>120</v>
      </c>
      <c r="H780" s="19" t="s">
        <v>218</v>
      </c>
      <c r="I780" s="10" t="s">
        <v>61</v>
      </c>
      <c r="J780" s="24" t="s">
        <v>1395</v>
      </c>
      <c r="K780" s="7" t="s">
        <v>221</v>
      </c>
      <c r="L780" s="18">
        <v>46003.625</v>
      </c>
      <c r="M780" s="18">
        <v>46101.583333333299</v>
      </c>
      <c r="N780" s="15"/>
      <c r="O780" s="15"/>
      <c r="P780" s="15"/>
      <c r="Q780" s="15"/>
      <c r="R780" s="15"/>
    </row>
    <row r="781" spans="1:18" ht="20.25" customHeight="1">
      <c r="A781" s="5">
        <v>1279</v>
      </c>
      <c r="B781" s="28" t="s">
        <v>1784</v>
      </c>
      <c r="C781" s="24" t="s">
        <v>1785</v>
      </c>
      <c r="D781" s="19" t="s">
        <v>74</v>
      </c>
      <c r="E781" s="19" t="s">
        <v>202</v>
      </c>
      <c r="F781" s="19" t="s">
        <v>259</v>
      </c>
      <c r="G781" s="19" t="s">
        <v>36</v>
      </c>
      <c r="H781" s="19" t="s">
        <v>36</v>
      </c>
      <c r="I781" s="10" t="s">
        <v>581</v>
      </c>
      <c r="J781" s="24" t="s">
        <v>284</v>
      </c>
      <c r="K781" s="7" t="s">
        <v>221</v>
      </c>
      <c r="L781" s="18">
        <v>46007.625</v>
      </c>
      <c r="M781" s="18">
        <v>46040.625</v>
      </c>
      <c r="N781" s="15"/>
      <c r="O781" s="15"/>
      <c r="P781" s="15"/>
      <c r="Q781" s="15"/>
      <c r="R781" s="15"/>
    </row>
    <row r="782" spans="1:18" ht="20.25" customHeight="1">
      <c r="A782" s="5">
        <v>1280</v>
      </c>
      <c r="B782" s="28" t="s">
        <v>1786</v>
      </c>
      <c r="C782" s="24" t="s">
        <v>27</v>
      </c>
      <c r="D782" s="19" t="s">
        <v>29</v>
      </c>
      <c r="E782" s="19" t="s">
        <v>203</v>
      </c>
      <c r="F782" s="19" t="s">
        <v>212</v>
      </c>
      <c r="G782" s="19" t="s">
        <v>544</v>
      </c>
      <c r="H782" s="19" t="s">
        <v>266</v>
      </c>
      <c r="I782" s="10" t="s">
        <v>319</v>
      </c>
      <c r="J782" s="24" t="s">
        <v>215</v>
      </c>
      <c r="K782" s="7" t="s">
        <v>208</v>
      </c>
      <c r="L782" s="18">
        <v>46006.625</v>
      </c>
      <c r="M782" s="18"/>
      <c r="N782" s="15"/>
      <c r="O782" s="15"/>
      <c r="P782" s="15"/>
      <c r="Q782" s="15"/>
      <c r="R782" s="15"/>
    </row>
    <row r="783" spans="1:18" ht="20.25" customHeight="1">
      <c r="A783" s="5">
        <v>1281</v>
      </c>
      <c r="B783" s="28" t="s">
        <v>1787</v>
      </c>
      <c r="C783" s="24" t="s">
        <v>1788</v>
      </c>
      <c r="D783" s="19" t="s">
        <v>74</v>
      </c>
      <c r="E783" s="19" t="s">
        <v>202</v>
      </c>
      <c r="F783" s="19" t="s">
        <v>259</v>
      </c>
      <c r="G783" s="19" t="s">
        <v>305</v>
      </c>
      <c r="H783" s="19" t="s">
        <v>305</v>
      </c>
      <c r="I783" s="10" t="s">
        <v>1245</v>
      </c>
      <c r="J783" s="24" t="s">
        <v>284</v>
      </c>
      <c r="K783" s="7" t="s">
        <v>221</v>
      </c>
      <c r="L783" s="18">
        <v>46007.625</v>
      </c>
      <c r="M783" s="18">
        <v>46026.625</v>
      </c>
      <c r="N783" s="15"/>
      <c r="O783" s="15"/>
      <c r="P783" s="15"/>
      <c r="Q783" s="15"/>
      <c r="R783" s="15"/>
    </row>
    <row r="784" spans="1:18" ht="20.25" customHeight="1">
      <c r="A784" s="5">
        <v>1282</v>
      </c>
      <c r="B784" s="28" t="s">
        <v>1789</v>
      </c>
      <c r="C784" s="24" t="s">
        <v>1790</v>
      </c>
      <c r="D784" s="19" t="s">
        <v>29</v>
      </c>
      <c r="E784" s="19" t="s">
        <v>203</v>
      </c>
      <c r="F784" s="19" t="s">
        <v>212</v>
      </c>
      <c r="G784" s="19" t="s">
        <v>30</v>
      </c>
      <c r="H784" s="19" t="s">
        <v>240</v>
      </c>
      <c r="I784" s="10" t="s">
        <v>28</v>
      </c>
      <c r="J784" s="24" t="s">
        <v>1395</v>
      </c>
      <c r="K784" s="7" t="s">
        <v>221</v>
      </c>
      <c r="L784" s="18">
        <v>46007.625</v>
      </c>
      <c r="M784" s="18">
        <v>46081.625</v>
      </c>
      <c r="N784" s="15"/>
      <c r="O784" s="15"/>
      <c r="P784" s="15"/>
      <c r="Q784" s="15"/>
      <c r="R784" s="15"/>
    </row>
    <row r="785" spans="1:18" ht="20.25" customHeight="1">
      <c r="A785" s="5">
        <v>1283</v>
      </c>
      <c r="B785" s="28" t="s">
        <v>1791</v>
      </c>
      <c r="C785" s="24" t="s">
        <v>1792</v>
      </c>
      <c r="D785" s="19" t="s">
        <v>74</v>
      </c>
      <c r="E785" s="19" t="s">
        <v>78</v>
      </c>
      <c r="F785" s="19" t="s">
        <v>78</v>
      </c>
      <c r="G785" s="19" t="s">
        <v>78</v>
      </c>
      <c r="H785" s="19" t="s">
        <v>527</v>
      </c>
      <c r="I785" s="10" t="s">
        <v>113</v>
      </c>
      <c r="J785" s="24" t="s">
        <v>1395</v>
      </c>
      <c r="K785" s="7" t="s">
        <v>221</v>
      </c>
      <c r="L785" s="18">
        <v>46006.625</v>
      </c>
      <c r="M785" s="18">
        <v>46081.625</v>
      </c>
      <c r="N785" s="15"/>
      <c r="O785" s="15"/>
      <c r="P785" s="15"/>
      <c r="Q785" s="15"/>
      <c r="R785" s="15"/>
    </row>
    <row r="786" spans="1:18" ht="20.25" customHeight="1">
      <c r="A786" s="5">
        <v>1284</v>
      </c>
      <c r="B786" s="28" t="s">
        <v>1793</v>
      </c>
      <c r="C786" s="24" t="s">
        <v>1794</v>
      </c>
      <c r="D786" s="19" t="s">
        <v>74</v>
      </c>
      <c r="E786" s="19" t="s">
        <v>202</v>
      </c>
      <c r="F786" s="19" t="s">
        <v>259</v>
      </c>
      <c r="G786" s="19" t="s">
        <v>36</v>
      </c>
      <c r="H786" s="19" t="s">
        <v>36</v>
      </c>
      <c r="I786" s="10" t="s">
        <v>1078</v>
      </c>
      <c r="J786" s="24" t="s">
        <v>471</v>
      </c>
      <c r="K786" s="7" t="s">
        <v>221</v>
      </c>
      <c r="L786" s="18">
        <v>46007.625</v>
      </c>
      <c r="M786" s="18">
        <v>46105.583333333299</v>
      </c>
      <c r="N786" s="15"/>
      <c r="O786" s="15"/>
      <c r="P786" s="15"/>
      <c r="Q786" s="15"/>
      <c r="R786" s="15"/>
    </row>
    <row r="787" spans="1:18" ht="20.25" customHeight="1">
      <c r="A787" s="5">
        <v>1285</v>
      </c>
      <c r="B787" s="28" t="s">
        <v>1795</v>
      </c>
      <c r="C787" s="24" t="s">
        <v>261</v>
      </c>
      <c r="D787" s="19" t="s">
        <v>29</v>
      </c>
      <c r="E787" s="19" t="s">
        <v>203</v>
      </c>
      <c r="F787" s="19" t="s">
        <v>212</v>
      </c>
      <c r="G787" s="19" t="s">
        <v>39</v>
      </c>
      <c r="H787" s="19" t="s">
        <v>266</v>
      </c>
      <c r="I787" s="10" t="s">
        <v>319</v>
      </c>
      <c r="J787" s="24" t="s">
        <v>284</v>
      </c>
      <c r="K787" s="7" t="s">
        <v>221</v>
      </c>
      <c r="L787" s="18">
        <v>46006.625</v>
      </c>
      <c r="M787" s="18">
        <v>46068.625</v>
      </c>
      <c r="N787" s="15"/>
      <c r="O787" s="15"/>
      <c r="P787" s="15"/>
      <c r="Q787" s="15"/>
      <c r="R787" s="15"/>
    </row>
    <row r="788" spans="1:18" ht="20.25" customHeight="1">
      <c r="A788" s="5">
        <v>1286</v>
      </c>
      <c r="B788" s="28" t="s">
        <v>1796</v>
      </c>
      <c r="C788" s="24" t="s">
        <v>1797</v>
      </c>
      <c r="D788" s="19" t="s">
        <v>74</v>
      </c>
      <c r="E788" s="19" t="s">
        <v>202</v>
      </c>
      <c r="F788" s="19" t="s">
        <v>212</v>
      </c>
      <c r="G788" s="19" t="s">
        <v>95</v>
      </c>
      <c r="H788" s="19" t="s">
        <v>240</v>
      </c>
      <c r="I788" s="10" t="s">
        <v>107</v>
      </c>
      <c r="J788" s="24" t="s">
        <v>1395</v>
      </c>
      <c r="K788" s="7" t="s">
        <v>221</v>
      </c>
      <c r="L788" s="18">
        <v>46013.625</v>
      </c>
      <c r="M788" s="18">
        <v>46061.625</v>
      </c>
      <c r="N788" s="15"/>
      <c r="O788" s="15"/>
      <c r="P788" s="15"/>
      <c r="Q788" s="15"/>
      <c r="R788" s="15"/>
    </row>
    <row r="789" spans="1:18" ht="20.25" customHeight="1">
      <c r="A789" s="5">
        <v>1287</v>
      </c>
      <c r="B789" s="28" t="s">
        <v>1798</v>
      </c>
      <c r="C789" s="24" t="s">
        <v>1799</v>
      </c>
      <c r="D789" s="19" t="s">
        <v>29</v>
      </c>
      <c r="E789" s="19" t="s">
        <v>203</v>
      </c>
      <c r="F789" s="19" t="s">
        <v>212</v>
      </c>
      <c r="G789" s="19" t="s">
        <v>544</v>
      </c>
      <c r="H789" s="19" t="s">
        <v>266</v>
      </c>
      <c r="I789" s="10" t="s">
        <v>15</v>
      </c>
      <c r="J789" s="24" t="s">
        <v>215</v>
      </c>
      <c r="K789" s="7" t="s">
        <v>221</v>
      </c>
      <c r="L789" s="18">
        <v>46013.625</v>
      </c>
      <c r="M789" s="9">
        <v>46152.583333333299</v>
      </c>
      <c r="N789" s="15"/>
      <c r="O789" s="15"/>
      <c r="P789" s="15"/>
      <c r="Q789" s="15"/>
      <c r="R789" s="15"/>
    </row>
    <row r="790" spans="1:18" ht="20.25" customHeight="1">
      <c r="A790" s="5">
        <v>1288</v>
      </c>
      <c r="B790" s="28" t="s">
        <v>1800</v>
      </c>
      <c r="C790" s="24" t="s">
        <v>1801</v>
      </c>
      <c r="D790" s="19" t="s">
        <v>74</v>
      </c>
      <c r="E790" s="19" t="s">
        <v>202</v>
      </c>
      <c r="F790" s="19" t="s">
        <v>212</v>
      </c>
      <c r="G790" s="19" t="s">
        <v>108</v>
      </c>
      <c r="H790" s="19" t="s">
        <v>218</v>
      </c>
      <c r="I790" s="10" t="s">
        <v>61</v>
      </c>
      <c r="J790" s="24" t="s">
        <v>220</v>
      </c>
      <c r="K790" s="7" t="s">
        <v>221</v>
      </c>
      <c r="L790" s="18">
        <v>46013.625</v>
      </c>
      <c r="M790" s="9">
        <v>46218.583333333299</v>
      </c>
      <c r="N790" s="15"/>
      <c r="O790" s="15"/>
      <c r="P790" s="15"/>
      <c r="Q790" s="15"/>
      <c r="R790" s="15"/>
    </row>
    <row r="791" spans="1:18" ht="20.25" customHeight="1">
      <c r="A791" s="5">
        <v>1289</v>
      </c>
      <c r="B791" s="28" t="s">
        <v>1802</v>
      </c>
      <c r="C791" s="24" t="s">
        <v>1803</v>
      </c>
      <c r="D791" s="19" t="s">
        <v>74</v>
      </c>
      <c r="E791" s="19" t="s">
        <v>202</v>
      </c>
      <c r="F791" s="19" t="s">
        <v>212</v>
      </c>
      <c r="G791" s="19" t="s">
        <v>108</v>
      </c>
      <c r="H791" s="19" t="s">
        <v>218</v>
      </c>
      <c r="I791" s="10" t="s">
        <v>61</v>
      </c>
      <c r="J791" s="24" t="s">
        <v>220</v>
      </c>
      <c r="K791" s="7" t="s">
        <v>221</v>
      </c>
      <c r="L791" s="9">
        <v>46017.625</v>
      </c>
      <c r="M791" s="9">
        <v>46142.583333333299</v>
      </c>
      <c r="N791" s="15"/>
      <c r="O791" s="15"/>
      <c r="P791" s="15"/>
      <c r="Q791" s="15"/>
      <c r="R791" s="15"/>
    </row>
    <row r="792" spans="1:18" ht="20.25" customHeight="1">
      <c r="A792" s="5">
        <v>1290</v>
      </c>
      <c r="B792" s="28" t="s">
        <v>1804</v>
      </c>
      <c r="C792" s="24" t="s">
        <v>1805</v>
      </c>
      <c r="D792" s="19" t="s">
        <v>29</v>
      </c>
      <c r="E792" s="19" t="s">
        <v>203</v>
      </c>
      <c r="F792" s="19" t="s">
        <v>212</v>
      </c>
      <c r="G792" s="19" t="s">
        <v>1257</v>
      </c>
      <c r="H792" s="19" t="s">
        <v>240</v>
      </c>
      <c r="I792" s="10" t="s">
        <v>28</v>
      </c>
      <c r="J792" s="24" t="s">
        <v>220</v>
      </c>
      <c r="K792" s="7" t="s">
        <v>208</v>
      </c>
      <c r="L792" s="9">
        <v>46020.625</v>
      </c>
      <c r="M792" s="9"/>
      <c r="N792" s="15"/>
      <c r="O792" s="15"/>
      <c r="P792" s="15"/>
      <c r="Q792" s="15"/>
      <c r="R792" s="15"/>
    </row>
    <row r="793" spans="1:18" ht="20.25" customHeight="1">
      <c r="A793" s="5">
        <v>1291</v>
      </c>
      <c r="B793" s="28" t="s">
        <v>1806</v>
      </c>
      <c r="C793" s="24" t="s">
        <v>1807</v>
      </c>
      <c r="D793" s="19" t="s">
        <v>74</v>
      </c>
      <c r="E793" s="19" t="s">
        <v>202</v>
      </c>
      <c r="F793" s="19" t="s">
        <v>259</v>
      </c>
      <c r="G793" s="19" t="s">
        <v>480</v>
      </c>
      <c r="H793" s="19" t="s">
        <v>480</v>
      </c>
      <c r="I793" s="10" t="s">
        <v>1172</v>
      </c>
      <c r="J793" s="24" t="s">
        <v>471</v>
      </c>
      <c r="K793" s="7" t="s">
        <v>221</v>
      </c>
      <c r="L793" s="9">
        <v>46013.625</v>
      </c>
      <c r="M793" s="9">
        <v>46038.625</v>
      </c>
      <c r="N793" s="15"/>
      <c r="O793" s="15"/>
      <c r="P793" s="15"/>
      <c r="Q793" s="15"/>
      <c r="R793" s="15"/>
    </row>
    <row r="794" spans="1:18" ht="20.25" customHeight="1">
      <c r="A794" s="5">
        <v>1292</v>
      </c>
      <c r="B794" s="28" t="s">
        <v>1808</v>
      </c>
      <c r="C794" s="24" t="s">
        <v>1809</v>
      </c>
      <c r="D794" s="19" t="s">
        <v>74</v>
      </c>
      <c r="E794" s="19" t="s">
        <v>202</v>
      </c>
      <c r="F794" s="19" t="s">
        <v>212</v>
      </c>
      <c r="G794" s="19" t="s">
        <v>120</v>
      </c>
      <c r="H794" s="19" t="s">
        <v>218</v>
      </c>
      <c r="I794" s="10" t="s">
        <v>61</v>
      </c>
      <c r="J794" s="24" t="s">
        <v>1395</v>
      </c>
      <c r="K794" s="7" t="s">
        <v>221</v>
      </c>
      <c r="L794" s="9">
        <v>46020.625</v>
      </c>
      <c r="M794" s="9">
        <v>46048.625</v>
      </c>
      <c r="N794" s="15"/>
      <c r="O794" s="15"/>
      <c r="P794" s="15"/>
      <c r="Q794" s="15"/>
      <c r="R794" s="15"/>
    </row>
    <row r="795" spans="1:18" ht="20.25" customHeight="1">
      <c r="A795" s="5">
        <v>1293</v>
      </c>
      <c r="B795" s="28" t="s">
        <v>1810</v>
      </c>
      <c r="C795" s="24" t="s">
        <v>1811</v>
      </c>
      <c r="D795" s="19" t="s">
        <v>45</v>
      </c>
      <c r="E795" s="19" t="s">
        <v>201</v>
      </c>
      <c r="F795" s="19" t="s">
        <v>212</v>
      </c>
      <c r="G795" s="19" t="s">
        <v>136</v>
      </c>
      <c r="H795" s="19" t="s">
        <v>218</v>
      </c>
      <c r="I795" s="10" t="s">
        <v>61</v>
      </c>
      <c r="J795" s="24" t="s">
        <v>220</v>
      </c>
      <c r="K795" s="7" t="s">
        <v>221</v>
      </c>
      <c r="L795" s="9">
        <v>46021.625</v>
      </c>
      <c r="M795" s="9">
        <v>46142.583333333299</v>
      </c>
      <c r="N795" s="15"/>
      <c r="O795" s="15"/>
      <c r="P795" s="15"/>
      <c r="Q795" s="15"/>
      <c r="R795" s="15"/>
    </row>
    <row r="796" spans="1:18" ht="20.25" customHeight="1">
      <c r="A796" s="5">
        <v>1294</v>
      </c>
      <c r="B796" s="28" t="s">
        <v>1812</v>
      </c>
      <c r="C796" s="24" t="s">
        <v>1038</v>
      </c>
      <c r="D796" s="19" t="s">
        <v>74</v>
      </c>
      <c r="E796" s="19" t="s">
        <v>464</v>
      </c>
      <c r="F796" s="19" t="s">
        <v>259</v>
      </c>
      <c r="G796" s="19" t="s">
        <v>305</v>
      </c>
      <c r="H796" s="19" t="s">
        <v>305</v>
      </c>
      <c r="I796" s="10" t="s">
        <v>1039</v>
      </c>
      <c r="J796" s="24" t="s">
        <v>220</v>
      </c>
      <c r="K796" s="7" t="s">
        <v>221</v>
      </c>
      <c r="L796" s="9">
        <v>45748.583333333299</v>
      </c>
      <c r="M796" s="9">
        <v>45884.583333333299</v>
      </c>
      <c r="N796" s="15"/>
      <c r="O796" s="15"/>
      <c r="P796" s="15"/>
      <c r="Q796" s="15"/>
      <c r="R796" s="15"/>
    </row>
    <row r="797" spans="1:18" ht="20.25" customHeight="1">
      <c r="A797" s="5">
        <v>1298</v>
      </c>
      <c r="B797" s="28" t="s">
        <v>1813</v>
      </c>
      <c r="C797" s="24" t="s">
        <v>1814</v>
      </c>
      <c r="D797" s="19" t="s">
        <v>74</v>
      </c>
      <c r="E797" s="19" t="s">
        <v>78</v>
      </c>
      <c r="F797" s="19" t="s">
        <v>78</v>
      </c>
      <c r="G797" s="19" t="s">
        <v>78</v>
      </c>
      <c r="H797" s="19" t="s">
        <v>266</v>
      </c>
      <c r="I797" s="10" t="s">
        <v>1815</v>
      </c>
      <c r="J797" s="24" t="s">
        <v>284</v>
      </c>
      <c r="K797" s="7" t="s">
        <v>221</v>
      </c>
      <c r="L797" s="9">
        <v>46028.625</v>
      </c>
      <c r="M797" s="9">
        <v>46078.625</v>
      </c>
      <c r="N797" s="15"/>
      <c r="O797" s="15"/>
      <c r="P797" s="15"/>
      <c r="Q797" s="15"/>
      <c r="R797" s="15"/>
    </row>
    <row r="798" spans="1:18" ht="20.25" customHeight="1">
      <c r="A798" s="5">
        <v>1299</v>
      </c>
      <c r="B798" s="28" t="s">
        <v>1816</v>
      </c>
      <c r="C798" s="24" t="s">
        <v>1817</v>
      </c>
      <c r="D798" s="19" t="s">
        <v>29</v>
      </c>
      <c r="E798" s="19" t="s">
        <v>203</v>
      </c>
      <c r="F798" s="19" t="s">
        <v>212</v>
      </c>
      <c r="G798" s="19" t="s">
        <v>1257</v>
      </c>
      <c r="H798" s="19" t="s">
        <v>266</v>
      </c>
      <c r="I798" s="10" t="s">
        <v>15</v>
      </c>
      <c r="J798" s="24" t="s">
        <v>284</v>
      </c>
      <c r="K798" s="7" t="s">
        <v>221</v>
      </c>
      <c r="L798" s="9">
        <v>46027.625</v>
      </c>
      <c r="M798" s="9">
        <v>46060.625</v>
      </c>
      <c r="N798" s="15"/>
      <c r="O798" s="15"/>
      <c r="P798" s="15"/>
      <c r="Q798" s="15"/>
      <c r="R798" s="15"/>
    </row>
    <row r="799" spans="1:18" ht="20.25" customHeight="1">
      <c r="A799" s="5">
        <v>1300</v>
      </c>
      <c r="B799" s="28" t="s">
        <v>1818</v>
      </c>
      <c r="C799" s="24" t="s">
        <v>55</v>
      </c>
      <c r="D799" s="19" t="s">
        <v>74</v>
      </c>
      <c r="E799" s="19" t="s">
        <v>202</v>
      </c>
      <c r="F799" s="19" t="s">
        <v>212</v>
      </c>
      <c r="G799" s="19" t="s">
        <v>108</v>
      </c>
      <c r="H799" s="19" t="s">
        <v>231</v>
      </c>
      <c r="I799" s="10" t="s">
        <v>58</v>
      </c>
      <c r="J799" s="24" t="s">
        <v>284</v>
      </c>
      <c r="K799" s="7" t="s">
        <v>221</v>
      </c>
      <c r="L799" s="9">
        <v>46037.625</v>
      </c>
      <c r="M799" s="9">
        <v>46060.625</v>
      </c>
      <c r="N799" s="15"/>
      <c r="O799" s="15"/>
      <c r="P799" s="15"/>
      <c r="Q799" s="15"/>
      <c r="R799" s="15"/>
    </row>
    <row r="800" spans="1:18" ht="20.25" customHeight="1">
      <c r="A800" s="5">
        <v>1301</v>
      </c>
      <c r="B800" s="28" t="s">
        <v>1819</v>
      </c>
      <c r="C800" s="24" t="s">
        <v>1820</v>
      </c>
      <c r="D800" s="19" t="s">
        <v>74</v>
      </c>
      <c r="E800" s="19" t="s">
        <v>78</v>
      </c>
      <c r="F800" s="19" t="s">
        <v>78</v>
      </c>
      <c r="G800" s="19" t="s">
        <v>78</v>
      </c>
      <c r="H800" s="19" t="s">
        <v>288</v>
      </c>
      <c r="I800" s="10" t="s">
        <v>85</v>
      </c>
      <c r="J800" s="24" t="s">
        <v>215</v>
      </c>
      <c r="K800" s="7" t="s">
        <v>208</v>
      </c>
      <c r="L800" s="9">
        <v>46027.625</v>
      </c>
      <c r="M800" s="9"/>
      <c r="N800" s="15"/>
      <c r="O800" s="15"/>
      <c r="P800" s="15"/>
      <c r="Q800" s="15"/>
      <c r="R800" s="15"/>
    </row>
    <row r="801" spans="1:18" ht="20.25" customHeight="1">
      <c r="A801" s="5">
        <v>1302</v>
      </c>
      <c r="B801" s="28" t="s">
        <v>1821</v>
      </c>
      <c r="C801" s="24" t="s">
        <v>1822</v>
      </c>
      <c r="D801" s="19" t="s">
        <v>74</v>
      </c>
      <c r="E801" s="19" t="s">
        <v>202</v>
      </c>
      <c r="F801" s="19" t="s">
        <v>212</v>
      </c>
      <c r="G801" s="19" t="s">
        <v>108</v>
      </c>
      <c r="H801" s="19" t="s">
        <v>240</v>
      </c>
      <c r="I801" s="10" t="s">
        <v>107</v>
      </c>
      <c r="J801" s="24" t="s">
        <v>1395</v>
      </c>
      <c r="K801" s="7" t="s">
        <v>221</v>
      </c>
      <c r="L801" s="9">
        <v>46024.625</v>
      </c>
      <c r="M801" s="9">
        <v>46066.625</v>
      </c>
      <c r="N801" s="15"/>
      <c r="O801" s="15"/>
      <c r="P801" s="15"/>
      <c r="Q801" s="15"/>
      <c r="R801" s="15"/>
    </row>
    <row r="802" spans="1:18" ht="20.25" customHeight="1">
      <c r="A802" s="5">
        <v>1303</v>
      </c>
      <c r="B802" s="28" t="s">
        <v>1823</v>
      </c>
      <c r="C802" s="24" t="s">
        <v>1824</v>
      </c>
      <c r="D802" s="19" t="s">
        <v>74</v>
      </c>
      <c r="E802" s="19" t="s">
        <v>202</v>
      </c>
      <c r="F802" s="19" t="s">
        <v>212</v>
      </c>
      <c r="G802" s="19" t="s">
        <v>108</v>
      </c>
      <c r="H802" s="19" t="s">
        <v>231</v>
      </c>
      <c r="I802" s="10" t="s">
        <v>58</v>
      </c>
      <c r="J802" s="24" t="s">
        <v>1395</v>
      </c>
      <c r="K802" s="7" t="s">
        <v>221</v>
      </c>
      <c r="L802" s="9">
        <v>46024.625</v>
      </c>
      <c r="M802" s="9">
        <v>46057.625</v>
      </c>
      <c r="N802" s="15"/>
      <c r="O802" s="15"/>
      <c r="P802" s="15"/>
      <c r="Q802" s="15"/>
      <c r="R802" s="15"/>
    </row>
    <row r="803" spans="1:18" ht="20.25" customHeight="1">
      <c r="A803" s="5">
        <v>1304</v>
      </c>
      <c r="B803" s="28" t="s">
        <v>1825</v>
      </c>
      <c r="C803" s="24" t="s">
        <v>55</v>
      </c>
      <c r="D803" s="19" t="s">
        <v>74</v>
      </c>
      <c r="E803" s="19" t="s">
        <v>202</v>
      </c>
      <c r="F803" s="19" t="s">
        <v>212</v>
      </c>
      <c r="G803" s="19" t="s">
        <v>108</v>
      </c>
      <c r="H803" s="19" t="s">
        <v>218</v>
      </c>
      <c r="I803" s="10" t="s">
        <v>61</v>
      </c>
      <c r="J803" s="24" t="s">
        <v>220</v>
      </c>
      <c r="K803" s="7" t="s">
        <v>208</v>
      </c>
      <c r="L803" s="9">
        <v>46024.625</v>
      </c>
      <c r="M803" s="9"/>
      <c r="N803" s="15"/>
      <c r="O803" s="15"/>
      <c r="P803" s="15"/>
      <c r="Q803" s="15"/>
      <c r="R803" s="15"/>
    </row>
    <row r="804" spans="1:18" ht="20.25" customHeight="1">
      <c r="A804" s="5">
        <v>1305</v>
      </c>
      <c r="B804" s="28" t="s">
        <v>1826</v>
      </c>
      <c r="C804" s="24" t="s">
        <v>1827</v>
      </c>
      <c r="D804" s="19" t="s">
        <v>74</v>
      </c>
      <c r="E804" s="19" t="s">
        <v>1687</v>
      </c>
      <c r="F804" s="19" t="s">
        <v>78</v>
      </c>
      <c r="G804" s="19" t="s">
        <v>78</v>
      </c>
      <c r="H804" s="19" t="s">
        <v>576</v>
      </c>
      <c r="I804" s="10" t="s">
        <v>1703</v>
      </c>
      <c r="J804" s="24" t="s">
        <v>1395</v>
      </c>
      <c r="K804" s="7" t="s">
        <v>221</v>
      </c>
      <c r="L804" s="9">
        <v>46027.625</v>
      </c>
      <c r="M804" s="9">
        <v>46066.625</v>
      </c>
      <c r="N804" s="15"/>
      <c r="O804" s="15"/>
      <c r="P804" s="15"/>
      <c r="Q804" s="15"/>
      <c r="R804" s="15"/>
    </row>
    <row r="805" spans="1:18" ht="20.25" customHeight="1">
      <c r="A805" s="5">
        <v>1306</v>
      </c>
      <c r="B805" s="28" t="s">
        <v>1828</v>
      </c>
      <c r="C805" s="24" t="s">
        <v>1829</v>
      </c>
      <c r="D805" s="34" t="s">
        <v>74</v>
      </c>
      <c r="E805" s="34" t="s">
        <v>1687</v>
      </c>
      <c r="F805" s="34" t="s">
        <v>212</v>
      </c>
      <c r="G805" s="34" t="s">
        <v>120</v>
      </c>
      <c r="H805" s="34" t="s">
        <v>480</v>
      </c>
      <c r="I805" s="35" t="s">
        <v>1830</v>
      </c>
      <c r="J805" s="24" t="s">
        <v>1395</v>
      </c>
      <c r="K805" s="7" t="s">
        <v>221</v>
      </c>
      <c r="L805" s="9">
        <v>46037.625</v>
      </c>
      <c r="M805" s="9">
        <v>46067.625</v>
      </c>
      <c r="N805" s="15"/>
      <c r="O805" s="15"/>
      <c r="P805" s="15"/>
      <c r="Q805" s="15"/>
      <c r="R805" s="15"/>
    </row>
    <row r="806" spans="1:18" ht="20.25" customHeight="1">
      <c r="A806" s="5">
        <v>1307</v>
      </c>
      <c r="B806" s="28" t="s">
        <v>1831</v>
      </c>
      <c r="C806" s="24" t="s">
        <v>1832</v>
      </c>
      <c r="D806" s="34" t="s">
        <v>29</v>
      </c>
      <c r="E806" s="34" t="s">
        <v>203</v>
      </c>
      <c r="F806" s="34" t="s">
        <v>212</v>
      </c>
      <c r="G806" s="34" t="s">
        <v>1257</v>
      </c>
      <c r="H806" s="34" t="s">
        <v>240</v>
      </c>
      <c r="I806" s="35" t="s">
        <v>28</v>
      </c>
      <c r="J806" s="24" t="s">
        <v>1395</v>
      </c>
      <c r="K806" s="7" t="s">
        <v>221</v>
      </c>
      <c r="L806" s="9">
        <v>46028.625</v>
      </c>
      <c r="M806" s="9">
        <v>46089.625</v>
      </c>
      <c r="N806" s="15"/>
      <c r="O806" s="15"/>
      <c r="P806" s="15"/>
      <c r="Q806" s="15"/>
      <c r="R806" s="15"/>
    </row>
    <row r="807" spans="1:18" ht="20.25" customHeight="1">
      <c r="A807" s="36">
        <v>1308</v>
      </c>
      <c r="B807" s="28" t="s">
        <v>1833</v>
      </c>
      <c r="C807" s="24" t="s">
        <v>1834</v>
      </c>
      <c r="D807" s="34" t="s">
        <v>29</v>
      </c>
      <c r="E807" s="34" t="s">
        <v>203</v>
      </c>
      <c r="F807" s="34" t="s">
        <v>212</v>
      </c>
      <c r="G807" s="34" t="s">
        <v>1257</v>
      </c>
      <c r="H807" s="34" t="s">
        <v>240</v>
      </c>
      <c r="I807" s="35" t="s">
        <v>28</v>
      </c>
      <c r="J807" s="24" t="s">
        <v>1395</v>
      </c>
      <c r="K807" s="7" t="s">
        <v>221</v>
      </c>
      <c r="L807" s="9">
        <v>46029.625</v>
      </c>
      <c r="M807" s="9">
        <v>46060.625</v>
      </c>
      <c r="N807" s="15"/>
      <c r="O807" s="15"/>
      <c r="P807" s="15"/>
      <c r="Q807" s="15"/>
      <c r="R807" s="15"/>
    </row>
    <row r="808" spans="1:18" ht="20.25" customHeight="1">
      <c r="A808" s="36">
        <v>1309</v>
      </c>
      <c r="B808" s="28" t="s">
        <v>1835</v>
      </c>
      <c r="C808" s="24" t="s">
        <v>1836</v>
      </c>
      <c r="D808" s="34" t="s">
        <v>74</v>
      </c>
      <c r="E808" s="34" t="s">
        <v>1687</v>
      </c>
      <c r="F808" s="34" t="s">
        <v>212</v>
      </c>
      <c r="G808" s="34" t="s">
        <v>120</v>
      </c>
      <c r="H808" s="34" t="s">
        <v>480</v>
      </c>
      <c r="I808" s="35" t="s">
        <v>1830</v>
      </c>
      <c r="J808" s="24" t="s">
        <v>1395</v>
      </c>
      <c r="K808" s="7" t="s">
        <v>221</v>
      </c>
      <c r="L808" s="9">
        <v>46037.625</v>
      </c>
      <c r="M808" s="9">
        <v>46067.625</v>
      </c>
      <c r="N808" s="15"/>
      <c r="O808" s="15"/>
      <c r="P808" s="15"/>
      <c r="Q808" s="15"/>
      <c r="R808" s="15"/>
    </row>
    <row r="809" spans="1:18" ht="20.25" customHeight="1">
      <c r="A809" s="36">
        <v>1310</v>
      </c>
      <c r="B809" s="28" t="s">
        <v>1837</v>
      </c>
      <c r="C809" s="24" t="s">
        <v>1838</v>
      </c>
      <c r="D809" s="34" t="s">
        <v>74</v>
      </c>
      <c r="E809" s="34" t="s">
        <v>1687</v>
      </c>
      <c r="F809" s="34" t="s">
        <v>212</v>
      </c>
      <c r="G809" s="34" t="s">
        <v>120</v>
      </c>
      <c r="H809" s="34" t="s">
        <v>480</v>
      </c>
      <c r="I809" s="35" t="s">
        <v>1830</v>
      </c>
      <c r="J809" s="24" t="s">
        <v>1395</v>
      </c>
      <c r="K809" s="7" t="s">
        <v>221</v>
      </c>
      <c r="L809" s="9">
        <v>46037.625</v>
      </c>
      <c r="M809" s="9">
        <v>46067.625</v>
      </c>
      <c r="N809" s="15"/>
      <c r="O809" s="15"/>
      <c r="P809" s="15"/>
      <c r="Q809" s="15"/>
      <c r="R809" s="15"/>
    </row>
    <row r="810" spans="1:18" ht="20.25" customHeight="1">
      <c r="A810" s="36">
        <v>1311</v>
      </c>
      <c r="B810" s="28" t="s">
        <v>1839</v>
      </c>
      <c r="C810" s="24" t="s">
        <v>1840</v>
      </c>
      <c r="D810" s="34" t="s">
        <v>29</v>
      </c>
      <c r="E810" s="34" t="s">
        <v>203</v>
      </c>
      <c r="F810" s="34" t="s">
        <v>212</v>
      </c>
      <c r="G810" s="34" t="s">
        <v>39</v>
      </c>
      <c r="H810" s="34" t="s">
        <v>240</v>
      </c>
      <c r="I810" s="35" t="s">
        <v>28</v>
      </c>
      <c r="J810" s="24" t="s">
        <v>284</v>
      </c>
      <c r="K810" s="7" t="s">
        <v>221</v>
      </c>
      <c r="L810" s="9">
        <v>46034.625</v>
      </c>
      <c r="M810" s="9">
        <v>46073.625</v>
      </c>
      <c r="N810" s="15"/>
      <c r="O810" s="15"/>
      <c r="P810" s="15"/>
      <c r="Q810" s="15"/>
      <c r="R810" s="15"/>
    </row>
    <row r="811" spans="1:18" ht="20.25" customHeight="1">
      <c r="A811" s="36">
        <v>1312</v>
      </c>
      <c r="B811" s="28" t="s">
        <v>1841</v>
      </c>
      <c r="C811" s="24" t="s">
        <v>1842</v>
      </c>
      <c r="D811" s="34" t="s">
        <v>29</v>
      </c>
      <c r="E811" s="34" t="s">
        <v>203</v>
      </c>
      <c r="F811" s="34" t="s">
        <v>212</v>
      </c>
      <c r="G811" s="34" t="s">
        <v>30</v>
      </c>
      <c r="H811" s="34" t="s">
        <v>240</v>
      </c>
      <c r="I811" s="35" t="s">
        <v>28</v>
      </c>
      <c r="J811" s="24" t="s">
        <v>1395</v>
      </c>
      <c r="K811" s="7" t="s">
        <v>221</v>
      </c>
      <c r="L811" s="9">
        <v>46034.625</v>
      </c>
      <c r="M811" s="9">
        <v>46112.583333333299</v>
      </c>
      <c r="N811" s="15"/>
      <c r="O811" s="15"/>
      <c r="P811" s="15"/>
      <c r="Q811" s="15"/>
      <c r="R811" s="15"/>
    </row>
    <row r="812" spans="1:18" ht="20.25" customHeight="1">
      <c r="A812" s="36">
        <v>1313</v>
      </c>
      <c r="B812" s="28" t="s">
        <v>1843</v>
      </c>
      <c r="C812" s="24" t="s">
        <v>1844</v>
      </c>
      <c r="D812" s="34" t="s">
        <v>29</v>
      </c>
      <c r="E812" s="34" t="s">
        <v>203</v>
      </c>
      <c r="F812" s="34" t="s">
        <v>212</v>
      </c>
      <c r="G812" s="34" t="s">
        <v>30</v>
      </c>
      <c r="H812" s="34" t="s">
        <v>240</v>
      </c>
      <c r="I812" s="35" t="s">
        <v>28</v>
      </c>
      <c r="J812" s="24" t="s">
        <v>1395</v>
      </c>
      <c r="K812" s="7" t="s">
        <v>221</v>
      </c>
      <c r="L812" s="9">
        <v>46034.625</v>
      </c>
      <c r="M812" s="9">
        <v>46085.625</v>
      </c>
      <c r="N812" s="15"/>
      <c r="O812" s="15"/>
      <c r="P812" s="15"/>
      <c r="Q812" s="15"/>
      <c r="R812" s="15"/>
    </row>
    <row r="813" spans="1:18" ht="20.25" customHeight="1">
      <c r="A813" s="36">
        <v>1314</v>
      </c>
      <c r="B813" s="28" t="s">
        <v>1845</v>
      </c>
      <c r="C813" s="24" t="s">
        <v>1846</v>
      </c>
      <c r="D813" s="34" t="s">
        <v>29</v>
      </c>
      <c r="E813" s="34" t="s">
        <v>203</v>
      </c>
      <c r="F813" s="34" t="s">
        <v>212</v>
      </c>
      <c r="G813" s="34" t="s">
        <v>544</v>
      </c>
      <c r="H813" s="34" t="s">
        <v>240</v>
      </c>
      <c r="I813" s="35" t="s">
        <v>28</v>
      </c>
      <c r="J813" s="24" t="s">
        <v>1395</v>
      </c>
      <c r="K813" s="7" t="s">
        <v>221</v>
      </c>
      <c r="L813" s="9">
        <v>46029.625</v>
      </c>
      <c r="M813" s="9">
        <v>46054.625</v>
      </c>
      <c r="N813" s="15"/>
      <c r="O813" s="15"/>
      <c r="P813" s="15"/>
      <c r="Q813" s="15"/>
      <c r="R813" s="15"/>
    </row>
    <row r="814" spans="1:18" ht="20.25" customHeight="1">
      <c r="A814" s="36">
        <v>1315</v>
      </c>
      <c r="B814" s="28" t="s">
        <v>1847</v>
      </c>
      <c r="C814" s="24" t="s">
        <v>1848</v>
      </c>
      <c r="D814" s="34" t="s">
        <v>29</v>
      </c>
      <c r="E814" s="34" t="s">
        <v>203</v>
      </c>
      <c r="F814" s="34" t="s">
        <v>212</v>
      </c>
      <c r="G814" s="34" t="s">
        <v>30</v>
      </c>
      <c r="H814" s="34" t="s">
        <v>240</v>
      </c>
      <c r="I814" s="35" t="s">
        <v>28</v>
      </c>
      <c r="J814" s="24" t="s">
        <v>220</v>
      </c>
      <c r="K814" s="7" t="s">
        <v>208</v>
      </c>
      <c r="L814" s="9">
        <v>46034.625</v>
      </c>
      <c r="M814" s="9"/>
      <c r="N814" s="15"/>
      <c r="O814" s="15"/>
      <c r="P814" s="15"/>
      <c r="Q814" s="15"/>
      <c r="R814" s="15"/>
    </row>
    <row r="815" spans="1:18" ht="20.25" customHeight="1">
      <c r="A815" s="36">
        <v>1316</v>
      </c>
      <c r="B815" s="28" t="s">
        <v>1849</v>
      </c>
      <c r="C815" s="24" t="s">
        <v>1850</v>
      </c>
      <c r="D815" s="34" t="s">
        <v>16</v>
      </c>
      <c r="E815" s="34" t="s">
        <v>211</v>
      </c>
      <c r="F815" s="34" t="s">
        <v>212</v>
      </c>
      <c r="G815" s="34" t="s">
        <v>17</v>
      </c>
      <c r="H815" s="34" t="s">
        <v>213</v>
      </c>
      <c r="I815" s="35" t="s">
        <v>1768</v>
      </c>
      <c r="J815" s="24" t="s">
        <v>220</v>
      </c>
      <c r="K815" s="7" t="s">
        <v>208</v>
      </c>
      <c r="L815" s="9">
        <v>46024.625</v>
      </c>
      <c r="M815" s="9"/>
      <c r="N815" s="15"/>
      <c r="O815" s="15"/>
      <c r="P815" s="15"/>
      <c r="Q815" s="15"/>
      <c r="R815" s="15"/>
    </row>
    <row r="816" spans="1:18" ht="20.25" customHeight="1">
      <c r="A816" s="36">
        <v>1317</v>
      </c>
      <c r="B816" s="28" t="s">
        <v>1851</v>
      </c>
      <c r="C816" s="24" t="s">
        <v>1852</v>
      </c>
      <c r="D816" s="34" t="s">
        <v>74</v>
      </c>
      <c r="E816" s="34" t="s">
        <v>1687</v>
      </c>
      <c r="F816" s="34" t="s">
        <v>212</v>
      </c>
      <c r="G816" s="34" t="s">
        <v>120</v>
      </c>
      <c r="H816" s="34" t="s">
        <v>480</v>
      </c>
      <c r="I816" s="35" t="s">
        <v>1830</v>
      </c>
      <c r="J816" s="24" t="s">
        <v>1395</v>
      </c>
      <c r="K816" s="7" t="s">
        <v>221</v>
      </c>
      <c r="L816" s="9">
        <v>46037.625</v>
      </c>
      <c r="M816" s="9">
        <v>46067.625</v>
      </c>
      <c r="N816" s="15"/>
      <c r="O816" s="15"/>
      <c r="P816" s="15"/>
      <c r="Q816" s="15"/>
      <c r="R816" s="15"/>
    </row>
    <row r="817" spans="1:18" ht="20.25" customHeight="1">
      <c r="A817" s="36">
        <v>1318</v>
      </c>
      <c r="B817" s="28" t="s">
        <v>1853</v>
      </c>
      <c r="C817" s="24" t="s">
        <v>1854</v>
      </c>
      <c r="D817" s="34" t="s">
        <v>74</v>
      </c>
      <c r="E817" s="34" t="s">
        <v>78</v>
      </c>
      <c r="F817" s="34" t="s">
        <v>259</v>
      </c>
      <c r="G817" s="34" t="s">
        <v>305</v>
      </c>
      <c r="H817" s="34" t="s">
        <v>305</v>
      </c>
      <c r="I817" s="35" t="s">
        <v>1230</v>
      </c>
      <c r="J817" s="24" t="s">
        <v>284</v>
      </c>
      <c r="K817" s="7" t="s">
        <v>221</v>
      </c>
      <c r="L817" s="9">
        <v>46035.625</v>
      </c>
      <c r="M817" s="9">
        <v>46095.583333333299</v>
      </c>
      <c r="N817" s="15"/>
      <c r="O817" s="15"/>
      <c r="P817" s="15"/>
      <c r="Q817" s="15"/>
      <c r="R817" s="15"/>
    </row>
    <row r="818" spans="1:18" ht="20.25" customHeight="1">
      <c r="A818" s="36">
        <v>1319</v>
      </c>
      <c r="B818" s="28" t="s">
        <v>1855</v>
      </c>
      <c r="C818" s="24" t="s">
        <v>1856</v>
      </c>
      <c r="D818" s="34" t="s">
        <v>74</v>
      </c>
      <c r="E818" s="34" t="s">
        <v>202</v>
      </c>
      <c r="F818" s="34" t="s">
        <v>259</v>
      </c>
      <c r="G818" s="34" t="s">
        <v>480</v>
      </c>
      <c r="H818" s="34" t="s">
        <v>480</v>
      </c>
      <c r="I818" s="35" t="s">
        <v>1857</v>
      </c>
      <c r="J818" s="24" t="s">
        <v>215</v>
      </c>
      <c r="K818" s="7" t="s">
        <v>208</v>
      </c>
      <c r="L818" s="9">
        <v>46035.625</v>
      </c>
      <c r="M818" s="9"/>
      <c r="N818" s="15"/>
      <c r="O818" s="15"/>
      <c r="P818" s="15"/>
      <c r="Q818" s="15"/>
      <c r="R818" s="15"/>
    </row>
    <row r="819" spans="1:18" ht="20.25" customHeight="1">
      <c r="A819" s="36">
        <v>1320</v>
      </c>
      <c r="B819" s="28" t="s">
        <v>1858</v>
      </c>
      <c r="C819" s="24" t="s">
        <v>1859</v>
      </c>
      <c r="D819" s="34" t="s">
        <v>74</v>
      </c>
      <c r="E819" s="34" t="s">
        <v>202</v>
      </c>
      <c r="F819" s="34" t="s">
        <v>212</v>
      </c>
      <c r="G819" s="34" t="s">
        <v>120</v>
      </c>
      <c r="H819" s="34" t="s">
        <v>218</v>
      </c>
      <c r="I819" s="35" t="s">
        <v>61</v>
      </c>
      <c r="J819" s="24" t="s">
        <v>1395</v>
      </c>
      <c r="K819" s="7" t="s">
        <v>221</v>
      </c>
      <c r="L819" s="9">
        <v>46035.625</v>
      </c>
      <c r="M819" s="9">
        <v>46112.583333333299</v>
      </c>
      <c r="N819" s="15"/>
      <c r="O819" s="15"/>
      <c r="P819" s="15"/>
      <c r="Q819" s="15"/>
      <c r="R819" s="15"/>
    </row>
    <row r="820" spans="1:18" ht="20.25" customHeight="1">
      <c r="A820" s="36">
        <v>1321</v>
      </c>
      <c r="B820" s="28" t="s">
        <v>1860</v>
      </c>
      <c r="C820" s="24" t="s">
        <v>1861</v>
      </c>
      <c r="D820" s="34" t="s">
        <v>29</v>
      </c>
      <c r="E820" s="34" t="s">
        <v>203</v>
      </c>
      <c r="F820" s="34" t="s">
        <v>212</v>
      </c>
      <c r="G820" s="34" t="s">
        <v>1257</v>
      </c>
      <c r="H820" s="34" t="s">
        <v>240</v>
      </c>
      <c r="I820" s="35" t="s">
        <v>28</v>
      </c>
      <c r="J820" s="24" t="s">
        <v>1395</v>
      </c>
      <c r="K820" s="7" t="s">
        <v>221</v>
      </c>
      <c r="L820" s="9">
        <v>46034.625</v>
      </c>
      <c r="M820" s="9">
        <v>46053.625</v>
      </c>
      <c r="N820" s="15"/>
      <c r="O820" s="15"/>
      <c r="P820" s="15"/>
      <c r="Q820" s="15"/>
      <c r="R820" s="15"/>
    </row>
    <row r="821" spans="1:18" ht="20.25" customHeight="1">
      <c r="A821" s="36">
        <v>1322</v>
      </c>
      <c r="B821" s="28" t="s">
        <v>1862</v>
      </c>
      <c r="C821" s="24" t="s">
        <v>1863</v>
      </c>
      <c r="D821" s="34" t="s">
        <v>74</v>
      </c>
      <c r="E821" s="34" t="s">
        <v>1687</v>
      </c>
      <c r="F821" s="34" t="s">
        <v>212</v>
      </c>
      <c r="G821" s="34" t="s">
        <v>120</v>
      </c>
      <c r="H821" s="34" t="s">
        <v>480</v>
      </c>
      <c r="I821" s="35" t="s">
        <v>1830</v>
      </c>
      <c r="J821" s="24" t="s">
        <v>1395</v>
      </c>
      <c r="K821" s="7" t="s">
        <v>221</v>
      </c>
      <c r="L821" s="9">
        <v>46037.625</v>
      </c>
      <c r="M821" s="9">
        <v>46067.625</v>
      </c>
      <c r="N821" s="15"/>
      <c r="O821" s="15"/>
      <c r="P821" s="15"/>
      <c r="Q821" s="15"/>
      <c r="R821" s="15"/>
    </row>
    <row r="822" spans="1:18" ht="20.25" customHeight="1">
      <c r="A822" s="36">
        <v>1323</v>
      </c>
      <c r="B822" s="28" t="s">
        <v>1864</v>
      </c>
      <c r="C822" s="24" t="s">
        <v>1865</v>
      </c>
      <c r="D822" s="34" t="s">
        <v>74</v>
      </c>
      <c r="E822" s="34" t="s">
        <v>1687</v>
      </c>
      <c r="F822" s="34" t="s">
        <v>212</v>
      </c>
      <c r="G822" s="34" t="s">
        <v>120</v>
      </c>
      <c r="H822" s="34" t="s">
        <v>480</v>
      </c>
      <c r="I822" s="35" t="s">
        <v>1830</v>
      </c>
      <c r="J822" s="24" t="s">
        <v>1395</v>
      </c>
      <c r="K822" s="7" t="s">
        <v>221</v>
      </c>
      <c r="L822" s="9">
        <v>46037.625</v>
      </c>
      <c r="M822" s="9">
        <v>46067.625</v>
      </c>
      <c r="N822" s="15"/>
      <c r="O822" s="15"/>
      <c r="P822" s="15"/>
      <c r="Q822" s="15"/>
      <c r="R822" s="15"/>
    </row>
    <row r="823" spans="1:18" ht="20.25" customHeight="1">
      <c r="A823" s="36">
        <v>1324</v>
      </c>
      <c r="B823" s="28" t="s">
        <v>1866</v>
      </c>
      <c r="C823" s="24" t="s">
        <v>1867</v>
      </c>
      <c r="D823" s="34" t="s">
        <v>29</v>
      </c>
      <c r="E823" s="34" t="s">
        <v>203</v>
      </c>
      <c r="F823" s="34" t="s">
        <v>212</v>
      </c>
      <c r="G823" s="34" t="s">
        <v>30</v>
      </c>
      <c r="H823" s="34" t="s">
        <v>240</v>
      </c>
      <c r="I823" s="35" t="s">
        <v>28</v>
      </c>
      <c r="J823" s="24" t="s">
        <v>284</v>
      </c>
      <c r="K823" s="7" t="s">
        <v>221</v>
      </c>
      <c r="L823" s="9">
        <v>46041.625</v>
      </c>
      <c r="M823" s="9">
        <v>46045.625</v>
      </c>
      <c r="N823" s="15"/>
      <c r="O823" s="15"/>
      <c r="P823" s="15"/>
      <c r="Q823" s="15"/>
      <c r="R823" s="15"/>
    </row>
    <row r="824" spans="1:18" ht="20.25" customHeight="1">
      <c r="A824" s="36">
        <v>1325</v>
      </c>
      <c r="B824" s="28" t="s">
        <v>1868</v>
      </c>
      <c r="C824" s="24" t="s">
        <v>1869</v>
      </c>
      <c r="D824" s="34" t="s">
        <v>29</v>
      </c>
      <c r="E824" s="34" t="s">
        <v>203</v>
      </c>
      <c r="F824" s="34" t="s">
        <v>212</v>
      </c>
      <c r="G824" s="34" t="s">
        <v>1257</v>
      </c>
      <c r="H824" s="34" t="s">
        <v>266</v>
      </c>
      <c r="I824" s="35" t="s">
        <v>15</v>
      </c>
      <c r="J824" s="24" t="s">
        <v>284</v>
      </c>
      <c r="K824" s="7" t="s">
        <v>221</v>
      </c>
      <c r="L824" s="9">
        <v>46041.625</v>
      </c>
      <c r="M824" s="9">
        <v>46047.625</v>
      </c>
      <c r="N824" s="15"/>
      <c r="O824" s="15"/>
      <c r="P824" s="15"/>
      <c r="Q824" s="15"/>
      <c r="R824" s="15"/>
    </row>
    <row r="825" spans="1:18" ht="20.25" customHeight="1">
      <c r="A825" s="36">
        <v>1326</v>
      </c>
      <c r="B825" s="28" t="s">
        <v>1870</v>
      </c>
      <c r="C825" s="24" t="s">
        <v>1871</v>
      </c>
      <c r="D825" s="34" t="s">
        <v>29</v>
      </c>
      <c r="E825" s="34" t="s">
        <v>203</v>
      </c>
      <c r="F825" s="34" t="s">
        <v>212</v>
      </c>
      <c r="G825" s="34" t="s">
        <v>1257</v>
      </c>
      <c r="H825" s="34" t="s">
        <v>240</v>
      </c>
      <c r="I825" s="35" t="s">
        <v>28</v>
      </c>
      <c r="J825" s="24" t="s">
        <v>220</v>
      </c>
      <c r="K825" s="7" t="s">
        <v>208</v>
      </c>
      <c r="L825" s="9">
        <v>46041.625</v>
      </c>
      <c r="M825" s="9"/>
      <c r="N825" s="15"/>
      <c r="O825" s="15"/>
      <c r="P825" s="15"/>
      <c r="Q825" s="15"/>
      <c r="R825" s="15"/>
    </row>
    <row r="826" spans="1:18" ht="20.25" customHeight="1">
      <c r="A826" s="36">
        <v>1327</v>
      </c>
      <c r="B826" s="28" t="s">
        <v>1872</v>
      </c>
      <c r="C826" s="24" t="s">
        <v>1873</v>
      </c>
      <c r="D826" s="34" t="s">
        <v>29</v>
      </c>
      <c r="E826" s="34" t="s">
        <v>203</v>
      </c>
      <c r="F826" s="34" t="s">
        <v>212</v>
      </c>
      <c r="G826" s="34" t="s">
        <v>544</v>
      </c>
      <c r="H826" s="34" t="s">
        <v>240</v>
      </c>
      <c r="I826" s="35" t="s">
        <v>28</v>
      </c>
      <c r="J826" s="24" t="s">
        <v>1395</v>
      </c>
      <c r="K826" s="7" t="s">
        <v>221</v>
      </c>
      <c r="L826" s="9">
        <v>46041.625</v>
      </c>
      <c r="M826" s="9">
        <v>46096.583333333299</v>
      </c>
      <c r="N826" s="15"/>
      <c r="O826" s="15"/>
      <c r="P826" s="15"/>
      <c r="Q826" s="15"/>
      <c r="R826" s="15"/>
    </row>
    <row r="827" spans="1:18" ht="20.25" customHeight="1">
      <c r="A827" s="36">
        <v>1328</v>
      </c>
      <c r="B827" s="28" t="s">
        <v>1874</v>
      </c>
      <c r="C827" s="24" t="s">
        <v>1875</v>
      </c>
      <c r="D827" s="34" t="s">
        <v>74</v>
      </c>
      <c r="E827" s="34" t="s">
        <v>202</v>
      </c>
      <c r="F827" s="34" t="s">
        <v>212</v>
      </c>
      <c r="G827" s="34" t="s">
        <v>120</v>
      </c>
      <c r="H827" s="34" t="s">
        <v>218</v>
      </c>
      <c r="I827" s="35" t="s">
        <v>61</v>
      </c>
      <c r="J827" s="24" t="s">
        <v>1395</v>
      </c>
      <c r="K827" s="7" t="s">
        <v>221</v>
      </c>
      <c r="L827" s="9">
        <v>46041.625</v>
      </c>
      <c r="M827" s="9">
        <v>46075.625</v>
      </c>
      <c r="N827" s="15"/>
      <c r="O827" s="15"/>
      <c r="P827" s="15"/>
      <c r="Q827" s="15"/>
      <c r="R827" s="15"/>
    </row>
    <row r="828" spans="1:18" ht="20.25" customHeight="1">
      <c r="A828" s="36">
        <v>1329</v>
      </c>
      <c r="B828" s="28" t="s">
        <v>1876</v>
      </c>
      <c r="C828" s="24" t="s">
        <v>1877</v>
      </c>
      <c r="D828" s="34" t="s">
        <v>29</v>
      </c>
      <c r="E828" s="34" t="s">
        <v>203</v>
      </c>
      <c r="F828" s="34" t="s">
        <v>212</v>
      </c>
      <c r="G828" s="34" t="s">
        <v>39</v>
      </c>
      <c r="H828" s="34" t="s">
        <v>240</v>
      </c>
      <c r="I828" s="35" t="s">
        <v>28</v>
      </c>
      <c r="J828" s="24" t="s">
        <v>220</v>
      </c>
      <c r="K828" s="7" t="s">
        <v>221</v>
      </c>
      <c r="L828" s="9">
        <v>46041.625</v>
      </c>
      <c r="M828" s="9">
        <v>46112.583333333299</v>
      </c>
      <c r="N828" s="15"/>
      <c r="O828" s="15"/>
      <c r="P828" s="15"/>
      <c r="Q828" s="15"/>
      <c r="R828" s="15"/>
    </row>
    <row r="829" spans="1:18" ht="20.25" customHeight="1">
      <c r="A829" s="36">
        <v>1330</v>
      </c>
      <c r="B829" s="28" t="s">
        <v>1878</v>
      </c>
      <c r="C829" s="24" t="s">
        <v>1879</v>
      </c>
      <c r="D829" s="34" t="s">
        <v>74</v>
      </c>
      <c r="E829" s="34" t="s">
        <v>202</v>
      </c>
      <c r="F829" s="34" t="s">
        <v>212</v>
      </c>
      <c r="G829" s="34" t="s">
        <v>120</v>
      </c>
      <c r="H829" s="34" t="s">
        <v>231</v>
      </c>
      <c r="I829" s="35" t="s">
        <v>58</v>
      </c>
      <c r="J829" s="24" t="s">
        <v>284</v>
      </c>
      <c r="K829" s="7" t="s">
        <v>221</v>
      </c>
      <c r="L829" s="9">
        <v>46044.625</v>
      </c>
      <c r="M829" s="9">
        <v>46046.625</v>
      </c>
      <c r="N829" s="15"/>
      <c r="O829" s="15"/>
      <c r="P829" s="15"/>
      <c r="Q829" s="15"/>
      <c r="R829" s="15"/>
    </row>
    <row r="830" spans="1:18" ht="20.25" customHeight="1">
      <c r="A830" s="36">
        <v>1331</v>
      </c>
      <c r="B830" s="28" t="s">
        <v>1880</v>
      </c>
      <c r="C830" s="24" t="s">
        <v>1881</v>
      </c>
      <c r="D830" s="34" t="s">
        <v>74</v>
      </c>
      <c r="E830" s="34" t="s">
        <v>78</v>
      </c>
      <c r="F830" s="34" t="s">
        <v>78</v>
      </c>
      <c r="G830" s="34" t="s">
        <v>78</v>
      </c>
      <c r="H830" s="34" t="s">
        <v>266</v>
      </c>
      <c r="I830" s="35" t="s">
        <v>1882</v>
      </c>
      <c r="J830" s="24" t="s">
        <v>284</v>
      </c>
      <c r="K830" s="7" t="s">
        <v>221</v>
      </c>
      <c r="L830" s="9">
        <v>46042.625</v>
      </c>
      <c r="M830" s="9">
        <v>46063.625</v>
      </c>
      <c r="N830" s="15"/>
      <c r="O830" s="15"/>
      <c r="P830" s="15"/>
      <c r="Q830" s="15"/>
      <c r="R830" s="15"/>
    </row>
    <row r="831" spans="1:18" ht="20.25" customHeight="1">
      <c r="A831" s="36">
        <v>1332</v>
      </c>
      <c r="B831" s="28" t="s">
        <v>1883</v>
      </c>
      <c r="C831" s="24" t="s">
        <v>1884</v>
      </c>
      <c r="D831" s="34" t="s">
        <v>74</v>
      </c>
      <c r="E831" s="34" t="s">
        <v>202</v>
      </c>
      <c r="F831" s="34" t="s">
        <v>212</v>
      </c>
      <c r="G831" s="34" t="s">
        <v>108</v>
      </c>
      <c r="H831" s="34" t="s">
        <v>218</v>
      </c>
      <c r="I831" s="35" t="s">
        <v>61</v>
      </c>
      <c r="J831" s="24" t="s">
        <v>1395</v>
      </c>
      <c r="K831" s="7" t="s">
        <v>221</v>
      </c>
      <c r="L831" s="9">
        <v>46042.625</v>
      </c>
      <c r="M831" s="9">
        <v>46049.625</v>
      </c>
      <c r="N831" s="15"/>
      <c r="O831" s="15"/>
      <c r="P831" s="15"/>
      <c r="Q831" s="15"/>
      <c r="R831" s="15"/>
    </row>
    <row r="832" spans="1:18" ht="20.25" customHeight="1">
      <c r="A832" s="36">
        <v>1333</v>
      </c>
      <c r="B832" s="28" t="s">
        <v>1885</v>
      </c>
      <c r="C832" s="24" t="s">
        <v>1886</v>
      </c>
      <c r="D832" s="34" t="s">
        <v>74</v>
      </c>
      <c r="E832" s="34" t="s">
        <v>202</v>
      </c>
      <c r="F832" s="34" t="s">
        <v>212</v>
      </c>
      <c r="G832" s="34" t="s">
        <v>108</v>
      </c>
      <c r="H832" s="34" t="s">
        <v>218</v>
      </c>
      <c r="I832" s="35" t="s">
        <v>61</v>
      </c>
      <c r="J832" s="24" t="s">
        <v>220</v>
      </c>
      <c r="K832" s="7" t="s">
        <v>208</v>
      </c>
      <c r="L832" s="9">
        <v>46046.625</v>
      </c>
      <c r="M832" s="9"/>
      <c r="N832" s="15"/>
      <c r="O832" s="15"/>
      <c r="P832" s="15"/>
      <c r="Q832" s="15"/>
      <c r="R832" s="15"/>
    </row>
    <row r="833" spans="1:18" ht="20.25" customHeight="1">
      <c r="A833" s="36">
        <v>1334</v>
      </c>
      <c r="B833" s="28" t="s">
        <v>1887</v>
      </c>
      <c r="C833" s="24" t="s">
        <v>1888</v>
      </c>
      <c r="D833" s="34" t="s">
        <v>74</v>
      </c>
      <c r="E833" s="34" t="s">
        <v>202</v>
      </c>
      <c r="F833" s="34" t="s">
        <v>212</v>
      </c>
      <c r="G833" s="34" t="s">
        <v>120</v>
      </c>
      <c r="H833" s="34" t="s">
        <v>218</v>
      </c>
      <c r="I833" s="35" t="s">
        <v>61</v>
      </c>
      <c r="J833" s="24" t="s">
        <v>1395</v>
      </c>
      <c r="K833" s="7" t="s">
        <v>221</v>
      </c>
      <c r="L833" s="9">
        <v>46052.625</v>
      </c>
      <c r="M833" s="9">
        <v>46082.625</v>
      </c>
      <c r="N833" s="15"/>
      <c r="O833" s="15"/>
      <c r="P833" s="15"/>
      <c r="Q833" s="15"/>
      <c r="R833" s="15"/>
    </row>
    <row r="834" spans="1:18" ht="20.25" customHeight="1">
      <c r="A834" s="36">
        <v>1335</v>
      </c>
      <c r="B834" s="28" t="s">
        <v>1889</v>
      </c>
      <c r="C834" s="24" t="s">
        <v>1890</v>
      </c>
      <c r="D834" s="34" t="s">
        <v>74</v>
      </c>
      <c r="E834" s="34" t="s">
        <v>1687</v>
      </c>
      <c r="F834" s="34" t="s">
        <v>78</v>
      </c>
      <c r="G834" s="34" t="s">
        <v>78</v>
      </c>
      <c r="H834" s="34" t="s">
        <v>576</v>
      </c>
      <c r="I834" s="35" t="s">
        <v>1703</v>
      </c>
      <c r="J834" s="24" t="s">
        <v>1395</v>
      </c>
      <c r="K834" s="7" t="s">
        <v>221</v>
      </c>
      <c r="L834" s="9">
        <v>46052.625</v>
      </c>
      <c r="M834" s="9">
        <v>46066.625</v>
      </c>
      <c r="N834" s="15"/>
      <c r="O834" s="15"/>
      <c r="P834" s="15"/>
      <c r="Q834" s="15"/>
      <c r="R834" s="15"/>
    </row>
    <row r="835" spans="1:18" ht="20.25" customHeight="1">
      <c r="A835" s="36">
        <v>1336</v>
      </c>
      <c r="B835" s="28" t="s">
        <v>1891</v>
      </c>
      <c r="C835" s="24" t="s">
        <v>1892</v>
      </c>
      <c r="D835" s="34" t="s">
        <v>74</v>
      </c>
      <c r="E835" s="34" t="s">
        <v>78</v>
      </c>
      <c r="F835" s="34" t="s">
        <v>78</v>
      </c>
      <c r="G835" s="34" t="s">
        <v>78</v>
      </c>
      <c r="H835" s="34" t="s">
        <v>527</v>
      </c>
      <c r="I835" s="35" t="s">
        <v>113</v>
      </c>
      <c r="J835" s="24" t="s">
        <v>215</v>
      </c>
      <c r="K835" s="7" t="s">
        <v>208</v>
      </c>
      <c r="L835" s="9">
        <v>46055.625</v>
      </c>
      <c r="M835" s="9"/>
      <c r="N835" s="15"/>
      <c r="O835" s="15"/>
      <c r="P835" s="15"/>
      <c r="Q835" s="15"/>
      <c r="R835" s="15"/>
    </row>
    <row r="836" spans="1:18" ht="20.25" customHeight="1">
      <c r="A836" s="36">
        <v>1337</v>
      </c>
      <c r="B836" s="28" t="s">
        <v>1893</v>
      </c>
      <c r="C836" s="24" t="s">
        <v>1894</v>
      </c>
      <c r="D836" s="34" t="s">
        <v>74</v>
      </c>
      <c r="E836" s="34" t="s">
        <v>202</v>
      </c>
      <c r="F836" s="34" t="s">
        <v>212</v>
      </c>
      <c r="G836" s="34" t="s">
        <v>120</v>
      </c>
      <c r="H836" s="34" t="s">
        <v>218</v>
      </c>
      <c r="I836" s="35" t="s">
        <v>61</v>
      </c>
      <c r="J836" s="24" t="s">
        <v>1395</v>
      </c>
      <c r="K836" s="7" t="s">
        <v>221</v>
      </c>
      <c r="L836" s="9">
        <v>46056.625</v>
      </c>
      <c r="M836" s="9">
        <v>46112.583333333299</v>
      </c>
      <c r="N836" s="15"/>
      <c r="O836" s="15"/>
      <c r="P836" s="15"/>
      <c r="Q836" s="15"/>
      <c r="R836" s="15"/>
    </row>
    <row r="837" spans="1:18" ht="20.25" customHeight="1">
      <c r="A837" s="36">
        <v>1338</v>
      </c>
      <c r="B837" s="28" t="s">
        <v>1895</v>
      </c>
      <c r="C837" s="24" t="s">
        <v>1896</v>
      </c>
      <c r="D837" s="34" t="s">
        <v>74</v>
      </c>
      <c r="E837" s="34" t="s">
        <v>202</v>
      </c>
      <c r="F837" s="34" t="s">
        <v>212</v>
      </c>
      <c r="G837" s="34" t="s">
        <v>95</v>
      </c>
      <c r="H837" s="34" t="s">
        <v>240</v>
      </c>
      <c r="I837" s="35" t="s">
        <v>107</v>
      </c>
      <c r="J837" s="24" t="s">
        <v>220</v>
      </c>
      <c r="K837" s="7" t="s">
        <v>208</v>
      </c>
      <c r="L837" s="9">
        <v>46056.625</v>
      </c>
      <c r="M837" s="9"/>
      <c r="N837" s="15"/>
      <c r="O837" s="15"/>
      <c r="P837" s="15"/>
      <c r="Q837" s="15"/>
      <c r="R837" s="15"/>
    </row>
    <row r="838" spans="1:18" ht="20.25" customHeight="1">
      <c r="A838" s="36">
        <v>1339</v>
      </c>
      <c r="B838" s="28" t="s">
        <v>1897</v>
      </c>
      <c r="C838" s="24" t="s">
        <v>1898</v>
      </c>
      <c r="D838" s="34" t="s">
        <v>74</v>
      </c>
      <c r="E838" s="34" t="s">
        <v>202</v>
      </c>
      <c r="F838" s="34" t="s">
        <v>212</v>
      </c>
      <c r="G838" s="34" t="s">
        <v>120</v>
      </c>
      <c r="H838" s="34" t="s">
        <v>240</v>
      </c>
      <c r="I838" s="35" t="s">
        <v>1899</v>
      </c>
      <c r="J838" s="24" t="s">
        <v>1395</v>
      </c>
      <c r="K838" s="7" t="s">
        <v>221</v>
      </c>
      <c r="L838" s="9">
        <v>46056.625</v>
      </c>
      <c r="M838" s="9">
        <v>46082.625</v>
      </c>
      <c r="N838" s="15"/>
      <c r="O838" s="15"/>
      <c r="P838" s="15"/>
      <c r="Q838" s="15"/>
      <c r="R838" s="15"/>
    </row>
    <row r="839" spans="1:18" ht="20.25" customHeight="1">
      <c r="A839" s="36">
        <v>1340</v>
      </c>
      <c r="B839" s="28" t="s">
        <v>1900</v>
      </c>
      <c r="C839" s="24" t="s">
        <v>1901</v>
      </c>
      <c r="D839" s="34" t="s">
        <v>74</v>
      </c>
      <c r="E839" s="34" t="s">
        <v>202</v>
      </c>
      <c r="F839" s="34" t="s">
        <v>212</v>
      </c>
      <c r="G839" s="34" t="s">
        <v>108</v>
      </c>
      <c r="H839" s="34" t="s">
        <v>240</v>
      </c>
      <c r="I839" s="35" t="s">
        <v>107</v>
      </c>
      <c r="J839" s="24" t="s">
        <v>220</v>
      </c>
      <c r="K839" s="7" t="s">
        <v>221</v>
      </c>
      <c r="L839" s="9">
        <v>46055.625</v>
      </c>
      <c r="M839" s="9">
        <v>46174.583333333299</v>
      </c>
      <c r="N839" s="15"/>
      <c r="O839" s="15"/>
      <c r="P839" s="15"/>
      <c r="Q839" s="15"/>
      <c r="R839" s="15"/>
    </row>
    <row r="840" spans="1:18" ht="20.25" customHeight="1">
      <c r="A840" s="36">
        <v>1341</v>
      </c>
      <c r="B840" s="28" t="s">
        <v>1902</v>
      </c>
      <c r="C840" s="24" t="s">
        <v>1903</v>
      </c>
      <c r="D840" s="34" t="s">
        <v>74</v>
      </c>
      <c r="E840" s="34" t="s">
        <v>202</v>
      </c>
      <c r="F840" s="34" t="s">
        <v>212</v>
      </c>
      <c r="G840" s="34" t="s">
        <v>108</v>
      </c>
      <c r="H840" s="34" t="s">
        <v>240</v>
      </c>
      <c r="I840" s="35" t="s">
        <v>1899</v>
      </c>
      <c r="J840" s="24" t="s">
        <v>220</v>
      </c>
      <c r="K840" s="7" t="s">
        <v>221</v>
      </c>
      <c r="L840" s="9">
        <v>46056.625</v>
      </c>
      <c r="M840" s="9">
        <v>46089.625</v>
      </c>
      <c r="N840" s="15"/>
      <c r="O840" s="15"/>
      <c r="P840" s="15"/>
      <c r="Q840" s="15"/>
      <c r="R840" s="15"/>
    </row>
    <row r="841" spans="1:18" ht="20.25" customHeight="1">
      <c r="A841" s="36">
        <v>1342</v>
      </c>
      <c r="B841" s="28" t="s">
        <v>1904</v>
      </c>
      <c r="C841" s="24" t="s">
        <v>1905</v>
      </c>
      <c r="D841" s="34" t="s">
        <v>74</v>
      </c>
      <c r="E841" s="34" t="s">
        <v>1687</v>
      </c>
      <c r="F841" s="34" t="s">
        <v>78</v>
      </c>
      <c r="G841" s="34" t="s">
        <v>78</v>
      </c>
      <c r="H841" s="34" t="s">
        <v>576</v>
      </c>
      <c r="I841" s="35" t="s">
        <v>1703</v>
      </c>
      <c r="J841" s="24" t="s">
        <v>1395</v>
      </c>
      <c r="K841" s="7" t="s">
        <v>221</v>
      </c>
      <c r="L841" s="9">
        <v>46055.625</v>
      </c>
      <c r="M841" s="9">
        <v>46066.625</v>
      </c>
      <c r="N841" s="15"/>
      <c r="O841" s="15"/>
      <c r="P841" s="15"/>
      <c r="Q841" s="15"/>
      <c r="R841" s="15"/>
    </row>
    <row r="842" spans="1:18" ht="20.25" customHeight="1">
      <c r="A842" s="36">
        <v>1343</v>
      </c>
      <c r="B842" s="28" t="s">
        <v>1906</v>
      </c>
      <c r="C842" s="24" t="s">
        <v>1907</v>
      </c>
      <c r="D842" s="34" t="s">
        <v>74</v>
      </c>
      <c r="E842" s="34" t="s">
        <v>202</v>
      </c>
      <c r="F842" s="34" t="s">
        <v>212</v>
      </c>
      <c r="G842" s="34" t="s">
        <v>120</v>
      </c>
      <c r="H842" s="34" t="s">
        <v>218</v>
      </c>
      <c r="I842" s="35" t="s">
        <v>61</v>
      </c>
      <c r="J842" s="24" t="s">
        <v>220</v>
      </c>
      <c r="K842" s="7" t="s">
        <v>208</v>
      </c>
      <c r="L842" s="9">
        <v>46057.625</v>
      </c>
      <c r="M842" s="9"/>
      <c r="N842" s="15"/>
      <c r="O842" s="15"/>
      <c r="P842" s="15"/>
      <c r="Q842" s="15"/>
      <c r="R842" s="15"/>
    </row>
    <row r="843" spans="1:18" ht="20.25" customHeight="1">
      <c r="A843" s="36">
        <v>1344</v>
      </c>
      <c r="B843" s="28" t="s">
        <v>1908</v>
      </c>
      <c r="C843" s="24" t="s">
        <v>1909</v>
      </c>
      <c r="D843" s="34" t="s">
        <v>74</v>
      </c>
      <c r="E843" s="34" t="s">
        <v>202</v>
      </c>
      <c r="F843" s="34" t="s">
        <v>212</v>
      </c>
      <c r="G843" s="34" t="s">
        <v>95</v>
      </c>
      <c r="H843" s="34" t="s">
        <v>240</v>
      </c>
      <c r="I843" s="35" t="s">
        <v>1899</v>
      </c>
      <c r="J843" s="24" t="s">
        <v>1395</v>
      </c>
      <c r="K843" s="7" t="s">
        <v>221</v>
      </c>
      <c r="L843" s="9">
        <v>46055.625</v>
      </c>
      <c r="M843" s="9">
        <v>46082.625</v>
      </c>
      <c r="N843" s="15"/>
      <c r="O843" s="15"/>
      <c r="P843" s="15"/>
      <c r="Q843" s="15"/>
      <c r="R843" s="15"/>
    </row>
    <row r="844" spans="1:18" ht="20.25" customHeight="1">
      <c r="A844" s="36">
        <v>1345</v>
      </c>
      <c r="B844" s="28" t="s">
        <v>1910</v>
      </c>
      <c r="C844" s="24" t="s">
        <v>1911</v>
      </c>
      <c r="D844" s="34" t="s">
        <v>29</v>
      </c>
      <c r="E844" s="34" t="s">
        <v>203</v>
      </c>
      <c r="F844" s="34" t="s">
        <v>212</v>
      </c>
      <c r="G844" s="34" t="s">
        <v>30</v>
      </c>
      <c r="H844" s="34" t="s">
        <v>240</v>
      </c>
      <c r="I844" s="35" t="s">
        <v>28</v>
      </c>
      <c r="J844" s="24" t="s">
        <v>1395</v>
      </c>
      <c r="K844" s="7" t="s">
        <v>221</v>
      </c>
      <c r="L844" s="9">
        <v>46055.625</v>
      </c>
      <c r="M844" s="9">
        <v>46062.625</v>
      </c>
      <c r="N844" s="15"/>
      <c r="O844" s="15"/>
      <c r="P844" s="15"/>
      <c r="Q844" s="15"/>
      <c r="R844" s="15"/>
    </row>
    <row r="845" spans="1:18" ht="20.25" customHeight="1">
      <c r="A845" s="36">
        <v>1346</v>
      </c>
      <c r="B845" s="28" t="s">
        <v>1912</v>
      </c>
      <c r="C845" s="24" t="s">
        <v>1913</v>
      </c>
      <c r="D845" s="34" t="s">
        <v>16</v>
      </c>
      <c r="E845" s="34" t="s">
        <v>211</v>
      </c>
      <c r="F845" s="34" t="s">
        <v>212</v>
      </c>
      <c r="G845" s="34" t="s">
        <v>17</v>
      </c>
      <c r="H845" s="34" t="s">
        <v>240</v>
      </c>
      <c r="I845" s="35" t="s">
        <v>1914</v>
      </c>
      <c r="J845" s="24" t="s">
        <v>1395</v>
      </c>
      <c r="K845" s="7" t="s">
        <v>221</v>
      </c>
      <c r="L845" s="9">
        <v>46068.625</v>
      </c>
      <c r="M845" s="9">
        <v>46075.625</v>
      </c>
      <c r="N845" s="15"/>
      <c r="O845" s="15"/>
      <c r="P845" s="15"/>
      <c r="Q845" s="15"/>
      <c r="R845" s="15"/>
    </row>
    <row r="846" spans="1:18" ht="20.25" customHeight="1">
      <c r="A846" s="36">
        <v>1347</v>
      </c>
      <c r="B846" s="28" t="s">
        <v>1915</v>
      </c>
      <c r="C846" s="24" t="s">
        <v>1916</v>
      </c>
      <c r="D846" s="34" t="s">
        <v>16</v>
      </c>
      <c r="E846" s="34" t="s">
        <v>211</v>
      </c>
      <c r="F846" s="34" t="s">
        <v>212</v>
      </c>
      <c r="G846" s="34" t="s">
        <v>17</v>
      </c>
      <c r="H846" s="34" t="s">
        <v>218</v>
      </c>
      <c r="I846" s="35" t="s">
        <v>1917</v>
      </c>
      <c r="J846" s="24" t="s">
        <v>1395</v>
      </c>
      <c r="K846" s="7" t="s">
        <v>221</v>
      </c>
      <c r="L846" s="9">
        <v>46068.625</v>
      </c>
      <c r="M846" s="9">
        <v>46075.625</v>
      </c>
      <c r="N846" s="15"/>
      <c r="O846" s="15"/>
      <c r="P846" s="15"/>
      <c r="Q846" s="15"/>
      <c r="R846" s="15"/>
    </row>
    <row r="847" spans="1:18" ht="20.25" customHeight="1">
      <c r="A847" s="36">
        <v>1348</v>
      </c>
      <c r="B847" s="28" t="s">
        <v>1918</v>
      </c>
      <c r="C847" s="24" t="s">
        <v>1919</v>
      </c>
      <c r="D847" s="34" t="s">
        <v>16</v>
      </c>
      <c r="E847" s="34" t="s">
        <v>211</v>
      </c>
      <c r="F847" s="34" t="s">
        <v>212</v>
      </c>
      <c r="G847" s="34" t="s">
        <v>17</v>
      </c>
      <c r="H847" s="34" t="s">
        <v>218</v>
      </c>
      <c r="I847" s="35" t="s">
        <v>1917</v>
      </c>
      <c r="J847" s="24" t="s">
        <v>1395</v>
      </c>
      <c r="K847" s="7" t="s">
        <v>221</v>
      </c>
      <c r="L847" s="9">
        <v>46068.625</v>
      </c>
      <c r="M847" s="9">
        <v>46075.625</v>
      </c>
      <c r="N847" s="15"/>
      <c r="O847" s="15"/>
      <c r="P847" s="15"/>
      <c r="Q847" s="15"/>
      <c r="R847" s="15"/>
    </row>
    <row r="848" spans="1:18" ht="20.25" customHeight="1">
      <c r="A848" s="36">
        <v>1349</v>
      </c>
      <c r="B848" s="28" t="s">
        <v>1920</v>
      </c>
      <c r="C848" s="24" t="s">
        <v>170</v>
      </c>
      <c r="D848" s="34" t="s">
        <v>16</v>
      </c>
      <c r="E848" s="34" t="s">
        <v>211</v>
      </c>
      <c r="F848" s="34" t="s">
        <v>212</v>
      </c>
      <c r="G848" s="34" t="s">
        <v>17</v>
      </c>
      <c r="H848" s="34" t="s">
        <v>213</v>
      </c>
      <c r="I848" s="35" t="s">
        <v>1688</v>
      </c>
      <c r="J848" s="24" t="s">
        <v>1395</v>
      </c>
      <c r="K848" s="7" t="s">
        <v>221</v>
      </c>
      <c r="L848" s="9">
        <v>46068.625</v>
      </c>
      <c r="M848" s="9">
        <v>46075.625</v>
      </c>
      <c r="N848" s="15"/>
      <c r="O848" s="15"/>
      <c r="P848" s="15"/>
      <c r="Q848" s="15"/>
      <c r="R848" s="15"/>
    </row>
    <row r="849" spans="1:18" ht="20.25" customHeight="1">
      <c r="A849" s="36">
        <v>1350</v>
      </c>
      <c r="B849" s="28" t="s">
        <v>1921</v>
      </c>
      <c r="C849" s="24" t="s">
        <v>1204</v>
      </c>
      <c r="D849" s="34" t="s">
        <v>16</v>
      </c>
      <c r="E849" s="34" t="s">
        <v>211</v>
      </c>
      <c r="F849" s="34" t="s">
        <v>212</v>
      </c>
      <c r="G849" s="34" t="s">
        <v>17</v>
      </c>
      <c r="H849" s="34" t="s">
        <v>213</v>
      </c>
      <c r="I849" s="35" t="s">
        <v>1688</v>
      </c>
      <c r="J849" s="24" t="s">
        <v>1395</v>
      </c>
      <c r="K849" s="7" t="s">
        <v>221</v>
      </c>
      <c r="L849" s="9">
        <v>46068.625</v>
      </c>
      <c r="M849" s="9">
        <v>46075.625</v>
      </c>
      <c r="N849" s="15"/>
      <c r="O849" s="15"/>
      <c r="P849" s="15"/>
      <c r="Q849" s="15"/>
      <c r="R849" s="15"/>
    </row>
    <row r="850" spans="1:18" ht="20.25" customHeight="1">
      <c r="A850" s="36">
        <v>1351</v>
      </c>
      <c r="B850" s="28" t="s">
        <v>1922</v>
      </c>
      <c r="C850" s="24" t="s">
        <v>164</v>
      </c>
      <c r="D850" s="34" t="s">
        <v>16</v>
      </c>
      <c r="E850" s="34" t="s">
        <v>211</v>
      </c>
      <c r="F850" s="34" t="s">
        <v>212</v>
      </c>
      <c r="G850" s="34" t="s">
        <v>17</v>
      </c>
      <c r="H850" s="34" t="s">
        <v>218</v>
      </c>
      <c r="I850" s="35" t="s">
        <v>1917</v>
      </c>
      <c r="J850" s="24" t="s">
        <v>1395</v>
      </c>
      <c r="K850" s="7" t="s">
        <v>221</v>
      </c>
      <c r="L850" s="9">
        <v>46068.625</v>
      </c>
      <c r="M850" s="9">
        <v>46075.625</v>
      </c>
      <c r="N850" s="15"/>
      <c r="O850" s="15"/>
      <c r="P850" s="15"/>
      <c r="Q850" s="15"/>
      <c r="R850" s="15"/>
    </row>
    <row r="851" spans="1:18" ht="20.25" customHeight="1">
      <c r="A851" s="36">
        <v>1352</v>
      </c>
      <c r="B851" s="28" t="s">
        <v>1923</v>
      </c>
      <c r="C851" s="24" t="s">
        <v>1924</v>
      </c>
      <c r="D851" s="34" t="s">
        <v>16</v>
      </c>
      <c r="E851" s="34" t="s">
        <v>211</v>
      </c>
      <c r="F851" s="34" t="s">
        <v>212</v>
      </c>
      <c r="G851" s="34" t="s">
        <v>17</v>
      </c>
      <c r="H851" s="34" t="s">
        <v>240</v>
      </c>
      <c r="I851" s="35" t="s">
        <v>1914</v>
      </c>
      <c r="J851" s="24" t="s">
        <v>1395</v>
      </c>
      <c r="K851" s="7" t="s">
        <v>221</v>
      </c>
      <c r="L851" s="9">
        <v>46068.625</v>
      </c>
      <c r="M851" s="9">
        <v>46075.625</v>
      </c>
      <c r="N851" s="15"/>
      <c r="O851" s="15"/>
      <c r="P851" s="15"/>
      <c r="Q851" s="15"/>
      <c r="R851" s="15"/>
    </row>
    <row r="852" spans="1:18" ht="20.25" customHeight="1">
      <c r="A852" s="36">
        <v>1353</v>
      </c>
      <c r="B852" s="28" t="s">
        <v>1925</v>
      </c>
      <c r="C852" s="24" t="s">
        <v>1926</v>
      </c>
      <c r="D852" s="34" t="s">
        <v>16</v>
      </c>
      <c r="E852" s="34" t="s">
        <v>211</v>
      </c>
      <c r="F852" s="34" t="s">
        <v>212</v>
      </c>
      <c r="G852" s="34" t="s">
        <v>17</v>
      </c>
      <c r="H852" s="34" t="s">
        <v>218</v>
      </c>
      <c r="I852" s="35" t="s">
        <v>1917</v>
      </c>
      <c r="J852" s="24" t="s">
        <v>1395</v>
      </c>
      <c r="K852" s="7" t="s">
        <v>221</v>
      </c>
      <c r="L852" s="9">
        <v>46068.625</v>
      </c>
      <c r="M852" s="9">
        <v>46075.625</v>
      </c>
      <c r="N852" s="15"/>
      <c r="O852" s="15"/>
      <c r="P852" s="15"/>
      <c r="Q852" s="15"/>
      <c r="R852" s="15"/>
    </row>
    <row r="853" spans="1:18" ht="20.25" customHeight="1">
      <c r="A853" s="36">
        <v>1354</v>
      </c>
      <c r="B853" s="28" t="s">
        <v>1927</v>
      </c>
      <c r="C853" s="24" t="s">
        <v>1928</v>
      </c>
      <c r="D853" s="34" t="s">
        <v>29</v>
      </c>
      <c r="E853" s="34" t="s">
        <v>203</v>
      </c>
      <c r="F853" s="34" t="s">
        <v>212</v>
      </c>
      <c r="G853" s="34" t="s">
        <v>1257</v>
      </c>
      <c r="H853" s="34" t="s">
        <v>240</v>
      </c>
      <c r="I853" s="35" t="s">
        <v>28</v>
      </c>
      <c r="J853" s="24" t="s">
        <v>1395</v>
      </c>
      <c r="K853" s="7" t="s">
        <v>221</v>
      </c>
      <c r="L853" s="9">
        <v>46063.625</v>
      </c>
      <c r="M853" s="9">
        <v>46103.583333333299</v>
      </c>
      <c r="N853" s="15"/>
      <c r="O853" s="15"/>
      <c r="P853" s="15"/>
      <c r="Q853" s="15"/>
      <c r="R853" s="15"/>
    </row>
    <row r="854" spans="1:18" ht="20.25" customHeight="1">
      <c r="A854" s="36">
        <v>1355</v>
      </c>
      <c r="B854" s="28" t="s">
        <v>1929</v>
      </c>
      <c r="C854" s="24" t="s">
        <v>1930</v>
      </c>
      <c r="D854" s="34" t="s">
        <v>74</v>
      </c>
      <c r="E854" s="34" t="s">
        <v>202</v>
      </c>
      <c r="F854" s="34" t="s">
        <v>212</v>
      </c>
      <c r="G854" s="34" t="s">
        <v>120</v>
      </c>
      <c r="H854" s="34" t="s">
        <v>240</v>
      </c>
      <c r="I854" s="35" t="s">
        <v>1899</v>
      </c>
      <c r="J854" s="24" t="s">
        <v>1395</v>
      </c>
      <c r="K854" s="7" t="s">
        <v>221</v>
      </c>
      <c r="L854" s="9">
        <v>46065.625</v>
      </c>
      <c r="M854" s="9">
        <v>46082.625</v>
      </c>
      <c r="N854" s="15"/>
      <c r="O854" s="15"/>
      <c r="P854" s="15"/>
      <c r="Q854" s="15"/>
      <c r="R854" s="15"/>
    </row>
    <row r="855" spans="1:18" ht="20.25" customHeight="1">
      <c r="A855" s="36">
        <v>1356</v>
      </c>
      <c r="B855" s="28" t="s">
        <v>1931</v>
      </c>
      <c r="C855" s="24" t="s">
        <v>1932</v>
      </c>
      <c r="D855" s="34" t="s">
        <v>74</v>
      </c>
      <c r="E855" s="34" t="s">
        <v>202</v>
      </c>
      <c r="F855" s="34" t="s">
        <v>212</v>
      </c>
      <c r="G855" s="34" t="s">
        <v>120</v>
      </c>
      <c r="H855" s="34" t="s">
        <v>218</v>
      </c>
      <c r="I855" s="35" t="s">
        <v>61</v>
      </c>
      <c r="J855" s="24" t="s">
        <v>1395</v>
      </c>
      <c r="K855" s="7" t="s">
        <v>221</v>
      </c>
      <c r="L855" s="9">
        <v>46071.625</v>
      </c>
      <c r="M855" s="9">
        <v>46081.625</v>
      </c>
      <c r="N855" s="15"/>
      <c r="O855" s="15"/>
      <c r="P855" s="15"/>
      <c r="Q855" s="15"/>
      <c r="R855" s="15"/>
    </row>
    <row r="856" spans="1:18" ht="20.25" customHeight="1">
      <c r="A856" s="36">
        <v>1357</v>
      </c>
      <c r="B856" s="28" t="s">
        <v>1933</v>
      </c>
      <c r="C856" s="24" t="s">
        <v>605</v>
      </c>
      <c r="D856" s="34" t="s">
        <v>74</v>
      </c>
      <c r="E856" s="34" t="s">
        <v>202</v>
      </c>
      <c r="F856" s="34" t="s">
        <v>212</v>
      </c>
      <c r="G856" s="34" t="s">
        <v>120</v>
      </c>
      <c r="H856" s="34" t="s">
        <v>218</v>
      </c>
      <c r="I856" s="35" t="s">
        <v>1917</v>
      </c>
      <c r="J856" s="24" t="s">
        <v>1395</v>
      </c>
      <c r="K856" s="7" t="s">
        <v>221</v>
      </c>
      <c r="L856" s="9">
        <v>46069.625</v>
      </c>
      <c r="M856" s="9">
        <v>46082.625</v>
      </c>
      <c r="N856" s="15"/>
      <c r="O856" s="15"/>
      <c r="P856" s="15"/>
      <c r="Q856" s="15"/>
      <c r="R856" s="15"/>
    </row>
    <row r="857" spans="1:18" ht="20.25" customHeight="1">
      <c r="A857" s="36">
        <v>1358</v>
      </c>
      <c r="B857" s="28" t="s">
        <v>1934</v>
      </c>
      <c r="C857" s="24" t="s">
        <v>1935</v>
      </c>
      <c r="D857" s="34" t="s">
        <v>74</v>
      </c>
      <c r="E857" s="34" t="s">
        <v>78</v>
      </c>
      <c r="F857" s="34" t="s">
        <v>78</v>
      </c>
      <c r="G857" s="34" t="s">
        <v>78</v>
      </c>
      <c r="H857" s="34" t="s">
        <v>527</v>
      </c>
      <c r="I857" s="35" t="s">
        <v>128</v>
      </c>
      <c r="J857" s="24" t="s">
        <v>215</v>
      </c>
      <c r="K857" s="7" t="s">
        <v>208</v>
      </c>
      <c r="L857" s="9">
        <v>46077.625</v>
      </c>
      <c r="M857" s="9"/>
      <c r="N857" s="15"/>
      <c r="O857" s="15"/>
      <c r="P857" s="15"/>
      <c r="Q857" s="15"/>
      <c r="R857" s="15"/>
    </row>
    <row r="858" spans="1:18" ht="20.25" customHeight="1">
      <c r="A858" s="36">
        <v>1359</v>
      </c>
      <c r="B858" s="28" t="s">
        <v>1936</v>
      </c>
      <c r="C858" s="24" t="s">
        <v>1937</v>
      </c>
      <c r="D858" s="34" t="s">
        <v>74</v>
      </c>
      <c r="E858" s="34" t="s">
        <v>202</v>
      </c>
      <c r="F858" s="34" t="s">
        <v>212</v>
      </c>
      <c r="G858" s="34" t="s">
        <v>108</v>
      </c>
      <c r="H858" s="34" t="s">
        <v>231</v>
      </c>
      <c r="I858" s="35" t="s">
        <v>58</v>
      </c>
      <c r="J858" s="24" t="s">
        <v>220</v>
      </c>
      <c r="K858" s="7" t="s">
        <v>221</v>
      </c>
      <c r="L858" s="9">
        <v>46055.625</v>
      </c>
      <c r="M858" s="9">
        <v>46234.583333333299</v>
      </c>
      <c r="N858" s="15"/>
      <c r="O858" s="15"/>
      <c r="P858" s="15"/>
      <c r="Q858" s="15"/>
      <c r="R858" s="15"/>
    </row>
    <row r="859" spans="1:18" ht="20.25" customHeight="1">
      <c r="A859" s="36">
        <v>1360</v>
      </c>
      <c r="B859" s="28" t="s">
        <v>1938</v>
      </c>
      <c r="C859" s="24" t="s">
        <v>1939</v>
      </c>
      <c r="D859" s="34" t="s">
        <v>74</v>
      </c>
      <c r="E859" s="34" t="s">
        <v>202</v>
      </c>
      <c r="F859" s="34" t="s">
        <v>212</v>
      </c>
      <c r="G859" s="34" t="s">
        <v>120</v>
      </c>
      <c r="H859" s="34" t="s">
        <v>218</v>
      </c>
      <c r="I859" s="35" t="s">
        <v>1917</v>
      </c>
      <c r="J859" s="24" t="s">
        <v>1395</v>
      </c>
      <c r="K859" s="7" t="s">
        <v>221</v>
      </c>
      <c r="L859" s="9">
        <v>46064.625</v>
      </c>
      <c r="M859" s="9">
        <v>46082.625</v>
      </c>
      <c r="N859" s="15"/>
      <c r="O859" s="15"/>
      <c r="P859" s="15"/>
      <c r="Q859" s="15"/>
      <c r="R859" s="15"/>
    </row>
    <row r="860" spans="1:18" ht="20.25" customHeight="1">
      <c r="A860" s="36">
        <v>1361</v>
      </c>
      <c r="B860" s="28" t="s">
        <v>1940</v>
      </c>
      <c r="C860" s="24" t="s">
        <v>1941</v>
      </c>
      <c r="D860" s="34" t="s">
        <v>45</v>
      </c>
      <c r="E860" s="34" t="s">
        <v>201</v>
      </c>
      <c r="F860" s="34" t="s">
        <v>212</v>
      </c>
      <c r="G860" s="34" t="s">
        <v>46</v>
      </c>
      <c r="H860" s="34" t="s">
        <v>218</v>
      </c>
      <c r="I860" s="35" t="s">
        <v>61</v>
      </c>
      <c r="J860" s="24" t="s">
        <v>215</v>
      </c>
      <c r="K860" s="7" t="s">
        <v>208</v>
      </c>
      <c r="L860" s="9">
        <v>46084.625</v>
      </c>
      <c r="M860" s="9"/>
      <c r="N860" s="15"/>
      <c r="O860" s="15"/>
      <c r="P860" s="15"/>
      <c r="Q860" s="15"/>
      <c r="R860" s="15"/>
    </row>
    <row r="861" spans="1:18" ht="20.25" customHeight="1">
      <c r="A861" s="36">
        <v>1362</v>
      </c>
      <c r="B861" s="28" t="s">
        <v>1942</v>
      </c>
      <c r="C861" s="24" t="s">
        <v>1943</v>
      </c>
      <c r="D861" s="34" t="s">
        <v>74</v>
      </c>
      <c r="E861" s="34" t="s">
        <v>78</v>
      </c>
      <c r="F861" s="34" t="s">
        <v>78</v>
      </c>
      <c r="G861" s="34" t="s">
        <v>78</v>
      </c>
      <c r="H861" s="34" t="s">
        <v>288</v>
      </c>
      <c r="I861" s="35" t="s">
        <v>51</v>
      </c>
      <c r="J861" s="24" t="s">
        <v>215</v>
      </c>
      <c r="K861" s="7" t="s">
        <v>208</v>
      </c>
      <c r="L861" s="9">
        <v>46083.625</v>
      </c>
      <c r="M861" s="9"/>
      <c r="N861" s="15"/>
      <c r="O861" s="15"/>
      <c r="P861" s="15"/>
      <c r="Q861" s="15"/>
      <c r="R861" s="15"/>
    </row>
    <row r="862" spans="1:18" ht="20.25" customHeight="1">
      <c r="A862" s="36">
        <v>1363</v>
      </c>
      <c r="B862" s="28" t="s">
        <v>1944</v>
      </c>
      <c r="C862" s="24" t="s">
        <v>1945</v>
      </c>
      <c r="D862" s="34" t="s">
        <v>74</v>
      </c>
      <c r="E862" s="34" t="s">
        <v>78</v>
      </c>
      <c r="F862" s="34" t="s">
        <v>78</v>
      </c>
      <c r="G862" s="34" t="s">
        <v>78</v>
      </c>
      <c r="H862" s="34" t="s">
        <v>288</v>
      </c>
      <c r="I862" s="35" t="s">
        <v>85</v>
      </c>
      <c r="J862" s="24" t="s">
        <v>284</v>
      </c>
      <c r="K862" s="7" t="s">
        <v>221</v>
      </c>
      <c r="L862" s="9">
        <v>46088.625</v>
      </c>
      <c r="M862" s="9">
        <v>46112.583333333299</v>
      </c>
      <c r="N862" s="15"/>
      <c r="O862" s="15"/>
      <c r="P862" s="15"/>
      <c r="Q862" s="15"/>
      <c r="R862" s="15"/>
    </row>
    <row r="863" spans="1:18" ht="20.25" customHeight="1">
      <c r="A863" s="36">
        <v>1364</v>
      </c>
      <c r="B863" s="28" t="s">
        <v>1946</v>
      </c>
      <c r="C863" s="24" t="s">
        <v>1947</v>
      </c>
      <c r="D863" s="34" t="s">
        <v>74</v>
      </c>
      <c r="E863" s="34" t="s">
        <v>1393</v>
      </c>
      <c r="F863" s="34" t="s">
        <v>78</v>
      </c>
      <c r="G863" s="34" t="s">
        <v>78</v>
      </c>
      <c r="H863" s="34" t="s">
        <v>576</v>
      </c>
      <c r="I863" s="35" t="s">
        <v>1948</v>
      </c>
      <c r="J863" s="24" t="s">
        <v>1395</v>
      </c>
      <c r="K863" s="7" t="s">
        <v>221</v>
      </c>
      <c r="L863" s="9">
        <v>46084.625</v>
      </c>
      <c r="M863" s="9">
        <v>46089.625</v>
      </c>
      <c r="N863" s="15"/>
      <c r="O863" s="15"/>
      <c r="P863" s="15"/>
      <c r="Q863" s="15"/>
      <c r="R863" s="15"/>
    </row>
    <row r="864" spans="1:18" ht="20.25" customHeight="1">
      <c r="A864" s="36">
        <v>1365</v>
      </c>
      <c r="B864" s="28" t="s">
        <v>1949</v>
      </c>
      <c r="C864" s="24" t="s">
        <v>807</v>
      </c>
      <c r="D864" s="34" t="s">
        <v>74</v>
      </c>
      <c r="E864" s="34" t="s">
        <v>202</v>
      </c>
      <c r="F864" s="34" t="s">
        <v>212</v>
      </c>
      <c r="G864" s="34" t="s">
        <v>95</v>
      </c>
      <c r="H864" s="34" t="s">
        <v>240</v>
      </c>
      <c r="I864" s="35" t="s">
        <v>107</v>
      </c>
      <c r="J864" s="24" t="s">
        <v>1395</v>
      </c>
      <c r="K864" s="7" t="s">
        <v>221</v>
      </c>
      <c r="L864" s="9">
        <v>46083.625</v>
      </c>
      <c r="M864" s="9">
        <v>46142.583333333299</v>
      </c>
      <c r="N864" s="15"/>
      <c r="O864" s="15"/>
      <c r="P864" s="15"/>
      <c r="Q864" s="15"/>
      <c r="R864" s="15"/>
    </row>
    <row r="865" spans="1:18" ht="20.25" customHeight="1">
      <c r="A865" s="36">
        <v>1366</v>
      </c>
      <c r="B865" s="28" t="s">
        <v>1950</v>
      </c>
      <c r="C865" s="24" t="s">
        <v>1951</v>
      </c>
      <c r="D865" s="34" t="s">
        <v>29</v>
      </c>
      <c r="E865" s="34" t="s">
        <v>203</v>
      </c>
      <c r="F865" s="34" t="s">
        <v>212</v>
      </c>
      <c r="G865" s="34" t="s">
        <v>30</v>
      </c>
      <c r="H865" s="34" t="s">
        <v>240</v>
      </c>
      <c r="I865" s="35" t="s">
        <v>28</v>
      </c>
      <c r="J865" s="24" t="s">
        <v>220</v>
      </c>
      <c r="K865" s="7" t="s">
        <v>208</v>
      </c>
      <c r="L865" s="9">
        <v>46085.625</v>
      </c>
      <c r="M865" s="9"/>
      <c r="N865" s="15"/>
      <c r="O865" s="15"/>
      <c r="P865" s="15"/>
      <c r="Q865" s="15"/>
      <c r="R865" s="15"/>
    </row>
    <row r="866" spans="1:18" ht="20.25" customHeight="1">
      <c r="A866" s="36">
        <v>1367</v>
      </c>
      <c r="B866" s="28" t="s">
        <v>1952</v>
      </c>
      <c r="C866" s="24" t="s">
        <v>1953</v>
      </c>
      <c r="D866" s="34" t="s">
        <v>45</v>
      </c>
      <c r="E866" s="34" t="s">
        <v>201</v>
      </c>
      <c r="F866" s="34" t="s">
        <v>212</v>
      </c>
      <c r="G866" s="34" t="s">
        <v>46</v>
      </c>
      <c r="H866" s="34" t="s">
        <v>213</v>
      </c>
      <c r="I866" s="35" t="s">
        <v>1768</v>
      </c>
      <c r="J866" s="24" t="s">
        <v>220</v>
      </c>
      <c r="K866" s="7" t="s">
        <v>208</v>
      </c>
      <c r="L866" s="9">
        <v>46084.625</v>
      </c>
      <c r="M866" s="9"/>
      <c r="N866" s="15"/>
      <c r="O866" s="15"/>
      <c r="P866" s="15"/>
      <c r="Q866" s="15"/>
      <c r="R866" s="15"/>
    </row>
    <row r="867" spans="1:18" ht="20.25" customHeight="1">
      <c r="A867" s="36">
        <v>1368</v>
      </c>
      <c r="B867" s="28" t="s">
        <v>1954</v>
      </c>
      <c r="C867" s="24" t="s">
        <v>1955</v>
      </c>
      <c r="D867" s="34" t="s">
        <v>74</v>
      </c>
      <c r="E867" s="34" t="s">
        <v>202</v>
      </c>
      <c r="F867" s="34" t="s">
        <v>212</v>
      </c>
      <c r="G867" s="34" t="s">
        <v>95</v>
      </c>
      <c r="H867" s="34" t="s">
        <v>240</v>
      </c>
      <c r="I867" s="35" t="s">
        <v>107</v>
      </c>
      <c r="J867" s="24" t="s">
        <v>1395</v>
      </c>
      <c r="K867" s="7" t="s">
        <v>221</v>
      </c>
      <c r="L867" s="9">
        <v>46090.583333333299</v>
      </c>
      <c r="M867" s="9">
        <v>46150.583333333299</v>
      </c>
      <c r="N867" s="15"/>
      <c r="O867" s="15"/>
      <c r="P867" s="15"/>
      <c r="Q867" s="15"/>
      <c r="R867" s="15"/>
    </row>
    <row r="868" spans="1:18" ht="20.25" customHeight="1">
      <c r="A868" s="36">
        <v>1369</v>
      </c>
      <c r="B868" s="28" t="s">
        <v>1956</v>
      </c>
      <c r="C868" s="24" t="s">
        <v>1957</v>
      </c>
      <c r="D868" s="34" t="s">
        <v>74</v>
      </c>
      <c r="E868" s="34" t="s">
        <v>78</v>
      </c>
      <c r="F868" s="34" t="s">
        <v>78</v>
      </c>
      <c r="G868" s="34" t="s">
        <v>78</v>
      </c>
      <c r="H868" s="34" t="s">
        <v>527</v>
      </c>
      <c r="I868" s="35" t="s">
        <v>214</v>
      </c>
      <c r="J868" s="24" t="s">
        <v>215</v>
      </c>
      <c r="K868" s="7" t="s">
        <v>208</v>
      </c>
      <c r="L868" s="9">
        <v>46090.583333333299</v>
      </c>
      <c r="M868" s="9"/>
      <c r="N868" s="15"/>
      <c r="O868" s="15"/>
      <c r="P868" s="15"/>
      <c r="Q868" s="15"/>
      <c r="R868" s="15"/>
    </row>
    <row r="869" spans="1:18" ht="20.25" customHeight="1">
      <c r="A869" s="36">
        <v>1370</v>
      </c>
      <c r="B869" s="28" t="s">
        <v>1958</v>
      </c>
      <c r="C869" s="24" t="s">
        <v>1959</v>
      </c>
      <c r="D869" s="34" t="s">
        <v>74</v>
      </c>
      <c r="E869" s="34" t="s">
        <v>78</v>
      </c>
      <c r="F869" s="34" t="s">
        <v>78</v>
      </c>
      <c r="G869" s="34" t="s">
        <v>78</v>
      </c>
      <c r="H869" s="34" t="s">
        <v>527</v>
      </c>
      <c r="I869" s="35" t="s">
        <v>1073</v>
      </c>
      <c r="J869" s="24" t="s">
        <v>215</v>
      </c>
      <c r="K869" s="7" t="s">
        <v>208</v>
      </c>
      <c r="L869" s="9">
        <v>46090.583333333299</v>
      </c>
      <c r="M869" s="9"/>
      <c r="N869" s="15"/>
      <c r="O869" s="15"/>
      <c r="P869" s="15"/>
      <c r="Q869" s="15"/>
      <c r="R869" s="15"/>
    </row>
    <row r="870" spans="1:18" ht="20.25" customHeight="1">
      <c r="A870" s="36">
        <v>1371</v>
      </c>
      <c r="B870" s="28" t="s">
        <v>1960</v>
      </c>
      <c r="C870" s="24" t="s">
        <v>1961</v>
      </c>
      <c r="D870" s="34" t="s">
        <v>74</v>
      </c>
      <c r="E870" s="34" t="s">
        <v>78</v>
      </c>
      <c r="F870" s="34" t="s">
        <v>78</v>
      </c>
      <c r="G870" s="34" t="s">
        <v>78</v>
      </c>
      <c r="H870" s="34" t="s">
        <v>288</v>
      </c>
      <c r="I870" s="35" t="s">
        <v>85</v>
      </c>
      <c r="J870" s="24" t="s">
        <v>284</v>
      </c>
      <c r="K870" s="7" t="s">
        <v>221</v>
      </c>
      <c r="L870" s="9">
        <v>46093.583333333299</v>
      </c>
      <c r="M870" s="9">
        <v>46093.583333333299</v>
      </c>
      <c r="N870" s="15"/>
      <c r="O870" s="15"/>
      <c r="P870" s="15"/>
      <c r="Q870" s="15"/>
      <c r="R870" s="15"/>
    </row>
    <row r="871" spans="1:18" ht="20.25" customHeight="1">
      <c r="A871" s="36">
        <v>1372</v>
      </c>
      <c r="B871" s="28" t="s">
        <v>1962</v>
      </c>
      <c r="C871" s="24" t="s">
        <v>1963</v>
      </c>
      <c r="D871" s="34" t="s">
        <v>45</v>
      </c>
      <c r="E871" s="34" t="s">
        <v>201</v>
      </c>
      <c r="F871" s="34" t="s">
        <v>212</v>
      </c>
      <c r="G871" s="34" t="s">
        <v>46</v>
      </c>
      <c r="H871" s="34" t="s">
        <v>213</v>
      </c>
      <c r="I871" s="35" t="s">
        <v>1768</v>
      </c>
      <c r="J871" s="24" t="s">
        <v>220</v>
      </c>
      <c r="K871" s="7" t="s">
        <v>208</v>
      </c>
      <c r="L871" s="9">
        <v>46092.583333333299</v>
      </c>
      <c r="M871" s="9"/>
      <c r="N871" s="15"/>
      <c r="O871" s="15"/>
      <c r="P871" s="15"/>
      <c r="Q871" s="15"/>
      <c r="R871" s="15"/>
    </row>
    <row r="872" spans="1:18" ht="20.25" customHeight="1">
      <c r="A872" s="36">
        <v>1373</v>
      </c>
      <c r="B872" s="28" t="s">
        <v>1964</v>
      </c>
      <c r="C872" s="24" t="s">
        <v>1965</v>
      </c>
      <c r="D872" s="34" t="s">
        <v>74</v>
      </c>
      <c r="E872" s="34" t="s">
        <v>78</v>
      </c>
      <c r="F872" s="34" t="s">
        <v>78</v>
      </c>
      <c r="G872" s="34" t="s">
        <v>78</v>
      </c>
      <c r="H872" s="34" t="s">
        <v>288</v>
      </c>
      <c r="I872" s="35" t="s">
        <v>366</v>
      </c>
      <c r="J872" s="24" t="s">
        <v>215</v>
      </c>
      <c r="K872" s="7" t="s">
        <v>208</v>
      </c>
      <c r="L872" s="9">
        <v>46091.583333333299</v>
      </c>
      <c r="M872" s="9"/>
      <c r="N872" s="15"/>
      <c r="O872" s="15"/>
      <c r="P872" s="15"/>
      <c r="Q872" s="15"/>
      <c r="R872" s="15"/>
    </row>
    <row r="873" spans="1:18" ht="20.25" customHeight="1">
      <c r="A873" s="36">
        <v>1374</v>
      </c>
      <c r="B873" s="28" t="s">
        <v>1966</v>
      </c>
      <c r="C873" s="24" t="s">
        <v>1967</v>
      </c>
      <c r="D873" s="34" t="s">
        <v>29</v>
      </c>
      <c r="E873" s="34" t="s">
        <v>203</v>
      </c>
      <c r="F873" s="34" t="s">
        <v>212</v>
      </c>
      <c r="G873" s="34" t="s">
        <v>39</v>
      </c>
      <c r="H873" s="34" t="s">
        <v>240</v>
      </c>
      <c r="I873" s="35" t="s">
        <v>28</v>
      </c>
      <c r="J873" s="24" t="s">
        <v>1395</v>
      </c>
      <c r="K873" s="7" t="s">
        <v>221</v>
      </c>
      <c r="L873" s="9">
        <v>46090.583333333299</v>
      </c>
      <c r="M873" s="9">
        <v>46103.583333333299</v>
      </c>
      <c r="N873" s="15"/>
      <c r="O873" s="15"/>
      <c r="P873" s="15"/>
      <c r="Q873" s="15"/>
      <c r="R873" s="15"/>
    </row>
    <row r="874" spans="1:18" ht="20.25" customHeight="1">
      <c r="A874" s="36">
        <v>1375</v>
      </c>
      <c r="B874" s="28" t="s">
        <v>1968</v>
      </c>
      <c r="C874" s="24" t="s">
        <v>1969</v>
      </c>
      <c r="D874" s="34" t="s">
        <v>74</v>
      </c>
      <c r="E874" s="34" t="s">
        <v>78</v>
      </c>
      <c r="F874" s="34" t="s">
        <v>78</v>
      </c>
      <c r="G874" s="34" t="s">
        <v>78</v>
      </c>
      <c r="H874" s="34" t="s">
        <v>288</v>
      </c>
      <c r="I874" s="35" t="s">
        <v>85</v>
      </c>
      <c r="J874" s="24" t="s">
        <v>215</v>
      </c>
      <c r="K874" s="7" t="s">
        <v>208</v>
      </c>
      <c r="L874" s="9">
        <v>46091.583333333299</v>
      </c>
      <c r="M874" s="9"/>
      <c r="N874" s="15"/>
      <c r="O874" s="15"/>
      <c r="P874" s="15"/>
      <c r="Q874" s="15"/>
      <c r="R874" s="15"/>
    </row>
    <row r="875" spans="1:18" ht="20.25" customHeight="1">
      <c r="A875" s="36">
        <v>1376</v>
      </c>
      <c r="B875" s="28" t="s">
        <v>1970</v>
      </c>
      <c r="C875" s="24" t="s">
        <v>1971</v>
      </c>
      <c r="D875" s="34" t="s">
        <v>74</v>
      </c>
      <c r="E875" s="34" t="s">
        <v>202</v>
      </c>
      <c r="F875" s="34" t="s">
        <v>212</v>
      </c>
      <c r="G875" s="34" t="s">
        <v>120</v>
      </c>
      <c r="H875" s="34" t="s">
        <v>218</v>
      </c>
      <c r="I875" s="35" t="s">
        <v>61</v>
      </c>
      <c r="J875" s="24" t="s">
        <v>1395</v>
      </c>
      <c r="K875" s="7" t="s">
        <v>221</v>
      </c>
      <c r="L875" s="9">
        <v>46092.583333333299</v>
      </c>
      <c r="M875" s="9">
        <v>46159.583333333299</v>
      </c>
      <c r="N875" s="15"/>
      <c r="O875" s="15"/>
      <c r="P875" s="15"/>
      <c r="Q875" s="15"/>
      <c r="R875" s="15"/>
    </row>
    <row r="876" spans="1:18" ht="20.25" customHeight="1">
      <c r="A876" s="36">
        <v>1377</v>
      </c>
      <c r="B876" s="28" t="s">
        <v>1972</v>
      </c>
      <c r="C876" s="24" t="s">
        <v>1973</v>
      </c>
      <c r="D876" s="34" t="s">
        <v>74</v>
      </c>
      <c r="E876" s="34" t="s">
        <v>202</v>
      </c>
      <c r="F876" s="34" t="s">
        <v>212</v>
      </c>
      <c r="G876" s="34" t="s">
        <v>120</v>
      </c>
      <c r="H876" s="34" t="s">
        <v>218</v>
      </c>
      <c r="I876" s="35" t="s">
        <v>61</v>
      </c>
      <c r="J876" s="24" t="s">
        <v>220</v>
      </c>
      <c r="K876" s="7" t="s">
        <v>208</v>
      </c>
      <c r="L876" s="9">
        <v>46091.583333333299</v>
      </c>
      <c r="M876" s="9"/>
      <c r="N876" s="15"/>
      <c r="O876" s="15"/>
      <c r="P876" s="15"/>
      <c r="Q876" s="15"/>
      <c r="R876" s="15"/>
    </row>
    <row r="877" spans="1:18" ht="20.25" customHeight="1">
      <c r="A877" s="36">
        <v>1378</v>
      </c>
      <c r="B877" s="28" t="s">
        <v>1974</v>
      </c>
      <c r="C877" s="24" t="s">
        <v>1778</v>
      </c>
      <c r="D877" s="34" t="s">
        <v>74</v>
      </c>
      <c r="E877" s="34" t="s">
        <v>78</v>
      </c>
      <c r="F877" s="34" t="s">
        <v>78</v>
      </c>
      <c r="G877" s="34" t="s">
        <v>78</v>
      </c>
      <c r="H877" s="34" t="s">
        <v>288</v>
      </c>
      <c r="I877" s="35" t="s">
        <v>85</v>
      </c>
      <c r="J877" s="24" t="s">
        <v>215</v>
      </c>
      <c r="K877" s="7" t="s">
        <v>208</v>
      </c>
      <c r="L877" s="9">
        <v>46090.583333333299</v>
      </c>
      <c r="M877" s="9"/>
      <c r="N877" s="15"/>
      <c r="O877" s="15"/>
      <c r="P877" s="15"/>
      <c r="Q877" s="15"/>
      <c r="R877" s="15"/>
    </row>
    <row r="878" spans="1:18" ht="20.25" customHeight="1">
      <c r="A878" s="36">
        <v>1379</v>
      </c>
      <c r="B878" s="28" t="s">
        <v>1975</v>
      </c>
      <c r="C878" s="24" t="s">
        <v>1541</v>
      </c>
      <c r="D878" s="34" t="s">
        <v>16</v>
      </c>
      <c r="E878" s="34" t="s">
        <v>464</v>
      </c>
      <c r="F878" s="34" t="s">
        <v>259</v>
      </c>
      <c r="G878" s="34" t="s">
        <v>305</v>
      </c>
      <c r="H878" s="34" t="s">
        <v>305</v>
      </c>
      <c r="I878" s="35" t="s">
        <v>1976</v>
      </c>
      <c r="J878" s="24" t="s">
        <v>220</v>
      </c>
      <c r="K878" s="7" t="s">
        <v>208</v>
      </c>
      <c r="L878" s="9">
        <v>46090.583333333299</v>
      </c>
      <c r="M878" s="9"/>
      <c r="N878" s="15"/>
      <c r="O878" s="15"/>
      <c r="P878" s="15"/>
      <c r="Q878" s="15"/>
      <c r="R878" s="15"/>
    </row>
    <row r="879" spans="1:18" ht="20.25" customHeight="1">
      <c r="A879" s="36">
        <v>1380</v>
      </c>
      <c r="B879" s="28" t="s">
        <v>1977</v>
      </c>
      <c r="C879" s="24" t="s">
        <v>1978</v>
      </c>
      <c r="D879" s="34" t="s">
        <v>74</v>
      </c>
      <c r="E879" s="34" t="s">
        <v>78</v>
      </c>
      <c r="F879" s="34" t="s">
        <v>78</v>
      </c>
      <c r="G879" s="34" t="s">
        <v>78</v>
      </c>
      <c r="H879" s="34" t="s">
        <v>536</v>
      </c>
      <c r="I879" s="35" t="s">
        <v>1138</v>
      </c>
      <c r="J879" s="24" t="s">
        <v>284</v>
      </c>
      <c r="K879" s="7" t="s">
        <v>221</v>
      </c>
      <c r="L879" s="9">
        <v>46090.583333333299</v>
      </c>
      <c r="M879" s="9">
        <v>46150.583333333299</v>
      </c>
      <c r="N879" s="15"/>
      <c r="O879" s="15"/>
      <c r="P879" s="15"/>
      <c r="Q879" s="15"/>
      <c r="R879" s="15"/>
    </row>
    <row r="880" spans="1:18" ht="20.25" customHeight="1">
      <c r="A880" s="36">
        <v>1381</v>
      </c>
      <c r="B880" s="28" t="s">
        <v>1979</v>
      </c>
      <c r="C880" s="24" t="s">
        <v>1980</v>
      </c>
      <c r="D880" s="34" t="s">
        <v>74</v>
      </c>
      <c r="E880" s="34" t="s">
        <v>202</v>
      </c>
      <c r="F880" s="34" t="s">
        <v>212</v>
      </c>
      <c r="G880" s="34" t="s">
        <v>95</v>
      </c>
      <c r="H880" s="34" t="s">
        <v>240</v>
      </c>
      <c r="I880" s="35" t="s">
        <v>107</v>
      </c>
      <c r="J880" s="24" t="s">
        <v>220</v>
      </c>
      <c r="K880" s="7" t="s">
        <v>208</v>
      </c>
      <c r="L880" s="9">
        <v>46105.583333333299</v>
      </c>
      <c r="M880" s="9"/>
      <c r="N880" s="15"/>
      <c r="O880" s="15"/>
      <c r="P880" s="15"/>
      <c r="Q880" s="15"/>
      <c r="R880" s="15"/>
    </row>
    <row r="881" spans="1:18" ht="20.25" customHeight="1">
      <c r="A881" s="36">
        <v>1382</v>
      </c>
      <c r="B881" s="28" t="s">
        <v>1981</v>
      </c>
      <c r="C881" s="24" t="s">
        <v>1982</v>
      </c>
      <c r="D881" s="34" t="s">
        <v>16</v>
      </c>
      <c r="E881" s="34" t="s">
        <v>464</v>
      </c>
      <c r="F881" s="34" t="s">
        <v>259</v>
      </c>
      <c r="G881" s="34" t="s">
        <v>305</v>
      </c>
      <c r="H881" s="34" t="s">
        <v>305</v>
      </c>
      <c r="I881" s="35" t="s">
        <v>1983</v>
      </c>
      <c r="J881" s="24" t="s">
        <v>215</v>
      </c>
      <c r="K881" s="7" t="s">
        <v>208</v>
      </c>
      <c r="L881" s="9">
        <v>46097.583333333299</v>
      </c>
      <c r="M881" s="9"/>
      <c r="N881" s="15"/>
      <c r="O881" s="15"/>
      <c r="P881" s="15"/>
      <c r="Q881" s="15"/>
      <c r="R881" s="15"/>
    </row>
    <row r="882" spans="1:18" ht="20.25" customHeight="1">
      <c r="A882" s="36">
        <v>1383</v>
      </c>
      <c r="B882" s="28" t="s">
        <v>1984</v>
      </c>
      <c r="C882" s="24" t="s">
        <v>1985</v>
      </c>
      <c r="D882" s="34" t="s">
        <v>74</v>
      </c>
      <c r="E882" s="34" t="s">
        <v>202</v>
      </c>
      <c r="F882" s="34" t="s">
        <v>212</v>
      </c>
      <c r="G882" s="34" t="s">
        <v>120</v>
      </c>
      <c r="H882" s="34" t="s">
        <v>218</v>
      </c>
      <c r="I882" s="35" t="s">
        <v>61</v>
      </c>
      <c r="J882" s="24" t="s">
        <v>220</v>
      </c>
      <c r="K882" s="7" t="s">
        <v>208</v>
      </c>
      <c r="L882" s="9">
        <v>46097.583333333299</v>
      </c>
      <c r="M882" s="9"/>
      <c r="N882" s="15"/>
      <c r="O882" s="15"/>
      <c r="P882" s="15"/>
      <c r="Q882" s="15"/>
      <c r="R882" s="15"/>
    </row>
    <row r="883" spans="1:18" ht="20.25" customHeight="1">
      <c r="A883" s="36">
        <v>1384</v>
      </c>
      <c r="B883" s="28" t="s">
        <v>1986</v>
      </c>
      <c r="C883" s="24" t="s">
        <v>1642</v>
      </c>
      <c r="D883" s="34" t="s">
        <v>16</v>
      </c>
      <c r="E883" s="34" t="s">
        <v>211</v>
      </c>
      <c r="F883" s="34" t="s">
        <v>212</v>
      </c>
      <c r="G883" s="34" t="s">
        <v>17</v>
      </c>
      <c r="H883" s="34" t="s">
        <v>218</v>
      </c>
      <c r="I883" s="35" t="s">
        <v>61</v>
      </c>
      <c r="J883" s="24" t="s">
        <v>220</v>
      </c>
      <c r="K883" s="7" t="s">
        <v>208</v>
      </c>
      <c r="L883" s="9">
        <v>46104.583333333299</v>
      </c>
      <c r="M883" s="9"/>
      <c r="N883" s="15"/>
      <c r="O883" s="15"/>
      <c r="P883" s="15"/>
      <c r="Q883" s="15"/>
      <c r="R883" s="15"/>
    </row>
    <row r="884" spans="1:18" ht="20.25" customHeight="1">
      <c r="A884" s="36">
        <v>1385</v>
      </c>
      <c r="B884" s="28" t="s">
        <v>1987</v>
      </c>
      <c r="C884" s="24" t="s">
        <v>1988</v>
      </c>
      <c r="D884" s="34" t="s">
        <v>29</v>
      </c>
      <c r="E884" s="34" t="s">
        <v>203</v>
      </c>
      <c r="F884" s="34" t="s">
        <v>212</v>
      </c>
      <c r="G884" s="34" t="s">
        <v>30</v>
      </c>
      <c r="H884" s="34" t="s">
        <v>240</v>
      </c>
      <c r="I884" s="35" t="s">
        <v>28</v>
      </c>
      <c r="J884" s="24" t="s">
        <v>1395</v>
      </c>
      <c r="K884" s="7" t="s">
        <v>221</v>
      </c>
      <c r="L884" s="9">
        <v>46097.583333333299</v>
      </c>
      <c r="M884" s="9">
        <v>46099.583333333299</v>
      </c>
      <c r="N884" s="15"/>
      <c r="O884" s="15"/>
      <c r="P884" s="15"/>
      <c r="Q884" s="15"/>
      <c r="R884" s="15"/>
    </row>
    <row r="885" spans="1:18" ht="20.25" customHeight="1">
      <c r="A885" s="36">
        <v>1386</v>
      </c>
      <c r="B885" s="28" t="s">
        <v>1989</v>
      </c>
      <c r="C885" s="24" t="s">
        <v>1990</v>
      </c>
      <c r="D885" s="34" t="s">
        <v>74</v>
      </c>
      <c r="E885" s="34" t="s">
        <v>202</v>
      </c>
      <c r="F885" s="34" t="s">
        <v>212</v>
      </c>
      <c r="G885" s="34" t="s">
        <v>120</v>
      </c>
      <c r="H885" s="34" t="s">
        <v>218</v>
      </c>
      <c r="I885" s="35" t="s">
        <v>61</v>
      </c>
      <c r="J885" s="24" t="s">
        <v>220</v>
      </c>
      <c r="K885" s="7" t="s">
        <v>221</v>
      </c>
      <c r="L885" s="9">
        <v>46098.583333333299</v>
      </c>
      <c r="M885" s="9">
        <v>46203.583333333299</v>
      </c>
      <c r="N885" s="15"/>
      <c r="O885" s="15"/>
      <c r="P885" s="15"/>
      <c r="Q885" s="15"/>
      <c r="R885" s="15"/>
    </row>
    <row r="886" spans="1:18" ht="20.25" customHeight="1">
      <c r="A886" s="36">
        <v>1387</v>
      </c>
      <c r="B886" s="28" t="s">
        <v>1991</v>
      </c>
      <c r="C886" s="24" t="s">
        <v>1992</v>
      </c>
      <c r="D886" s="34" t="s">
        <v>29</v>
      </c>
      <c r="E886" s="34" t="s">
        <v>203</v>
      </c>
      <c r="F886" s="34" t="s">
        <v>212</v>
      </c>
      <c r="G886" s="34" t="s">
        <v>544</v>
      </c>
      <c r="H886" s="34" t="s">
        <v>240</v>
      </c>
      <c r="I886" s="35" t="s">
        <v>28</v>
      </c>
      <c r="J886" s="24" t="s">
        <v>220</v>
      </c>
      <c r="K886" s="7" t="s">
        <v>208</v>
      </c>
      <c r="L886" s="9">
        <v>46097.583333333299</v>
      </c>
      <c r="M886" s="9"/>
      <c r="N886" s="15"/>
      <c r="O886" s="15"/>
      <c r="P886" s="15"/>
      <c r="Q886" s="15"/>
      <c r="R886" s="15"/>
    </row>
    <row r="887" spans="1:18" ht="20.25" customHeight="1">
      <c r="A887" s="36">
        <v>1388</v>
      </c>
      <c r="B887" s="28" t="s">
        <v>1993</v>
      </c>
      <c r="C887" s="24" t="s">
        <v>1994</v>
      </c>
      <c r="D887" s="34" t="s">
        <v>74</v>
      </c>
      <c r="E887" s="34" t="s">
        <v>202</v>
      </c>
      <c r="F887" s="34" t="s">
        <v>212</v>
      </c>
      <c r="G887" s="34" t="s">
        <v>1995</v>
      </c>
      <c r="H887" s="34" t="s">
        <v>480</v>
      </c>
      <c r="I887" s="35" t="s">
        <v>1996</v>
      </c>
      <c r="J887" s="24" t="s">
        <v>1395</v>
      </c>
      <c r="K887" s="7" t="s">
        <v>221</v>
      </c>
      <c r="L887" s="9">
        <v>46104.583333333299</v>
      </c>
      <c r="M887" s="9">
        <v>46106.583333333299</v>
      </c>
      <c r="N887" s="15"/>
      <c r="O887" s="15"/>
      <c r="P887" s="15"/>
      <c r="Q887" s="15"/>
      <c r="R887" s="15"/>
    </row>
    <row r="888" spans="1:18" ht="20.25" customHeight="1">
      <c r="A888" s="36">
        <v>1389</v>
      </c>
      <c r="B888" s="28" t="s">
        <v>1997</v>
      </c>
      <c r="C888" s="24" t="s">
        <v>1998</v>
      </c>
      <c r="D888" s="34" t="s">
        <v>74</v>
      </c>
      <c r="E888" s="34" t="s">
        <v>78</v>
      </c>
      <c r="F888" s="34" t="s">
        <v>78</v>
      </c>
      <c r="G888" s="34" t="s">
        <v>78</v>
      </c>
      <c r="H888" s="34" t="s">
        <v>288</v>
      </c>
      <c r="I888" s="35" t="s">
        <v>85</v>
      </c>
      <c r="J888" s="24" t="s">
        <v>284</v>
      </c>
      <c r="K888" s="7" t="s">
        <v>221</v>
      </c>
      <c r="L888" s="9">
        <v>46100.583333333299</v>
      </c>
      <c r="M888" s="9">
        <v>46101.583333333299</v>
      </c>
      <c r="N888" s="15"/>
      <c r="O888" s="15"/>
      <c r="P888" s="15"/>
      <c r="Q888" s="15"/>
      <c r="R888" s="15"/>
    </row>
    <row r="889" spans="1:18" ht="20.25" customHeight="1">
      <c r="A889" s="36">
        <v>1390</v>
      </c>
      <c r="B889" s="28" t="s">
        <v>1999</v>
      </c>
      <c r="C889" s="24" t="s">
        <v>2000</v>
      </c>
      <c r="D889" s="34" t="s">
        <v>45</v>
      </c>
      <c r="E889" s="34" t="s">
        <v>201</v>
      </c>
      <c r="F889" s="34" t="s">
        <v>212</v>
      </c>
      <c r="G889" s="34" t="s">
        <v>136</v>
      </c>
      <c r="H889" s="34" t="s">
        <v>213</v>
      </c>
      <c r="I889" s="35" t="s">
        <v>1768</v>
      </c>
      <c r="J889" s="24" t="s">
        <v>1395</v>
      </c>
      <c r="K889" s="7" t="s">
        <v>221</v>
      </c>
      <c r="L889" s="9">
        <v>46098.583333333299</v>
      </c>
      <c r="M889" s="9">
        <v>46147.583333333299</v>
      </c>
      <c r="N889" s="15"/>
      <c r="O889" s="15"/>
      <c r="P889" s="15"/>
      <c r="Q889" s="15"/>
      <c r="R889" s="15"/>
    </row>
    <row r="890" spans="1:18" ht="20.25" customHeight="1">
      <c r="A890" s="36">
        <v>1391</v>
      </c>
      <c r="B890" s="28" t="s">
        <v>2001</v>
      </c>
      <c r="C890" s="24" t="s">
        <v>2002</v>
      </c>
      <c r="D890" s="34" t="s">
        <v>74</v>
      </c>
      <c r="E890" s="34" t="s">
        <v>78</v>
      </c>
      <c r="F890" s="34" t="s">
        <v>78</v>
      </c>
      <c r="G890" s="34" t="s">
        <v>78</v>
      </c>
      <c r="H890" s="34" t="s">
        <v>536</v>
      </c>
      <c r="I890" s="35" t="s">
        <v>1138</v>
      </c>
      <c r="J890" s="24" t="s">
        <v>284</v>
      </c>
      <c r="K890" s="7" t="s">
        <v>221</v>
      </c>
      <c r="L890" s="9">
        <v>46102.583333333299</v>
      </c>
      <c r="M890" s="9">
        <v>46165.583333333299</v>
      </c>
      <c r="N890" s="15"/>
      <c r="O890" s="15"/>
      <c r="P890" s="15"/>
      <c r="Q890" s="15"/>
      <c r="R890" s="15"/>
    </row>
    <row r="891" spans="1:18" ht="20.25" customHeight="1">
      <c r="A891" s="36">
        <v>1392</v>
      </c>
      <c r="B891" s="28" t="s">
        <v>2003</v>
      </c>
      <c r="C891" s="24" t="s">
        <v>2004</v>
      </c>
      <c r="D891" s="34" t="s">
        <v>74</v>
      </c>
      <c r="E891" s="34" t="s">
        <v>78</v>
      </c>
      <c r="F891" s="34" t="s">
        <v>78</v>
      </c>
      <c r="G891" s="34" t="s">
        <v>78</v>
      </c>
      <c r="H891" s="34" t="s">
        <v>288</v>
      </c>
      <c r="I891" s="35" t="s">
        <v>85</v>
      </c>
      <c r="J891" s="24" t="s">
        <v>215</v>
      </c>
      <c r="K891" s="7" t="s">
        <v>208</v>
      </c>
      <c r="L891" s="9">
        <v>46100.583333333299</v>
      </c>
      <c r="M891" s="9"/>
      <c r="N891" s="15"/>
      <c r="O891" s="15"/>
      <c r="P891" s="15"/>
      <c r="Q891" s="15"/>
      <c r="R891" s="15"/>
    </row>
    <row r="892" spans="1:18" ht="20.25" customHeight="1">
      <c r="A892" s="36">
        <v>1393</v>
      </c>
      <c r="B892" s="28" t="s">
        <v>2005</v>
      </c>
      <c r="C892" s="24" t="s">
        <v>2006</v>
      </c>
      <c r="D892" s="34" t="s">
        <v>74</v>
      </c>
      <c r="E892" s="34" t="s">
        <v>202</v>
      </c>
      <c r="F892" s="34" t="s">
        <v>212</v>
      </c>
      <c r="G892" s="34" t="s">
        <v>108</v>
      </c>
      <c r="H892" s="34" t="s">
        <v>240</v>
      </c>
      <c r="I892" s="35" t="s">
        <v>107</v>
      </c>
      <c r="J892" s="24" t="s">
        <v>284</v>
      </c>
      <c r="K892" s="7" t="s">
        <v>221</v>
      </c>
      <c r="L892" s="9">
        <v>46099.583333333299</v>
      </c>
      <c r="M892" s="9">
        <v>46101.583333333299</v>
      </c>
      <c r="N892" s="15"/>
      <c r="O892" s="15"/>
      <c r="P892" s="15"/>
      <c r="Q892" s="15"/>
      <c r="R892" s="15"/>
    </row>
    <row r="893" spans="1:18" ht="20.25" customHeight="1">
      <c r="A893" s="36">
        <v>1394</v>
      </c>
      <c r="B893" s="28" t="s">
        <v>2007</v>
      </c>
      <c r="C893" s="24" t="s">
        <v>2008</v>
      </c>
      <c r="D893" s="34" t="s">
        <v>74</v>
      </c>
      <c r="E893" s="34" t="s">
        <v>78</v>
      </c>
      <c r="F893" s="34" t="s">
        <v>78</v>
      </c>
      <c r="G893" s="34" t="s">
        <v>78</v>
      </c>
      <c r="H893" s="34" t="s">
        <v>288</v>
      </c>
      <c r="I893" s="35" t="s">
        <v>85</v>
      </c>
      <c r="J893" s="24" t="s">
        <v>215</v>
      </c>
      <c r="K893" s="7" t="s">
        <v>208</v>
      </c>
      <c r="L893" s="9">
        <v>46107.583333333299</v>
      </c>
      <c r="M893" s="9"/>
      <c r="N893" s="15"/>
      <c r="O893" s="15"/>
      <c r="P893" s="15"/>
      <c r="Q893" s="15"/>
      <c r="R893" s="15"/>
    </row>
    <row r="894" spans="1:18" ht="20.25" customHeight="1">
      <c r="A894" s="36">
        <v>1395</v>
      </c>
      <c r="B894" s="28" t="s">
        <v>2009</v>
      </c>
      <c r="C894" s="24" t="s">
        <v>2010</v>
      </c>
      <c r="D894" s="34" t="s">
        <v>74</v>
      </c>
      <c r="E894" s="34" t="s">
        <v>202</v>
      </c>
      <c r="F894" s="34" t="s">
        <v>212</v>
      </c>
      <c r="G894" s="34" t="s">
        <v>1995</v>
      </c>
      <c r="H894" s="34" t="s">
        <v>480</v>
      </c>
      <c r="I894" s="35" t="s">
        <v>1996</v>
      </c>
      <c r="J894" s="24" t="s">
        <v>1395</v>
      </c>
      <c r="K894" s="7" t="s">
        <v>221</v>
      </c>
      <c r="L894" s="9">
        <v>46104.583333333299</v>
      </c>
      <c r="M894" s="9">
        <v>46118.583333333299</v>
      </c>
      <c r="N894" s="15"/>
      <c r="O894" s="15"/>
      <c r="P894" s="15"/>
      <c r="Q894" s="15"/>
      <c r="R894" s="15"/>
    </row>
    <row r="895" spans="1:18" ht="20.25" customHeight="1">
      <c r="A895" s="36">
        <v>1396</v>
      </c>
      <c r="B895" s="28" t="s">
        <v>2011</v>
      </c>
      <c r="C895" s="24" t="s">
        <v>2012</v>
      </c>
      <c r="D895" s="34" t="s">
        <v>29</v>
      </c>
      <c r="E895" s="34" t="s">
        <v>203</v>
      </c>
      <c r="F895" s="34" t="s">
        <v>212</v>
      </c>
      <c r="G895" s="34" t="s">
        <v>1257</v>
      </c>
      <c r="H895" s="34" t="s">
        <v>240</v>
      </c>
      <c r="I895" s="35" t="s">
        <v>28</v>
      </c>
      <c r="J895" s="24" t="s">
        <v>1395</v>
      </c>
      <c r="K895" s="7" t="s">
        <v>221</v>
      </c>
      <c r="L895" s="9">
        <v>46106.583333333299</v>
      </c>
      <c r="M895" s="9">
        <v>46166.583333333299</v>
      </c>
      <c r="N895" s="15"/>
      <c r="O895" s="15"/>
      <c r="P895" s="15"/>
      <c r="Q895" s="15"/>
      <c r="R895" s="15"/>
    </row>
    <row r="896" spans="1:18" ht="20.25" customHeight="1">
      <c r="A896" s="36">
        <v>1397</v>
      </c>
      <c r="B896" s="28" t="s">
        <v>2013</v>
      </c>
      <c r="C896" s="24" t="s">
        <v>2014</v>
      </c>
      <c r="D896" s="34" t="s">
        <v>74</v>
      </c>
      <c r="E896" s="34" t="s">
        <v>78</v>
      </c>
      <c r="F896" s="34" t="s">
        <v>78</v>
      </c>
      <c r="G896" s="34" t="s">
        <v>78</v>
      </c>
      <c r="H896" s="34" t="s">
        <v>288</v>
      </c>
      <c r="I896" s="35" t="s">
        <v>85</v>
      </c>
      <c r="J896" s="24" t="s">
        <v>220</v>
      </c>
      <c r="K896" s="7" t="s">
        <v>208</v>
      </c>
      <c r="L896" s="9">
        <v>46111.583333333299</v>
      </c>
      <c r="M896" s="9"/>
      <c r="N896" s="15"/>
      <c r="O896" s="15"/>
      <c r="P896" s="15"/>
      <c r="Q896" s="15"/>
      <c r="R896" s="15"/>
    </row>
    <row r="897" spans="1:18" ht="20.25" customHeight="1">
      <c r="A897" s="36">
        <v>1398</v>
      </c>
      <c r="B897" s="28" t="s">
        <v>2015</v>
      </c>
      <c r="C897" s="24" t="s">
        <v>2016</v>
      </c>
      <c r="D897" s="34" t="s">
        <v>74</v>
      </c>
      <c r="E897" s="34" t="s">
        <v>202</v>
      </c>
      <c r="F897" s="34" t="s">
        <v>212</v>
      </c>
      <c r="G897" s="34" t="s">
        <v>1995</v>
      </c>
      <c r="H897" s="34" t="s">
        <v>480</v>
      </c>
      <c r="I897" s="35" t="s">
        <v>1996</v>
      </c>
      <c r="J897" s="24" t="s">
        <v>1395</v>
      </c>
      <c r="K897" s="7" t="s">
        <v>221</v>
      </c>
      <c r="L897" s="9">
        <v>46112.583333333299</v>
      </c>
      <c r="M897" s="9">
        <v>46173.583333333299</v>
      </c>
      <c r="N897" s="15"/>
      <c r="O897" s="15"/>
      <c r="P897" s="15"/>
      <c r="Q897" s="15"/>
      <c r="R897" s="15"/>
    </row>
    <row r="898" spans="1:18" ht="20.25" customHeight="1">
      <c r="A898" s="36">
        <v>1399</v>
      </c>
      <c r="B898" s="28" t="s">
        <v>2017</v>
      </c>
      <c r="C898" s="24" t="s">
        <v>2018</v>
      </c>
      <c r="D898" s="34" t="s">
        <v>16</v>
      </c>
      <c r="E898" s="34" t="s">
        <v>211</v>
      </c>
      <c r="F898" s="34" t="s">
        <v>212</v>
      </c>
      <c r="G898" s="34" t="s">
        <v>17</v>
      </c>
      <c r="H898" s="34" t="s">
        <v>213</v>
      </c>
      <c r="I898" s="35" t="s">
        <v>1768</v>
      </c>
      <c r="J898" s="24" t="s">
        <v>220</v>
      </c>
      <c r="K898" s="7" t="s">
        <v>208</v>
      </c>
      <c r="L898" s="9">
        <v>46113.583333333299</v>
      </c>
      <c r="M898" s="9"/>
      <c r="N898" s="15"/>
      <c r="O898" s="15"/>
      <c r="P898" s="15"/>
      <c r="Q898" s="15"/>
      <c r="R898" s="15"/>
    </row>
    <row r="899" spans="1:18" ht="20.25" customHeight="1">
      <c r="A899" s="36">
        <v>1400</v>
      </c>
      <c r="B899" s="28" t="s">
        <v>2019</v>
      </c>
      <c r="C899" s="24" t="s">
        <v>2020</v>
      </c>
      <c r="D899" s="34" t="s">
        <v>16</v>
      </c>
      <c r="E899" s="34" t="s">
        <v>211</v>
      </c>
      <c r="F899" s="34" t="s">
        <v>259</v>
      </c>
      <c r="G899" s="34" t="s">
        <v>36</v>
      </c>
      <c r="H899" s="34" t="s">
        <v>36</v>
      </c>
      <c r="I899" s="35" t="s">
        <v>2021</v>
      </c>
      <c r="J899" s="24" t="s">
        <v>284</v>
      </c>
      <c r="K899" s="7" t="s">
        <v>221</v>
      </c>
      <c r="L899" s="9">
        <v>46118.583333333299</v>
      </c>
      <c r="M899" s="9">
        <v>46162.583333333299</v>
      </c>
      <c r="N899" s="15"/>
      <c r="O899" s="15"/>
      <c r="P899" s="15"/>
      <c r="Q899" s="15"/>
      <c r="R899" s="15"/>
    </row>
    <row r="900" spans="1:18" ht="20.25" customHeight="1">
      <c r="A900" s="36">
        <v>1401</v>
      </c>
      <c r="B900" s="28" t="s">
        <v>2022</v>
      </c>
      <c r="C900" s="24" t="s">
        <v>2023</v>
      </c>
      <c r="D900" s="34" t="s">
        <v>16</v>
      </c>
      <c r="E900" s="34" t="s">
        <v>211</v>
      </c>
      <c r="F900" s="34" t="s">
        <v>212</v>
      </c>
      <c r="G900" s="34" t="s">
        <v>17</v>
      </c>
      <c r="H900" s="34" t="s">
        <v>218</v>
      </c>
      <c r="I900" s="35" t="s">
        <v>61</v>
      </c>
      <c r="J900" s="24" t="s">
        <v>1395</v>
      </c>
      <c r="K900" s="7" t="s">
        <v>221</v>
      </c>
      <c r="L900" s="9">
        <v>46113.583333333299</v>
      </c>
      <c r="M900" s="9">
        <v>46114.583333333299</v>
      </c>
      <c r="N900" s="15"/>
      <c r="O900" s="15"/>
      <c r="P900" s="15"/>
      <c r="Q900" s="15"/>
      <c r="R900" s="15"/>
    </row>
    <row r="901" spans="1:18" ht="20.25" customHeight="1">
      <c r="A901" s="36">
        <v>1402</v>
      </c>
      <c r="B901" s="28" t="s">
        <v>2024</v>
      </c>
      <c r="C901" s="24" t="s">
        <v>2025</v>
      </c>
      <c r="D901" s="34" t="s">
        <v>16</v>
      </c>
      <c r="E901" s="34" t="s">
        <v>211</v>
      </c>
      <c r="F901" s="34" t="s">
        <v>259</v>
      </c>
      <c r="G901" s="34" t="s">
        <v>25</v>
      </c>
      <c r="H901" s="34" t="s">
        <v>25</v>
      </c>
      <c r="I901" s="35" t="s">
        <v>2026</v>
      </c>
      <c r="J901" s="24" t="s">
        <v>471</v>
      </c>
      <c r="K901" s="7" t="s">
        <v>208</v>
      </c>
      <c r="L901" s="9">
        <v>46113.583333333299</v>
      </c>
      <c r="M901" s="9"/>
      <c r="N901" s="15"/>
      <c r="O901" s="15"/>
      <c r="P901" s="15"/>
      <c r="Q901" s="15"/>
      <c r="R901" s="15"/>
    </row>
    <row r="902" spans="1:18" ht="20.25" customHeight="1">
      <c r="A902" s="36">
        <v>1403</v>
      </c>
      <c r="B902" s="28" t="s">
        <v>2027</v>
      </c>
      <c r="C902" s="24" t="s">
        <v>2028</v>
      </c>
      <c r="D902" s="34" t="s">
        <v>16</v>
      </c>
      <c r="E902" s="34" t="s">
        <v>211</v>
      </c>
      <c r="F902" s="34" t="s">
        <v>212</v>
      </c>
      <c r="G902" s="34" t="s">
        <v>17</v>
      </c>
      <c r="H902" s="34" t="s">
        <v>218</v>
      </c>
      <c r="I902" s="35" t="s">
        <v>61</v>
      </c>
      <c r="J902" s="24" t="s">
        <v>1395</v>
      </c>
      <c r="K902" s="7" t="s">
        <v>221</v>
      </c>
      <c r="L902" s="9">
        <v>46113.583333333299</v>
      </c>
      <c r="M902" s="9">
        <v>46114.583333333299</v>
      </c>
      <c r="N902" s="15"/>
      <c r="O902" s="15"/>
      <c r="P902" s="15"/>
      <c r="Q902" s="15"/>
      <c r="R902" s="15"/>
    </row>
    <row r="903" spans="1:18" ht="20.25" customHeight="1">
      <c r="A903" s="36">
        <v>1404</v>
      </c>
      <c r="B903" s="28" t="s">
        <v>2029</v>
      </c>
      <c r="C903" s="24" t="s">
        <v>2030</v>
      </c>
      <c r="D903" s="34" t="s">
        <v>16</v>
      </c>
      <c r="E903" s="34" t="s">
        <v>211</v>
      </c>
      <c r="F903" s="34" t="s">
        <v>212</v>
      </c>
      <c r="G903" s="34" t="s">
        <v>17</v>
      </c>
      <c r="H903" s="34" t="s">
        <v>240</v>
      </c>
      <c r="I903" s="35" t="s">
        <v>241</v>
      </c>
      <c r="J903" s="24" t="s">
        <v>220</v>
      </c>
      <c r="K903" s="7" t="s">
        <v>208</v>
      </c>
      <c r="L903" s="9">
        <v>46117.583333333299</v>
      </c>
      <c r="M903" s="9"/>
      <c r="N903" s="15"/>
      <c r="O903" s="15"/>
      <c r="P903" s="15"/>
      <c r="Q903" s="15"/>
      <c r="R903" s="15"/>
    </row>
    <row r="904" spans="1:18" ht="20.25" customHeight="1">
      <c r="A904" s="36">
        <v>1405</v>
      </c>
      <c r="B904" s="28" t="s">
        <v>2031</v>
      </c>
      <c r="C904" s="24" t="s">
        <v>2032</v>
      </c>
      <c r="D904" s="34" t="s">
        <v>74</v>
      </c>
      <c r="E904" s="34" t="s">
        <v>202</v>
      </c>
      <c r="F904" s="34" t="s">
        <v>212</v>
      </c>
      <c r="G904" s="34" t="s">
        <v>120</v>
      </c>
      <c r="H904" s="34" t="s">
        <v>218</v>
      </c>
      <c r="I904" s="35" t="s">
        <v>61</v>
      </c>
      <c r="J904" s="24" t="s">
        <v>1395</v>
      </c>
      <c r="K904" s="7" t="s">
        <v>221</v>
      </c>
      <c r="L904" s="9">
        <v>46118.583333333299</v>
      </c>
      <c r="M904" s="9">
        <v>46121.583333333299</v>
      </c>
      <c r="N904" s="15"/>
      <c r="O904" s="15"/>
      <c r="P904" s="15"/>
      <c r="Q904" s="15"/>
      <c r="R904" s="15"/>
    </row>
    <row r="905" spans="1:18" ht="20.25" customHeight="1">
      <c r="A905" s="36">
        <v>1406</v>
      </c>
      <c r="B905" s="28" t="s">
        <v>2033</v>
      </c>
      <c r="C905" s="24" t="s">
        <v>2034</v>
      </c>
      <c r="D905" s="34" t="s">
        <v>74</v>
      </c>
      <c r="E905" s="34" t="s">
        <v>202</v>
      </c>
      <c r="F905" s="34" t="s">
        <v>212</v>
      </c>
      <c r="G905" s="34" t="s">
        <v>120</v>
      </c>
      <c r="H905" s="34" t="s">
        <v>231</v>
      </c>
      <c r="I905" s="35" t="s">
        <v>58</v>
      </c>
      <c r="J905" s="24" t="s">
        <v>220</v>
      </c>
      <c r="K905" s="7" t="s">
        <v>208</v>
      </c>
      <c r="L905" s="9">
        <v>46120.583333333299</v>
      </c>
      <c r="M905" s="9"/>
      <c r="N905" s="15"/>
      <c r="O905" s="15"/>
      <c r="P905" s="15"/>
      <c r="Q905" s="15"/>
      <c r="R905" s="15"/>
    </row>
    <row r="906" spans="1:18" ht="20.25" customHeight="1">
      <c r="A906" s="36">
        <v>1407</v>
      </c>
      <c r="B906" s="28" t="s">
        <v>2035</v>
      </c>
      <c r="C906" s="24" t="s">
        <v>2036</v>
      </c>
      <c r="D906" s="34" t="s">
        <v>16</v>
      </c>
      <c r="E906" s="34" t="s">
        <v>211</v>
      </c>
      <c r="F906" s="34" t="s">
        <v>259</v>
      </c>
      <c r="G906" s="34" t="s">
        <v>101</v>
      </c>
      <c r="H906" s="34" t="s">
        <v>101</v>
      </c>
      <c r="I906" s="35" t="s">
        <v>100</v>
      </c>
      <c r="J906" s="24" t="s">
        <v>215</v>
      </c>
      <c r="K906" s="7" t="s">
        <v>208</v>
      </c>
      <c r="L906" s="9">
        <v>46119.583333333299</v>
      </c>
      <c r="M906" s="9"/>
      <c r="N906" s="15"/>
      <c r="O906" s="15"/>
      <c r="P906" s="15"/>
      <c r="Q906" s="15"/>
      <c r="R906" s="15"/>
    </row>
    <row r="907" spans="1:18" ht="20.25" customHeight="1">
      <c r="A907" s="36">
        <v>1408</v>
      </c>
      <c r="B907" s="28" t="s">
        <v>2037</v>
      </c>
      <c r="C907" s="24" t="s">
        <v>2038</v>
      </c>
      <c r="D907" s="34" t="s">
        <v>16</v>
      </c>
      <c r="E907" s="34" t="s">
        <v>399</v>
      </c>
      <c r="F907" s="34" t="s">
        <v>259</v>
      </c>
      <c r="G907" s="34" t="s">
        <v>415</v>
      </c>
      <c r="H907" s="34" t="s">
        <v>415</v>
      </c>
      <c r="I907" s="35" t="s">
        <v>1141</v>
      </c>
      <c r="J907" s="24" t="s">
        <v>471</v>
      </c>
      <c r="K907" s="7" t="s">
        <v>221</v>
      </c>
      <c r="L907" s="9">
        <v>46119.583333333299</v>
      </c>
      <c r="M907" s="9">
        <v>46149.583333333299</v>
      </c>
      <c r="N907" s="15"/>
      <c r="O907" s="15"/>
      <c r="P907" s="15"/>
      <c r="Q907" s="15"/>
      <c r="R907" s="15"/>
    </row>
    <row r="908" spans="1:18" ht="20.25" customHeight="1">
      <c r="A908" s="36">
        <v>1409</v>
      </c>
      <c r="B908" s="28" t="s">
        <v>2039</v>
      </c>
      <c r="C908" s="24" t="s">
        <v>2040</v>
      </c>
      <c r="D908" s="34" t="s">
        <v>74</v>
      </c>
      <c r="E908" s="34" t="s">
        <v>202</v>
      </c>
      <c r="F908" s="34" t="s">
        <v>212</v>
      </c>
      <c r="G908" s="34" t="s">
        <v>108</v>
      </c>
      <c r="H908" s="34" t="s">
        <v>218</v>
      </c>
      <c r="I908" s="35" t="s">
        <v>2041</v>
      </c>
      <c r="J908" s="24" t="s">
        <v>1395</v>
      </c>
      <c r="K908" s="7" t="s">
        <v>221</v>
      </c>
      <c r="L908" s="9">
        <v>46118.583333333299</v>
      </c>
      <c r="M908" s="9">
        <v>46142.583333333299</v>
      </c>
      <c r="N908" s="15"/>
      <c r="O908" s="15"/>
      <c r="P908" s="15"/>
      <c r="Q908" s="15"/>
      <c r="R908" s="15"/>
    </row>
    <row r="909" spans="1:18" ht="20.25" customHeight="1">
      <c r="A909" s="36">
        <v>1410</v>
      </c>
      <c r="B909" s="28" t="s">
        <v>2042</v>
      </c>
      <c r="C909" s="24" t="s">
        <v>2043</v>
      </c>
      <c r="D909" s="34" t="s">
        <v>74</v>
      </c>
      <c r="E909" s="34" t="s">
        <v>202</v>
      </c>
      <c r="F909" s="34" t="s">
        <v>212</v>
      </c>
      <c r="G909" s="34" t="s">
        <v>108</v>
      </c>
      <c r="H909" s="34" t="s">
        <v>218</v>
      </c>
      <c r="I909" s="35" t="s">
        <v>2041</v>
      </c>
      <c r="J909" s="24" t="s">
        <v>1395</v>
      </c>
      <c r="K909" s="7" t="s">
        <v>221</v>
      </c>
      <c r="L909" s="9">
        <v>46118.583333333299</v>
      </c>
      <c r="M909" s="9">
        <v>46142.583333333299</v>
      </c>
      <c r="N909" s="15"/>
      <c r="O909" s="15"/>
      <c r="P909" s="15"/>
      <c r="Q909" s="15"/>
      <c r="R909" s="15"/>
    </row>
    <row r="910" spans="1:18" ht="20.25" customHeight="1">
      <c r="A910" s="36">
        <v>1411</v>
      </c>
      <c r="B910" s="28" t="s">
        <v>2044</v>
      </c>
      <c r="C910" s="24" t="s">
        <v>2045</v>
      </c>
      <c r="D910" s="34" t="s">
        <v>74</v>
      </c>
      <c r="E910" s="34" t="s">
        <v>202</v>
      </c>
      <c r="F910" s="34" t="s">
        <v>212</v>
      </c>
      <c r="G910" s="34" t="s">
        <v>120</v>
      </c>
      <c r="H910" s="34" t="s">
        <v>218</v>
      </c>
      <c r="I910" s="35" t="s">
        <v>61</v>
      </c>
      <c r="J910" s="24" t="s">
        <v>1395</v>
      </c>
      <c r="K910" s="7" t="s">
        <v>221</v>
      </c>
      <c r="L910" s="9">
        <v>46118.583333333299</v>
      </c>
      <c r="M910" s="9">
        <v>46173.583333333299</v>
      </c>
      <c r="N910" s="15"/>
      <c r="O910" s="15"/>
      <c r="P910" s="15"/>
      <c r="Q910" s="15"/>
      <c r="R910" s="15"/>
    </row>
    <row r="911" spans="1:18" ht="20.25" customHeight="1">
      <c r="A911" s="36">
        <v>1412</v>
      </c>
      <c r="B911" s="28" t="s">
        <v>2046</v>
      </c>
      <c r="C911" s="24" t="s">
        <v>2047</v>
      </c>
      <c r="D911" s="34" t="s">
        <v>74</v>
      </c>
      <c r="E911" s="34" t="s">
        <v>202</v>
      </c>
      <c r="F911" s="34" t="s">
        <v>212</v>
      </c>
      <c r="G911" s="34" t="s">
        <v>1995</v>
      </c>
      <c r="H911" s="34" t="s">
        <v>480</v>
      </c>
      <c r="I911" s="35" t="s">
        <v>1996</v>
      </c>
      <c r="J911" s="24" t="s">
        <v>220</v>
      </c>
      <c r="K911" s="7" t="s">
        <v>208</v>
      </c>
      <c r="L911" s="9">
        <v>46118.583333333299</v>
      </c>
      <c r="M911" s="9"/>
      <c r="N911" s="15"/>
      <c r="O911" s="15"/>
      <c r="P911" s="15"/>
      <c r="Q911" s="15"/>
      <c r="R911" s="15"/>
    </row>
    <row r="912" spans="1:18" ht="20.25" customHeight="1">
      <c r="A912" s="36">
        <v>1413</v>
      </c>
      <c r="B912" s="28" t="s">
        <v>2048</v>
      </c>
      <c r="C912" s="24" t="s">
        <v>2049</v>
      </c>
      <c r="D912" s="34" t="s">
        <v>16</v>
      </c>
      <c r="E912" s="34" t="s">
        <v>211</v>
      </c>
      <c r="F912" s="34" t="s">
        <v>212</v>
      </c>
      <c r="G912" s="34" t="s">
        <v>17</v>
      </c>
      <c r="H912" s="34" t="s">
        <v>218</v>
      </c>
      <c r="I912" s="35" t="s">
        <v>61</v>
      </c>
      <c r="J912" s="24" t="s">
        <v>220</v>
      </c>
      <c r="K912" s="7" t="s">
        <v>208</v>
      </c>
      <c r="L912" s="9">
        <v>46118.583333333299</v>
      </c>
      <c r="M912" s="9"/>
      <c r="N912" s="15"/>
      <c r="O912" s="15"/>
      <c r="P912" s="15"/>
      <c r="Q912" s="15"/>
      <c r="R912" s="15"/>
    </row>
    <row r="913" spans="1:18" ht="20.25" customHeight="1">
      <c r="A913" s="36">
        <v>1414</v>
      </c>
      <c r="B913" s="28" t="s">
        <v>2050</v>
      </c>
      <c r="C913" s="24" t="s">
        <v>2051</v>
      </c>
      <c r="D913" s="34" t="s">
        <v>16</v>
      </c>
      <c r="E913" s="34" t="s">
        <v>211</v>
      </c>
      <c r="F913" s="34" t="s">
        <v>212</v>
      </c>
      <c r="G913" s="34" t="s">
        <v>17</v>
      </c>
      <c r="H913" s="34" t="s">
        <v>218</v>
      </c>
      <c r="I913" s="35" t="s">
        <v>61</v>
      </c>
      <c r="J913" s="24" t="s">
        <v>1395</v>
      </c>
      <c r="K913" s="7" t="s">
        <v>208</v>
      </c>
      <c r="L913" s="9">
        <v>46120.583333333299</v>
      </c>
      <c r="M913" s="9"/>
      <c r="N913" s="15"/>
      <c r="O913" s="15"/>
      <c r="P913" s="15"/>
      <c r="Q913" s="15"/>
      <c r="R913" s="15"/>
    </row>
    <row r="914" spans="1:18" ht="20.25" customHeight="1">
      <c r="A914" s="36">
        <v>1415</v>
      </c>
      <c r="B914" s="28" t="s">
        <v>2052</v>
      </c>
      <c r="C914" s="24" t="s">
        <v>2053</v>
      </c>
      <c r="D914" s="34" t="s">
        <v>45</v>
      </c>
      <c r="E914" s="34" t="s">
        <v>201</v>
      </c>
      <c r="F914" s="34" t="s">
        <v>212</v>
      </c>
      <c r="G914" s="34" t="s">
        <v>46</v>
      </c>
      <c r="H914" s="34" t="s">
        <v>213</v>
      </c>
      <c r="I914" s="35" t="s">
        <v>67</v>
      </c>
      <c r="J914" s="24" t="s">
        <v>284</v>
      </c>
      <c r="K914" s="7" t="s">
        <v>221</v>
      </c>
      <c r="L914" s="9">
        <v>46119.583333333299</v>
      </c>
      <c r="M914" s="9">
        <v>46174.583333333299</v>
      </c>
      <c r="N914" s="15"/>
      <c r="O914" s="15"/>
      <c r="P914" s="15"/>
      <c r="Q914" s="15"/>
      <c r="R914" s="15"/>
    </row>
    <row r="915" spans="1:18" ht="20.25" customHeight="1">
      <c r="A915" s="36">
        <v>1416</v>
      </c>
      <c r="B915" s="28" t="s">
        <v>2054</v>
      </c>
      <c r="C915" s="24" t="s">
        <v>2055</v>
      </c>
      <c r="D915" s="34" t="s">
        <v>74</v>
      </c>
      <c r="E915" s="34" t="s">
        <v>202</v>
      </c>
      <c r="F915" s="34" t="s">
        <v>212</v>
      </c>
      <c r="G915" s="34" t="s">
        <v>120</v>
      </c>
      <c r="H915" s="34" t="s">
        <v>218</v>
      </c>
      <c r="I915" s="35" t="s">
        <v>2041</v>
      </c>
      <c r="J915" s="24" t="s">
        <v>215</v>
      </c>
      <c r="K915" s="7" t="s">
        <v>208</v>
      </c>
      <c r="L915" s="9">
        <v>46121.583333333299</v>
      </c>
      <c r="M915" s="9"/>
      <c r="N915" s="15"/>
      <c r="O915" s="15"/>
      <c r="P915" s="15"/>
      <c r="Q915" s="15"/>
      <c r="R915" s="15"/>
    </row>
    <row r="916" spans="1:18" ht="20.25" customHeight="1">
      <c r="A916" s="36">
        <v>1417</v>
      </c>
      <c r="B916" s="28" t="s">
        <v>2056</v>
      </c>
      <c r="C916" s="24" t="s">
        <v>2057</v>
      </c>
      <c r="D916" s="34" t="s">
        <v>16</v>
      </c>
      <c r="E916" s="34" t="s">
        <v>211</v>
      </c>
      <c r="F916" s="34" t="s">
        <v>212</v>
      </c>
      <c r="G916" s="34" t="s">
        <v>17</v>
      </c>
      <c r="H916" s="34" t="s">
        <v>218</v>
      </c>
      <c r="I916" s="35" t="s">
        <v>61</v>
      </c>
      <c r="J916" s="24" t="s">
        <v>1395</v>
      </c>
      <c r="K916" s="7" t="s">
        <v>208</v>
      </c>
      <c r="L916" s="9">
        <v>46122.583333333299</v>
      </c>
      <c r="M916" s="9"/>
      <c r="N916" s="15"/>
      <c r="O916" s="15"/>
      <c r="P916" s="15"/>
      <c r="Q916" s="15"/>
      <c r="R916" s="15"/>
    </row>
    <row r="917" spans="1:18" ht="20.25" customHeight="1">
      <c r="A917" s="36">
        <v>1418</v>
      </c>
      <c r="B917" s="28" t="s">
        <v>2058</v>
      </c>
      <c r="C917" s="24" t="s">
        <v>2059</v>
      </c>
      <c r="D917" s="34" t="s">
        <v>74</v>
      </c>
      <c r="E917" s="34" t="s">
        <v>202</v>
      </c>
      <c r="F917" s="34" t="s">
        <v>212</v>
      </c>
      <c r="G917" s="34" t="s">
        <v>1995</v>
      </c>
      <c r="H917" s="34" t="s">
        <v>480</v>
      </c>
      <c r="I917" s="35" t="s">
        <v>2060</v>
      </c>
      <c r="J917" s="24" t="s">
        <v>284</v>
      </c>
      <c r="K917" s="7" t="s">
        <v>221</v>
      </c>
      <c r="L917" s="9">
        <v>46121.583333333299</v>
      </c>
      <c r="M917" s="9">
        <v>46125.583333333299</v>
      </c>
      <c r="N917" s="15"/>
      <c r="O917" s="15"/>
      <c r="P917" s="15"/>
      <c r="Q917" s="15"/>
      <c r="R917" s="15"/>
    </row>
    <row r="918" spans="1:18" ht="20.25" customHeight="1">
      <c r="A918" s="36">
        <v>1419</v>
      </c>
      <c r="B918" s="28" t="s">
        <v>2061</v>
      </c>
      <c r="C918" s="24" t="s">
        <v>2062</v>
      </c>
      <c r="D918" s="34" t="s">
        <v>29</v>
      </c>
      <c r="E918" s="34" t="s">
        <v>203</v>
      </c>
      <c r="F918" s="34" t="s">
        <v>212</v>
      </c>
      <c r="G918" s="34" t="s">
        <v>39</v>
      </c>
      <c r="H918" s="34" t="s">
        <v>240</v>
      </c>
      <c r="I918" s="35" t="s">
        <v>28</v>
      </c>
      <c r="J918" s="24" t="s">
        <v>284</v>
      </c>
      <c r="K918" s="7" t="s">
        <v>221</v>
      </c>
      <c r="L918" s="9">
        <v>46125.583333333299</v>
      </c>
      <c r="M918" s="9">
        <v>46125.583333333299</v>
      </c>
      <c r="N918" s="15"/>
      <c r="O918" s="15"/>
      <c r="P918" s="15"/>
      <c r="Q918" s="15"/>
      <c r="R918" s="15"/>
    </row>
    <row r="919" spans="1:18" ht="20.25" customHeight="1">
      <c r="A919" s="36">
        <v>1420</v>
      </c>
      <c r="B919" s="28" t="s">
        <v>2063</v>
      </c>
      <c r="C919" s="24" t="s">
        <v>2064</v>
      </c>
      <c r="D919" s="34" t="s">
        <v>45</v>
      </c>
      <c r="E919" s="34" t="s">
        <v>201</v>
      </c>
      <c r="F919" s="34" t="s">
        <v>212</v>
      </c>
      <c r="G919" s="34" t="s">
        <v>136</v>
      </c>
      <c r="H919" s="34" t="s">
        <v>213</v>
      </c>
      <c r="I919" s="35" t="s">
        <v>1768</v>
      </c>
      <c r="J919" s="24" t="s">
        <v>284</v>
      </c>
      <c r="K919" s="7" t="s">
        <v>208</v>
      </c>
      <c r="L919" s="9">
        <v>46126.583333333299</v>
      </c>
      <c r="M919" s="9"/>
      <c r="N919" s="15"/>
      <c r="O919" s="15"/>
      <c r="P919" s="15"/>
      <c r="Q919" s="15"/>
      <c r="R919" s="15"/>
    </row>
    <row r="920" spans="1:18" ht="20.25" customHeight="1">
      <c r="A920" s="36">
        <v>1421</v>
      </c>
      <c r="B920" s="28" t="s">
        <v>2065</v>
      </c>
      <c r="C920" s="24" t="s">
        <v>2066</v>
      </c>
      <c r="D920" s="34" t="s">
        <v>16</v>
      </c>
      <c r="E920" s="34" t="s">
        <v>211</v>
      </c>
      <c r="F920" s="34" t="s">
        <v>259</v>
      </c>
      <c r="G920" s="34" t="s">
        <v>480</v>
      </c>
      <c r="H920" s="34" t="s">
        <v>480</v>
      </c>
      <c r="I920" s="35" t="s">
        <v>2067</v>
      </c>
      <c r="J920" s="24" t="s">
        <v>215</v>
      </c>
      <c r="K920" s="7" t="s">
        <v>208</v>
      </c>
      <c r="L920" s="9">
        <v>46126.583333333299</v>
      </c>
      <c r="M920" s="9"/>
      <c r="N920" s="15"/>
      <c r="O920" s="15"/>
      <c r="P920" s="15"/>
      <c r="Q920" s="15"/>
      <c r="R920" s="15"/>
    </row>
    <row r="921" spans="1:18" ht="20.25" customHeight="1">
      <c r="A921" s="36">
        <v>1422</v>
      </c>
      <c r="B921" s="28" t="s">
        <v>2068</v>
      </c>
      <c r="C921" s="24" t="s">
        <v>2069</v>
      </c>
      <c r="D921" s="34" t="s">
        <v>16</v>
      </c>
      <c r="E921" s="34" t="s">
        <v>211</v>
      </c>
      <c r="F921" s="34" t="s">
        <v>212</v>
      </c>
      <c r="G921" s="34" t="s">
        <v>17</v>
      </c>
      <c r="H921" s="34" t="s">
        <v>218</v>
      </c>
      <c r="I921" s="35" t="s">
        <v>61</v>
      </c>
      <c r="J921" s="24" t="s">
        <v>220</v>
      </c>
      <c r="K921" s="7" t="s">
        <v>208</v>
      </c>
      <c r="L921" s="9">
        <v>46125.583333333299</v>
      </c>
      <c r="M921" s="9"/>
      <c r="N921" s="15"/>
      <c r="O921" s="15"/>
      <c r="P921" s="15"/>
      <c r="Q921" s="15"/>
      <c r="R921" s="15"/>
    </row>
    <row r="922" spans="1:18" ht="20.25" customHeight="1">
      <c r="A922" s="36">
        <v>1423</v>
      </c>
      <c r="B922" s="28" t="s">
        <v>2070</v>
      </c>
      <c r="C922" s="24" t="s">
        <v>2071</v>
      </c>
      <c r="D922" s="34" t="s">
        <v>74</v>
      </c>
      <c r="E922" s="34" t="s">
        <v>202</v>
      </c>
      <c r="F922" s="34" t="s">
        <v>212</v>
      </c>
      <c r="G922" s="34" t="s">
        <v>108</v>
      </c>
      <c r="H922" s="34" t="s">
        <v>218</v>
      </c>
      <c r="I922" s="35" t="s">
        <v>2041</v>
      </c>
      <c r="J922" s="24" t="s">
        <v>1395</v>
      </c>
      <c r="K922" s="7" t="s">
        <v>221</v>
      </c>
      <c r="L922" s="9">
        <v>46125.583333333299</v>
      </c>
      <c r="M922" s="9">
        <v>46125.583333333299</v>
      </c>
      <c r="N922" s="15"/>
      <c r="O922" s="15"/>
      <c r="P922" s="15"/>
      <c r="Q922" s="15"/>
      <c r="R922" s="15"/>
    </row>
    <row r="923" spans="1:18" ht="20.25" customHeight="1">
      <c r="A923" s="36">
        <v>1424</v>
      </c>
      <c r="B923" s="28" t="s">
        <v>2072</v>
      </c>
      <c r="C923" s="24" t="s">
        <v>2073</v>
      </c>
      <c r="D923" s="34" t="s">
        <v>74</v>
      </c>
      <c r="E923" s="34" t="s">
        <v>202</v>
      </c>
      <c r="F923" s="34" t="s">
        <v>212</v>
      </c>
      <c r="G923" s="34" t="s">
        <v>120</v>
      </c>
      <c r="H923" s="34" t="s">
        <v>218</v>
      </c>
      <c r="I923" s="35" t="s">
        <v>2041</v>
      </c>
      <c r="J923" s="24" t="s">
        <v>1395</v>
      </c>
      <c r="K923" s="7" t="s">
        <v>221</v>
      </c>
      <c r="L923" s="9">
        <v>46127.583333333299</v>
      </c>
      <c r="M923" s="9">
        <v>46127.583333333299</v>
      </c>
      <c r="N923" s="15"/>
      <c r="O923" s="15"/>
      <c r="P923" s="15"/>
      <c r="Q923" s="15"/>
      <c r="R923" s="15"/>
    </row>
    <row r="924" spans="1:18" ht="20.25" customHeight="1">
      <c r="A924" s="36">
        <v>1425</v>
      </c>
      <c r="B924" s="28" t="s">
        <v>2074</v>
      </c>
      <c r="C924" s="24" t="s">
        <v>2075</v>
      </c>
      <c r="D924" s="34" t="s">
        <v>74</v>
      </c>
      <c r="E924" s="34" t="s">
        <v>78</v>
      </c>
      <c r="F924" s="34" t="s">
        <v>78</v>
      </c>
      <c r="G924" s="34" t="s">
        <v>78</v>
      </c>
      <c r="H924" s="34" t="s">
        <v>288</v>
      </c>
      <c r="I924" s="35" t="s">
        <v>85</v>
      </c>
      <c r="J924" s="24" t="s">
        <v>215</v>
      </c>
      <c r="K924" s="7" t="s">
        <v>208</v>
      </c>
      <c r="L924" s="9">
        <v>46129.583333333299</v>
      </c>
      <c r="M924" s="9"/>
      <c r="N924" s="15"/>
      <c r="O924" s="15"/>
      <c r="P924" s="15"/>
      <c r="Q924" s="15"/>
      <c r="R924" s="15"/>
    </row>
    <row r="925" spans="1:18" ht="20.25" customHeight="1">
      <c r="A925" s="36">
        <v>1426</v>
      </c>
      <c r="B925" s="28" t="s">
        <v>2076</v>
      </c>
      <c r="C925" s="24" t="s">
        <v>2077</v>
      </c>
      <c r="D925" s="34" t="s">
        <v>74</v>
      </c>
      <c r="E925" s="34" t="s">
        <v>202</v>
      </c>
      <c r="F925" s="34" t="s">
        <v>212</v>
      </c>
      <c r="G925" s="34" t="s">
        <v>95</v>
      </c>
      <c r="H925" s="34" t="s">
        <v>218</v>
      </c>
      <c r="I925" s="35" t="s">
        <v>2041</v>
      </c>
      <c r="J925" s="24" t="s">
        <v>220</v>
      </c>
      <c r="K925" s="7" t="s">
        <v>208</v>
      </c>
      <c r="L925" s="9">
        <v>46128.583333333299</v>
      </c>
      <c r="M925" s="9"/>
      <c r="N925" s="15"/>
      <c r="O925" s="15"/>
      <c r="P925" s="15"/>
      <c r="Q925" s="15"/>
      <c r="R925" s="15"/>
    </row>
    <row r="926" spans="1:18" ht="20.25" customHeight="1">
      <c r="A926" s="36">
        <v>1427</v>
      </c>
      <c r="B926" s="28" t="s">
        <v>2078</v>
      </c>
      <c r="C926" s="24" t="s">
        <v>2079</v>
      </c>
      <c r="D926" s="34" t="s">
        <v>29</v>
      </c>
      <c r="E926" s="34" t="s">
        <v>203</v>
      </c>
      <c r="F926" s="34" t="s">
        <v>212</v>
      </c>
      <c r="G926" s="34" t="s">
        <v>544</v>
      </c>
      <c r="H926" s="34" t="s">
        <v>240</v>
      </c>
      <c r="I926" s="35" t="s">
        <v>28</v>
      </c>
      <c r="J926" s="24" t="s">
        <v>1395</v>
      </c>
      <c r="K926" s="7" t="s">
        <v>221</v>
      </c>
      <c r="L926" s="9">
        <v>46125.583333333299</v>
      </c>
      <c r="M926" s="9">
        <v>46145.583333333299</v>
      </c>
      <c r="N926" s="15"/>
      <c r="O926" s="15"/>
      <c r="P926" s="15"/>
      <c r="Q926" s="15"/>
      <c r="R926" s="15"/>
    </row>
    <row r="927" spans="1:18" ht="20.25" customHeight="1">
      <c r="A927" s="36">
        <v>1428</v>
      </c>
      <c r="B927" s="28" t="s">
        <v>2080</v>
      </c>
      <c r="C927" s="24" t="s">
        <v>2081</v>
      </c>
      <c r="D927" s="34" t="s">
        <v>45</v>
      </c>
      <c r="E927" s="34" t="s">
        <v>201</v>
      </c>
      <c r="F927" s="34" t="s">
        <v>212</v>
      </c>
      <c r="G927" s="34" t="s">
        <v>136</v>
      </c>
      <c r="H927" s="34" t="s">
        <v>213</v>
      </c>
      <c r="I927" s="35" t="s">
        <v>1768</v>
      </c>
      <c r="J927" s="24" t="s">
        <v>220</v>
      </c>
      <c r="K927" s="7" t="s">
        <v>208</v>
      </c>
      <c r="L927" s="9">
        <v>46113.583333333299</v>
      </c>
      <c r="M927" s="9"/>
      <c r="N927" s="15"/>
      <c r="O927" s="15"/>
      <c r="P927" s="15"/>
      <c r="Q927" s="15"/>
      <c r="R927" s="15"/>
    </row>
    <row r="928" spans="1:18" ht="20.25" customHeight="1">
      <c r="A928" s="36">
        <v>1429</v>
      </c>
      <c r="B928" s="28" t="s">
        <v>2082</v>
      </c>
      <c r="C928" s="24" t="s">
        <v>2083</v>
      </c>
      <c r="D928" s="34" t="s">
        <v>45</v>
      </c>
      <c r="E928" s="34" t="s">
        <v>201</v>
      </c>
      <c r="F928" s="34" t="s">
        <v>212</v>
      </c>
      <c r="G928" s="34" t="s">
        <v>136</v>
      </c>
      <c r="H928" s="34" t="s">
        <v>240</v>
      </c>
      <c r="I928" s="35" t="s">
        <v>70</v>
      </c>
      <c r="J928" s="24" t="s">
        <v>284</v>
      </c>
      <c r="K928" s="7" t="s">
        <v>221</v>
      </c>
      <c r="L928" s="9">
        <v>46126.583333333299</v>
      </c>
      <c r="M928" s="9">
        <v>46127.583333333299</v>
      </c>
      <c r="N928" s="15"/>
      <c r="O928" s="15"/>
      <c r="P928" s="15"/>
      <c r="Q928" s="15"/>
      <c r="R928" s="15"/>
    </row>
    <row r="929" spans="1:18" ht="20.25" customHeight="1">
      <c r="A929" s="36">
        <v>1430</v>
      </c>
      <c r="B929" s="28" t="s">
        <v>2084</v>
      </c>
      <c r="C929" s="24" t="s">
        <v>2085</v>
      </c>
      <c r="D929" s="34" t="s">
        <v>74</v>
      </c>
      <c r="E929" s="34" t="s">
        <v>202</v>
      </c>
      <c r="F929" s="34" t="s">
        <v>212</v>
      </c>
      <c r="G929" s="34" t="s">
        <v>108</v>
      </c>
      <c r="H929" s="34" t="s">
        <v>218</v>
      </c>
      <c r="I929" s="35" t="s">
        <v>2041</v>
      </c>
      <c r="J929" s="24" t="s">
        <v>284</v>
      </c>
      <c r="K929" s="7" t="s">
        <v>221</v>
      </c>
      <c r="L929" s="9">
        <v>46129.583333333299</v>
      </c>
      <c r="M929" s="9">
        <v>46129.583333333299</v>
      </c>
      <c r="N929" s="15"/>
      <c r="O929" s="15"/>
      <c r="P929" s="15"/>
      <c r="Q929" s="15"/>
      <c r="R929" s="15"/>
    </row>
    <row r="930" spans="1:18" ht="20.25" customHeight="1">
      <c r="A930" s="36">
        <v>1431</v>
      </c>
      <c r="B930" s="28" t="s">
        <v>2086</v>
      </c>
      <c r="C930" s="24" t="s">
        <v>2087</v>
      </c>
      <c r="D930" s="34" t="s">
        <v>74</v>
      </c>
      <c r="E930" s="34" t="s">
        <v>202</v>
      </c>
      <c r="F930" s="34" t="s">
        <v>212</v>
      </c>
      <c r="G930" s="34" t="s">
        <v>1995</v>
      </c>
      <c r="H930" s="34" t="s">
        <v>480</v>
      </c>
      <c r="I930" s="35" t="s">
        <v>1996</v>
      </c>
      <c r="J930" s="24" t="s">
        <v>220</v>
      </c>
      <c r="K930" s="7" t="s">
        <v>208</v>
      </c>
      <c r="L930" s="9">
        <v>46132.583333333299</v>
      </c>
      <c r="M930" s="9"/>
      <c r="N930" s="15"/>
      <c r="O930" s="15"/>
      <c r="P930" s="15"/>
      <c r="Q930" s="15"/>
      <c r="R930" s="15"/>
    </row>
    <row r="931" spans="1:18" ht="20.25" customHeight="1">
      <c r="A931" s="36">
        <v>1432</v>
      </c>
      <c r="B931" s="28" t="s">
        <v>2088</v>
      </c>
      <c r="C931" s="24" t="s">
        <v>2089</v>
      </c>
      <c r="D931" s="34" t="s">
        <v>74</v>
      </c>
      <c r="E931" s="34" t="s">
        <v>202</v>
      </c>
      <c r="F931" s="34" t="s">
        <v>212</v>
      </c>
      <c r="G931" s="34" t="s">
        <v>108</v>
      </c>
      <c r="H931" s="34" t="s">
        <v>218</v>
      </c>
      <c r="I931" s="35" t="s">
        <v>2041</v>
      </c>
      <c r="J931" s="24" t="s">
        <v>1395</v>
      </c>
      <c r="K931" s="7" t="s">
        <v>221</v>
      </c>
      <c r="L931" s="9">
        <v>46135.583333333299</v>
      </c>
      <c r="M931" s="9">
        <v>46136.583333333299</v>
      </c>
      <c r="N931" s="15"/>
      <c r="O931" s="15"/>
      <c r="P931" s="15"/>
      <c r="Q931" s="15"/>
      <c r="R931" s="15"/>
    </row>
    <row r="932" spans="1:18" ht="20.25" customHeight="1">
      <c r="A932" s="36">
        <v>1433</v>
      </c>
      <c r="B932" s="28" t="s">
        <v>2090</v>
      </c>
      <c r="C932" s="24" t="s">
        <v>2091</v>
      </c>
      <c r="D932" s="34" t="s">
        <v>74</v>
      </c>
      <c r="E932" s="34" t="s">
        <v>202</v>
      </c>
      <c r="F932" s="34" t="s">
        <v>212</v>
      </c>
      <c r="G932" s="34" t="s">
        <v>108</v>
      </c>
      <c r="H932" s="34" t="s">
        <v>218</v>
      </c>
      <c r="I932" s="35" t="s">
        <v>2041</v>
      </c>
      <c r="J932" s="24" t="s">
        <v>1395</v>
      </c>
      <c r="K932" s="7" t="s">
        <v>208</v>
      </c>
      <c r="L932" s="9">
        <v>46133.583333333299</v>
      </c>
      <c r="M932" s="9"/>
      <c r="N932" s="15"/>
      <c r="O932" s="15"/>
      <c r="P932" s="15"/>
      <c r="Q932" s="15"/>
      <c r="R932" s="15"/>
    </row>
    <row r="933" spans="1:18" ht="20.25" customHeight="1">
      <c r="A933" s="36">
        <v>1434</v>
      </c>
      <c r="B933" s="28" t="s">
        <v>2092</v>
      </c>
      <c r="C933" s="24" t="s">
        <v>2093</v>
      </c>
      <c r="D933" s="34" t="s">
        <v>74</v>
      </c>
      <c r="E933" s="34" t="s">
        <v>78</v>
      </c>
      <c r="F933" s="34" t="s">
        <v>78</v>
      </c>
      <c r="G933" s="34" t="s">
        <v>78</v>
      </c>
      <c r="H933" s="34" t="s">
        <v>288</v>
      </c>
      <c r="I933" s="35" t="s">
        <v>85</v>
      </c>
      <c r="J933" s="24" t="s">
        <v>284</v>
      </c>
      <c r="K933" s="7" t="s">
        <v>208</v>
      </c>
      <c r="L933" s="9">
        <v>46139.583333333299</v>
      </c>
      <c r="M933" s="9"/>
      <c r="N933" s="15"/>
      <c r="O933" s="15"/>
      <c r="P933" s="15"/>
      <c r="Q933" s="15"/>
      <c r="R933" s="15"/>
    </row>
    <row r="934" spans="1:18" ht="20.25" customHeight="1">
      <c r="A934" s="36">
        <v>1435</v>
      </c>
      <c r="B934" s="28" t="s">
        <v>2094</v>
      </c>
      <c r="C934" s="24" t="s">
        <v>2095</v>
      </c>
      <c r="D934" s="34" t="s">
        <v>74</v>
      </c>
      <c r="E934" s="34" t="s">
        <v>202</v>
      </c>
      <c r="F934" s="34" t="s">
        <v>212</v>
      </c>
      <c r="G934" s="34" t="s">
        <v>1995</v>
      </c>
      <c r="H934" s="34" t="s">
        <v>2096</v>
      </c>
      <c r="I934" s="35" t="s">
        <v>2097</v>
      </c>
      <c r="J934" s="24" t="s">
        <v>215</v>
      </c>
      <c r="K934" s="7" t="s">
        <v>208</v>
      </c>
      <c r="L934" s="9">
        <v>46132.583333333299</v>
      </c>
      <c r="M934" s="9"/>
      <c r="N934" s="15"/>
      <c r="O934" s="15"/>
      <c r="P934" s="15"/>
      <c r="Q934" s="15"/>
      <c r="R934" s="15"/>
    </row>
    <row r="935" spans="1:18" ht="20.25" customHeight="1">
      <c r="A935" s="36">
        <v>1436</v>
      </c>
      <c r="B935" s="28" t="s">
        <v>2098</v>
      </c>
      <c r="C935" s="24" t="s">
        <v>2099</v>
      </c>
      <c r="D935" s="34" t="s">
        <v>74</v>
      </c>
      <c r="E935" s="34" t="s">
        <v>202</v>
      </c>
      <c r="F935" s="34" t="s">
        <v>212</v>
      </c>
      <c r="G935" s="34" t="s">
        <v>108</v>
      </c>
      <c r="H935" s="34" t="s">
        <v>218</v>
      </c>
      <c r="I935" s="35" t="s">
        <v>2041</v>
      </c>
      <c r="J935" s="24" t="s">
        <v>284</v>
      </c>
      <c r="K935" s="7" t="s">
        <v>221</v>
      </c>
      <c r="L935" s="9">
        <v>46139.583333333299</v>
      </c>
      <c r="M935" s="9">
        <v>46139.583333333299</v>
      </c>
      <c r="N935" s="15"/>
      <c r="O935" s="15"/>
      <c r="P935" s="15"/>
      <c r="Q935" s="15"/>
      <c r="R935" s="15"/>
    </row>
    <row r="936" spans="1:18" ht="20.25" customHeight="1">
      <c r="A936" s="36">
        <v>1437</v>
      </c>
      <c r="B936" s="28" t="s">
        <v>2100</v>
      </c>
      <c r="C936" s="24" t="s">
        <v>2101</v>
      </c>
      <c r="D936" s="34" t="s">
        <v>74</v>
      </c>
      <c r="E936" s="34" t="s">
        <v>202</v>
      </c>
      <c r="F936" s="34" t="s">
        <v>212</v>
      </c>
      <c r="G936" s="34" t="s">
        <v>108</v>
      </c>
      <c r="H936" s="34" t="s">
        <v>218</v>
      </c>
      <c r="I936" s="35" t="s">
        <v>2041</v>
      </c>
      <c r="J936" s="24" t="s">
        <v>1395</v>
      </c>
      <c r="K936" s="7" t="s">
        <v>208</v>
      </c>
      <c r="L936" s="9">
        <v>46140.583333333299</v>
      </c>
      <c r="M936" s="9"/>
      <c r="N936" s="15"/>
      <c r="O936" s="15"/>
      <c r="P936" s="15"/>
      <c r="Q936" s="15"/>
      <c r="R936" s="15"/>
    </row>
    <row r="937" spans="1:18" ht="20.25" customHeight="1">
      <c r="A937" s="36">
        <v>1438</v>
      </c>
      <c r="B937" s="28" t="s">
        <v>2102</v>
      </c>
      <c r="C937" s="24" t="s">
        <v>2103</v>
      </c>
      <c r="D937" s="34" t="s">
        <v>16</v>
      </c>
      <c r="E937" s="34" t="s">
        <v>211</v>
      </c>
      <c r="F937" s="34" t="s">
        <v>259</v>
      </c>
      <c r="G937" s="34" t="s">
        <v>25</v>
      </c>
      <c r="H937" s="34" t="s">
        <v>25</v>
      </c>
      <c r="I937" s="35" t="s">
        <v>2026</v>
      </c>
      <c r="J937" s="24" t="s">
        <v>471</v>
      </c>
      <c r="K937" s="7" t="s">
        <v>208</v>
      </c>
      <c r="L937" s="9">
        <v>46133.583333333299</v>
      </c>
      <c r="M937" s="9"/>
      <c r="N937" s="15"/>
      <c r="O937" s="15"/>
      <c r="P937" s="15"/>
      <c r="Q937" s="15"/>
      <c r="R937" s="15"/>
    </row>
    <row r="938" spans="1:18" ht="20.25" customHeight="1">
      <c r="A938" s="36">
        <v>1439</v>
      </c>
      <c r="B938" s="28" t="s">
        <v>2104</v>
      </c>
      <c r="C938" s="24" t="s">
        <v>2105</v>
      </c>
      <c r="D938" s="34" t="s">
        <v>74</v>
      </c>
      <c r="E938" s="34" t="s">
        <v>202</v>
      </c>
      <c r="F938" s="34" t="s">
        <v>212</v>
      </c>
      <c r="G938" s="34" t="s">
        <v>1995</v>
      </c>
      <c r="H938" s="34" t="s">
        <v>480</v>
      </c>
      <c r="I938" s="35" t="s">
        <v>1996</v>
      </c>
      <c r="J938" s="24" t="s">
        <v>215</v>
      </c>
      <c r="K938" s="7" t="s">
        <v>208</v>
      </c>
      <c r="L938" s="9">
        <v>46135.583333333299</v>
      </c>
      <c r="M938" s="9"/>
      <c r="N938" s="15"/>
      <c r="O938" s="15"/>
      <c r="P938" s="15"/>
      <c r="Q938" s="15"/>
      <c r="R938" s="15"/>
    </row>
    <row r="939" spans="1:18" ht="20.25" customHeight="1">
      <c r="A939" s="36">
        <v>1440</v>
      </c>
      <c r="B939" s="28" t="s">
        <v>2106</v>
      </c>
      <c r="C939" s="24" t="s">
        <v>2107</v>
      </c>
      <c r="D939" s="34" t="s">
        <v>16</v>
      </c>
      <c r="E939" s="34" t="s">
        <v>211</v>
      </c>
      <c r="F939" s="34" t="s">
        <v>212</v>
      </c>
      <c r="G939" s="34" t="s">
        <v>17</v>
      </c>
      <c r="H939" s="34" t="s">
        <v>240</v>
      </c>
      <c r="I939" s="35" t="s">
        <v>241</v>
      </c>
      <c r="J939" s="24" t="s">
        <v>220</v>
      </c>
      <c r="K939" s="7" t="s">
        <v>208</v>
      </c>
      <c r="L939" s="9">
        <v>46135.583333333299</v>
      </c>
      <c r="M939" s="9"/>
      <c r="N939" s="15"/>
      <c r="O939" s="15"/>
      <c r="P939" s="15"/>
      <c r="Q939" s="15"/>
      <c r="R939" s="15"/>
    </row>
    <row r="940" spans="1:18" ht="20.25" customHeight="1">
      <c r="A940" s="36">
        <v>1441</v>
      </c>
      <c r="B940" s="28" t="s">
        <v>2108</v>
      </c>
      <c r="C940" s="24" t="s">
        <v>2109</v>
      </c>
      <c r="D940" s="34" t="s">
        <v>16</v>
      </c>
      <c r="E940" s="34" t="s">
        <v>211</v>
      </c>
      <c r="F940" s="34" t="s">
        <v>212</v>
      </c>
      <c r="G940" s="34" t="s">
        <v>2110</v>
      </c>
      <c r="H940" s="34" t="s">
        <v>213</v>
      </c>
      <c r="I940" s="35" t="s">
        <v>44</v>
      </c>
      <c r="J940" s="24" t="s">
        <v>284</v>
      </c>
      <c r="K940" s="7" t="s">
        <v>208</v>
      </c>
      <c r="L940" s="9">
        <v>46140.583333333299</v>
      </c>
      <c r="M940" s="9"/>
      <c r="N940" s="15"/>
      <c r="O940" s="15"/>
      <c r="P940" s="15"/>
      <c r="Q940" s="15"/>
      <c r="R940" s="15"/>
    </row>
    <row r="941" spans="1:18" ht="20.25" customHeight="1">
      <c r="A941" s="36">
        <v>1442</v>
      </c>
      <c r="B941" s="28" t="s">
        <v>2111</v>
      </c>
      <c r="C941" s="24" t="s">
        <v>2112</v>
      </c>
      <c r="D941" s="34" t="s">
        <v>29</v>
      </c>
      <c r="E941" s="34" t="s">
        <v>203</v>
      </c>
      <c r="F941" s="34" t="s">
        <v>212</v>
      </c>
      <c r="G941" s="34" t="s">
        <v>39</v>
      </c>
      <c r="H941" s="34" t="s">
        <v>240</v>
      </c>
      <c r="I941" s="35" t="s">
        <v>28</v>
      </c>
      <c r="J941" s="24" t="s">
        <v>1395</v>
      </c>
      <c r="K941" s="7" t="s">
        <v>221</v>
      </c>
      <c r="L941" s="9">
        <v>46128.583333333299</v>
      </c>
      <c r="M941" s="9">
        <v>46130.583333333299</v>
      </c>
      <c r="N941" s="15"/>
      <c r="O941" s="15"/>
      <c r="P941" s="15"/>
      <c r="Q941" s="15"/>
      <c r="R941" s="15"/>
    </row>
    <row r="942" spans="1:18" ht="20.25" customHeight="1">
      <c r="A942" s="36">
        <v>1443</v>
      </c>
      <c r="B942" s="28" t="s">
        <v>2113</v>
      </c>
      <c r="C942" s="24" t="s">
        <v>660</v>
      </c>
      <c r="D942" s="34" t="s">
        <v>29</v>
      </c>
      <c r="E942" s="34" t="s">
        <v>203</v>
      </c>
      <c r="F942" s="34" t="s">
        <v>212</v>
      </c>
      <c r="G942" s="34" t="s">
        <v>39</v>
      </c>
      <c r="H942" s="34" t="s">
        <v>240</v>
      </c>
      <c r="I942" s="35" t="s">
        <v>28</v>
      </c>
      <c r="J942" s="24" t="s">
        <v>1395</v>
      </c>
      <c r="K942" s="7" t="s">
        <v>221</v>
      </c>
      <c r="L942" s="9">
        <v>46124.583333333299</v>
      </c>
      <c r="M942" s="9">
        <v>46125.583333333299</v>
      </c>
      <c r="N942" s="15"/>
      <c r="O942" s="15"/>
      <c r="P942" s="15"/>
      <c r="Q942" s="15"/>
      <c r="R942" s="15"/>
    </row>
    <row r="943" spans="1:18" ht="20.25" customHeight="1">
      <c r="A943" s="36">
        <v>1444</v>
      </c>
      <c r="B943" s="28" t="s">
        <v>2114</v>
      </c>
      <c r="C943" s="24" t="s">
        <v>2115</v>
      </c>
      <c r="D943" s="34" t="s">
        <v>74</v>
      </c>
      <c r="E943" s="34" t="s">
        <v>202</v>
      </c>
      <c r="F943" s="34" t="s">
        <v>212</v>
      </c>
      <c r="G943" s="34" t="s">
        <v>108</v>
      </c>
      <c r="H943" s="34" t="s">
        <v>218</v>
      </c>
      <c r="I943" s="35" t="s">
        <v>2041</v>
      </c>
      <c r="J943" s="24" t="s">
        <v>1395</v>
      </c>
      <c r="K943" s="7" t="s">
        <v>221</v>
      </c>
      <c r="L943" s="9">
        <v>46132.583333333299</v>
      </c>
      <c r="M943" s="9">
        <v>46135.583333333299</v>
      </c>
      <c r="N943" s="15"/>
      <c r="O943" s="15"/>
      <c r="P943" s="15"/>
      <c r="Q943" s="15"/>
      <c r="R943" s="15"/>
    </row>
    <row r="944" spans="1:18" ht="20.25" customHeight="1">
      <c r="A944" s="36">
        <v>1445</v>
      </c>
      <c r="B944" s="28" t="s">
        <v>2116</v>
      </c>
      <c r="C944" s="24" t="s">
        <v>2117</v>
      </c>
      <c r="D944" s="34" t="s">
        <v>29</v>
      </c>
      <c r="E944" s="34" t="s">
        <v>203</v>
      </c>
      <c r="F944" s="34" t="s">
        <v>212</v>
      </c>
      <c r="G944" s="34" t="s">
        <v>544</v>
      </c>
      <c r="H944" s="34" t="s">
        <v>240</v>
      </c>
      <c r="I944" s="35" t="s">
        <v>28</v>
      </c>
      <c r="J944" s="24" t="s">
        <v>1395</v>
      </c>
      <c r="K944" s="7" t="s">
        <v>221</v>
      </c>
      <c r="L944" s="9">
        <v>46150.583333333299</v>
      </c>
      <c r="M944" s="9">
        <v>46167.583333333299</v>
      </c>
      <c r="N944" s="15"/>
      <c r="O944" s="15"/>
      <c r="P944" s="15"/>
      <c r="Q944" s="15"/>
      <c r="R944" s="15"/>
    </row>
    <row r="945" spans="1:18" ht="20.25" customHeight="1">
      <c r="A945" s="36">
        <v>1446</v>
      </c>
      <c r="B945" s="28" t="s">
        <v>2118</v>
      </c>
      <c r="C945" s="24" t="s">
        <v>2119</v>
      </c>
      <c r="D945" s="34" t="s">
        <v>74</v>
      </c>
      <c r="E945" s="34" t="s">
        <v>202</v>
      </c>
      <c r="F945" s="34" t="s">
        <v>212</v>
      </c>
      <c r="G945" s="34" t="s">
        <v>95</v>
      </c>
      <c r="H945" s="34" t="s">
        <v>218</v>
      </c>
      <c r="I945" s="35" t="s">
        <v>2041</v>
      </c>
      <c r="J945" s="24" t="s">
        <v>1395</v>
      </c>
      <c r="K945" s="7" t="s">
        <v>208</v>
      </c>
      <c r="L945" s="9">
        <v>46150.583333333299</v>
      </c>
      <c r="M945" s="9"/>
      <c r="N945" s="15"/>
      <c r="O945" s="15"/>
      <c r="P945" s="15"/>
      <c r="Q945" s="15"/>
      <c r="R945" s="15"/>
    </row>
    <row r="946" spans="1:18" ht="20.25" customHeight="1">
      <c r="A946" s="36">
        <v>1447</v>
      </c>
      <c r="B946" s="28" t="s">
        <v>2120</v>
      </c>
      <c r="C946" s="24" t="s">
        <v>2121</v>
      </c>
      <c r="D946" s="34" t="s">
        <v>29</v>
      </c>
      <c r="E946" s="34" t="s">
        <v>203</v>
      </c>
      <c r="F946" s="34" t="s">
        <v>212</v>
      </c>
      <c r="G946" s="34" t="s">
        <v>544</v>
      </c>
      <c r="H946" s="34" t="s">
        <v>240</v>
      </c>
      <c r="I946" s="35" t="s">
        <v>28</v>
      </c>
      <c r="J946" s="24" t="s">
        <v>1395</v>
      </c>
      <c r="K946" s="7" t="s">
        <v>221</v>
      </c>
      <c r="L946" s="9">
        <v>46150.583333333299</v>
      </c>
      <c r="M946" s="9">
        <v>46172.583333333299</v>
      </c>
      <c r="N946" s="15"/>
      <c r="O946" s="15"/>
      <c r="P946" s="15"/>
      <c r="Q946" s="15"/>
      <c r="R946" s="15"/>
    </row>
    <row r="947" spans="1:18" ht="20.25" customHeight="1">
      <c r="A947" s="37">
        <v>1448</v>
      </c>
      <c r="B947" s="28" t="s">
        <v>2122</v>
      </c>
      <c r="C947" s="24" t="s">
        <v>2123</v>
      </c>
      <c r="D947" s="34" t="s">
        <v>16</v>
      </c>
      <c r="E947" s="34" t="s">
        <v>211</v>
      </c>
      <c r="F947" s="34" t="s">
        <v>212</v>
      </c>
      <c r="G947" s="34" t="s">
        <v>2110</v>
      </c>
      <c r="H947" s="34" t="s">
        <v>266</v>
      </c>
      <c r="I947" s="35" t="s">
        <v>2124</v>
      </c>
      <c r="J947" s="24" t="s">
        <v>284</v>
      </c>
      <c r="K947" s="7" t="s">
        <v>208</v>
      </c>
      <c r="L947" s="9">
        <v>46153.583333333299</v>
      </c>
      <c r="M947" s="9"/>
      <c r="N947" s="15"/>
      <c r="O947" s="15"/>
      <c r="P947" s="15"/>
      <c r="Q947" s="15"/>
      <c r="R947" s="15"/>
    </row>
    <row r="948" spans="1:18" ht="20.25" customHeight="1">
      <c r="A948" s="37">
        <v>1449</v>
      </c>
      <c r="B948" s="28" t="s">
        <v>2125</v>
      </c>
      <c r="C948" s="24" t="s">
        <v>2126</v>
      </c>
      <c r="D948" s="34" t="s">
        <v>74</v>
      </c>
      <c r="E948" s="34" t="s">
        <v>78</v>
      </c>
      <c r="F948" s="34" t="s">
        <v>78</v>
      </c>
      <c r="G948" s="34" t="s">
        <v>78</v>
      </c>
      <c r="H948" s="34" t="s">
        <v>266</v>
      </c>
      <c r="I948" s="35" t="s">
        <v>322</v>
      </c>
      <c r="J948" s="24" t="s">
        <v>284</v>
      </c>
      <c r="K948" s="7" t="s">
        <v>221</v>
      </c>
      <c r="L948" s="9">
        <v>46146.583333333299</v>
      </c>
      <c r="M948" s="9">
        <v>46206.583333333299</v>
      </c>
      <c r="N948" s="15"/>
      <c r="O948" s="15"/>
      <c r="P948" s="15"/>
      <c r="Q948" s="15"/>
      <c r="R948" s="15"/>
    </row>
    <row r="949" spans="1:18" ht="20.25" customHeight="1">
      <c r="A949" s="37">
        <v>1450</v>
      </c>
      <c r="B949" s="28" t="s">
        <v>2127</v>
      </c>
      <c r="C949" s="24" t="s">
        <v>2128</v>
      </c>
      <c r="D949" s="34" t="s">
        <v>74</v>
      </c>
      <c r="E949" s="34" t="s">
        <v>78</v>
      </c>
      <c r="F949" s="34" t="s">
        <v>78</v>
      </c>
      <c r="G949" s="34" t="s">
        <v>78</v>
      </c>
      <c r="H949" s="34" t="s">
        <v>536</v>
      </c>
      <c r="I949" s="35" t="s">
        <v>2129</v>
      </c>
      <c r="J949" s="24" t="s">
        <v>284</v>
      </c>
      <c r="K949" s="7" t="s">
        <v>208</v>
      </c>
      <c r="L949" s="9">
        <v>46146.583333333299</v>
      </c>
      <c r="M949" s="9"/>
      <c r="N949" s="15"/>
      <c r="O949" s="15"/>
      <c r="P949" s="15"/>
      <c r="Q949" s="15"/>
      <c r="R949" s="15"/>
    </row>
    <row r="950" spans="1:18" ht="20.25" customHeight="1">
      <c r="A950" s="37">
        <v>1451</v>
      </c>
      <c r="B950" s="28" t="s">
        <v>2130</v>
      </c>
      <c r="C950" s="24" t="s">
        <v>813</v>
      </c>
      <c r="D950" s="34" t="s">
        <v>74</v>
      </c>
      <c r="E950" s="34" t="s">
        <v>202</v>
      </c>
      <c r="F950" s="34" t="s">
        <v>212</v>
      </c>
      <c r="G950" s="34" t="s">
        <v>1995</v>
      </c>
      <c r="H950" s="34" t="s">
        <v>480</v>
      </c>
      <c r="I950" s="35" t="s">
        <v>2060</v>
      </c>
      <c r="J950" s="24" t="s">
        <v>284</v>
      </c>
      <c r="K950" s="7" t="s">
        <v>208</v>
      </c>
      <c r="L950" s="9">
        <v>46146.583333333299</v>
      </c>
      <c r="M950" s="9"/>
      <c r="N950" s="15"/>
      <c r="O950" s="15"/>
      <c r="P950" s="15"/>
      <c r="Q950" s="15"/>
      <c r="R950" s="15"/>
    </row>
    <row r="951" spans="1:18" ht="20.25" customHeight="1">
      <c r="A951" s="37">
        <v>1452</v>
      </c>
      <c r="B951" s="28" t="s">
        <v>2131</v>
      </c>
      <c r="C951" s="24" t="s">
        <v>1287</v>
      </c>
      <c r="D951" s="34" t="s">
        <v>74</v>
      </c>
      <c r="E951" s="34" t="s">
        <v>78</v>
      </c>
      <c r="F951" s="34" t="s">
        <v>78</v>
      </c>
      <c r="G951" s="34" t="s">
        <v>78</v>
      </c>
      <c r="H951" s="34" t="s">
        <v>288</v>
      </c>
      <c r="I951" s="35" t="s">
        <v>85</v>
      </c>
      <c r="J951" s="24" t="s">
        <v>284</v>
      </c>
      <c r="K951" s="7" t="s">
        <v>208</v>
      </c>
      <c r="L951" s="9">
        <v>46144.583333333299</v>
      </c>
      <c r="M951" s="9"/>
      <c r="N951" s="15"/>
      <c r="O951" s="15"/>
      <c r="P951" s="15"/>
      <c r="Q951" s="15"/>
      <c r="R951" s="15"/>
    </row>
    <row r="952" spans="1:18" ht="20.25" customHeight="1">
      <c r="A952" s="37">
        <v>1453</v>
      </c>
      <c r="B952" s="28" t="s">
        <v>2132</v>
      </c>
      <c r="C952" s="24" t="s">
        <v>2133</v>
      </c>
      <c r="D952" s="34" t="s">
        <v>74</v>
      </c>
      <c r="E952" s="34" t="s">
        <v>202</v>
      </c>
      <c r="F952" s="34" t="s">
        <v>212</v>
      </c>
      <c r="G952" s="34" t="s">
        <v>120</v>
      </c>
      <c r="H952" s="34" t="s">
        <v>218</v>
      </c>
      <c r="I952" s="35" t="s">
        <v>2041</v>
      </c>
      <c r="J952" s="24" t="s">
        <v>284</v>
      </c>
      <c r="K952" s="7" t="s">
        <v>208</v>
      </c>
      <c r="L952" s="9">
        <v>46146.583333333299</v>
      </c>
      <c r="M952" s="9"/>
      <c r="N952" s="15"/>
      <c r="O952" s="15"/>
      <c r="P952" s="15"/>
      <c r="Q952" s="15"/>
      <c r="R952" s="15"/>
    </row>
    <row r="953" spans="1:18" ht="20.25" customHeight="1">
      <c r="A953" s="37">
        <v>1454</v>
      </c>
      <c r="B953" s="28" t="s">
        <v>2134</v>
      </c>
      <c r="C953" s="24" t="s">
        <v>2135</v>
      </c>
      <c r="D953" s="34" t="s">
        <v>16</v>
      </c>
      <c r="E953" s="34" t="s">
        <v>211</v>
      </c>
      <c r="F953" s="34" t="s">
        <v>212</v>
      </c>
      <c r="G953" s="34" t="s">
        <v>17</v>
      </c>
      <c r="H953" s="34" t="s">
        <v>218</v>
      </c>
      <c r="I953" s="35" t="s">
        <v>61</v>
      </c>
      <c r="J953" s="24" t="s">
        <v>1395</v>
      </c>
      <c r="K953" s="7" t="s">
        <v>208</v>
      </c>
      <c r="L953" s="9">
        <v>46163.583333333299</v>
      </c>
      <c r="M953" s="9"/>
      <c r="N953" s="15"/>
      <c r="O953" s="15"/>
      <c r="P953" s="15"/>
      <c r="Q953" s="15"/>
      <c r="R953" s="15"/>
    </row>
    <row r="954" spans="1:18" ht="20.25" customHeight="1">
      <c r="A954" s="37">
        <v>1455</v>
      </c>
      <c r="B954" s="28" t="s">
        <v>2136</v>
      </c>
      <c r="C954" s="24" t="s">
        <v>2137</v>
      </c>
      <c r="D954" s="34" t="s">
        <v>74</v>
      </c>
      <c r="E954" s="34" t="s">
        <v>78</v>
      </c>
      <c r="F954" s="34" t="s">
        <v>78</v>
      </c>
      <c r="G954" s="34" t="s">
        <v>78</v>
      </c>
      <c r="H954" s="34" t="s">
        <v>536</v>
      </c>
      <c r="I954" s="35" t="s">
        <v>1138</v>
      </c>
      <c r="J954" s="24" t="s">
        <v>284</v>
      </c>
      <c r="K954" s="7" t="s">
        <v>221</v>
      </c>
      <c r="L954" s="9">
        <v>46146.583333333299</v>
      </c>
      <c r="M954" s="9">
        <v>46152.583333333299</v>
      </c>
      <c r="N954" s="15"/>
      <c r="O954" s="15"/>
      <c r="P954" s="15"/>
      <c r="Q954" s="15"/>
      <c r="R954" s="15"/>
    </row>
    <row r="955" spans="1:18" ht="20.25" customHeight="1">
      <c r="A955" s="37">
        <v>1456</v>
      </c>
      <c r="B955" s="28" t="s">
        <v>2138</v>
      </c>
      <c r="C955" s="24" t="s">
        <v>1762</v>
      </c>
      <c r="D955" s="34" t="s">
        <v>29</v>
      </c>
      <c r="E955" s="34" t="s">
        <v>203</v>
      </c>
      <c r="F955" s="34" t="s">
        <v>212</v>
      </c>
      <c r="G955" s="34" t="s">
        <v>39</v>
      </c>
      <c r="H955" s="34" t="s">
        <v>240</v>
      </c>
      <c r="I955" s="35" t="s">
        <v>28</v>
      </c>
      <c r="J955" s="24" t="s">
        <v>1395</v>
      </c>
      <c r="K955" s="7" t="s">
        <v>221</v>
      </c>
      <c r="L955" s="9">
        <v>46144.583333333299</v>
      </c>
      <c r="M955" s="9">
        <v>46180.583333333299</v>
      </c>
      <c r="N955" s="15"/>
      <c r="O955" s="15"/>
      <c r="P955" s="15"/>
      <c r="Q955" s="15"/>
      <c r="R955" s="15"/>
    </row>
    <row r="956" spans="1:18" ht="20.25" customHeight="1">
      <c r="A956" s="37">
        <v>1457</v>
      </c>
      <c r="B956" s="28" t="s">
        <v>2139</v>
      </c>
      <c r="C956" s="24" t="s">
        <v>2140</v>
      </c>
      <c r="D956" s="34" t="s">
        <v>74</v>
      </c>
      <c r="E956" s="34" t="s">
        <v>78</v>
      </c>
      <c r="F956" s="34" t="s">
        <v>78</v>
      </c>
      <c r="G956" s="34" t="s">
        <v>78</v>
      </c>
      <c r="H956" s="34" t="s">
        <v>536</v>
      </c>
      <c r="I956" s="35" t="s">
        <v>1138</v>
      </c>
      <c r="J956" s="24" t="s">
        <v>284</v>
      </c>
      <c r="K956" s="7" t="s">
        <v>208</v>
      </c>
      <c r="L956" s="9">
        <v>46146.583333333299</v>
      </c>
      <c r="M956" s="9"/>
      <c r="N956" s="15"/>
      <c r="O956" s="15"/>
      <c r="P956" s="15"/>
      <c r="Q956" s="15"/>
      <c r="R956" s="15"/>
    </row>
    <row r="957" spans="1:18" ht="20.25" customHeight="1">
      <c r="A957" s="37">
        <v>1458</v>
      </c>
      <c r="B957" s="28" t="s">
        <v>2141</v>
      </c>
      <c r="C957" s="24" t="s">
        <v>2142</v>
      </c>
      <c r="D957" s="34" t="s">
        <v>16</v>
      </c>
      <c r="E957" s="34" t="s">
        <v>211</v>
      </c>
      <c r="F957" s="34" t="s">
        <v>259</v>
      </c>
      <c r="G957" s="34" t="s">
        <v>1281</v>
      </c>
      <c r="H957" s="34" t="s">
        <v>1281</v>
      </c>
      <c r="I957" s="35" t="s">
        <v>1123</v>
      </c>
      <c r="J957" s="24" t="s">
        <v>284</v>
      </c>
      <c r="K957" s="7" t="s">
        <v>208</v>
      </c>
      <c r="L957" s="9">
        <v>46146.583333333299</v>
      </c>
      <c r="M957" s="9"/>
      <c r="N957" s="15"/>
      <c r="O957" s="15"/>
      <c r="P957" s="15"/>
      <c r="Q957" s="15"/>
      <c r="R957" s="15"/>
    </row>
    <row r="958" spans="1:18" ht="20.25" customHeight="1">
      <c r="A958" s="37">
        <v>1459</v>
      </c>
      <c r="B958" s="28" t="s">
        <v>2143</v>
      </c>
      <c r="C958" s="24" t="s">
        <v>2144</v>
      </c>
      <c r="D958" s="34" t="s">
        <v>29</v>
      </c>
      <c r="E958" s="34" t="s">
        <v>203</v>
      </c>
      <c r="F958" s="34" t="s">
        <v>212</v>
      </c>
      <c r="G958" s="34" t="s">
        <v>39</v>
      </c>
      <c r="H958" s="34" t="s">
        <v>240</v>
      </c>
      <c r="I958" s="35" t="s">
        <v>28</v>
      </c>
      <c r="J958" s="24" t="s">
        <v>1395</v>
      </c>
      <c r="K958" s="7" t="s">
        <v>221</v>
      </c>
      <c r="L958" s="9">
        <v>46148.583333333299</v>
      </c>
      <c r="M958" s="9">
        <v>46153.583333333299</v>
      </c>
      <c r="N958" s="15"/>
      <c r="O958" s="15"/>
      <c r="P958" s="15"/>
      <c r="Q958" s="15"/>
      <c r="R958" s="15"/>
    </row>
    <row r="959" spans="1:18" ht="20.25" customHeight="1">
      <c r="A959" s="37">
        <v>1460</v>
      </c>
      <c r="B959" s="28" t="s">
        <v>2145</v>
      </c>
      <c r="C959" s="24" t="s">
        <v>2146</v>
      </c>
      <c r="D959" s="34" t="s">
        <v>74</v>
      </c>
      <c r="E959" s="34" t="s">
        <v>202</v>
      </c>
      <c r="F959" s="34" t="s">
        <v>212</v>
      </c>
      <c r="G959" s="34" t="s">
        <v>108</v>
      </c>
      <c r="H959" s="34" t="s">
        <v>218</v>
      </c>
      <c r="I959" s="35" t="s">
        <v>2041</v>
      </c>
      <c r="J959" s="24" t="s">
        <v>284</v>
      </c>
      <c r="K959" s="7" t="s">
        <v>208</v>
      </c>
      <c r="L959" s="9">
        <v>46150.583333333299</v>
      </c>
      <c r="M959" s="9"/>
      <c r="N959" s="15"/>
      <c r="O959" s="15"/>
      <c r="P959" s="15"/>
      <c r="Q959" s="15"/>
      <c r="R959" s="15"/>
    </row>
    <row r="960" spans="1:18" ht="20.25" customHeight="1">
      <c r="A960" s="37">
        <v>1461</v>
      </c>
      <c r="B960" s="28" t="s">
        <v>2147</v>
      </c>
      <c r="C960" s="24" t="s">
        <v>2148</v>
      </c>
      <c r="D960" s="34" t="s">
        <v>74</v>
      </c>
      <c r="E960" s="34" t="s">
        <v>202</v>
      </c>
      <c r="F960" s="34" t="s">
        <v>212</v>
      </c>
      <c r="G960" s="34" t="s">
        <v>108</v>
      </c>
      <c r="H960" s="34" t="s">
        <v>218</v>
      </c>
      <c r="I960" s="35" t="s">
        <v>2041</v>
      </c>
      <c r="J960" s="24" t="s">
        <v>1395</v>
      </c>
      <c r="K960" s="7" t="s">
        <v>208</v>
      </c>
      <c r="L960" s="9">
        <v>46150.583333333299</v>
      </c>
      <c r="M960" s="9"/>
      <c r="N960" s="15"/>
      <c r="O960" s="15"/>
      <c r="P960" s="15"/>
      <c r="Q960" s="15"/>
      <c r="R960" s="15"/>
    </row>
    <row r="961" spans="1:18" ht="20.25" customHeight="1">
      <c r="A961" s="37">
        <v>1462</v>
      </c>
      <c r="B961" s="28" t="s">
        <v>2149</v>
      </c>
      <c r="C961" s="24" t="s">
        <v>2150</v>
      </c>
      <c r="D961" s="34" t="s">
        <v>29</v>
      </c>
      <c r="E961" s="34" t="s">
        <v>203</v>
      </c>
      <c r="F961" s="34" t="s">
        <v>212</v>
      </c>
      <c r="G961" s="34" t="s">
        <v>544</v>
      </c>
      <c r="H961" s="34" t="s">
        <v>240</v>
      </c>
      <c r="I961" s="35" t="s">
        <v>28</v>
      </c>
      <c r="J961" s="24" t="s">
        <v>1395</v>
      </c>
      <c r="K961" s="7" t="s">
        <v>208</v>
      </c>
      <c r="L961" s="9">
        <v>46167.583333333299</v>
      </c>
      <c r="M961" s="9"/>
      <c r="N961" s="15"/>
      <c r="O961" s="15"/>
      <c r="P961" s="15"/>
      <c r="Q961" s="15"/>
      <c r="R961" s="15"/>
    </row>
    <row r="962" spans="1:18" ht="20.25" customHeight="1">
      <c r="A962" s="37">
        <v>1463</v>
      </c>
      <c r="B962" s="28" t="s">
        <v>2151</v>
      </c>
      <c r="C962" s="24" t="s">
        <v>2152</v>
      </c>
      <c r="D962" s="34" t="s">
        <v>16</v>
      </c>
      <c r="E962" s="34" t="s">
        <v>211</v>
      </c>
      <c r="F962" s="34" t="s">
        <v>212</v>
      </c>
      <c r="G962" s="34" t="s">
        <v>2110</v>
      </c>
      <c r="H962" s="34" t="s">
        <v>213</v>
      </c>
      <c r="I962" s="35" t="s">
        <v>2153</v>
      </c>
      <c r="J962" s="24" t="s">
        <v>284</v>
      </c>
      <c r="K962" s="7" t="s">
        <v>221</v>
      </c>
      <c r="L962" s="9">
        <v>46154.583333333299</v>
      </c>
      <c r="M962" s="9">
        <v>46149.583333333299</v>
      </c>
      <c r="N962" s="15"/>
      <c r="O962" s="15"/>
      <c r="P962" s="15"/>
      <c r="Q962" s="15"/>
      <c r="R962" s="15"/>
    </row>
    <row r="963" spans="1:18" ht="20.25" customHeight="1">
      <c r="A963" s="37">
        <v>1464</v>
      </c>
      <c r="B963" s="28" t="s">
        <v>2154</v>
      </c>
      <c r="C963" s="24" t="s">
        <v>2155</v>
      </c>
      <c r="D963" s="34" t="s">
        <v>16</v>
      </c>
      <c r="E963" s="34" t="s">
        <v>211</v>
      </c>
      <c r="F963" s="34" t="s">
        <v>212</v>
      </c>
      <c r="G963" s="34" t="s">
        <v>17</v>
      </c>
      <c r="H963" s="34" t="s">
        <v>218</v>
      </c>
      <c r="I963" s="35" t="s">
        <v>61</v>
      </c>
      <c r="J963" s="24" t="s">
        <v>1395</v>
      </c>
      <c r="K963" s="7" t="s">
        <v>208</v>
      </c>
      <c r="L963" s="9">
        <v>46167.583333333299</v>
      </c>
      <c r="M963" s="9"/>
      <c r="N963" s="15"/>
      <c r="O963" s="15"/>
      <c r="P963" s="15"/>
      <c r="Q963" s="15"/>
      <c r="R963" s="15"/>
    </row>
    <row r="964" spans="1:18" ht="20.25" customHeight="1">
      <c r="A964" s="37">
        <v>1465</v>
      </c>
      <c r="B964" s="28" t="s">
        <v>2156</v>
      </c>
      <c r="C964" s="24" t="s">
        <v>2157</v>
      </c>
      <c r="D964" s="34" t="s">
        <v>16</v>
      </c>
      <c r="E964" s="34" t="s">
        <v>211</v>
      </c>
      <c r="F964" s="34" t="s">
        <v>212</v>
      </c>
      <c r="G964" s="34" t="s">
        <v>17</v>
      </c>
      <c r="H964" s="34" t="s">
        <v>240</v>
      </c>
      <c r="I964" s="35" t="s">
        <v>241</v>
      </c>
      <c r="J964" s="24" t="s">
        <v>1395</v>
      </c>
      <c r="K964" s="7" t="s">
        <v>208</v>
      </c>
      <c r="L964" s="9">
        <v>46153.583333333299</v>
      </c>
      <c r="M964" s="9"/>
      <c r="N964" s="15"/>
      <c r="O964" s="15"/>
      <c r="P964" s="15"/>
      <c r="Q964" s="15"/>
      <c r="R964" s="15"/>
    </row>
    <row r="965" spans="1:18" ht="20.25" customHeight="1">
      <c r="A965" s="37">
        <v>1466</v>
      </c>
      <c r="B965" s="28" t="s">
        <v>2158</v>
      </c>
      <c r="C965" s="24" t="s">
        <v>2159</v>
      </c>
      <c r="D965" s="34" t="s">
        <v>29</v>
      </c>
      <c r="E965" s="34" t="s">
        <v>203</v>
      </c>
      <c r="F965" s="34" t="s">
        <v>212</v>
      </c>
      <c r="G965" s="34" t="s">
        <v>39</v>
      </c>
      <c r="H965" s="34" t="s">
        <v>266</v>
      </c>
      <c r="I965" s="35" t="s">
        <v>319</v>
      </c>
      <c r="J965" s="24" t="s">
        <v>284</v>
      </c>
      <c r="K965" s="7" t="s">
        <v>208</v>
      </c>
      <c r="L965" s="9">
        <v>46153.583333333299</v>
      </c>
      <c r="M965" s="9"/>
      <c r="N965" s="15"/>
      <c r="O965" s="15"/>
      <c r="P965" s="15"/>
      <c r="Q965" s="15"/>
      <c r="R965" s="15"/>
    </row>
    <row r="966" spans="1:18" ht="20.25" customHeight="1">
      <c r="A966" s="37">
        <v>1467</v>
      </c>
      <c r="B966" s="28" t="s">
        <v>2160</v>
      </c>
      <c r="C966" s="24" t="s">
        <v>2161</v>
      </c>
      <c r="D966" s="34" t="s">
        <v>29</v>
      </c>
      <c r="E966" s="34" t="s">
        <v>203</v>
      </c>
      <c r="F966" s="34" t="s">
        <v>212</v>
      </c>
      <c r="G966" s="34" t="s">
        <v>544</v>
      </c>
      <c r="H966" s="34" t="s">
        <v>266</v>
      </c>
      <c r="I966" s="35" t="s">
        <v>15</v>
      </c>
      <c r="J966" s="24" t="s">
        <v>284</v>
      </c>
      <c r="K966" s="7" t="s">
        <v>221</v>
      </c>
      <c r="L966" s="9">
        <v>46153.583333333299</v>
      </c>
      <c r="M966" s="9">
        <v>46161.583333333299</v>
      </c>
      <c r="N966" s="15"/>
      <c r="O966" s="15"/>
      <c r="P966" s="15"/>
      <c r="Q966" s="15"/>
      <c r="R966" s="15"/>
    </row>
    <row r="967" spans="1:18" ht="20.25" customHeight="1">
      <c r="A967" s="37">
        <v>1468</v>
      </c>
      <c r="B967" s="28" t="s">
        <v>2162</v>
      </c>
      <c r="C967" s="24" t="s">
        <v>483</v>
      </c>
      <c r="D967" s="34" t="s">
        <v>16</v>
      </c>
      <c r="E967" s="34" t="s">
        <v>211</v>
      </c>
      <c r="F967" s="34" t="s">
        <v>259</v>
      </c>
      <c r="G967" s="34" t="s">
        <v>101</v>
      </c>
      <c r="H967" s="34" t="s">
        <v>101</v>
      </c>
      <c r="I967" s="35" t="s">
        <v>100</v>
      </c>
      <c r="J967" s="24" t="s">
        <v>1395</v>
      </c>
      <c r="K967" s="7" t="s">
        <v>208</v>
      </c>
      <c r="L967" s="9">
        <v>46153.583333333299</v>
      </c>
      <c r="M967" s="9"/>
      <c r="N967" s="15"/>
      <c r="O967" s="15"/>
      <c r="P967" s="15"/>
      <c r="Q967" s="15"/>
      <c r="R967" s="15"/>
    </row>
    <row r="968" spans="1:18" ht="20.25" customHeight="1">
      <c r="A968" s="37">
        <v>1469</v>
      </c>
      <c r="B968" s="28" t="s">
        <v>2163</v>
      </c>
      <c r="C968" s="24" t="s">
        <v>2164</v>
      </c>
      <c r="D968" s="34" t="s">
        <v>29</v>
      </c>
      <c r="E968" s="34" t="s">
        <v>203</v>
      </c>
      <c r="F968" s="34" t="s">
        <v>212</v>
      </c>
      <c r="G968" s="34" t="s">
        <v>30</v>
      </c>
      <c r="H968" s="34" t="s">
        <v>240</v>
      </c>
      <c r="I968" s="35" t="s">
        <v>28</v>
      </c>
      <c r="J968" s="24" t="s">
        <v>1395</v>
      </c>
      <c r="K968" s="7" t="s">
        <v>208</v>
      </c>
      <c r="L968" s="9">
        <v>46155.583333333299</v>
      </c>
      <c r="M968" s="9"/>
      <c r="N968" s="15"/>
      <c r="O968" s="15"/>
      <c r="P968" s="15"/>
      <c r="Q968" s="15"/>
      <c r="R968" s="15"/>
    </row>
    <row r="969" spans="1:18" ht="20.25" customHeight="1">
      <c r="A969" s="36">
        <v>1470</v>
      </c>
      <c r="B969" s="28" t="s">
        <v>2165</v>
      </c>
      <c r="C969" s="24" t="s">
        <v>2166</v>
      </c>
      <c r="D969" s="34" t="s">
        <v>29</v>
      </c>
      <c r="E969" s="34" t="s">
        <v>203</v>
      </c>
      <c r="F969" s="34" t="s">
        <v>212</v>
      </c>
      <c r="G969" s="34" t="s">
        <v>1257</v>
      </c>
      <c r="H969" s="34" t="s">
        <v>240</v>
      </c>
      <c r="I969" s="35" t="s">
        <v>28</v>
      </c>
      <c r="J969" s="24" t="s">
        <v>284</v>
      </c>
      <c r="K969" s="7" t="s">
        <v>221</v>
      </c>
      <c r="L969" s="9">
        <v>46156.583333333299</v>
      </c>
      <c r="M969" s="9">
        <v>46178.583333333299</v>
      </c>
      <c r="N969" s="15"/>
      <c r="O969" s="15"/>
      <c r="P969" s="15"/>
      <c r="Q969" s="15"/>
      <c r="R969" s="15"/>
    </row>
    <row r="970" spans="1:18" ht="20.25" customHeight="1">
      <c r="A970" s="36">
        <v>1471</v>
      </c>
      <c r="B970" s="28" t="s">
        <v>2167</v>
      </c>
      <c r="C970" s="24" t="s">
        <v>2168</v>
      </c>
      <c r="D970" s="34" t="s">
        <v>74</v>
      </c>
      <c r="E970" s="34" t="s">
        <v>202</v>
      </c>
      <c r="F970" s="34" t="s">
        <v>212</v>
      </c>
      <c r="G970" s="34" t="s">
        <v>108</v>
      </c>
      <c r="H970" s="34" t="s">
        <v>218</v>
      </c>
      <c r="I970" s="35" t="s">
        <v>2041</v>
      </c>
      <c r="J970" s="24" t="s">
        <v>284</v>
      </c>
      <c r="K970" s="7" t="s">
        <v>221</v>
      </c>
      <c r="L970" s="9">
        <v>46153.583333333299</v>
      </c>
      <c r="M970" s="9">
        <v>46203.583333333299</v>
      </c>
      <c r="N970" s="15"/>
      <c r="O970" s="15"/>
      <c r="P970" s="15"/>
      <c r="Q970" s="15"/>
      <c r="R970" s="15"/>
    </row>
    <row r="971" spans="1:18" ht="20.25" customHeight="1">
      <c r="A971" s="36">
        <v>1472</v>
      </c>
      <c r="B971" s="28" t="s">
        <v>2169</v>
      </c>
      <c r="C971" s="24" t="s">
        <v>2170</v>
      </c>
      <c r="D971" s="34" t="s">
        <v>74</v>
      </c>
      <c r="E971" s="34" t="s">
        <v>78</v>
      </c>
      <c r="F971" s="34" t="s">
        <v>78</v>
      </c>
      <c r="G971" s="34" t="s">
        <v>78</v>
      </c>
      <c r="H971" s="34" t="s">
        <v>288</v>
      </c>
      <c r="I971" s="35" t="s">
        <v>85</v>
      </c>
      <c r="J971" s="24" t="s">
        <v>1395</v>
      </c>
      <c r="K971" s="7" t="s">
        <v>208</v>
      </c>
      <c r="L971" s="9">
        <v>46159.583333333299</v>
      </c>
      <c r="M971" s="9"/>
      <c r="N971" s="15"/>
      <c r="O971" s="15"/>
      <c r="P971" s="15"/>
      <c r="Q971" s="15"/>
      <c r="R971" s="15"/>
    </row>
    <row r="972" spans="1:18" ht="20.25" customHeight="1">
      <c r="A972" s="36">
        <v>1473</v>
      </c>
      <c r="B972" s="28" t="s">
        <v>2171</v>
      </c>
      <c r="C972" s="24" t="s">
        <v>2172</v>
      </c>
      <c r="D972" s="34" t="s">
        <v>29</v>
      </c>
      <c r="E972" s="34" t="s">
        <v>203</v>
      </c>
      <c r="F972" s="34" t="s">
        <v>212</v>
      </c>
      <c r="G972" s="34" t="s">
        <v>39</v>
      </c>
      <c r="H972" s="34" t="s">
        <v>240</v>
      </c>
      <c r="I972" s="35" t="s">
        <v>28</v>
      </c>
      <c r="J972" s="24" t="s">
        <v>1395</v>
      </c>
      <c r="K972" s="7" t="s">
        <v>208</v>
      </c>
      <c r="L972" s="9">
        <v>46162.583333333299</v>
      </c>
      <c r="M972" s="9"/>
      <c r="N972" s="15"/>
      <c r="O972" s="15"/>
      <c r="P972" s="15"/>
      <c r="Q972" s="15"/>
      <c r="R972" s="15"/>
    </row>
    <row r="973" spans="1:18" ht="20.25" customHeight="1">
      <c r="A973" s="36">
        <v>1474</v>
      </c>
      <c r="B973" s="28" t="s">
        <v>2173</v>
      </c>
      <c r="C973" s="24" t="s">
        <v>2057</v>
      </c>
      <c r="D973" s="34" t="s">
        <v>16</v>
      </c>
      <c r="E973" s="34" t="s">
        <v>211</v>
      </c>
      <c r="F973" s="34" t="s">
        <v>259</v>
      </c>
      <c r="G973" s="34" t="s">
        <v>101</v>
      </c>
      <c r="H973" s="34" t="s">
        <v>101</v>
      </c>
      <c r="I973" s="35" t="s">
        <v>100</v>
      </c>
      <c r="J973" s="24" t="s">
        <v>1395</v>
      </c>
      <c r="K973" s="7" t="s">
        <v>221</v>
      </c>
      <c r="L973" s="9">
        <v>46161.583333333299</v>
      </c>
      <c r="M973" s="9">
        <v>46171.583333333299</v>
      </c>
      <c r="N973" s="15"/>
      <c r="O973" s="15"/>
      <c r="P973" s="15"/>
      <c r="Q973" s="15"/>
      <c r="R973" s="15"/>
    </row>
    <row r="974" spans="1:18" ht="20.25" customHeight="1">
      <c r="A974" s="36">
        <v>1475</v>
      </c>
      <c r="B974" s="28" t="s">
        <v>2174</v>
      </c>
      <c r="C974" s="24" t="s">
        <v>2175</v>
      </c>
      <c r="D974" s="34" t="s">
        <v>16</v>
      </c>
      <c r="E974" s="34" t="s">
        <v>399</v>
      </c>
      <c r="F974" s="34" t="s">
        <v>259</v>
      </c>
      <c r="G974" s="34" t="s">
        <v>404</v>
      </c>
      <c r="H974" s="34" t="s">
        <v>404</v>
      </c>
      <c r="I974" s="35" t="s">
        <v>453</v>
      </c>
      <c r="J974" s="24" t="s">
        <v>284</v>
      </c>
      <c r="K974" s="7" t="s">
        <v>208</v>
      </c>
      <c r="L974" s="9">
        <v>46161.583333333299</v>
      </c>
      <c r="M974" s="9"/>
      <c r="N974" s="15"/>
      <c r="O974" s="15"/>
      <c r="P974" s="15"/>
      <c r="Q974" s="15"/>
      <c r="R974" s="15"/>
    </row>
    <row r="975" spans="1:18" ht="20.25" customHeight="1">
      <c r="A975" s="36">
        <v>1476</v>
      </c>
      <c r="B975" s="28" t="s">
        <v>2176</v>
      </c>
      <c r="C975" s="24" t="s">
        <v>2177</v>
      </c>
      <c r="D975" s="34" t="s">
        <v>74</v>
      </c>
      <c r="E975" s="34" t="s">
        <v>78</v>
      </c>
      <c r="F975" s="34" t="s">
        <v>78</v>
      </c>
      <c r="G975" s="34" t="s">
        <v>78</v>
      </c>
      <c r="H975" s="34" t="s">
        <v>288</v>
      </c>
      <c r="I975" s="35" t="s">
        <v>85</v>
      </c>
      <c r="J975" s="24" t="s">
        <v>284</v>
      </c>
      <c r="K975" s="7" t="s">
        <v>208</v>
      </c>
      <c r="L975" s="9">
        <v>46160.583333333299</v>
      </c>
      <c r="M975" s="9"/>
      <c r="N975" s="15"/>
      <c r="O975" s="15"/>
      <c r="P975" s="15"/>
      <c r="Q975" s="15"/>
      <c r="R975" s="15"/>
    </row>
    <row r="976" spans="1:18" ht="20.25" customHeight="1">
      <c r="A976" s="36">
        <v>1477</v>
      </c>
      <c r="B976" s="28" t="s">
        <v>2178</v>
      </c>
      <c r="C976" s="24" t="s">
        <v>2179</v>
      </c>
      <c r="D976" s="34" t="s">
        <v>74</v>
      </c>
      <c r="E976" s="34" t="s">
        <v>202</v>
      </c>
      <c r="F976" s="34" t="s">
        <v>212</v>
      </c>
      <c r="G976" s="34" t="s">
        <v>120</v>
      </c>
      <c r="H976" s="34" t="s">
        <v>218</v>
      </c>
      <c r="I976" s="35" t="s">
        <v>2041</v>
      </c>
      <c r="J976" s="24" t="s">
        <v>1395</v>
      </c>
      <c r="K976" s="7" t="s">
        <v>208</v>
      </c>
      <c r="L976" s="9">
        <v>46163.583333333299</v>
      </c>
      <c r="M976" s="9"/>
      <c r="N976" s="15"/>
      <c r="O976" s="15"/>
      <c r="P976" s="15"/>
      <c r="Q976" s="15"/>
      <c r="R976" s="15"/>
    </row>
    <row r="977" spans="1:18" ht="20.25" customHeight="1">
      <c r="A977" s="36">
        <v>1478</v>
      </c>
      <c r="B977" s="28" t="s">
        <v>2180</v>
      </c>
      <c r="C977" s="24" t="s">
        <v>2181</v>
      </c>
      <c r="D977" s="34" t="s">
        <v>29</v>
      </c>
      <c r="E977" s="34" t="s">
        <v>203</v>
      </c>
      <c r="F977" s="34" t="s">
        <v>212</v>
      </c>
      <c r="G977" s="34" t="s">
        <v>39</v>
      </c>
      <c r="H977" s="34" t="s">
        <v>240</v>
      </c>
      <c r="I977" s="35" t="s">
        <v>28</v>
      </c>
      <c r="J977" s="24" t="s">
        <v>1395</v>
      </c>
      <c r="K977" s="7" t="s">
        <v>208</v>
      </c>
      <c r="L977" s="9">
        <v>46162.583333333299</v>
      </c>
      <c r="M977" s="9"/>
      <c r="N977" s="15"/>
      <c r="O977" s="15"/>
      <c r="P977" s="15"/>
      <c r="Q977" s="15"/>
      <c r="R977" s="15"/>
    </row>
    <row r="978" spans="1:18" ht="20.25" customHeight="1">
      <c r="A978" s="36">
        <v>1479</v>
      </c>
      <c r="B978" s="28" t="s">
        <v>2182</v>
      </c>
      <c r="C978" s="24" t="s">
        <v>2183</v>
      </c>
      <c r="D978" s="34" t="s">
        <v>29</v>
      </c>
      <c r="E978" s="34" t="s">
        <v>203</v>
      </c>
      <c r="F978" s="34" t="s">
        <v>212</v>
      </c>
      <c r="G978" s="34" t="s">
        <v>39</v>
      </c>
      <c r="H978" s="34" t="s">
        <v>240</v>
      </c>
      <c r="I978" s="35" t="s">
        <v>28</v>
      </c>
      <c r="J978" s="24" t="s">
        <v>1395</v>
      </c>
      <c r="K978" s="7" t="s">
        <v>208</v>
      </c>
      <c r="L978" s="9">
        <v>46163.583333333299</v>
      </c>
      <c r="M978" s="9"/>
      <c r="N978" s="15"/>
      <c r="O978" s="15"/>
      <c r="P978" s="15"/>
      <c r="Q978" s="15"/>
      <c r="R978" s="15"/>
    </row>
    <row r="979" spans="1:18" ht="20.25" customHeight="1">
      <c r="A979" s="36">
        <v>1480</v>
      </c>
      <c r="B979" s="28" t="s">
        <v>2184</v>
      </c>
      <c r="C979" s="24" t="s">
        <v>2185</v>
      </c>
      <c r="D979" s="34" t="s">
        <v>74</v>
      </c>
      <c r="E979" s="34" t="s">
        <v>202</v>
      </c>
      <c r="F979" s="34" t="s">
        <v>212</v>
      </c>
      <c r="G979" s="34" t="s">
        <v>120</v>
      </c>
      <c r="H979" s="34" t="s">
        <v>218</v>
      </c>
      <c r="I979" s="35" t="s">
        <v>2041</v>
      </c>
      <c r="J979" s="24" t="s">
        <v>1395</v>
      </c>
      <c r="K979" s="7" t="s">
        <v>208</v>
      </c>
      <c r="L979" s="9">
        <v>46163.583333333299</v>
      </c>
      <c r="M979" s="9"/>
      <c r="N979" s="15"/>
      <c r="O979" s="15"/>
      <c r="P979" s="15"/>
      <c r="Q979" s="15"/>
      <c r="R979" s="15"/>
    </row>
    <row r="980" spans="1:18" ht="20.25" customHeight="1">
      <c r="A980" s="36">
        <v>1481</v>
      </c>
      <c r="B980" s="28" t="s">
        <v>2186</v>
      </c>
      <c r="C980" s="24" t="s">
        <v>2187</v>
      </c>
      <c r="D980" s="34" t="s">
        <v>29</v>
      </c>
      <c r="E980" s="34" t="s">
        <v>203</v>
      </c>
      <c r="F980" s="34" t="s">
        <v>212</v>
      </c>
      <c r="G980" s="34" t="s">
        <v>544</v>
      </c>
      <c r="H980" s="34" t="s">
        <v>240</v>
      </c>
      <c r="I980" s="35" t="s">
        <v>28</v>
      </c>
      <c r="J980" s="24" t="s">
        <v>1395</v>
      </c>
      <c r="K980" s="7" t="s">
        <v>221</v>
      </c>
      <c r="L980" s="9">
        <v>46161.583333333299</v>
      </c>
      <c r="M980" s="9">
        <v>46167.583333333299</v>
      </c>
      <c r="N980" s="15"/>
      <c r="O980" s="15"/>
      <c r="P980" s="15"/>
      <c r="Q980" s="15"/>
      <c r="R980" s="15"/>
    </row>
    <row r="981" spans="1:18" ht="20.25" customHeight="1">
      <c r="A981" s="36">
        <v>1482</v>
      </c>
      <c r="B981" s="28" t="s">
        <v>2188</v>
      </c>
      <c r="C981" s="24" t="s">
        <v>2189</v>
      </c>
      <c r="D981" s="34" t="s">
        <v>16</v>
      </c>
      <c r="E981" s="34" t="s">
        <v>211</v>
      </c>
      <c r="F981" s="34" t="s">
        <v>212</v>
      </c>
      <c r="G981" s="34" t="s">
        <v>17</v>
      </c>
      <c r="H981" s="34" t="s">
        <v>218</v>
      </c>
      <c r="I981" s="35" t="s">
        <v>61</v>
      </c>
      <c r="J981" s="24" t="s">
        <v>1395</v>
      </c>
      <c r="K981" s="7" t="s">
        <v>208</v>
      </c>
      <c r="L981" s="9">
        <v>46160.583333333299</v>
      </c>
      <c r="M981" s="9"/>
      <c r="N981" s="15"/>
      <c r="O981" s="15"/>
      <c r="P981" s="15"/>
      <c r="Q981" s="15"/>
      <c r="R981" s="15"/>
    </row>
    <row r="982" spans="1:18" ht="20.25" customHeight="1">
      <c r="A982" s="36">
        <v>1483</v>
      </c>
      <c r="B982" s="28" t="s">
        <v>2190</v>
      </c>
      <c r="C982" s="24" t="s">
        <v>2191</v>
      </c>
      <c r="D982" s="34" t="s">
        <v>16</v>
      </c>
      <c r="E982" s="34" t="s">
        <v>211</v>
      </c>
      <c r="F982" s="34" t="s">
        <v>212</v>
      </c>
      <c r="G982" s="34" t="s">
        <v>2110</v>
      </c>
      <c r="H982" s="34" t="s">
        <v>240</v>
      </c>
      <c r="I982" s="35" t="s">
        <v>241</v>
      </c>
      <c r="J982" s="24" t="s">
        <v>284</v>
      </c>
      <c r="K982" s="7" t="s">
        <v>208</v>
      </c>
      <c r="L982" s="9">
        <v>46167.583333333299</v>
      </c>
      <c r="M982" s="9"/>
      <c r="N982" s="15"/>
      <c r="O982" s="15"/>
      <c r="P982" s="15"/>
      <c r="Q982" s="15"/>
      <c r="R982" s="15"/>
    </row>
    <row r="983" spans="1:18" ht="20.25" customHeight="1">
      <c r="A983" s="36">
        <v>1484</v>
      </c>
      <c r="B983" s="28" t="s">
        <v>2192</v>
      </c>
      <c r="C983" s="24" t="s">
        <v>2193</v>
      </c>
      <c r="D983" s="34" t="s">
        <v>16</v>
      </c>
      <c r="E983" s="34" t="s">
        <v>211</v>
      </c>
      <c r="F983" s="34" t="s">
        <v>212</v>
      </c>
      <c r="G983" s="34" t="s">
        <v>2110</v>
      </c>
      <c r="H983" s="34" t="s">
        <v>218</v>
      </c>
      <c r="I983" s="35" t="s">
        <v>61</v>
      </c>
      <c r="J983" s="24" t="s">
        <v>284</v>
      </c>
      <c r="K983" s="7" t="s">
        <v>208</v>
      </c>
      <c r="L983" s="9">
        <v>46168.583333333299</v>
      </c>
      <c r="M983" s="9"/>
      <c r="N983" s="15"/>
      <c r="O983" s="15"/>
      <c r="P983" s="15"/>
      <c r="Q983" s="15"/>
      <c r="R983" s="15"/>
    </row>
    <row r="984" spans="1:18" ht="20.25" customHeight="1">
      <c r="A984" s="36">
        <v>1485</v>
      </c>
      <c r="B984" s="28" t="s">
        <v>2194</v>
      </c>
      <c r="C984" s="24" t="s">
        <v>2195</v>
      </c>
      <c r="D984" s="34" t="s">
        <v>16</v>
      </c>
      <c r="E984" s="34" t="s">
        <v>399</v>
      </c>
      <c r="F984" s="34" t="s">
        <v>259</v>
      </c>
      <c r="G984" s="34" t="s">
        <v>423</v>
      </c>
      <c r="H984" s="34" t="s">
        <v>423</v>
      </c>
      <c r="I984" s="35" t="s">
        <v>2196</v>
      </c>
      <c r="J984" s="24" t="s">
        <v>471</v>
      </c>
      <c r="K984" s="7" t="s">
        <v>208</v>
      </c>
      <c r="L984" s="9">
        <v>46169.583333333299</v>
      </c>
      <c r="M984" s="9"/>
      <c r="N984" s="15"/>
      <c r="O984" s="15"/>
      <c r="P984" s="15"/>
      <c r="Q984" s="15"/>
      <c r="R984" s="15"/>
    </row>
    <row r="985" spans="1:18" ht="20.25" customHeight="1">
      <c r="A985" s="36">
        <v>1486</v>
      </c>
      <c r="B985" s="28" t="s">
        <v>2197</v>
      </c>
      <c r="C985" s="24" t="s">
        <v>2198</v>
      </c>
      <c r="D985" s="34" t="s">
        <v>16</v>
      </c>
      <c r="E985" s="34" t="s">
        <v>211</v>
      </c>
      <c r="F985" s="34" t="s">
        <v>259</v>
      </c>
      <c r="G985" s="34" t="s">
        <v>305</v>
      </c>
      <c r="H985" s="34" t="s">
        <v>305</v>
      </c>
      <c r="I985" s="35" t="s">
        <v>2199</v>
      </c>
      <c r="J985" s="24" t="s">
        <v>284</v>
      </c>
      <c r="K985" s="7" t="s">
        <v>221</v>
      </c>
      <c r="L985" s="9">
        <v>46169.583333333299</v>
      </c>
      <c r="M985" s="9">
        <v>46181.583333333299</v>
      </c>
      <c r="N985" s="15"/>
      <c r="O985" s="15"/>
      <c r="P985" s="15"/>
      <c r="Q985" s="15"/>
      <c r="R985" s="15"/>
    </row>
    <row r="986" spans="1:18" ht="20.25" customHeight="1">
      <c r="A986" s="36">
        <v>1487</v>
      </c>
      <c r="B986" s="28" t="s">
        <v>2200</v>
      </c>
      <c r="C986" s="24" t="s">
        <v>2201</v>
      </c>
      <c r="D986" s="34" t="s">
        <v>16</v>
      </c>
      <c r="E986" s="34" t="s">
        <v>211</v>
      </c>
      <c r="F986" s="34" t="s">
        <v>259</v>
      </c>
      <c r="G986" s="34" t="s">
        <v>305</v>
      </c>
      <c r="H986" s="34" t="s">
        <v>305</v>
      </c>
      <c r="I986" s="35" t="s">
        <v>2202</v>
      </c>
      <c r="J986" s="24" t="s">
        <v>471</v>
      </c>
      <c r="K986" s="7" t="s">
        <v>208</v>
      </c>
      <c r="L986" s="9">
        <v>46169.583333333299</v>
      </c>
      <c r="M986" s="9"/>
      <c r="N986" s="15"/>
      <c r="O986" s="15"/>
      <c r="P986" s="15"/>
      <c r="Q986" s="15"/>
      <c r="R986" s="15"/>
    </row>
    <row r="987" spans="1:18" ht="20.25" customHeight="1">
      <c r="A987" s="36">
        <v>1488</v>
      </c>
      <c r="B987" s="28" t="s">
        <v>2203</v>
      </c>
      <c r="C987" s="24" t="s">
        <v>2204</v>
      </c>
      <c r="D987" s="34" t="s">
        <v>29</v>
      </c>
      <c r="E987" s="34" t="s">
        <v>203</v>
      </c>
      <c r="F987" s="34" t="s">
        <v>212</v>
      </c>
      <c r="G987" s="34" t="s">
        <v>544</v>
      </c>
      <c r="H987" s="34" t="s">
        <v>240</v>
      </c>
      <c r="I987" s="35" t="s">
        <v>28</v>
      </c>
      <c r="J987" s="24" t="s">
        <v>284</v>
      </c>
      <c r="K987" s="7" t="s">
        <v>208</v>
      </c>
      <c r="L987" s="9">
        <v>46168.583333333299</v>
      </c>
      <c r="M987" s="9"/>
      <c r="N987" s="15"/>
      <c r="O987" s="15"/>
      <c r="P987" s="15"/>
      <c r="Q987" s="15"/>
      <c r="R987" s="15"/>
    </row>
    <row r="988" spans="1:18" ht="20.25" customHeight="1">
      <c r="A988" s="36">
        <v>1489</v>
      </c>
      <c r="B988" s="28" t="s">
        <v>2205</v>
      </c>
      <c r="C988" s="24" t="s">
        <v>1522</v>
      </c>
      <c r="D988" s="34" t="s">
        <v>45</v>
      </c>
      <c r="E988" s="34" t="s">
        <v>201</v>
      </c>
      <c r="F988" s="34" t="s">
        <v>212</v>
      </c>
      <c r="G988" s="34" t="s">
        <v>136</v>
      </c>
      <c r="H988" s="34" t="s">
        <v>213</v>
      </c>
      <c r="I988" s="35" t="s">
        <v>1768</v>
      </c>
      <c r="J988" s="24" t="s">
        <v>1395</v>
      </c>
      <c r="K988" s="7" t="s">
        <v>208</v>
      </c>
      <c r="L988" s="9">
        <v>46168.583333333299</v>
      </c>
      <c r="M988" s="9"/>
      <c r="N988" s="15"/>
      <c r="O988" s="15"/>
      <c r="P988" s="15"/>
      <c r="Q988" s="15"/>
      <c r="R988" s="15"/>
    </row>
    <row r="989" spans="1:18" ht="20.25" customHeight="1">
      <c r="A989" s="36">
        <v>1490</v>
      </c>
      <c r="B989" s="28" t="s">
        <v>2206</v>
      </c>
      <c r="C989" s="24" t="s">
        <v>2207</v>
      </c>
      <c r="D989" s="34" t="s">
        <v>16</v>
      </c>
      <c r="E989" s="34" t="s">
        <v>211</v>
      </c>
      <c r="F989" s="34" t="s">
        <v>259</v>
      </c>
      <c r="G989" s="34" t="s">
        <v>75</v>
      </c>
      <c r="H989" s="34" t="s">
        <v>75</v>
      </c>
      <c r="I989" s="35" t="s">
        <v>725</v>
      </c>
      <c r="J989" s="24" t="s">
        <v>471</v>
      </c>
      <c r="K989" s="7" t="s">
        <v>208</v>
      </c>
      <c r="L989" s="9">
        <v>46168.583333333299</v>
      </c>
      <c r="M989" s="9"/>
      <c r="N989" s="15"/>
      <c r="O989" s="15"/>
      <c r="P989" s="15"/>
      <c r="Q989" s="15"/>
      <c r="R989" s="15"/>
    </row>
    <row r="990" spans="1:18" ht="20.25" customHeight="1">
      <c r="A990" s="36">
        <v>1491</v>
      </c>
      <c r="B990" s="28" t="s">
        <v>2208</v>
      </c>
      <c r="C990" s="24" t="s">
        <v>2209</v>
      </c>
      <c r="D990" s="34" t="s">
        <v>16</v>
      </c>
      <c r="E990" s="34" t="s">
        <v>211</v>
      </c>
      <c r="F990" s="34" t="s">
        <v>259</v>
      </c>
      <c r="G990" s="34" t="s">
        <v>75</v>
      </c>
      <c r="H990" s="34" t="s">
        <v>75</v>
      </c>
      <c r="I990" s="35" t="s">
        <v>725</v>
      </c>
      <c r="J990" s="24" t="s">
        <v>471</v>
      </c>
      <c r="K990" s="7" t="s">
        <v>208</v>
      </c>
      <c r="L990" s="9">
        <v>46168.583333333299</v>
      </c>
      <c r="M990" s="9"/>
      <c r="N990" s="15"/>
      <c r="O990" s="15"/>
      <c r="P990" s="15"/>
      <c r="Q990" s="15"/>
      <c r="R990" s="15"/>
    </row>
    <row r="991" spans="1:18" ht="20.25" customHeight="1">
      <c r="A991" s="36">
        <v>1492</v>
      </c>
      <c r="B991" s="28" t="s">
        <v>2210</v>
      </c>
      <c r="C991" s="24" t="s">
        <v>2211</v>
      </c>
      <c r="D991" s="34" t="s">
        <v>16</v>
      </c>
      <c r="E991" s="34" t="s">
        <v>211</v>
      </c>
      <c r="F991" s="34" t="s">
        <v>212</v>
      </c>
      <c r="G991" s="34" t="s">
        <v>2110</v>
      </c>
      <c r="H991" s="34" t="s">
        <v>224</v>
      </c>
      <c r="I991" s="35" t="s">
        <v>135</v>
      </c>
      <c r="J991" s="24" t="s">
        <v>284</v>
      </c>
      <c r="K991" s="7" t="s">
        <v>221</v>
      </c>
      <c r="L991" s="9">
        <v>46169.583333333299</v>
      </c>
      <c r="M991" s="9">
        <v>46178.583333333299</v>
      </c>
      <c r="N991" s="15"/>
      <c r="O991" s="15"/>
      <c r="P991" s="15"/>
      <c r="Q991" s="15"/>
      <c r="R991" s="15"/>
    </row>
    <row r="992" spans="1:18" ht="20.25" customHeight="1">
      <c r="A992" s="36">
        <v>1493</v>
      </c>
      <c r="B992" s="28" t="s">
        <v>2212</v>
      </c>
      <c r="C992" s="24" t="s">
        <v>2213</v>
      </c>
      <c r="D992" s="34" t="s">
        <v>74</v>
      </c>
      <c r="E992" s="34" t="s">
        <v>78</v>
      </c>
      <c r="F992" s="34" t="s">
        <v>78</v>
      </c>
      <c r="G992" s="34" t="s">
        <v>78</v>
      </c>
      <c r="H992" s="34" t="s">
        <v>288</v>
      </c>
      <c r="I992" s="35" t="s">
        <v>85</v>
      </c>
      <c r="J992" s="24" t="s">
        <v>284</v>
      </c>
      <c r="K992" s="7" t="s">
        <v>208</v>
      </c>
      <c r="L992" s="9">
        <v>46170.583333333299</v>
      </c>
      <c r="M992" s="9"/>
      <c r="N992" s="15"/>
      <c r="O992" s="15"/>
      <c r="P992" s="15"/>
      <c r="Q992" s="15"/>
      <c r="R992" s="15"/>
    </row>
    <row r="993" spans="1:18" ht="20.25" customHeight="1">
      <c r="A993" s="36">
        <v>1494</v>
      </c>
      <c r="B993" s="28" t="s">
        <v>2214</v>
      </c>
      <c r="C993" s="24" t="s">
        <v>2215</v>
      </c>
      <c r="D993" s="34" t="s">
        <v>16</v>
      </c>
      <c r="E993" s="34" t="s">
        <v>211</v>
      </c>
      <c r="F993" s="34" t="s">
        <v>259</v>
      </c>
      <c r="G993" s="34" t="s">
        <v>25</v>
      </c>
      <c r="H993" s="34" t="s">
        <v>540</v>
      </c>
      <c r="I993" s="35" t="s">
        <v>2216</v>
      </c>
      <c r="J993" s="24" t="s">
        <v>284</v>
      </c>
      <c r="K993" s="7" t="s">
        <v>208</v>
      </c>
      <c r="L993" s="9">
        <v>46174.583333333299</v>
      </c>
      <c r="M993" s="9"/>
      <c r="N993" s="15"/>
      <c r="O993" s="15"/>
      <c r="P993" s="15"/>
      <c r="Q993" s="15"/>
      <c r="R993" s="15"/>
    </row>
    <row r="994" spans="1:18" ht="20.25" customHeight="1">
      <c r="A994" s="36">
        <v>1495</v>
      </c>
      <c r="B994" s="28" t="s">
        <v>2217</v>
      </c>
      <c r="C994" s="24" t="s">
        <v>2218</v>
      </c>
      <c r="D994" s="34" t="s">
        <v>16</v>
      </c>
      <c r="E994" s="34" t="s">
        <v>211</v>
      </c>
      <c r="F994" s="34" t="s">
        <v>259</v>
      </c>
      <c r="G994" s="34" t="s">
        <v>480</v>
      </c>
      <c r="H994" s="34" t="s">
        <v>480</v>
      </c>
      <c r="I994" s="35" t="s">
        <v>1441</v>
      </c>
      <c r="J994" s="24" t="s">
        <v>284</v>
      </c>
      <c r="K994" s="7" t="s">
        <v>208</v>
      </c>
      <c r="L994" s="9">
        <v>46175.583333333299</v>
      </c>
      <c r="M994" s="9"/>
      <c r="N994" s="15"/>
      <c r="O994" s="15"/>
      <c r="P994" s="15"/>
      <c r="Q994" s="15"/>
      <c r="R994" s="15"/>
    </row>
    <row r="995" spans="1:18" ht="20.25" customHeight="1">
      <c r="A995" s="36">
        <v>1496</v>
      </c>
      <c r="B995" s="28" t="s">
        <v>2219</v>
      </c>
      <c r="C995" s="24" t="s">
        <v>385</v>
      </c>
      <c r="D995" s="34" t="s">
        <v>29</v>
      </c>
      <c r="E995" s="34" t="s">
        <v>203</v>
      </c>
      <c r="F995" s="34" t="s">
        <v>212</v>
      </c>
      <c r="G995" s="34" t="s">
        <v>30</v>
      </c>
      <c r="H995" s="34" t="s">
        <v>266</v>
      </c>
      <c r="I995" s="35" t="s">
        <v>319</v>
      </c>
      <c r="J995" s="24" t="s">
        <v>284</v>
      </c>
      <c r="K995" s="7" t="s">
        <v>208</v>
      </c>
      <c r="L995" s="9">
        <v>46174.583333333299</v>
      </c>
      <c r="M995" s="9"/>
      <c r="N995" s="15"/>
      <c r="O995" s="15"/>
      <c r="P995" s="15"/>
      <c r="Q995" s="15"/>
      <c r="R995" s="15"/>
    </row>
    <row r="996" spans="1:18" ht="20.25" customHeight="1">
      <c r="A996" s="36">
        <v>1497</v>
      </c>
      <c r="B996" s="28" t="s">
        <v>2220</v>
      </c>
      <c r="C996" s="24" t="s">
        <v>2221</v>
      </c>
      <c r="D996" s="34" t="s">
        <v>45</v>
      </c>
      <c r="E996" s="34" t="s">
        <v>201</v>
      </c>
      <c r="F996" s="34" t="s">
        <v>212</v>
      </c>
      <c r="G996" s="34" t="s">
        <v>136</v>
      </c>
      <c r="H996" s="34" t="s">
        <v>213</v>
      </c>
      <c r="I996" s="35" t="s">
        <v>1768</v>
      </c>
      <c r="J996" s="24" t="s">
        <v>1395</v>
      </c>
      <c r="K996" s="7" t="s">
        <v>208</v>
      </c>
      <c r="L996" s="9">
        <v>46176.583333333299</v>
      </c>
      <c r="M996" s="9"/>
      <c r="N996" s="15"/>
      <c r="O996" s="15"/>
      <c r="P996" s="15"/>
      <c r="Q996" s="15"/>
      <c r="R996" s="15"/>
    </row>
    <row r="997" spans="1:18" ht="20.25" customHeight="1">
      <c r="A997" s="36">
        <v>1498</v>
      </c>
      <c r="B997" s="28" t="s">
        <v>2222</v>
      </c>
      <c r="C997" s="24" t="s">
        <v>2223</v>
      </c>
      <c r="D997" s="34" t="s">
        <v>74</v>
      </c>
      <c r="E997" s="34" t="s">
        <v>78</v>
      </c>
      <c r="F997" s="34" t="s">
        <v>78</v>
      </c>
      <c r="G997" s="34" t="s">
        <v>78</v>
      </c>
      <c r="H997" s="34" t="s">
        <v>536</v>
      </c>
      <c r="I997" s="35" t="s">
        <v>1138</v>
      </c>
      <c r="J997" s="24" t="s">
        <v>284</v>
      </c>
      <c r="K997" s="7" t="s">
        <v>208</v>
      </c>
      <c r="L997" s="9">
        <v>46174.583333333299</v>
      </c>
      <c r="M997" s="9"/>
      <c r="N997" s="15"/>
      <c r="O997" s="15"/>
      <c r="P997" s="15"/>
      <c r="Q997" s="15"/>
      <c r="R997" s="15"/>
    </row>
    <row r="998" spans="1:18" ht="20.25" customHeight="1">
      <c r="A998" s="36">
        <v>1499</v>
      </c>
      <c r="B998" s="28" t="s">
        <v>2224</v>
      </c>
      <c r="C998" s="24" t="s">
        <v>2225</v>
      </c>
      <c r="D998" s="34" t="s">
        <v>45</v>
      </c>
      <c r="E998" s="34" t="s">
        <v>201</v>
      </c>
      <c r="F998" s="34" t="s">
        <v>212</v>
      </c>
      <c r="G998" s="34" t="s">
        <v>136</v>
      </c>
      <c r="H998" s="34" t="s">
        <v>213</v>
      </c>
      <c r="I998" s="35" t="s">
        <v>2226</v>
      </c>
      <c r="J998" s="24" t="s">
        <v>284</v>
      </c>
      <c r="K998" s="7" t="s">
        <v>208</v>
      </c>
      <c r="L998" s="9">
        <v>46175.583333333299</v>
      </c>
      <c r="M998" s="9"/>
      <c r="N998" s="15"/>
      <c r="O998" s="15"/>
      <c r="P998" s="15"/>
      <c r="Q998" s="15"/>
      <c r="R998" s="15"/>
    </row>
    <row r="999" spans="1:18" ht="20.25" customHeight="1">
      <c r="A999" s="36">
        <v>1500</v>
      </c>
      <c r="B999" s="28" t="s">
        <v>2227</v>
      </c>
      <c r="C999" s="24" t="s">
        <v>2228</v>
      </c>
      <c r="D999" s="34" t="s">
        <v>16</v>
      </c>
      <c r="E999" s="34" t="s">
        <v>211</v>
      </c>
      <c r="F999" s="34" t="s">
        <v>212</v>
      </c>
      <c r="G999" s="34" t="s">
        <v>2110</v>
      </c>
      <c r="H999" s="34" t="s">
        <v>213</v>
      </c>
      <c r="I999" s="35" t="s">
        <v>67</v>
      </c>
      <c r="J999" s="24" t="s">
        <v>284</v>
      </c>
      <c r="K999" s="7" t="s">
        <v>208</v>
      </c>
      <c r="L999" s="9">
        <v>46174.583333333299</v>
      </c>
      <c r="M999" s="9"/>
      <c r="N999" s="15"/>
      <c r="O999" s="15"/>
      <c r="P999" s="15"/>
      <c r="Q999" s="15"/>
      <c r="R999" s="15"/>
    </row>
    <row r="1000" spans="1:18" ht="20.25" customHeight="1">
      <c r="A1000" s="36">
        <v>1501</v>
      </c>
      <c r="B1000" s="28" t="s">
        <v>2229</v>
      </c>
      <c r="C1000" s="24" t="s">
        <v>2230</v>
      </c>
      <c r="D1000" s="34" t="s">
        <v>16</v>
      </c>
      <c r="E1000" s="34" t="s">
        <v>211</v>
      </c>
      <c r="F1000" s="34" t="s">
        <v>212</v>
      </c>
      <c r="G1000" s="34" t="s">
        <v>2110</v>
      </c>
      <c r="H1000" s="34" t="s">
        <v>213</v>
      </c>
      <c r="I1000" s="35" t="s">
        <v>2153</v>
      </c>
      <c r="J1000" s="24" t="s">
        <v>471</v>
      </c>
      <c r="K1000" s="7" t="s">
        <v>208</v>
      </c>
      <c r="L1000" s="9">
        <v>46176.583333333299</v>
      </c>
      <c r="M1000" s="9"/>
      <c r="N1000" s="15"/>
      <c r="O1000" s="15"/>
      <c r="P1000" s="15"/>
      <c r="Q1000" s="15"/>
      <c r="R1000" s="15"/>
    </row>
    <row r="1001" spans="1:18" ht="20.25" customHeight="1">
      <c r="A1001" s="36">
        <v>1502</v>
      </c>
      <c r="B1001" s="28" t="s">
        <v>2231</v>
      </c>
      <c r="C1001" s="24" t="s">
        <v>2232</v>
      </c>
      <c r="D1001" s="34" t="s">
        <v>45</v>
      </c>
      <c r="E1001" s="34" t="s">
        <v>201</v>
      </c>
      <c r="F1001" s="34" t="s">
        <v>212</v>
      </c>
      <c r="G1001" s="34" t="s">
        <v>136</v>
      </c>
      <c r="H1001" s="34" t="s">
        <v>213</v>
      </c>
      <c r="I1001" s="35" t="s">
        <v>1768</v>
      </c>
      <c r="J1001" s="24" t="s">
        <v>1395</v>
      </c>
      <c r="K1001" s="7" t="s">
        <v>208</v>
      </c>
      <c r="L1001" s="9">
        <v>46178.583333333299</v>
      </c>
      <c r="M1001" s="9"/>
      <c r="N1001" s="15"/>
      <c r="O1001" s="15"/>
      <c r="P1001" s="15"/>
      <c r="Q1001" s="15"/>
      <c r="R1001" s="15"/>
    </row>
    <row r="1002" spans="1:18" ht="20.25" customHeight="1">
      <c r="A1002" s="36">
        <v>1503</v>
      </c>
      <c r="B1002" s="28" t="s">
        <v>2233</v>
      </c>
      <c r="C1002" s="24" t="s">
        <v>2234</v>
      </c>
      <c r="D1002" s="34" t="s">
        <v>16</v>
      </c>
      <c r="E1002" s="34" t="s">
        <v>211</v>
      </c>
      <c r="F1002" s="34" t="s">
        <v>212</v>
      </c>
      <c r="G1002" s="34" t="s">
        <v>2110</v>
      </c>
      <c r="H1002" s="34" t="s">
        <v>213</v>
      </c>
      <c r="I1002" s="35" t="s">
        <v>214</v>
      </c>
      <c r="J1002" s="24" t="s">
        <v>284</v>
      </c>
      <c r="K1002" s="7" t="s">
        <v>208</v>
      </c>
      <c r="L1002" s="9">
        <v>46177.583333333299</v>
      </c>
      <c r="M1002" s="9"/>
      <c r="N1002" s="15"/>
      <c r="O1002" s="15"/>
      <c r="P1002" s="15"/>
      <c r="Q1002" s="15"/>
      <c r="R1002" s="15"/>
    </row>
    <row r="1003" spans="1:18" ht="20.25" customHeight="1">
      <c r="A1003" s="36">
        <v>1504</v>
      </c>
      <c r="B1003" s="28" t="s">
        <v>2235</v>
      </c>
      <c r="C1003" s="24" t="s">
        <v>2236</v>
      </c>
      <c r="D1003" s="34" t="s">
        <v>16</v>
      </c>
      <c r="E1003" s="34" t="s">
        <v>211</v>
      </c>
      <c r="F1003" s="34" t="s">
        <v>212</v>
      </c>
      <c r="G1003" s="34" t="s">
        <v>2110</v>
      </c>
      <c r="H1003" s="34" t="s">
        <v>218</v>
      </c>
      <c r="I1003" s="35" t="s">
        <v>61</v>
      </c>
      <c r="J1003" s="24" t="s">
        <v>1395</v>
      </c>
      <c r="K1003" s="7" t="s">
        <v>208</v>
      </c>
      <c r="L1003" s="9">
        <v>46175.583333333299</v>
      </c>
      <c r="M1003" s="9"/>
      <c r="N1003" s="15"/>
      <c r="O1003" s="15"/>
      <c r="P1003" s="15"/>
      <c r="Q1003" s="15"/>
      <c r="R1003" s="15"/>
    </row>
    <row r="1004" spans="1:18" ht="20.25" customHeight="1">
      <c r="A1004" s="36">
        <v>1505</v>
      </c>
      <c r="B1004" s="28" t="s">
        <v>2237</v>
      </c>
      <c r="C1004" s="24" t="s">
        <v>2238</v>
      </c>
      <c r="D1004" s="34" t="s">
        <v>16</v>
      </c>
      <c r="E1004" s="34" t="s">
        <v>211</v>
      </c>
      <c r="F1004" s="34" t="s">
        <v>259</v>
      </c>
      <c r="G1004" s="34" t="s">
        <v>284</v>
      </c>
      <c r="H1004" s="34" t="s">
        <v>284</v>
      </c>
      <c r="I1004" s="35" t="s">
        <v>332</v>
      </c>
      <c r="J1004" s="24" t="s">
        <v>284</v>
      </c>
      <c r="K1004" s="7" t="s">
        <v>208</v>
      </c>
      <c r="L1004" s="9">
        <v>46181.583333333299</v>
      </c>
      <c r="M1004" s="9"/>
      <c r="N1004" s="15"/>
      <c r="O1004" s="15"/>
      <c r="P1004" s="15"/>
      <c r="Q1004" s="15"/>
      <c r="R1004" s="15"/>
    </row>
    <row r="1005" spans="1:18" ht="20.25" customHeight="1">
      <c r="A1005" s="36">
        <v>1506</v>
      </c>
      <c r="B1005" s="28" t="s">
        <v>2239</v>
      </c>
      <c r="C1005" s="24" t="s">
        <v>2240</v>
      </c>
      <c r="D1005" s="34" t="s">
        <v>16</v>
      </c>
      <c r="E1005" s="34" t="s">
        <v>211</v>
      </c>
      <c r="F1005" s="34" t="s">
        <v>259</v>
      </c>
      <c r="G1005" s="34" t="s">
        <v>480</v>
      </c>
      <c r="H1005" s="34" t="s">
        <v>480</v>
      </c>
      <c r="I1005" s="35" t="s">
        <v>2241</v>
      </c>
      <c r="J1005" s="24" t="s">
        <v>284</v>
      </c>
      <c r="K1005" s="7" t="s">
        <v>208</v>
      </c>
      <c r="L1005" s="9">
        <v>46182.583333333299</v>
      </c>
      <c r="M1005" s="9"/>
      <c r="N1005" s="15"/>
      <c r="O1005" s="15"/>
      <c r="P1005" s="15"/>
      <c r="Q1005" s="15"/>
      <c r="R1005" s="15"/>
    </row>
    <row r="1006" spans="1:18" ht="20.25" customHeight="1">
      <c r="A1006" s="36">
        <v>1507</v>
      </c>
      <c r="B1006" s="28" t="s">
        <v>2242</v>
      </c>
      <c r="C1006" s="24" t="s">
        <v>2243</v>
      </c>
      <c r="D1006" s="34" t="s">
        <v>45</v>
      </c>
      <c r="E1006" s="34" t="s">
        <v>201</v>
      </c>
      <c r="F1006" s="34" t="s">
        <v>212</v>
      </c>
      <c r="G1006" s="34" t="s">
        <v>46</v>
      </c>
      <c r="H1006" s="34" t="s">
        <v>213</v>
      </c>
      <c r="I1006" s="35" t="s">
        <v>1768</v>
      </c>
      <c r="J1006" s="24" t="s">
        <v>1395</v>
      </c>
      <c r="K1006" s="7" t="s">
        <v>208</v>
      </c>
      <c r="L1006" s="9">
        <v>46182.583333333299</v>
      </c>
      <c r="M1006" s="9"/>
      <c r="N1006" s="15"/>
      <c r="O1006" s="15"/>
      <c r="P1006" s="15"/>
      <c r="Q1006" s="15"/>
      <c r="R1006" s="15"/>
    </row>
    <row r="1007" spans="1:18" ht="20.25" customHeight="1">
      <c r="A1007" s="36">
        <v>1508</v>
      </c>
      <c r="B1007" s="28" t="s">
        <v>2244</v>
      </c>
      <c r="C1007" s="24" t="s">
        <v>592</v>
      </c>
      <c r="D1007" s="34" t="s">
        <v>16</v>
      </c>
      <c r="E1007" s="34" t="s">
        <v>211</v>
      </c>
      <c r="F1007" s="34" t="s">
        <v>259</v>
      </c>
      <c r="G1007" s="34" t="s">
        <v>101</v>
      </c>
      <c r="H1007" s="34" t="s">
        <v>101</v>
      </c>
      <c r="I1007" s="35" t="s">
        <v>100</v>
      </c>
      <c r="J1007" s="24" t="s">
        <v>1395</v>
      </c>
      <c r="K1007" s="7" t="s">
        <v>208</v>
      </c>
      <c r="L1007" s="9">
        <v>46182.583333333299</v>
      </c>
      <c r="M1007" s="9"/>
      <c r="N1007" s="15"/>
      <c r="O1007" s="15"/>
      <c r="P1007" s="15"/>
      <c r="Q1007" s="15"/>
      <c r="R1007" s="15"/>
    </row>
    <row r="1008" spans="1:18" ht="20.25" customHeight="1">
      <c r="A1008" s="36">
        <v>1509</v>
      </c>
      <c r="B1008" s="28" t="s">
        <v>2245</v>
      </c>
      <c r="C1008" s="24" t="s">
        <v>2246</v>
      </c>
      <c r="D1008" s="34" t="s">
        <v>16</v>
      </c>
      <c r="E1008" s="34" t="s">
        <v>211</v>
      </c>
      <c r="F1008" s="34" t="s">
        <v>212</v>
      </c>
      <c r="G1008" s="34" t="s">
        <v>2110</v>
      </c>
      <c r="H1008" s="34" t="s">
        <v>213</v>
      </c>
      <c r="I1008" s="35" t="s">
        <v>2247</v>
      </c>
      <c r="J1008" s="24" t="s">
        <v>284</v>
      </c>
      <c r="K1008" s="7" t="s">
        <v>208</v>
      </c>
      <c r="L1008" s="9">
        <v>46181.583333333299</v>
      </c>
      <c r="M1008" s="9"/>
      <c r="N1008" s="15"/>
      <c r="O1008" s="15"/>
      <c r="P1008" s="15"/>
      <c r="Q1008" s="15"/>
      <c r="R1008" s="15"/>
    </row>
    <row r="1009" spans="1:18" ht="20.25" customHeight="1">
      <c r="A1009" s="36">
        <v>1510</v>
      </c>
      <c r="B1009" s="28" t="s">
        <v>2248</v>
      </c>
      <c r="C1009" s="24" t="s">
        <v>1200</v>
      </c>
      <c r="D1009" s="34" t="s">
        <v>45</v>
      </c>
      <c r="E1009" s="34" t="s">
        <v>201</v>
      </c>
      <c r="F1009" s="34" t="s">
        <v>212</v>
      </c>
      <c r="G1009" s="34" t="s">
        <v>136</v>
      </c>
      <c r="H1009" s="34" t="s">
        <v>240</v>
      </c>
      <c r="I1009" s="35" t="s">
        <v>241</v>
      </c>
      <c r="J1009" s="24" t="s">
        <v>284</v>
      </c>
      <c r="K1009" s="7" t="s">
        <v>208</v>
      </c>
      <c r="L1009" s="9">
        <v>46182.583333333299</v>
      </c>
      <c r="M1009" s="9"/>
      <c r="N1009" s="15"/>
      <c r="O1009" s="15"/>
      <c r="P1009" s="15"/>
      <c r="Q1009" s="15"/>
      <c r="R1009" s="15"/>
    </row>
    <row r="1010" spans="1:18" ht="20.25" customHeight="1">
      <c r="A1010" s="36">
        <v>1511</v>
      </c>
      <c r="B1010" s="28" t="s">
        <v>2249</v>
      </c>
      <c r="C1010" s="24" t="s">
        <v>2250</v>
      </c>
      <c r="D1010" s="34" t="s">
        <v>16</v>
      </c>
      <c r="E1010" s="34" t="s">
        <v>211</v>
      </c>
      <c r="F1010" s="34" t="s">
        <v>212</v>
      </c>
      <c r="G1010" s="34" t="s">
        <v>2110</v>
      </c>
      <c r="H1010" s="34" t="s">
        <v>224</v>
      </c>
      <c r="I1010" s="35" t="s">
        <v>135</v>
      </c>
      <c r="J1010" s="24" t="s">
        <v>284</v>
      </c>
      <c r="K1010" s="7" t="s">
        <v>208</v>
      </c>
      <c r="L1010" s="9">
        <v>46185.583333333299</v>
      </c>
      <c r="M1010" s="9"/>
      <c r="N1010" s="15"/>
      <c r="O1010" s="15"/>
      <c r="P1010" s="15"/>
      <c r="Q1010" s="15"/>
      <c r="R1010" s="15"/>
    </row>
    <row r="1011" spans="1:18" ht="20.25" customHeight="1">
      <c r="A1011" s="36"/>
      <c r="B1011" s="28"/>
      <c r="C1011" s="24"/>
      <c r="D1011" s="34"/>
      <c r="E1011" s="34"/>
      <c r="F1011" s="34"/>
      <c r="G1011" s="34"/>
      <c r="H1011" s="34"/>
      <c r="I1011" s="35"/>
      <c r="J1011" s="24"/>
      <c r="K1011" s="7"/>
      <c r="L1011" s="9"/>
      <c r="M1011" s="9"/>
      <c r="N1011" s="15"/>
      <c r="O1011" s="15"/>
      <c r="P1011" s="15"/>
      <c r="Q1011" s="15"/>
      <c r="R1011" s="15"/>
    </row>
    <row r="1012" spans="1:18" ht="20.25" customHeight="1">
      <c r="A1012" s="36"/>
      <c r="B1012" s="28"/>
      <c r="C1012" s="24"/>
      <c r="D1012" s="34"/>
      <c r="E1012" s="34"/>
      <c r="F1012" s="34"/>
      <c r="G1012" s="34"/>
      <c r="H1012" s="34"/>
      <c r="I1012" s="35"/>
      <c r="J1012" s="24"/>
      <c r="K1012" s="7"/>
      <c r="L1012" s="9"/>
      <c r="M1012" s="9"/>
      <c r="N1012" s="15"/>
      <c r="O1012" s="15"/>
      <c r="P1012" s="15"/>
      <c r="Q1012" s="15"/>
      <c r="R1012" s="15"/>
    </row>
    <row r="1013" spans="1:18" ht="20.25" customHeight="1">
      <c r="A1013" s="36"/>
      <c r="B1013" s="28"/>
      <c r="C1013" s="24"/>
      <c r="D1013" s="34"/>
      <c r="E1013" s="34"/>
      <c r="F1013" s="34"/>
      <c r="G1013" s="34"/>
      <c r="H1013" s="34"/>
      <c r="I1013" s="35"/>
      <c r="J1013" s="24"/>
      <c r="K1013" s="7"/>
      <c r="L1013" s="9"/>
      <c r="M1013" s="9"/>
      <c r="N1013" s="15"/>
      <c r="O1013" s="15"/>
      <c r="P1013" s="15"/>
      <c r="Q1013" s="15"/>
      <c r="R1013" s="15"/>
    </row>
    <row r="1014" spans="1:18" ht="20.25" customHeight="1">
      <c r="A1014" s="36"/>
      <c r="B1014" s="28"/>
      <c r="C1014" s="24"/>
      <c r="D1014" s="34"/>
      <c r="E1014" s="34"/>
      <c r="F1014" s="34"/>
      <c r="G1014" s="34"/>
      <c r="H1014" s="34"/>
      <c r="I1014" s="35"/>
      <c r="J1014" s="24"/>
      <c r="K1014" s="7"/>
      <c r="L1014" s="9"/>
      <c r="M1014" s="9"/>
      <c r="N1014" s="15"/>
      <c r="O1014" s="15"/>
      <c r="P1014" s="15"/>
      <c r="Q1014" s="15"/>
      <c r="R1014" s="15"/>
    </row>
    <row r="1015" spans="1:18" ht="20.25" customHeight="1">
      <c r="A1015" s="36"/>
      <c r="B1015" s="28"/>
      <c r="C1015" s="24"/>
      <c r="D1015" s="34"/>
      <c r="E1015" s="34"/>
      <c r="F1015" s="34"/>
      <c r="G1015" s="34"/>
      <c r="H1015" s="34"/>
      <c r="I1015" s="35"/>
      <c r="J1015" s="24"/>
      <c r="K1015" s="7"/>
      <c r="L1015" s="9"/>
      <c r="M1015" s="9"/>
      <c r="N1015" s="15"/>
      <c r="O1015" s="15"/>
      <c r="P1015" s="15"/>
      <c r="Q1015" s="15"/>
      <c r="R1015" s="15"/>
    </row>
    <row r="1016" spans="1:18" ht="20.25" customHeight="1">
      <c r="A1016" s="36"/>
      <c r="B1016" s="28"/>
      <c r="C1016" s="24"/>
      <c r="D1016" s="34"/>
      <c r="E1016" s="34"/>
      <c r="F1016" s="34"/>
      <c r="G1016" s="34"/>
      <c r="H1016" s="34"/>
      <c r="I1016" s="35"/>
      <c r="J1016" s="24"/>
      <c r="K1016" s="7"/>
      <c r="L1016" s="9"/>
      <c r="M1016" s="9"/>
      <c r="N1016" s="15"/>
      <c r="O1016" s="15"/>
      <c r="P1016" s="15"/>
      <c r="Q1016" s="15"/>
      <c r="R1016" s="15"/>
    </row>
    <row r="1017" spans="1:18" ht="20.25" customHeight="1">
      <c r="A1017" s="36"/>
      <c r="B1017" s="28"/>
      <c r="C1017" s="24"/>
      <c r="D1017" s="34"/>
      <c r="E1017" s="34"/>
      <c r="F1017" s="34"/>
      <c r="G1017" s="34"/>
      <c r="H1017" s="34"/>
      <c r="I1017" s="35"/>
      <c r="J1017" s="24"/>
      <c r="K1017" s="7"/>
      <c r="L1017" s="9"/>
      <c r="M1017" s="9"/>
      <c r="N1017" s="15"/>
      <c r="O1017" s="15"/>
      <c r="P1017" s="15"/>
      <c r="Q1017" s="15"/>
      <c r="R1017" s="15"/>
    </row>
    <row r="1018" spans="1:18" ht="20.25" customHeight="1">
      <c r="A1018" s="36"/>
      <c r="B1018" s="28"/>
      <c r="C1018" s="24"/>
      <c r="D1018" s="34"/>
      <c r="E1018" s="34"/>
      <c r="F1018" s="34"/>
      <c r="G1018" s="34"/>
      <c r="H1018" s="34"/>
      <c r="I1018" s="35"/>
      <c r="J1018" s="24"/>
      <c r="K1018" s="7"/>
      <c r="L1018" s="9"/>
      <c r="M1018" s="9"/>
      <c r="N1018" s="15"/>
      <c r="O1018" s="15"/>
      <c r="P1018" s="15"/>
      <c r="Q1018" s="15"/>
      <c r="R1018" s="15"/>
    </row>
    <row r="1019" spans="1:18" ht="20.25" customHeight="1">
      <c r="A1019" s="36"/>
      <c r="B1019" s="28"/>
      <c r="C1019" s="24"/>
      <c r="D1019" s="34"/>
      <c r="E1019" s="34"/>
      <c r="F1019" s="34"/>
      <c r="G1019" s="34"/>
      <c r="H1019" s="34"/>
      <c r="I1019" s="35"/>
      <c r="J1019" s="24"/>
      <c r="K1019" s="7"/>
      <c r="L1019" s="9"/>
      <c r="M1019" s="9"/>
      <c r="N1019" s="15"/>
      <c r="O1019" s="15"/>
      <c r="P1019" s="15"/>
      <c r="Q1019" s="15"/>
      <c r="R1019" s="15"/>
    </row>
    <row r="1020" spans="1:18" ht="20.25" customHeight="1">
      <c r="A1020" s="36"/>
      <c r="B1020" s="28"/>
      <c r="C1020" s="24"/>
      <c r="D1020" s="34"/>
      <c r="E1020" s="34"/>
      <c r="F1020" s="34"/>
      <c r="G1020" s="34"/>
      <c r="H1020" s="34"/>
      <c r="I1020" s="35"/>
      <c r="J1020" s="24"/>
      <c r="K1020" s="7"/>
      <c r="L1020" s="9"/>
      <c r="M1020" s="9"/>
      <c r="N1020" s="15"/>
      <c r="O1020" s="15"/>
      <c r="P1020" s="15"/>
      <c r="Q1020" s="15"/>
      <c r="R1020" s="15"/>
    </row>
    <row r="1021" spans="1:18" ht="20.25" customHeight="1">
      <c r="A1021" s="36"/>
      <c r="B1021" s="28"/>
      <c r="C1021" s="24"/>
      <c r="D1021" s="34"/>
      <c r="E1021" s="34"/>
      <c r="F1021" s="34"/>
      <c r="G1021" s="34"/>
      <c r="H1021" s="34"/>
      <c r="I1021" s="35"/>
      <c r="J1021" s="24"/>
      <c r="K1021" s="7"/>
      <c r="L1021" s="9"/>
      <c r="M1021" s="9"/>
      <c r="N1021" s="15"/>
      <c r="O1021" s="15"/>
      <c r="P1021" s="15"/>
      <c r="Q1021" s="15"/>
      <c r="R1021" s="15"/>
    </row>
    <row r="1022" spans="1:18" ht="20.25" customHeight="1">
      <c r="A1022" s="36"/>
      <c r="B1022" s="28"/>
      <c r="C1022" s="24"/>
      <c r="D1022" s="34"/>
      <c r="E1022" s="34"/>
      <c r="F1022" s="34"/>
      <c r="G1022" s="34"/>
      <c r="H1022" s="34"/>
      <c r="I1022" s="35"/>
      <c r="J1022" s="24"/>
      <c r="K1022" s="7"/>
      <c r="L1022" s="9"/>
      <c r="M1022" s="9"/>
      <c r="N1022" s="15"/>
      <c r="O1022" s="15"/>
      <c r="P1022" s="15"/>
      <c r="Q1022" s="15"/>
      <c r="R1022" s="15"/>
    </row>
    <row r="1023" spans="1:18" ht="20.25" customHeight="1">
      <c r="A1023" s="36"/>
      <c r="B1023" s="28"/>
      <c r="C1023" s="24"/>
      <c r="D1023" s="34"/>
      <c r="E1023" s="34"/>
      <c r="F1023" s="34"/>
      <c r="G1023" s="34"/>
      <c r="H1023" s="34"/>
      <c r="I1023" s="35"/>
      <c r="J1023" s="24"/>
      <c r="K1023" s="7"/>
      <c r="L1023" s="9"/>
      <c r="M1023" s="9"/>
      <c r="N1023" s="15"/>
      <c r="O1023" s="15"/>
      <c r="P1023" s="15"/>
      <c r="Q1023" s="15"/>
      <c r="R1023" s="15"/>
    </row>
    <row r="1024" spans="1:18" ht="20.25" customHeight="1">
      <c r="A1024" s="36"/>
      <c r="B1024" s="28"/>
      <c r="C1024" s="24"/>
      <c r="D1024" s="34"/>
      <c r="E1024" s="34"/>
      <c r="F1024" s="34"/>
      <c r="G1024" s="34"/>
      <c r="H1024" s="34"/>
      <c r="I1024" s="35"/>
      <c r="J1024" s="24"/>
      <c r="K1024" s="7"/>
      <c r="L1024" s="9"/>
      <c r="M1024" s="9"/>
      <c r="N1024" s="15"/>
      <c r="O1024" s="15"/>
      <c r="P1024" s="15"/>
      <c r="Q1024" s="15"/>
      <c r="R1024" s="15"/>
    </row>
    <row r="1025" spans="1:18" ht="20.25" customHeight="1">
      <c r="A1025" s="36"/>
      <c r="B1025" s="28"/>
      <c r="C1025" s="24"/>
      <c r="D1025" s="34"/>
      <c r="E1025" s="34"/>
      <c r="F1025" s="34"/>
      <c r="G1025" s="34"/>
      <c r="H1025" s="34"/>
      <c r="I1025" s="35"/>
      <c r="J1025" s="24"/>
      <c r="K1025" s="7"/>
      <c r="L1025" s="9"/>
      <c r="M1025" s="9"/>
      <c r="N1025" s="15"/>
      <c r="O1025" s="15"/>
      <c r="P1025" s="15"/>
      <c r="Q1025" s="15"/>
      <c r="R1025" s="15"/>
    </row>
    <row r="1026" spans="1:18" ht="20.25" customHeight="1">
      <c r="A1026" s="36"/>
      <c r="B1026" s="28"/>
      <c r="C1026" s="24"/>
      <c r="D1026" s="34"/>
      <c r="E1026" s="34"/>
      <c r="F1026" s="34"/>
      <c r="G1026" s="34"/>
      <c r="H1026" s="34"/>
      <c r="I1026" s="35"/>
      <c r="J1026" s="24"/>
      <c r="K1026" s="7"/>
      <c r="L1026" s="9"/>
      <c r="M1026" s="9"/>
      <c r="N1026" s="15"/>
      <c r="O1026" s="15"/>
      <c r="P1026" s="15"/>
      <c r="Q1026" s="15"/>
      <c r="R1026" s="15"/>
    </row>
    <row r="1027" spans="1:18" ht="20.25" customHeight="1">
      <c r="A1027" s="36"/>
      <c r="B1027" s="28"/>
      <c r="C1027" s="24"/>
      <c r="D1027" s="34"/>
      <c r="E1027" s="34"/>
      <c r="F1027" s="34"/>
      <c r="G1027" s="34"/>
      <c r="H1027" s="34"/>
      <c r="I1027" s="35"/>
      <c r="J1027" s="24"/>
      <c r="K1027" s="7"/>
      <c r="L1027" s="9"/>
      <c r="M1027" s="9"/>
      <c r="N1027" s="15"/>
      <c r="O1027" s="15"/>
      <c r="P1027" s="15"/>
      <c r="Q1027" s="15"/>
      <c r="R1027" s="15"/>
    </row>
    <row r="1028" spans="1:18" ht="20.25" customHeight="1">
      <c r="A1028" s="36"/>
      <c r="B1028" s="28"/>
      <c r="C1028" s="24"/>
      <c r="D1028" s="34"/>
      <c r="E1028" s="34"/>
      <c r="F1028" s="34"/>
      <c r="G1028" s="34"/>
      <c r="H1028" s="34"/>
      <c r="I1028" s="35"/>
      <c r="J1028" s="24"/>
      <c r="K1028" s="7"/>
      <c r="L1028" s="9"/>
      <c r="M1028" s="9"/>
      <c r="N1028" s="15"/>
      <c r="O1028" s="15"/>
      <c r="P1028" s="15"/>
      <c r="Q1028" s="15"/>
      <c r="R1028" s="15"/>
    </row>
    <row r="1029" spans="1:18" ht="20.25" customHeight="1">
      <c r="A1029" s="36"/>
      <c r="B1029" s="28"/>
      <c r="C1029" s="24"/>
      <c r="D1029" s="34"/>
      <c r="E1029" s="34"/>
      <c r="F1029" s="34"/>
      <c r="G1029" s="34"/>
      <c r="H1029" s="34"/>
      <c r="I1029" s="35"/>
      <c r="J1029" s="24"/>
      <c r="K1029" s="7"/>
      <c r="L1029" s="9"/>
      <c r="M1029" s="9"/>
      <c r="N1029" s="15"/>
      <c r="O1029" s="15"/>
      <c r="P1029" s="15"/>
      <c r="Q1029" s="15"/>
      <c r="R1029" s="15"/>
    </row>
    <row r="1030" spans="1:18" ht="20.25" customHeight="1">
      <c r="A1030" s="36"/>
      <c r="B1030" s="28"/>
      <c r="C1030" s="24"/>
      <c r="D1030" s="34"/>
      <c r="E1030" s="34"/>
      <c r="F1030" s="34"/>
      <c r="G1030" s="34"/>
      <c r="H1030" s="34"/>
      <c r="I1030" s="35"/>
      <c r="J1030" s="24"/>
      <c r="K1030" s="7"/>
      <c r="L1030" s="9"/>
      <c r="M1030" s="9"/>
      <c r="N1030" s="15"/>
      <c r="O1030" s="15"/>
      <c r="P1030" s="15"/>
      <c r="Q1030" s="15"/>
      <c r="R1030" s="15"/>
    </row>
    <row r="1031" spans="1:18" ht="20.25" customHeight="1">
      <c r="A1031" s="36"/>
      <c r="B1031" s="28"/>
      <c r="C1031" s="24"/>
      <c r="D1031" s="34"/>
      <c r="E1031" s="34"/>
      <c r="F1031" s="34"/>
      <c r="G1031" s="34"/>
      <c r="H1031" s="34"/>
      <c r="I1031" s="35"/>
      <c r="J1031" s="24"/>
      <c r="K1031" s="7"/>
      <c r="L1031" s="9"/>
      <c r="M1031" s="9"/>
      <c r="N1031" s="15"/>
      <c r="O1031" s="15"/>
      <c r="P1031" s="15"/>
      <c r="Q1031" s="15"/>
      <c r="R1031" s="15"/>
    </row>
    <row r="1032" spans="1:18" ht="20.25" customHeight="1">
      <c r="A1032" s="36"/>
      <c r="B1032" s="28"/>
      <c r="C1032" s="24"/>
      <c r="D1032" s="34"/>
      <c r="E1032" s="34"/>
      <c r="F1032" s="34"/>
      <c r="G1032" s="34"/>
      <c r="H1032" s="34"/>
      <c r="I1032" s="35"/>
      <c r="J1032" s="24"/>
      <c r="K1032" s="7"/>
      <c r="L1032" s="9"/>
      <c r="M1032" s="9"/>
      <c r="N1032" s="15"/>
      <c r="O1032" s="15"/>
      <c r="P1032" s="15"/>
      <c r="Q1032" s="15"/>
      <c r="R1032" s="15"/>
    </row>
    <row r="1033" spans="1:18" ht="20.25" customHeight="1">
      <c r="A1033" s="36"/>
      <c r="B1033" s="28"/>
      <c r="C1033" s="24"/>
      <c r="D1033" s="34"/>
      <c r="E1033" s="34"/>
      <c r="F1033" s="34"/>
      <c r="G1033" s="34"/>
      <c r="H1033" s="34"/>
      <c r="I1033" s="35"/>
      <c r="J1033" s="24"/>
      <c r="K1033" s="7"/>
      <c r="L1033" s="9"/>
      <c r="M1033" s="9"/>
      <c r="N1033" s="15"/>
      <c r="O1033" s="15"/>
      <c r="P1033" s="15"/>
      <c r="Q1033" s="15"/>
      <c r="R1033" s="15"/>
    </row>
    <row r="1034" spans="1:18" ht="20.25" customHeight="1">
      <c r="A1034" s="36"/>
      <c r="B1034" s="28"/>
      <c r="C1034" s="24"/>
      <c r="D1034" s="34"/>
      <c r="E1034" s="34"/>
      <c r="F1034" s="34"/>
      <c r="G1034" s="34"/>
      <c r="H1034" s="34"/>
      <c r="I1034" s="35"/>
      <c r="J1034" s="24"/>
      <c r="K1034" s="7"/>
      <c r="L1034" s="9"/>
      <c r="M1034" s="9"/>
      <c r="N1034" s="15"/>
      <c r="O1034" s="15"/>
      <c r="P1034" s="15"/>
      <c r="Q1034" s="15"/>
      <c r="R1034" s="15"/>
    </row>
    <row r="1035" spans="1:18" ht="20.25" customHeight="1">
      <c r="A1035" s="36"/>
      <c r="B1035" s="28"/>
      <c r="C1035" s="24"/>
      <c r="D1035" s="34"/>
      <c r="E1035" s="34"/>
      <c r="F1035" s="34"/>
      <c r="G1035" s="34"/>
      <c r="H1035" s="34"/>
      <c r="I1035" s="35"/>
      <c r="J1035" s="24"/>
      <c r="K1035" s="7"/>
      <c r="L1035" s="9"/>
      <c r="M1035" s="9"/>
      <c r="N1035" s="15"/>
      <c r="O1035" s="15"/>
      <c r="P1035" s="15"/>
      <c r="Q1035" s="15"/>
      <c r="R1035" s="15"/>
    </row>
    <row r="1036" spans="1:18" ht="20.25" customHeight="1">
      <c r="A1036" s="36"/>
      <c r="B1036" s="28"/>
      <c r="C1036" s="24"/>
      <c r="D1036" s="34"/>
      <c r="E1036" s="34"/>
      <c r="F1036" s="34"/>
      <c r="G1036" s="34"/>
      <c r="H1036" s="34"/>
      <c r="I1036" s="35"/>
      <c r="J1036" s="24"/>
      <c r="K1036" s="7"/>
      <c r="L1036" s="9"/>
      <c r="M1036" s="9"/>
      <c r="N1036" s="15"/>
      <c r="O1036" s="15"/>
      <c r="P1036" s="15"/>
      <c r="Q1036" s="15"/>
      <c r="R1036" s="15"/>
    </row>
    <row r="1037" spans="1:18" ht="20.25" customHeight="1">
      <c r="A1037" s="36"/>
      <c r="B1037" s="28"/>
      <c r="C1037" s="24"/>
      <c r="D1037" s="34"/>
      <c r="E1037" s="34"/>
      <c r="F1037" s="34"/>
      <c r="G1037" s="34"/>
      <c r="H1037" s="34"/>
      <c r="I1037" s="35"/>
      <c r="J1037" s="24"/>
      <c r="K1037" s="7"/>
      <c r="L1037" s="9"/>
      <c r="M1037" s="9"/>
      <c r="N1037" s="15"/>
      <c r="O1037" s="15"/>
      <c r="P1037" s="15"/>
      <c r="Q1037" s="15"/>
      <c r="R1037" s="15"/>
    </row>
    <row r="1038" spans="1:18" ht="20.25" customHeight="1">
      <c r="A1038" s="36"/>
      <c r="B1038" s="28"/>
      <c r="C1038" s="24"/>
      <c r="D1038" s="34"/>
      <c r="E1038" s="34"/>
      <c r="F1038" s="34"/>
      <c r="G1038" s="34"/>
      <c r="H1038" s="34"/>
      <c r="I1038" s="35"/>
      <c r="J1038" s="24"/>
      <c r="K1038" s="7"/>
      <c r="L1038" s="9"/>
      <c r="M1038" s="9"/>
      <c r="N1038" s="15"/>
      <c r="O1038" s="15"/>
      <c r="P1038" s="15"/>
      <c r="Q1038" s="15"/>
      <c r="R1038" s="15"/>
    </row>
    <row r="1039" spans="1:18" ht="20.25" customHeight="1">
      <c r="A1039" s="36"/>
      <c r="B1039" s="28"/>
      <c r="C1039" s="24"/>
      <c r="D1039" s="34"/>
      <c r="E1039" s="34"/>
      <c r="F1039" s="34"/>
      <c r="G1039" s="34"/>
      <c r="H1039" s="34"/>
      <c r="I1039" s="35"/>
      <c r="J1039" s="24"/>
      <c r="K1039" s="7"/>
      <c r="L1039" s="9"/>
      <c r="M1039" s="9"/>
      <c r="N1039" s="15"/>
      <c r="O1039" s="15"/>
      <c r="P1039" s="15"/>
      <c r="Q1039" s="15"/>
      <c r="R1039" s="15"/>
    </row>
    <row r="1040" spans="1:18" ht="20.25" customHeight="1">
      <c r="A1040" s="36"/>
      <c r="B1040" s="28"/>
      <c r="C1040" s="24"/>
      <c r="D1040" s="34"/>
      <c r="E1040" s="34"/>
      <c r="F1040" s="34"/>
      <c r="G1040" s="34"/>
      <c r="H1040" s="34"/>
      <c r="I1040" s="35"/>
      <c r="J1040" s="24"/>
      <c r="K1040" s="7"/>
      <c r="L1040" s="9"/>
      <c r="M1040" s="9"/>
      <c r="N1040" s="15"/>
      <c r="O1040" s="15"/>
      <c r="P1040" s="15"/>
      <c r="Q1040" s="15"/>
      <c r="R1040" s="15"/>
    </row>
    <row r="1041" spans="1:18" ht="20.25" customHeight="1">
      <c r="A1041" s="36"/>
      <c r="B1041" s="28"/>
      <c r="C1041" s="24"/>
      <c r="D1041" s="34"/>
      <c r="E1041" s="34"/>
      <c r="F1041" s="34"/>
      <c r="G1041" s="34"/>
      <c r="H1041" s="34"/>
      <c r="I1041" s="35"/>
      <c r="J1041" s="24"/>
      <c r="K1041" s="7"/>
      <c r="L1041" s="9"/>
      <c r="M1041" s="9"/>
      <c r="N1041" s="15"/>
      <c r="O1041" s="15"/>
      <c r="P1041" s="15"/>
      <c r="Q1041" s="15"/>
      <c r="R1041" s="15"/>
    </row>
    <row r="1042" spans="1:18" ht="20.25" customHeight="1">
      <c r="A1042" s="36"/>
      <c r="B1042" s="28"/>
      <c r="C1042" s="24"/>
      <c r="D1042" s="34"/>
      <c r="E1042" s="34"/>
      <c r="F1042" s="34"/>
      <c r="G1042" s="34"/>
      <c r="H1042" s="34"/>
      <c r="I1042" s="35"/>
      <c r="J1042" s="24"/>
      <c r="K1042" s="7"/>
      <c r="L1042" s="9"/>
      <c r="M1042" s="9"/>
      <c r="N1042" s="15"/>
      <c r="O1042" s="15"/>
      <c r="P1042" s="15"/>
      <c r="Q1042" s="15"/>
      <c r="R1042" s="15"/>
    </row>
    <row r="1043" spans="1:18" ht="20.25" customHeight="1">
      <c r="A1043" s="36"/>
      <c r="B1043" s="28"/>
      <c r="C1043" s="24"/>
      <c r="D1043" s="34"/>
      <c r="E1043" s="34"/>
      <c r="F1043" s="34"/>
      <c r="G1043" s="34"/>
      <c r="H1043" s="34"/>
      <c r="I1043" s="35"/>
      <c r="J1043" s="24"/>
      <c r="K1043" s="7"/>
      <c r="L1043" s="9"/>
      <c r="M1043" s="9"/>
      <c r="N1043" s="15"/>
      <c r="O1043" s="15"/>
      <c r="P1043" s="15"/>
      <c r="Q1043" s="15"/>
      <c r="R1043" s="15"/>
    </row>
    <row r="1044" spans="1:18" ht="20.25" customHeight="1">
      <c r="A1044" s="36"/>
      <c r="B1044" s="28"/>
      <c r="C1044" s="24"/>
      <c r="D1044" s="34"/>
      <c r="E1044" s="34"/>
      <c r="F1044" s="34"/>
      <c r="G1044" s="34"/>
      <c r="H1044" s="34"/>
      <c r="I1044" s="35"/>
      <c r="J1044" s="24"/>
      <c r="K1044" s="7"/>
      <c r="L1044" s="9"/>
      <c r="M1044" s="9"/>
      <c r="N1044" s="15"/>
      <c r="O1044" s="15"/>
      <c r="P1044" s="15"/>
      <c r="Q1044" s="15"/>
      <c r="R1044" s="15"/>
    </row>
    <row r="1045" spans="1:18" ht="20.25" customHeight="1">
      <c r="A1045" s="36"/>
      <c r="B1045" s="28"/>
      <c r="C1045" s="24"/>
      <c r="D1045" s="34"/>
      <c r="E1045" s="34"/>
      <c r="F1045" s="34"/>
      <c r="G1045" s="34"/>
      <c r="H1045" s="34"/>
      <c r="I1045" s="35"/>
      <c r="J1045" s="24"/>
      <c r="K1045" s="7"/>
      <c r="L1045" s="9"/>
      <c r="M1045" s="9"/>
      <c r="N1045" s="15"/>
      <c r="O1045" s="15"/>
      <c r="P1045" s="15"/>
      <c r="Q1045" s="15"/>
      <c r="R1045" s="15"/>
    </row>
    <row r="1046" spans="1:18" ht="20.25" customHeight="1">
      <c r="A1046" s="36"/>
      <c r="B1046" s="28"/>
      <c r="C1046" s="24"/>
      <c r="D1046" s="34"/>
      <c r="E1046" s="34"/>
      <c r="F1046" s="34"/>
      <c r="G1046" s="34"/>
      <c r="H1046" s="34"/>
      <c r="I1046" s="35"/>
      <c r="J1046" s="24"/>
      <c r="K1046" s="7"/>
      <c r="L1046" s="9"/>
      <c r="M1046" s="9"/>
      <c r="N1046" s="15"/>
      <c r="O1046" s="15"/>
      <c r="P1046" s="15"/>
      <c r="Q1046" s="15"/>
      <c r="R1046" s="15"/>
    </row>
    <row r="1047" spans="1:18" ht="20.25" customHeight="1">
      <c r="A1047" s="36"/>
      <c r="B1047" s="28"/>
      <c r="C1047" s="24"/>
      <c r="D1047" s="34"/>
      <c r="E1047" s="34"/>
      <c r="F1047" s="34"/>
      <c r="G1047" s="34"/>
      <c r="H1047" s="34"/>
      <c r="I1047" s="35"/>
      <c r="J1047" s="24"/>
      <c r="K1047" s="7"/>
      <c r="L1047" s="9"/>
      <c r="M1047" s="9"/>
      <c r="N1047" s="15"/>
      <c r="O1047" s="15"/>
      <c r="P1047" s="15"/>
      <c r="Q1047" s="15"/>
      <c r="R1047" s="15"/>
    </row>
    <row r="1048" spans="1:18" ht="20.25" customHeight="1">
      <c r="A1048" s="36"/>
      <c r="B1048" s="28"/>
      <c r="C1048" s="24"/>
      <c r="D1048" s="34"/>
      <c r="E1048" s="34"/>
      <c r="F1048" s="34"/>
      <c r="G1048" s="34"/>
      <c r="H1048" s="34"/>
      <c r="I1048" s="35"/>
      <c r="J1048" s="24"/>
      <c r="K1048" s="7"/>
      <c r="L1048" s="9"/>
      <c r="M1048" s="9"/>
      <c r="N1048" s="15"/>
      <c r="O1048" s="15"/>
      <c r="P1048" s="15"/>
      <c r="Q1048" s="15"/>
      <c r="R1048" s="15"/>
    </row>
    <row r="1049" spans="1:18" ht="20.25" customHeight="1">
      <c r="A1049" s="36"/>
      <c r="B1049" s="28"/>
      <c r="C1049" s="24"/>
      <c r="D1049" s="34"/>
      <c r="E1049" s="34"/>
      <c r="F1049" s="34"/>
      <c r="G1049" s="34"/>
      <c r="H1049" s="34"/>
      <c r="I1049" s="35"/>
      <c r="J1049" s="24"/>
      <c r="K1049" s="7"/>
      <c r="L1049" s="9"/>
      <c r="M1049" s="9"/>
      <c r="N1049" s="15"/>
      <c r="O1049" s="15"/>
      <c r="P1049" s="15"/>
      <c r="Q1049" s="15"/>
      <c r="R1049" s="15"/>
    </row>
    <row r="1050" spans="1:18" ht="20.25" customHeight="1">
      <c r="A1050" s="36"/>
      <c r="B1050" s="28"/>
      <c r="C1050" s="24"/>
      <c r="D1050" s="34"/>
      <c r="E1050" s="34"/>
      <c r="F1050" s="34"/>
      <c r="G1050" s="34"/>
      <c r="H1050" s="34"/>
      <c r="I1050" s="35"/>
      <c r="J1050" s="24"/>
      <c r="K1050" s="7"/>
      <c r="L1050" s="9"/>
      <c r="M1050" s="9"/>
      <c r="N1050" s="15"/>
      <c r="O1050" s="15"/>
      <c r="P1050" s="15"/>
      <c r="Q1050" s="15"/>
      <c r="R1050" s="15"/>
    </row>
    <row r="1051" spans="1:18" ht="20.25" customHeight="1">
      <c r="A1051" s="36"/>
      <c r="B1051" s="28"/>
      <c r="C1051" s="24"/>
      <c r="D1051" s="34"/>
      <c r="E1051" s="34"/>
      <c r="F1051" s="34"/>
      <c r="G1051" s="34"/>
      <c r="H1051" s="34"/>
      <c r="I1051" s="35"/>
      <c r="J1051" s="24"/>
      <c r="K1051" s="7"/>
      <c r="L1051" s="9"/>
      <c r="M1051" s="9"/>
      <c r="N1051" s="15"/>
      <c r="O1051" s="15"/>
      <c r="P1051" s="15"/>
      <c r="Q1051" s="15"/>
      <c r="R1051" s="15"/>
    </row>
    <row r="1052" spans="1:18" ht="20.25" customHeight="1">
      <c r="A1052" s="36"/>
      <c r="B1052" s="28"/>
      <c r="C1052" s="24"/>
      <c r="D1052" s="34"/>
      <c r="E1052" s="34"/>
      <c r="F1052" s="34"/>
      <c r="G1052" s="34"/>
      <c r="H1052" s="34"/>
      <c r="I1052" s="35"/>
      <c r="J1052" s="24"/>
      <c r="K1052" s="7"/>
      <c r="L1052" s="9"/>
      <c r="M1052" s="9"/>
      <c r="N1052" s="15"/>
      <c r="O1052" s="15"/>
      <c r="P1052" s="15"/>
      <c r="Q1052" s="15"/>
      <c r="R1052" s="15"/>
    </row>
    <row r="1053" spans="1:18" ht="20.25" customHeight="1">
      <c r="A1053" s="36"/>
      <c r="B1053" s="28"/>
      <c r="C1053" s="24"/>
      <c r="D1053" s="34"/>
      <c r="E1053" s="34"/>
      <c r="F1053" s="34"/>
      <c r="G1053" s="34"/>
      <c r="H1053" s="34"/>
      <c r="I1053" s="35"/>
      <c r="J1053" s="24"/>
      <c r="K1053" s="7"/>
      <c r="L1053" s="9"/>
      <c r="M1053" s="9"/>
      <c r="N1053" s="15"/>
      <c r="O1053" s="15"/>
      <c r="P1053" s="15"/>
      <c r="Q1053" s="15"/>
      <c r="R1053" s="15"/>
    </row>
    <row r="1054" spans="1:18" ht="20.25" customHeight="1">
      <c r="A1054" s="36"/>
      <c r="B1054" s="28"/>
      <c r="C1054" s="24"/>
      <c r="D1054" s="34"/>
      <c r="E1054" s="34"/>
      <c r="F1054" s="34"/>
      <c r="G1054" s="34"/>
      <c r="H1054" s="34"/>
      <c r="I1054" s="35"/>
      <c r="J1054" s="24"/>
      <c r="K1054" s="7"/>
      <c r="L1054" s="9"/>
      <c r="M1054" s="9"/>
      <c r="N1054" s="15"/>
      <c r="O1054" s="15"/>
      <c r="P1054" s="15"/>
      <c r="Q1054" s="15"/>
      <c r="R1054" s="15"/>
    </row>
    <row r="1055" spans="1:18" ht="20.25" customHeight="1">
      <c r="A1055" s="36"/>
      <c r="B1055" s="28"/>
      <c r="C1055" s="24"/>
      <c r="D1055" s="34"/>
      <c r="E1055" s="34"/>
      <c r="F1055" s="34"/>
      <c r="G1055" s="34"/>
      <c r="H1055" s="34"/>
      <c r="I1055" s="35"/>
      <c r="J1055" s="24"/>
      <c r="K1055" s="7"/>
      <c r="L1055" s="9"/>
      <c r="M1055" s="9"/>
      <c r="N1055" s="15"/>
      <c r="O1055" s="15"/>
      <c r="P1055" s="15"/>
      <c r="Q1055" s="15"/>
      <c r="R1055" s="15"/>
    </row>
    <row r="1056" spans="1:18" ht="20.25" customHeight="1">
      <c r="A1056" s="36"/>
      <c r="B1056" s="28"/>
      <c r="C1056" s="24"/>
      <c r="D1056" s="34"/>
      <c r="E1056" s="34"/>
      <c r="F1056" s="34"/>
      <c r="G1056" s="34"/>
      <c r="H1056" s="34"/>
      <c r="I1056" s="35"/>
      <c r="J1056" s="24"/>
      <c r="K1056" s="7"/>
      <c r="L1056" s="9"/>
      <c r="M1056" s="9"/>
      <c r="N1056" s="15"/>
      <c r="O1056" s="15"/>
      <c r="P1056" s="15"/>
      <c r="Q1056" s="15"/>
      <c r="R1056" s="15"/>
    </row>
    <row r="1057" spans="1:18" ht="20.25" customHeight="1">
      <c r="A1057" s="36"/>
      <c r="B1057" s="28"/>
      <c r="C1057" s="24"/>
      <c r="D1057" s="34"/>
      <c r="E1057" s="34"/>
      <c r="F1057" s="34"/>
      <c r="G1057" s="34"/>
      <c r="H1057" s="34"/>
      <c r="I1057" s="35"/>
      <c r="J1057" s="24"/>
      <c r="K1057" s="7"/>
      <c r="L1057" s="9"/>
      <c r="M1057" s="9"/>
      <c r="N1057" s="15"/>
      <c r="O1057" s="15"/>
      <c r="P1057" s="15"/>
      <c r="Q1057" s="15"/>
      <c r="R1057" s="15"/>
    </row>
    <row r="1058" spans="1:18" ht="20.25" customHeight="1">
      <c r="A1058" s="36"/>
      <c r="B1058" s="28"/>
      <c r="C1058" s="24"/>
      <c r="D1058" s="34"/>
      <c r="E1058" s="34"/>
      <c r="F1058" s="34"/>
      <c r="G1058" s="34"/>
      <c r="H1058" s="34"/>
      <c r="I1058" s="35"/>
      <c r="J1058" s="24"/>
      <c r="K1058" s="7"/>
      <c r="L1058" s="9"/>
      <c r="M1058" s="9"/>
      <c r="N1058" s="15"/>
      <c r="O1058" s="15"/>
      <c r="P1058" s="15"/>
      <c r="Q1058" s="15"/>
      <c r="R1058" s="15"/>
    </row>
    <row r="1059" spans="1:18" ht="20.25" customHeight="1">
      <c r="A1059" s="36"/>
      <c r="B1059" s="28"/>
      <c r="C1059" s="24"/>
      <c r="D1059" s="34"/>
      <c r="E1059" s="34"/>
      <c r="F1059" s="34"/>
      <c r="G1059" s="34"/>
      <c r="H1059" s="34"/>
      <c r="I1059" s="35"/>
      <c r="J1059" s="24"/>
      <c r="K1059" s="7"/>
      <c r="L1059" s="9"/>
      <c r="M1059" s="9"/>
      <c r="N1059" s="15"/>
      <c r="O1059" s="15"/>
      <c r="P1059" s="15"/>
      <c r="Q1059" s="15"/>
      <c r="R1059" s="15"/>
    </row>
    <row r="1060" spans="1:18" ht="20.25" customHeight="1">
      <c r="A1060" s="36"/>
      <c r="B1060" s="28"/>
      <c r="C1060" s="24"/>
      <c r="D1060" s="34"/>
      <c r="E1060" s="34"/>
      <c r="F1060" s="34"/>
      <c r="G1060" s="34"/>
      <c r="H1060" s="34"/>
      <c r="I1060" s="35"/>
      <c r="J1060" s="24"/>
      <c r="K1060" s="7"/>
      <c r="L1060" s="9"/>
      <c r="M1060" s="9"/>
      <c r="N1060" s="15"/>
      <c r="O1060" s="15"/>
      <c r="P1060" s="15"/>
      <c r="Q1060" s="15"/>
      <c r="R1060" s="15"/>
    </row>
    <row r="1061" spans="1:18" ht="20.25" customHeight="1">
      <c r="A1061" s="36"/>
      <c r="B1061" s="28"/>
      <c r="C1061" s="24"/>
      <c r="D1061" s="34"/>
      <c r="E1061" s="34"/>
      <c r="F1061" s="34"/>
      <c r="G1061" s="34"/>
      <c r="H1061" s="34"/>
      <c r="I1061" s="35"/>
      <c r="J1061" s="24"/>
      <c r="K1061" s="7"/>
      <c r="L1061" s="9"/>
      <c r="M1061" s="9"/>
      <c r="N1061" s="15"/>
      <c r="O1061" s="15"/>
      <c r="P1061" s="15"/>
      <c r="Q1061" s="15"/>
      <c r="R1061" s="15"/>
    </row>
    <row r="1062" spans="1:18" ht="20.25" customHeight="1">
      <c r="A1062" s="36"/>
      <c r="B1062" s="28"/>
      <c r="C1062" s="24"/>
      <c r="D1062" s="34"/>
      <c r="E1062" s="34"/>
      <c r="F1062" s="34"/>
      <c r="G1062" s="34"/>
      <c r="H1062" s="34"/>
      <c r="I1062" s="35"/>
      <c r="J1062" s="24"/>
      <c r="K1062" s="7"/>
      <c r="L1062" s="9"/>
      <c r="M1062" s="9"/>
      <c r="N1062" s="15"/>
      <c r="O1062" s="15"/>
      <c r="P1062" s="15"/>
      <c r="Q1062" s="15"/>
      <c r="R1062" s="15"/>
    </row>
    <row r="1063" spans="1:18" ht="20.25" customHeight="1">
      <c r="A1063" s="36"/>
      <c r="B1063" s="28"/>
      <c r="C1063" s="24"/>
      <c r="D1063" s="34"/>
      <c r="E1063" s="34"/>
      <c r="F1063" s="34"/>
      <c r="G1063" s="34"/>
      <c r="H1063" s="34"/>
      <c r="I1063" s="35"/>
      <c r="J1063" s="24"/>
      <c r="K1063" s="7"/>
      <c r="L1063" s="9"/>
      <c r="M1063" s="9"/>
      <c r="N1063" s="15"/>
      <c r="O1063" s="15"/>
      <c r="P1063" s="15"/>
      <c r="Q1063" s="15"/>
      <c r="R1063" s="15"/>
    </row>
    <row r="1064" spans="1:18" ht="20.25" customHeight="1">
      <c r="A1064" s="36"/>
      <c r="B1064" s="28"/>
      <c r="C1064" s="24"/>
      <c r="D1064" s="34"/>
      <c r="E1064" s="34"/>
      <c r="F1064" s="34"/>
      <c r="G1064" s="34"/>
      <c r="H1064" s="34"/>
      <c r="I1064" s="35"/>
      <c r="J1064" s="24"/>
      <c r="K1064" s="7"/>
      <c r="L1064" s="9"/>
      <c r="M1064" s="9"/>
      <c r="N1064" s="15"/>
      <c r="O1064" s="15"/>
      <c r="P1064" s="15"/>
      <c r="Q1064" s="15"/>
      <c r="R1064" s="15"/>
    </row>
    <row r="1065" spans="1:18" ht="20.25" customHeight="1">
      <c r="A1065" s="36"/>
      <c r="B1065" s="28"/>
      <c r="C1065" s="24"/>
      <c r="D1065" s="34"/>
      <c r="E1065" s="34"/>
      <c r="F1065" s="34"/>
      <c r="G1065" s="34"/>
      <c r="H1065" s="34"/>
      <c r="I1065" s="35"/>
      <c r="J1065" s="24"/>
      <c r="K1065" s="7"/>
      <c r="L1065" s="9"/>
      <c r="M1065" s="9"/>
      <c r="N1065" s="15"/>
      <c r="O1065" s="15"/>
      <c r="P1065" s="15"/>
      <c r="Q1065" s="15"/>
      <c r="R1065" s="15"/>
    </row>
    <row r="1066" spans="1:18" ht="20.25" customHeight="1">
      <c r="A1066" s="36"/>
      <c r="B1066" s="28"/>
      <c r="C1066" s="24"/>
      <c r="D1066" s="34"/>
      <c r="E1066" s="34"/>
      <c r="F1066" s="34"/>
      <c r="G1066" s="34"/>
      <c r="H1066" s="34"/>
      <c r="I1066" s="35"/>
      <c r="J1066" s="24"/>
      <c r="K1066" s="7"/>
      <c r="L1066" s="9"/>
      <c r="M1066" s="9"/>
      <c r="N1066" s="15"/>
      <c r="O1066" s="15"/>
      <c r="P1066" s="15"/>
      <c r="Q1066" s="15"/>
      <c r="R1066" s="15"/>
    </row>
    <row r="1067" spans="1:18" ht="20.25" customHeight="1">
      <c r="A1067" s="36"/>
      <c r="B1067" s="28"/>
      <c r="C1067" s="24"/>
      <c r="D1067" s="34"/>
      <c r="E1067" s="34"/>
      <c r="F1067" s="34"/>
      <c r="G1067" s="34"/>
      <c r="H1067" s="34"/>
      <c r="I1067" s="35"/>
      <c r="J1067" s="24"/>
      <c r="K1067" s="7"/>
      <c r="L1067" s="9"/>
      <c r="M1067" s="9"/>
      <c r="N1067" s="15"/>
      <c r="O1067" s="15"/>
      <c r="P1067" s="15"/>
      <c r="Q1067" s="15"/>
      <c r="R1067" s="15"/>
    </row>
    <row r="1068" spans="1:18" ht="20.25" customHeight="1">
      <c r="A1068" s="36"/>
      <c r="B1068" s="28"/>
      <c r="C1068" s="24"/>
      <c r="D1068" s="34"/>
      <c r="E1068" s="34"/>
      <c r="F1068" s="34"/>
      <c r="G1068" s="34"/>
      <c r="H1068" s="34"/>
      <c r="I1068" s="35"/>
      <c r="J1068" s="24"/>
      <c r="K1068" s="7"/>
      <c r="L1068" s="9"/>
      <c r="M1068" s="9"/>
      <c r="N1068" s="15"/>
      <c r="O1068" s="15"/>
      <c r="P1068" s="15"/>
      <c r="Q1068" s="15"/>
      <c r="R1068" s="15"/>
    </row>
    <row r="1069" spans="1:18" ht="20.25" customHeight="1">
      <c r="A1069" s="36"/>
      <c r="B1069" s="28"/>
      <c r="C1069" s="24"/>
      <c r="D1069" s="34"/>
      <c r="E1069" s="34"/>
      <c r="F1069" s="34"/>
      <c r="G1069" s="34"/>
      <c r="H1069" s="34"/>
      <c r="I1069" s="35"/>
      <c r="J1069" s="24"/>
      <c r="K1069" s="7"/>
      <c r="L1069" s="9"/>
      <c r="M1069" s="9"/>
      <c r="N1069" s="15"/>
      <c r="O1069" s="15"/>
      <c r="P1069" s="15"/>
      <c r="Q1069" s="15"/>
      <c r="R1069" s="15"/>
    </row>
    <row r="1070" spans="1:18" ht="20.25" customHeight="1">
      <c r="A1070" s="36"/>
      <c r="B1070" s="28"/>
      <c r="C1070" s="24"/>
      <c r="D1070" s="34"/>
      <c r="E1070" s="34"/>
      <c r="F1070" s="34"/>
      <c r="G1070" s="34"/>
      <c r="H1070" s="34"/>
      <c r="I1070" s="35"/>
      <c r="J1070" s="24"/>
      <c r="K1070" s="7"/>
      <c r="L1070" s="9"/>
      <c r="M1070" s="9"/>
      <c r="N1070" s="15"/>
      <c r="O1070" s="15"/>
      <c r="P1070" s="15"/>
      <c r="Q1070" s="15"/>
      <c r="R1070" s="15"/>
    </row>
    <row r="1071" spans="1:18" ht="20.25" customHeight="1">
      <c r="A1071" s="36"/>
      <c r="B1071" s="28"/>
      <c r="C1071" s="24"/>
      <c r="D1071" s="34"/>
      <c r="E1071" s="34"/>
      <c r="F1071" s="34"/>
      <c r="G1071" s="34"/>
      <c r="H1071" s="34"/>
      <c r="I1071" s="35"/>
      <c r="J1071" s="24"/>
      <c r="K1071" s="7"/>
      <c r="L1071" s="9"/>
      <c r="M1071" s="9"/>
      <c r="N1071" s="15"/>
      <c r="O1071" s="15"/>
      <c r="P1071" s="15"/>
      <c r="Q1071" s="15"/>
      <c r="R1071" s="15"/>
    </row>
    <row r="1072" spans="1:18" ht="20.25" customHeight="1">
      <c r="A1072" s="36"/>
      <c r="B1072" s="28"/>
      <c r="C1072" s="24"/>
      <c r="D1072" s="34"/>
      <c r="E1072" s="34"/>
      <c r="F1072" s="34"/>
      <c r="G1072" s="34"/>
      <c r="H1072" s="34"/>
      <c r="I1072" s="35"/>
      <c r="J1072" s="24"/>
      <c r="K1072" s="7"/>
      <c r="L1072" s="9"/>
      <c r="M1072" s="9"/>
      <c r="N1072" s="15"/>
      <c r="O1072" s="15"/>
      <c r="P1072" s="15"/>
      <c r="Q1072" s="15"/>
      <c r="R1072" s="15"/>
    </row>
    <row r="1073" spans="1:18" ht="20.25" customHeight="1">
      <c r="A1073" s="36"/>
      <c r="B1073" s="28"/>
      <c r="C1073" s="24"/>
      <c r="D1073" s="34"/>
      <c r="E1073" s="34"/>
      <c r="F1073" s="34"/>
      <c r="G1073" s="34"/>
      <c r="H1073" s="34"/>
      <c r="I1073" s="35"/>
      <c r="J1073" s="24"/>
      <c r="K1073" s="7"/>
      <c r="L1073" s="9"/>
      <c r="M1073" s="9"/>
      <c r="N1073" s="15"/>
      <c r="O1073" s="15"/>
      <c r="P1073" s="15"/>
      <c r="Q1073" s="15"/>
      <c r="R1073" s="15"/>
    </row>
    <row r="1074" spans="1:18" ht="20.25" customHeight="1">
      <c r="A1074" s="36"/>
      <c r="B1074" s="28"/>
      <c r="C1074" s="24"/>
      <c r="D1074" s="34"/>
      <c r="E1074" s="34"/>
      <c r="F1074" s="34"/>
      <c r="G1074" s="34"/>
      <c r="H1074" s="34"/>
      <c r="I1074" s="35"/>
      <c r="J1074" s="24"/>
      <c r="K1074" s="7"/>
      <c r="L1074" s="9"/>
      <c r="M1074" s="9"/>
      <c r="N1074" s="15"/>
      <c r="O1074" s="15"/>
      <c r="P1074" s="15"/>
      <c r="Q1074" s="15"/>
      <c r="R1074" s="15"/>
    </row>
    <row r="1075" spans="1:18" ht="20.25" customHeight="1">
      <c r="A1075" s="36"/>
      <c r="B1075" s="28"/>
      <c r="C1075" s="24"/>
      <c r="D1075" s="34"/>
      <c r="E1075" s="34"/>
      <c r="F1075" s="34"/>
      <c r="G1075" s="34"/>
      <c r="H1075" s="34"/>
      <c r="I1075" s="35"/>
      <c r="J1075" s="24"/>
      <c r="K1075" s="7"/>
      <c r="L1075" s="9"/>
      <c r="M1075" s="9"/>
      <c r="N1075" s="15"/>
      <c r="O1075" s="15"/>
      <c r="P1075" s="15"/>
      <c r="Q1075" s="15"/>
      <c r="R1075" s="15"/>
    </row>
    <row r="1076" spans="1:18" ht="20.25" customHeight="1">
      <c r="A1076" s="36"/>
      <c r="B1076" s="28"/>
      <c r="C1076" s="24"/>
      <c r="D1076" s="34"/>
      <c r="E1076" s="34"/>
      <c r="F1076" s="34"/>
      <c r="G1076" s="34"/>
      <c r="H1076" s="34"/>
      <c r="I1076" s="35"/>
      <c r="J1076" s="24"/>
      <c r="K1076" s="7"/>
      <c r="L1076" s="9"/>
      <c r="M1076" s="9"/>
      <c r="N1076" s="15"/>
      <c r="O1076" s="15"/>
      <c r="P1076" s="15"/>
      <c r="Q1076" s="15"/>
      <c r="R1076" s="15"/>
    </row>
    <row r="1077" spans="1:18" ht="20.25" customHeight="1">
      <c r="A1077" s="36"/>
      <c r="B1077" s="28"/>
      <c r="C1077" s="24"/>
      <c r="D1077" s="34"/>
      <c r="E1077" s="34"/>
      <c r="F1077" s="34"/>
      <c r="G1077" s="34"/>
      <c r="H1077" s="34"/>
      <c r="I1077" s="35"/>
      <c r="J1077" s="24"/>
      <c r="K1077" s="7"/>
      <c r="L1077" s="9"/>
      <c r="M1077" s="9"/>
      <c r="N1077" s="15"/>
      <c r="O1077" s="15"/>
      <c r="P1077" s="15"/>
      <c r="Q1077" s="15"/>
      <c r="R1077" s="15"/>
    </row>
    <row r="1078" spans="1:18" ht="20.25" customHeight="1">
      <c r="A1078" s="36"/>
      <c r="B1078" s="28"/>
      <c r="C1078" s="24"/>
      <c r="D1078" s="34"/>
      <c r="E1078" s="34"/>
      <c r="F1078" s="34"/>
      <c r="G1078" s="34"/>
      <c r="H1078" s="34"/>
      <c r="I1078" s="35"/>
      <c r="J1078" s="24"/>
      <c r="K1078" s="7"/>
      <c r="L1078" s="9"/>
      <c r="M1078" s="9"/>
      <c r="N1078" s="15"/>
      <c r="O1078" s="15"/>
      <c r="P1078" s="15"/>
      <c r="Q1078" s="15"/>
      <c r="R1078" s="15"/>
    </row>
    <row r="1079" spans="1:18" ht="20.25" customHeight="1">
      <c r="A1079" s="36"/>
      <c r="B1079" s="28"/>
      <c r="C1079" s="24"/>
      <c r="D1079" s="34"/>
      <c r="E1079" s="34"/>
      <c r="F1079" s="34"/>
      <c r="G1079" s="34"/>
      <c r="H1079" s="34"/>
      <c r="I1079" s="35"/>
      <c r="J1079" s="24"/>
      <c r="K1079" s="7"/>
      <c r="L1079" s="9"/>
      <c r="M1079" s="9"/>
      <c r="N1079" s="15"/>
      <c r="O1079" s="15"/>
      <c r="P1079" s="15"/>
      <c r="Q1079" s="15"/>
      <c r="R1079" s="15"/>
    </row>
    <row r="1080" spans="1:18" ht="20.25" customHeight="1">
      <c r="A1080" s="36"/>
      <c r="B1080" s="28"/>
      <c r="C1080" s="24"/>
      <c r="D1080" s="34"/>
      <c r="E1080" s="34"/>
      <c r="F1080" s="34"/>
      <c r="G1080" s="34"/>
      <c r="H1080" s="34"/>
      <c r="I1080" s="35"/>
      <c r="J1080" s="24"/>
      <c r="K1080" s="7"/>
      <c r="L1080" s="9"/>
      <c r="M1080" s="9"/>
      <c r="N1080" s="15"/>
      <c r="O1080" s="15"/>
      <c r="P1080" s="15"/>
      <c r="Q1080" s="15"/>
      <c r="R1080" s="15"/>
    </row>
    <row r="1081" spans="1:18" ht="20.25" customHeight="1">
      <c r="A1081" s="36"/>
      <c r="B1081" s="28"/>
      <c r="C1081" s="24"/>
      <c r="D1081" s="34"/>
      <c r="E1081" s="34"/>
      <c r="F1081" s="34"/>
      <c r="G1081" s="34"/>
      <c r="H1081" s="34"/>
      <c r="I1081" s="35"/>
      <c r="J1081" s="24"/>
      <c r="K1081" s="7"/>
      <c r="L1081" s="9"/>
      <c r="M1081" s="9"/>
      <c r="N1081" s="15"/>
      <c r="O1081" s="15"/>
      <c r="P1081" s="15"/>
      <c r="Q1081" s="15"/>
      <c r="R1081" s="15"/>
    </row>
    <row r="1082" spans="1:18" ht="20.25" customHeight="1">
      <c r="A1082" s="36"/>
      <c r="B1082" s="28"/>
      <c r="C1082" s="24"/>
      <c r="D1082" s="34"/>
      <c r="E1082" s="34"/>
      <c r="F1082" s="34"/>
      <c r="G1082" s="34"/>
      <c r="H1082" s="34"/>
      <c r="I1082" s="35"/>
      <c r="J1082" s="24"/>
      <c r="K1082" s="7"/>
      <c r="L1082" s="9"/>
      <c r="M1082" s="9"/>
      <c r="N1082" s="15"/>
      <c r="O1082" s="15"/>
      <c r="P1082" s="15"/>
      <c r="Q1082" s="15"/>
      <c r="R1082" s="15"/>
    </row>
    <row r="1083" spans="1:18" ht="20.25" customHeight="1">
      <c r="A1083" s="36"/>
      <c r="B1083" s="28"/>
      <c r="C1083" s="24"/>
      <c r="D1083" s="34"/>
      <c r="E1083" s="34"/>
      <c r="F1083" s="34"/>
      <c r="G1083" s="34"/>
      <c r="H1083" s="34"/>
      <c r="I1083" s="35"/>
      <c r="J1083" s="24"/>
      <c r="K1083" s="7"/>
      <c r="L1083" s="9"/>
      <c r="M1083" s="9"/>
      <c r="N1083" s="15"/>
      <c r="O1083" s="15"/>
      <c r="P1083" s="15"/>
      <c r="Q1083" s="15"/>
      <c r="R1083" s="15"/>
    </row>
    <row r="1084" spans="1:18" ht="20.25" customHeight="1">
      <c r="A1084" s="36"/>
      <c r="B1084" s="28"/>
      <c r="C1084" s="24"/>
      <c r="D1084" s="34"/>
      <c r="E1084" s="34"/>
      <c r="F1084" s="34"/>
      <c r="G1084" s="34"/>
      <c r="H1084" s="34"/>
      <c r="I1084" s="35"/>
      <c r="J1084" s="24"/>
      <c r="K1084" s="7"/>
      <c r="L1084" s="9"/>
      <c r="M1084" s="9"/>
      <c r="N1084" s="15"/>
      <c r="O1084" s="15"/>
      <c r="P1084" s="15"/>
      <c r="Q1084" s="15"/>
      <c r="R1084" s="15"/>
    </row>
    <row r="1085" spans="1:18" ht="20.25" customHeight="1">
      <c r="A1085" s="36"/>
      <c r="B1085" s="28"/>
      <c r="C1085" s="24"/>
      <c r="D1085" s="34"/>
      <c r="E1085" s="34"/>
      <c r="F1085" s="34"/>
      <c r="G1085" s="34"/>
      <c r="H1085" s="34"/>
      <c r="I1085" s="35"/>
      <c r="J1085" s="24"/>
      <c r="K1085" s="7"/>
      <c r="L1085" s="9"/>
      <c r="M1085" s="9"/>
      <c r="N1085" s="15"/>
      <c r="O1085" s="15"/>
      <c r="P1085" s="15"/>
      <c r="Q1085" s="15"/>
      <c r="R1085" s="15"/>
    </row>
    <row r="1086" spans="1:18" ht="20.25" customHeight="1">
      <c r="A1086" s="36"/>
      <c r="B1086" s="28"/>
      <c r="C1086" s="24"/>
      <c r="D1086" s="34"/>
      <c r="E1086" s="34"/>
      <c r="F1086" s="34"/>
      <c r="G1086" s="34"/>
      <c r="H1086" s="34"/>
      <c r="I1086" s="35"/>
      <c r="J1086" s="24"/>
      <c r="K1086" s="7"/>
      <c r="L1086" s="9"/>
      <c r="M1086" s="9"/>
      <c r="N1086" s="15"/>
      <c r="O1086" s="15"/>
      <c r="P1086" s="15"/>
      <c r="Q1086" s="15"/>
      <c r="R1086" s="15"/>
    </row>
    <row r="1087" spans="1:18" ht="20.25" customHeight="1">
      <c r="A1087" s="36"/>
      <c r="B1087" s="28"/>
      <c r="C1087" s="24"/>
      <c r="D1087" s="34"/>
      <c r="E1087" s="34"/>
      <c r="F1087" s="34"/>
      <c r="G1087" s="34"/>
      <c r="H1087" s="34"/>
      <c r="I1087" s="35"/>
      <c r="J1087" s="24"/>
      <c r="K1087" s="7"/>
      <c r="L1087" s="9"/>
      <c r="M1087" s="9"/>
      <c r="N1087" s="15"/>
      <c r="O1087" s="15"/>
      <c r="P1087" s="15"/>
      <c r="Q1087" s="15"/>
      <c r="R1087" s="15"/>
    </row>
    <row r="1088" spans="1:18" ht="20.25" customHeight="1">
      <c r="A1088" s="36"/>
      <c r="B1088" s="28"/>
      <c r="C1088" s="24"/>
      <c r="D1088" s="34"/>
      <c r="E1088" s="34"/>
      <c r="F1088" s="34"/>
      <c r="G1088" s="34"/>
      <c r="H1088" s="34"/>
      <c r="I1088" s="35"/>
      <c r="J1088" s="24"/>
      <c r="K1088" s="7"/>
      <c r="L1088" s="9"/>
      <c r="M1088" s="9"/>
      <c r="N1088" s="15"/>
      <c r="O1088" s="15"/>
      <c r="P1088" s="15"/>
      <c r="Q1088" s="15"/>
      <c r="R1088" s="15"/>
    </row>
    <row r="1089" spans="1:18" ht="20.25" customHeight="1">
      <c r="A1089" s="36"/>
      <c r="B1089" s="28"/>
      <c r="C1089" s="24"/>
      <c r="D1089" s="34"/>
      <c r="E1089" s="34"/>
      <c r="F1089" s="34"/>
      <c r="G1089" s="34"/>
      <c r="H1089" s="34"/>
      <c r="I1089" s="35"/>
      <c r="J1089" s="24"/>
      <c r="K1089" s="7"/>
      <c r="L1089" s="9"/>
      <c r="M1089" s="9"/>
      <c r="N1089" s="15"/>
      <c r="O1089" s="15"/>
      <c r="P1089" s="15"/>
      <c r="Q1089" s="15"/>
      <c r="R1089" s="15"/>
    </row>
    <row r="1090" spans="1:18" ht="20.25" customHeight="1">
      <c r="A1090" s="36"/>
      <c r="B1090" s="28"/>
      <c r="C1090" s="24"/>
      <c r="D1090" s="34"/>
      <c r="E1090" s="34"/>
      <c r="F1090" s="34"/>
      <c r="G1090" s="34"/>
      <c r="H1090" s="34"/>
      <c r="I1090" s="35"/>
      <c r="J1090" s="24"/>
      <c r="K1090" s="7"/>
      <c r="L1090" s="9"/>
      <c r="M1090" s="9"/>
      <c r="N1090" s="15"/>
      <c r="O1090" s="15"/>
      <c r="P1090" s="15"/>
      <c r="Q1090" s="15"/>
      <c r="R1090" s="15"/>
    </row>
    <row r="1091" spans="1:18" ht="20.25" customHeight="1">
      <c r="A1091" s="36"/>
      <c r="B1091" s="28"/>
      <c r="C1091" s="24"/>
      <c r="D1091" s="34"/>
      <c r="E1091" s="34"/>
      <c r="F1091" s="34"/>
      <c r="G1091" s="34"/>
      <c r="H1091" s="34"/>
      <c r="I1091" s="35"/>
      <c r="J1091" s="24"/>
      <c r="K1091" s="7"/>
      <c r="L1091" s="9"/>
      <c r="M1091" s="9"/>
      <c r="N1091" s="15"/>
      <c r="O1091" s="15"/>
      <c r="P1091" s="15"/>
      <c r="Q1091" s="15"/>
      <c r="R1091" s="15"/>
    </row>
    <row r="1092" spans="1:18" ht="20.25" customHeight="1">
      <c r="A1092" s="36"/>
      <c r="B1092" s="28"/>
      <c r="C1092" s="24"/>
      <c r="D1092" s="34"/>
      <c r="E1092" s="34"/>
      <c r="F1092" s="34"/>
      <c r="G1092" s="34"/>
      <c r="H1092" s="34"/>
      <c r="I1092" s="35"/>
      <c r="J1092" s="24"/>
      <c r="K1092" s="7"/>
      <c r="L1092" s="9"/>
      <c r="M1092" s="9"/>
      <c r="N1092" s="15"/>
      <c r="O1092" s="15"/>
      <c r="P1092" s="15"/>
      <c r="Q1092" s="15"/>
      <c r="R1092" s="15"/>
    </row>
    <row r="1093" spans="1:18" ht="20.25" customHeight="1">
      <c r="A1093" s="36"/>
      <c r="B1093" s="28"/>
      <c r="C1093" s="24"/>
      <c r="D1093" s="34"/>
      <c r="E1093" s="34"/>
      <c r="F1093" s="34"/>
      <c r="G1093" s="34"/>
      <c r="H1093" s="34"/>
      <c r="I1093" s="35"/>
      <c r="J1093" s="24"/>
      <c r="K1093" s="7"/>
      <c r="L1093" s="9"/>
      <c r="M1093" s="9"/>
      <c r="N1093" s="15"/>
      <c r="O1093" s="15"/>
      <c r="P1093" s="15"/>
      <c r="Q1093" s="15"/>
      <c r="R1093" s="15"/>
    </row>
    <row r="1094" spans="1:18" ht="20.25" customHeight="1">
      <c r="A1094" s="36"/>
      <c r="B1094" s="28"/>
      <c r="C1094" s="24"/>
      <c r="D1094" s="34"/>
      <c r="E1094" s="34"/>
      <c r="F1094" s="34"/>
      <c r="G1094" s="34"/>
      <c r="H1094" s="34"/>
      <c r="I1094" s="35"/>
      <c r="J1094" s="24"/>
      <c r="K1094" s="7"/>
      <c r="L1094" s="9"/>
      <c r="M1094" s="9"/>
      <c r="N1094" s="15"/>
      <c r="O1094" s="15"/>
      <c r="P1094" s="15"/>
      <c r="Q1094" s="15"/>
      <c r="R1094" s="15"/>
    </row>
    <row r="1095" spans="1:18" ht="20.25" customHeight="1">
      <c r="A1095" s="36"/>
      <c r="B1095" s="28"/>
      <c r="C1095" s="24"/>
      <c r="D1095" s="34"/>
      <c r="E1095" s="34"/>
      <c r="F1095" s="34"/>
      <c r="G1095" s="34"/>
      <c r="H1095" s="34"/>
      <c r="I1095" s="35"/>
      <c r="J1095" s="24"/>
      <c r="K1095" s="7"/>
      <c r="L1095" s="9"/>
      <c r="M1095" s="9"/>
      <c r="N1095" s="15"/>
      <c r="O1095" s="15"/>
      <c r="P1095" s="15"/>
      <c r="Q1095" s="15"/>
      <c r="R1095" s="15"/>
    </row>
    <row r="1096" spans="1:18" ht="20.25" customHeight="1">
      <c r="A1096" s="36"/>
      <c r="B1096" s="28"/>
      <c r="C1096" s="24"/>
      <c r="D1096" s="34"/>
      <c r="E1096" s="34"/>
      <c r="F1096" s="34"/>
      <c r="G1096" s="34"/>
      <c r="H1096" s="34"/>
      <c r="I1096" s="35"/>
      <c r="J1096" s="24"/>
      <c r="K1096" s="7"/>
      <c r="L1096" s="9"/>
      <c r="M1096" s="9"/>
      <c r="N1096" s="15"/>
      <c r="O1096" s="15"/>
      <c r="P1096" s="15"/>
      <c r="Q1096" s="15"/>
      <c r="R1096" s="15"/>
    </row>
    <row r="1097" spans="1:18" ht="20.25" customHeight="1">
      <c r="A1097" s="36"/>
      <c r="B1097" s="28"/>
      <c r="C1097" s="24"/>
      <c r="D1097" s="34"/>
      <c r="E1097" s="34"/>
      <c r="F1097" s="34"/>
      <c r="G1097" s="34"/>
      <c r="H1097" s="34"/>
      <c r="I1097" s="35"/>
      <c r="J1097" s="24"/>
      <c r="K1097" s="7"/>
      <c r="L1097" s="9"/>
      <c r="M1097" s="9"/>
      <c r="N1097" s="15"/>
      <c r="O1097" s="15"/>
      <c r="P1097" s="15"/>
      <c r="Q1097" s="15"/>
      <c r="R1097" s="15"/>
    </row>
    <row r="1098" spans="1:18" ht="20.25" customHeight="1">
      <c r="A1098" s="36"/>
      <c r="B1098" s="28"/>
      <c r="C1098" s="24"/>
      <c r="D1098" s="34"/>
      <c r="E1098" s="34"/>
      <c r="F1098" s="34"/>
      <c r="G1098" s="34"/>
      <c r="H1098" s="34"/>
      <c r="I1098" s="35"/>
      <c r="J1098" s="24"/>
      <c r="K1098" s="7"/>
      <c r="L1098" s="9"/>
      <c r="M1098" s="9"/>
      <c r="N1098" s="15"/>
      <c r="O1098" s="15"/>
      <c r="P1098" s="15"/>
      <c r="Q1098" s="15"/>
      <c r="R1098" s="15"/>
    </row>
    <row r="1099" spans="1:18" ht="20.25" customHeight="1">
      <c r="A1099" s="36"/>
      <c r="B1099" s="28"/>
      <c r="C1099" s="24"/>
      <c r="D1099" s="34"/>
      <c r="E1099" s="34"/>
      <c r="F1099" s="34"/>
      <c r="G1099" s="34"/>
      <c r="H1099" s="34"/>
      <c r="I1099" s="35"/>
      <c r="J1099" s="24"/>
      <c r="K1099" s="7"/>
      <c r="L1099" s="9"/>
      <c r="M1099" s="9"/>
      <c r="N1099" s="15"/>
      <c r="O1099" s="15"/>
      <c r="P1099" s="15"/>
      <c r="Q1099" s="15"/>
      <c r="R1099" s="15"/>
    </row>
    <row r="1100" spans="1:18" ht="20.25" customHeight="1">
      <c r="A1100" s="36"/>
      <c r="B1100" s="28"/>
      <c r="C1100" s="24"/>
      <c r="D1100" s="34"/>
      <c r="E1100" s="34"/>
      <c r="F1100" s="34"/>
      <c r="G1100" s="34"/>
      <c r="H1100" s="34"/>
      <c r="I1100" s="35"/>
      <c r="J1100" s="24"/>
      <c r="K1100" s="7"/>
      <c r="L1100" s="9"/>
      <c r="M1100" s="9"/>
      <c r="N1100" s="15"/>
      <c r="O1100" s="15"/>
      <c r="P1100" s="15"/>
      <c r="Q1100" s="15"/>
      <c r="R1100" s="15"/>
    </row>
    <row r="1101" spans="1:18" ht="20.25" customHeight="1">
      <c r="A1101" s="36"/>
      <c r="B1101" s="28"/>
      <c r="C1101" s="24"/>
      <c r="D1101" s="34"/>
      <c r="E1101" s="34"/>
      <c r="F1101" s="34"/>
      <c r="G1101" s="34"/>
      <c r="H1101" s="34"/>
      <c r="I1101" s="35"/>
      <c r="J1101" s="24"/>
      <c r="K1101" s="7"/>
      <c r="L1101" s="9"/>
      <c r="M1101" s="9"/>
      <c r="N1101" s="15"/>
      <c r="O1101" s="15"/>
      <c r="P1101" s="15"/>
      <c r="Q1101" s="15"/>
      <c r="R1101" s="15"/>
    </row>
    <row r="1102" spans="1:18" ht="20.25" customHeight="1">
      <c r="A1102" s="36"/>
      <c r="B1102" s="28"/>
      <c r="C1102" s="24"/>
      <c r="D1102" s="34"/>
      <c r="E1102" s="34"/>
      <c r="F1102" s="34"/>
      <c r="G1102" s="34"/>
      <c r="H1102" s="34"/>
      <c r="I1102" s="35"/>
      <c r="J1102" s="24"/>
      <c r="K1102" s="7"/>
      <c r="L1102" s="9"/>
      <c r="M1102" s="9"/>
      <c r="N1102" s="15"/>
      <c r="O1102" s="15"/>
      <c r="P1102" s="15"/>
      <c r="Q1102" s="15"/>
      <c r="R1102" s="15"/>
    </row>
    <row r="1103" spans="1:18" ht="20.25" customHeight="1">
      <c r="A1103" s="36"/>
      <c r="B1103" s="28"/>
      <c r="C1103" s="24"/>
      <c r="D1103" s="34"/>
      <c r="E1103" s="34"/>
      <c r="F1103" s="34"/>
      <c r="G1103" s="34"/>
      <c r="H1103" s="34"/>
      <c r="I1103" s="35"/>
      <c r="J1103" s="24"/>
      <c r="K1103" s="7"/>
      <c r="L1103" s="9"/>
      <c r="M1103" s="9"/>
      <c r="N1103" s="15"/>
      <c r="O1103" s="15"/>
      <c r="P1103" s="15"/>
      <c r="Q1103" s="15"/>
      <c r="R1103" s="15"/>
    </row>
    <row r="1104" spans="1:18" ht="20.25" customHeight="1">
      <c r="A1104" s="36"/>
      <c r="B1104" s="28"/>
      <c r="C1104" s="24"/>
      <c r="D1104" s="34"/>
      <c r="E1104" s="34"/>
      <c r="F1104" s="34"/>
      <c r="G1104" s="34"/>
      <c r="H1104" s="34"/>
      <c r="I1104" s="35"/>
      <c r="J1104" s="24"/>
      <c r="K1104" s="7"/>
      <c r="L1104" s="9"/>
      <c r="M1104" s="9"/>
      <c r="N1104" s="15"/>
      <c r="O1104" s="15"/>
      <c r="P1104" s="15"/>
      <c r="Q1104" s="15"/>
      <c r="R1104" s="15"/>
    </row>
    <row r="1105" spans="1:18" ht="20.25" customHeight="1">
      <c r="A1105" s="36"/>
      <c r="B1105" s="28"/>
      <c r="C1105" s="24"/>
      <c r="D1105" s="34"/>
      <c r="E1105" s="34"/>
      <c r="F1105" s="34"/>
      <c r="G1105" s="34"/>
      <c r="H1105" s="34"/>
      <c r="I1105" s="35"/>
      <c r="J1105" s="24"/>
      <c r="K1105" s="7"/>
      <c r="L1105" s="9"/>
      <c r="M1105" s="9"/>
      <c r="N1105" s="15"/>
      <c r="O1105" s="15"/>
      <c r="P1105" s="15"/>
      <c r="Q1105" s="15"/>
      <c r="R1105" s="15"/>
    </row>
    <row r="1106" spans="1:18" ht="20.25" customHeight="1">
      <c r="A1106" s="36"/>
      <c r="B1106" s="28"/>
      <c r="C1106" s="24"/>
      <c r="D1106" s="34"/>
      <c r="E1106" s="34"/>
      <c r="F1106" s="34"/>
      <c r="G1106" s="34"/>
      <c r="H1106" s="34"/>
      <c r="I1106" s="35"/>
      <c r="J1106" s="24"/>
      <c r="K1106" s="7"/>
      <c r="L1106" s="9"/>
      <c r="M1106" s="9"/>
      <c r="N1106" s="15"/>
      <c r="O1106" s="15"/>
      <c r="P1106" s="15"/>
      <c r="Q1106" s="15"/>
      <c r="R1106" s="15"/>
    </row>
    <row r="1107" spans="1:18" ht="20.25" customHeight="1">
      <c r="A1107" s="36"/>
      <c r="B1107" s="28"/>
      <c r="C1107" s="24"/>
      <c r="D1107" s="34"/>
      <c r="E1107" s="34"/>
      <c r="F1107" s="34"/>
      <c r="G1107" s="34"/>
      <c r="H1107" s="34"/>
      <c r="I1107" s="35"/>
      <c r="J1107" s="24"/>
      <c r="K1107" s="7"/>
      <c r="L1107" s="9"/>
      <c r="M1107" s="9"/>
      <c r="N1107" s="15"/>
      <c r="O1107" s="15"/>
      <c r="P1107" s="15"/>
      <c r="Q1107" s="15"/>
      <c r="R1107" s="15"/>
    </row>
    <row r="1108" spans="1:18" ht="20.25" customHeight="1">
      <c r="A1108" s="36"/>
      <c r="B1108" s="28"/>
      <c r="C1108" s="24"/>
      <c r="D1108" s="34"/>
      <c r="E1108" s="34"/>
      <c r="F1108" s="34"/>
      <c r="G1108" s="34"/>
      <c r="H1108" s="34"/>
      <c r="I1108" s="35"/>
      <c r="J1108" s="24"/>
      <c r="K1108" s="7"/>
      <c r="L1108" s="9"/>
      <c r="M1108" s="9"/>
      <c r="N1108" s="15"/>
      <c r="O1108" s="15"/>
      <c r="P1108" s="15"/>
      <c r="Q1108" s="15"/>
      <c r="R1108" s="15"/>
    </row>
    <row r="1109" spans="1:18" ht="20.25" customHeight="1">
      <c r="A1109" s="36"/>
      <c r="B1109" s="28"/>
      <c r="C1109" s="24"/>
      <c r="D1109" s="34"/>
      <c r="E1109" s="34"/>
      <c r="F1109" s="34"/>
      <c r="G1109" s="34"/>
      <c r="H1109" s="34"/>
      <c r="I1109" s="35"/>
      <c r="J1109" s="24"/>
      <c r="K1109" s="7"/>
      <c r="L1109" s="9"/>
      <c r="M1109" s="9"/>
      <c r="N1109" s="15"/>
      <c r="O1109" s="15"/>
      <c r="P1109" s="15"/>
      <c r="Q1109" s="15"/>
      <c r="R1109" s="15"/>
    </row>
    <row r="1110" spans="1:18" ht="20.25" customHeight="1">
      <c r="A1110" s="36"/>
      <c r="B1110" s="28"/>
      <c r="C1110" s="24"/>
      <c r="D1110" s="34"/>
      <c r="E1110" s="34"/>
      <c r="F1110" s="34"/>
      <c r="G1110" s="34"/>
      <c r="H1110" s="34"/>
      <c r="I1110" s="35"/>
      <c r="J1110" s="24"/>
      <c r="K1110" s="7"/>
      <c r="L1110" s="9"/>
      <c r="M1110" s="9"/>
      <c r="N1110" s="15"/>
      <c r="O1110" s="15"/>
      <c r="P1110" s="15"/>
      <c r="Q1110" s="15"/>
      <c r="R1110" s="15"/>
    </row>
    <row r="1111" spans="1:18" ht="20.25" customHeight="1">
      <c r="A1111" s="36"/>
      <c r="B1111" s="28"/>
      <c r="C1111" s="24"/>
      <c r="D1111" s="34"/>
      <c r="E1111" s="34"/>
      <c r="F1111" s="34"/>
      <c r="G1111" s="34"/>
      <c r="H1111" s="34"/>
      <c r="I1111" s="35"/>
      <c r="J1111" s="24"/>
      <c r="K1111" s="7"/>
      <c r="L1111" s="9"/>
      <c r="M1111" s="9"/>
      <c r="N1111" s="15"/>
      <c r="O1111" s="15"/>
      <c r="P1111" s="15"/>
      <c r="Q1111" s="15"/>
      <c r="R1111" s="15"/>
    </row>
    <row r="1112" spans="1:18" ht="20.25" customHeight="1">
      <c r="A1112" s="36"/>
      <c r="B1112" s="28"/>
      <c r="C1112" s="24"/>
      <c r="D1112" s="34"/>
      <c r="E1112" s="34"/>
      <c r="F1112" s="34"/>
      <c r="G1112" s="34"/>
      <c r="H1112" s="34"/>
      <c r="I1112" s="35"/>
      <c r="J1112" s="24"/>
      <c r="K1112" s="7"/>
      <c r="L1112" s="9"/>
      <c r="M1112" s="9"/>
      <c r="N1112" s="15"/>
      <c r="O1112" s="15"/>
      <c r="P1112" s="15"/>
      <c r="Q1112" s="15"/>
      <c r="R1112" s="15"/>
    </row>
    <row r="1113" spans="1:18" ht="20.25" customHeight="1">
      <c r="A1113" s="36"/>
      <c r="B1113" s="28"/>
      <c r="C1113" s="24"/>
      <c r="D1113" s="34"/>
      <c r="E1113" s="34"/>
      <c r="F1113" s="34"/>
      <c r="G1113" s="34"/>
      <c r="H1113" s="34"/>
      <c r="I1113" s="35"/>
      <c r="J1113" s="24"/>
      <c r="K1113" s="7"/>
      <c r="L1113" s="9"/>
      <c r="M1113" s="9"/>
      <c r="N1113" s="15"/>
      <c r="O1113" s="15"/>
      <c r="P1113" s="15"/>
      <c r="Q1113" s="15"/>
      <c r="R1113" s="15"/>
    </row>
    <row r="1114" spans="1:18" ht="20.25" customHeight="1">
      <c r="A1114" s="36"/>
      <c r="B1114" s="28"/>
      <c r="C1114" s="24"/>
      <c r="D1114" s="34"/>
      <c r="E1114" s="34"/>
      <c r="F1114" s="34"/>
      <c r="G1114" s="34"/>
      <c r="H1114" s="34"/>
      <c r="I1114" s="35"/>
      <c r="J1114" s="24"/>
      <c r="K1114" s="7"/>
      <c r="L1114" s="9"/>
      <c r="M1114" s="9"/>
      <c r="N1114" s="15"/>
      <c r="O1114" s="15"/>
      <c r="P1114" s="15"/>
      <c r="Q1114" s="15"/>
      <c r="R1114" s="15"/>
    </row>
    <row r="1115" spans="1:18" ht="20.25" customHeight="1">
      <c r="A1115" s="36"/>
      <c r="B1115" s="28"/>
      <c r="C1115" s="24"/>
      <c r="D1115" s="34"/>
      <c r="E1115" s="34"/>
      <c r="F1115" s="34"/>
      <c r="G1115" s="34"/>
      <c r="H1115" s="34"/>
      <c r="I1115" s="35"/>
      <c r="J1115" s="24"/>
      <c r="K1115" s="7"/>
      <c r="L1115" s="9"/>
      <c r="M1115" s="9"/>
      <c r="N1115" s="15"/>
      <c r="O1115" s="15"/>
      <c r="P1115" s="15"/>
      <c r="Q1115" s="15"/>
      <c r="R1115" s="15"/>
    </row>
    <row r="1116" spans="1:18" ht="20.25" customHeight="1">
      <c r="A1116" s="36"/>
      <c r="B1116" s="28"/>
      <c r="C1116" s="24"/>
      <c r="D1116" s="34"/>
      <c r="E1116" s="34"/>
      <c r="F1116" s="34"/>
      <c r="G1116" s="34"/>
      <c r="H1116" s="34"/>
      <c r="I1116" s="35"/>
      <c r="J1116" s="24"/>
      <c r="K1116" s="7"/>
      <c r="L1116" s="9"/>
      <c r="M1116" s="9"/>
      <c r="N1116" s="15"/>
      <c r="O1116" s="15"/>
      <c r="P1116" s="15"/>
      <c r="Q1116" s="15"/>
      <c r="R1116" s="15"/>
    </row>
    <row r="1117" spans="1:18" ht="20.25" customHeight="1">
      <c r="A1117" s="36"/>
      <c r="B1117" s="28"/>
      <c r="C1117" s="24"/>
      <c r="D1117" s="34"/>
      <c r="E1117" s="34"/>
      <c r="F1117" s="34"/>
      <c r="G1117" s="34"/>
      <c r="H1117" s="34"/>
      <c r="I1117" s="35"/>
      <c r="J1117" s="24"/>
      <c r="K1117" s="7"/>
      <c r="L1117" s="9"/>
      <c r="M1117" s="9"/>
      <c r="N1117" s="15"/>
      <c r="O1117" s="15"/>
      <c r="P1117" s="15"/>
      <c r="Q1117" s="15"/>
      <c r="R1117" s="15"/>
    </row>
    <row r="1118" spans="1:18" ht="20.25" customHeight="1">
      <c r="A1118" s="36"/>
      <c r="B1118" s="28"/>
      <c r="C1118" s="24"/>
      <c r="D1118" s="34"/>
      <c r="E1118" s="34"/>
      <c r="F1118" s="34"/>
      <c r="G1118" s="34"/>
      <c r="H1118" s="34"/>
      <c r="I1118" s="35"/>
      <c r="J1118" s="24"/>
      <c r="K1118" s="7"/>
      <c r="L1118" s="9"/>
      <c r="M1118" s="9"/>
      <c r="N1118" s="15"/>
      <c r="O1118" s="15"/>
      <c r="P1118" s="15"/>
      <c r="Q1118" s="15"/>
      <c r="R1118" s="15"/>
    </row>
    <row r="1119" spans="1:18" ht="20.25" customHeight="1">
      <c r="A1119" s="36"/>
      <c r="B1119" s="28"/>
      <c r="C1119" s="24"/>
      <c r="D1119" s="34"/>
      <c r="E1119" s="34"/>
      <c r="F1119" s="34"/>
      <c r="G1119" s="34"/>
      <c r="H1119" s="34"/>
      <c r="I1119" s="35"/>
      <c r="J1119" s="24"/>
      <c r="K1119" s="7"/>
      <c r="L1119" s="9"/>
      <c r="M1119" s="9"/>
      <c r="N1119" s="15"/>
      <c r="O1119" s="15"/>
      <c r="P1119" s="15"/>
      <c r="Q1119" s="15"/>
      <c r="R1119" s="15"/>
    </row>
    <row r="1120" spans="1:18" ht="20.25" customHeight="1">
      <c r="A1120" s="36"/>
      <c r="B1120" s="28"/>
      <c r="C1120" s="24"/>
      <c r="D1120" s="34"/>
      <c r="E1120" s="34"/>
      <c r="F1120" s="34"/>
      <c r="G1120" s="34"/>
      <c r="H1120" s="34"/>
      <c r="I1120" s="35"/>
      <c r="J1120" s="24"/>
      <c r="K1120" s="7"/>
      <c r="L1120" s="9"/>
      <c r="M1120" s="9"/>
      <c r="N1120" s="15"/>
      <c r="O1120" s="15"/>
      <c r="P1120" s="15"/>
      <c r="Q1120" s="15"/>
      <c r="R1120" s="15"/>
    </row>
    <row r="1121" spans="1:18" ht="20.25" customHeight="1">
      <c r="A1121" s="36"/>
      <c r="B1121" s="28"/>
      <c r="C1121" s="24"/>
      <c r="D1121" s="34"/>
      <c r="E1121" s="34"/>
      <c r="F1121" s="34"/>
      <c r="G1121" s="34"/>
      <c r="H1121" s="34"/>
      <c r="I1121" s="35"/>
      <c r="J1121" s="24"/>
      <c r="K1121" s="7"/>
      <c r="L1121" s="9"/>
      <c r="M1121" s="9"/>
      <c r="N1121" s="15"/>
      <c r="O1121" s="15"/>
      <c r="P1121" s="15"/>
      <c r="Q1121" s="15"/>
      <c r="R1121" s="15"/>
    </row>
    <row r="1122" spans="1:18" ht="20.25" customHeight="1">
      <c r="A1122" s="36"/>
      <c r="B1122" s="28"/>
      <c r="C1122" s="24"/>
      <c r="D1122" s="34"/>
      <c r="E1122" s="34"/>
      <c r="F1122" s="34"/>
      <c r="G1122" s="34"/>
      <c r="H1122" s="34"/>
      <c r="I1122" s="35"/>
      <c r="J1122" s="24"/>
      <c r="K1122" s="7"/>
      <c r="L1122" s="9"/>
      <c r="M1122" s="9"/>
      <c r="N1122" s="15"/>
      <c r="O1122" s="15"/>
      <c r="P1122" s="15"/>
      <c r="Q1122" s="15"/>
      <c r="R1122" s="15"/>
    </row>
    <row r="1123" spans="1:18" ht="20.25" customHeight="1">
      <c r="A1123" s="36"/>
      <c r="B1123" s="28"/>
      <c r="C1123" s="24"/>
      <c r="D1123" s="34"/>
      <c r="E1123" s="34"/>
      <c r="F1123" s="34"/>
      <c r="G1123" s="34"/>
      <c r="H1123" s="34"/>
      <c r="I1123" s="35"/>
      <c r="J1123" s="24"/>
      <c r="K1123" s="7"/>
      <c r="L1123" s="9"/>
      <c r="M1123" s="9"/>
      <c r="N1123" s="15"/>
      <c r="O1123" s="15"/>
      <c r="P1123" s="15"/>
      <c r="Q1123" s="15"/>
      <c r="R1123" s="15"/>
    </row>
    <row r="1124" spans="1:18" ht="20.25" customHeight="1">
      <c r="A1124" s="36"/>
      <c r="B1124" s="28"/>
      <c r="C1124" s="24"/>
      <c r="D1124" s="34"/>
      <c r="E1124" s="34"/>
      <c r="F1124" s="34"/>
      <c r="G1124" s="34"/>
      <c r="H1124" s="34"/>
      <c r="I1124" s="35"/>
      <c r="J1124" s="24"/>
      <c r="K1124" s="7"/>
      <c r="L1124" s="9"/>
      <c r="M1124" s="9"/>
      <c r="N1124" s="15"/>
      <c r="O1124" s="15"/>
      <c r="P1124" s="15"/>
      <c r="Q1124" s="15"/>
      <c r="R1124" s="15"/>
    </row>
    <row r="1125" spans="1:18" ht="20.25" customHeight="1">
      <c r="A1125" s="36"/>
      <c r="B1125" s="28"/>
      <c r="C1125" s="24"/>
      <c r="D1125" s="34"/>
      <c r="E1125" s="34"/>
      <c r="F1125" s="34"/>
      <c r="G1125" s="34"/>
      <c r="H1125" s="34"/>
      <c r="I1125" s="35"/>
      <c r="J1125" s="24"/>
      <c r="K1125" s="7"/>
      <c r="L1125" s="9"/>
      <c r="M1125" s="9"/>
      <c r="N1125" s="15"/>
      <c r="O1125" s="15"/>
      <c r="P1125" s="15"/>
      <c r="Q1125" s="15"/>
      <c r="R1125" s="15"/>
    </row>
    <row r="1126" spans="1:18" ht="20.25" customHeight="1">
      <c r="A1126" s="36"/>
      <c r="B1126" s="28"/>
      <c r="C1126" s="24"/>
      <c r="D1126" s="34"/>
      <c r="E1126" s="34"/>
      <c r="F1126" s="34"/>
      <c r="G1126" s="34"/>
      <c r="H1126" s="34"/>
      <c r="I1126" s="35"/>
      <c r="J1126" s="24"/>
      <c r="K1126" s="7"/>
      <c r="L1126" s="9"/>
      <c r="M1126" s="9"/>
      <c r="N1126" s="15"/>
      <c r="O1126" s="15"/>
      <c r="P1126" s="15"/>
      <c r="Q1126" s="15"/>
      <c r="R1126" s="15"/>
    </row>
    <row r="1127" spans="1:18" ht="20.25" customHeight="1">
      <c r="A1127" s="36"/>
      <c r="B1127" s="28"/>
      <c r="C1127" s="24"/>
      <c r="D1127" s="34"/>
      <c r="E1127" s="34"/>
      <c r="F1127" s="34"/>
      <c r="G1127" s="34"/>
      <c r="H1127" s="34"/>
      <c r="I1127" s="35"/>
      <c r="J1127" s="24"/>
      <c r="K1127" s="7"/>
      <c r="L1127" s="9"/>
      <c r="M1127" s="9"/>
      <c r="N1127" s="15"/>
      <c r="O1127" s="15"/>
      <c r="P1127" s="15"/>
      <c r="Q1127" s="15"/>
      <c r="R1127" s="15"/>
    </row>
    <row r="1128" spans="1:18" ht="20.25" customHeight="1">
      <c r="A1128" s="36"/>
      <c r="B1128" s="28"/>
      <c r="C1128" s="24"/>
      <c r="D1128" s="34"/>
      <c r="E1128" s="34"/>
      <c r="F1128" s="34"/>
      <c r="G1128" s="34"/>
      <c r="H1128" s="34"/>
      <c r="I1128" s="35"/>
      <c r="J1128" s="24"/>
      <c r="K1128" s="7"/>
      <c r="L1128" s="9"/>
      <c r="M1128" s="9"/>
      <c r="N1128" s="15"/>
      <c r="O1128" s="15"/>
      <c r="P1128" s="15"/>
      <c r="Q1128" s="15"/>
      <c r="R1128" s="15"/>
    </row>
    <row r="1129" spans="1:18" ht="20.25" customHeight="1">
      <c r="A1129" s="36"/>
      <c r="B1129" s="28"/>
      <c r="C1129" s="24"/>
      <c r="D1129" s="34"/>
      <c r="E1129" s="34"/>
      <c r="F1129" s="34"/>
      <c r="G1129" s="34"/>
      <c r="H1129" s="34"/>
      <c r="I1129" s="35"/>
      <c r="J1129" s="24"/>
      <c r="K1129" s="7"/>
      <c r="L1129" s="9"/>
      <c r="M1129" s="9"/>
      <c r="N1129" s="15"/>
      <c r="O1129" s="15"/>
      <c r="P1129" s="15"/>
      <c r="Q1129" s="15"/>
      <c r="R1129" s="15"/>
    </row>
    <row r="1130" spans="1:18" ht="20.25" customHeight="1">
      <c r="A1130" s="36"/>
      <c r="B1130" s="28"/>
      <c r="C1130" s="24"/>
      <c r="D1130" s="34"/>
      <c r="E1130" s="34"/>
      <c r="F1130" s="34"/>
      <c r="G1130" s="34"/>
      <c r="H1130" s="34"/>
      <c r="I1130" s="35"/>
      <c r="J1130" s="24"/>
      <c r="K1130" s="7"/>
      <c r="L1130" s="9"/>
      <c r="M1130" s="9"/>
      <c r="N1130" s="15"/>
      <c r="O1130" s="15"/>
      <c r="P1130" s="15"/>
      <c r="Q1130" s="15"/>
      <c r="R1130" s="15"/>
    </row>
    <row r="1131" spans="1:18" ht="20.25" customHeight="1">
      <c r="A1131" s="36"/>
      <c r="B1131" s="28"/>
      <c r="C1131" s="24"/>
      <c r="D1131" s="34"/>
      <c r="E1131" s="34"/>
      <c r="F1131" s="34"/>
      <c r="G1131" s="34"/>
      <c r="H1131" s="34"/>
      <c r="I1131" s="35"/>
      <c r="J1131" s="24"/>
      <c r="K1131" s="7"/>
      <c r="L1131" s="9"/>
      <c r="M1131" s="9"/>
      <c r="N1131" s="15"/>
      <c r="O1131" s="15"/>
      <c r="P1131" s="15"/>
      <c r="Q1131" s="15"/>
      <c r="R1131" s="15"/>
    </row>
    <row r="1132" spans="1:18" ht="20.25" customHeight="1">
      <c r="A1132" s="36"/>
      <c r="B1132" s="28"/>
      <c r="C1132" s="24"/>
      <c r="D1132" s="34"/>
      <c r="E1132" s="34"/>
      <c r="F1132" s="34"/>
      <c r="G1132" s="34"/>
      <c r="H1132" s="34"/>
      <c r="I1132" s="35"/>
      <c r="J1132" s="24"/>
      <c r="K1132" s="7"/>
      <c r="L1132" s="9"/>
      <c r="M1132" s="9"/>
      <c r="N1132" s="15"/>
      <c r="O1132" s="15"/>
      <c r="P1132" s="15"/>
      <c r="Q1132" s="15"/>
      <c r="R1132" s="15"/>
    </row>
    <row r="1133" spans="1:18" ht="20.25" customHeight="1">
      <c r="A1133" s="36"/>
      <c r="B1133" s="28"/>
      <c r="C1133" s="24"/>
      <c r="D1133" s="34"/>
      <c r="E1133" s="34"/>
      <c r="F1133" s="34"/>
      <c r="G1133" s="34"/>
      <c r="H1133" s="34"/>
      <c r="I1133" s="35"/>
      <c r="J1133" s="24"/>
      <c r="K1133" s="7"/>
      <c r="L1133" s="9"/>
      <c r="M1133" s="9"/>
      <c r="N1133" s="15"/>
      <c r="O1133" s="15"/>
      <c r="P1133" s="15"/>
      <c r="Q1133" s="15"/>
      <c r="R1133" s="15"/>
    </row>
    <row r="1134" spans="1:18" ht="20.25" customHeight="1">
      <c r="A1134" s="36"/>
      <c r="B1134" s="28"/>
      <c r="C1134" s="24"/>
      <c r="D1134" s="34"/>
      <c r="E1134" s="34"/>
      <c r="F1134" s="34"/>
      <c r="G1134" s="34"/>
      <c r="H1134" s="34"/>
      <c r="I1134" s="35"/>
      <c r="J1134" s="24"/>
      <c r="K1134" s="7"/>
      <c r="L1134" s="9"/>
      <c r="M1134" s="9"/>
      <c r="N1134" s="15"/>
      <c r="O1134" s="15"/>
      <c r="P1134" s="15"/>
      <c r="Q1134" s="15"/>
      <c r="R1134" s="15"/>
    </row>
    <row r="1135" spans="1:18" ht="20.25" customHeight="1">
      <c r="A1135" s="36"/>
      <c r="B1135" s="28"/>
      <c r="C1135" s="24"/>
      <c r="D1135" s="34"/>
      <c r="E1135" s="34"/>
      <c r="F1135" s="34"/>
      <c r="G1135" s="34"/>
      <c r="H1135" s="34"/>
      <c r="I1135" s="35"/>
      <c r="J1135" s="24"/>
      <c r="K1135" s="7"/>
      <c r="L1135" s="9"/>
      <c r="M1135" s="9"/>
      <c r="N1135" s="15"/>
      <c r="O1135" s="15"/>
      <c r="P1135" s="15"/>
      <c r="Q1135" s="15"/>
      <c r="R1135" s="15"/>
    </row>
    <row r="1136" spans="1:18" ht="20.25" customHeight="1">
      <c r="A1136" s="36"/>
      <c r="B1136" s="28"/>
      <c r="C1136" s="24"/>
      <c r="D1136" s="34"/>
      <c r="E1136" s="34"/>
      <c r="F1136" s="34"/>
      <c r="G1136" s="34"/>
      <c r="H1136" s="34"/>
      <c r="I1136" s="35"/>
      <c r="J1136" s="24"/>
      <c r="K1136" s="7"/>
      <c r="L1136" s="9"/>
      <c r="M1136" s="9"/>
      <c r="N1136" s="15"/>
      <c r="O1136" s="15"/>
      <c r="P1136" s="15"/>
      <c r="Q1136" s="15"/>
      <c r="R1136" s="15"/>
    </row>
    <row r="1137" spans="1:18" ht="20.25" customHeight="1">
      <c r="A1137" s="36"/>
      <c r="B1137" s="28"/>
      <c r="C1137" s="24"/>
      <c r="D1137" s="34"/>
      <c r="E1137" s="34"/>
      <c r="F1137" s="34"/>
      <c r="G1137" s="34"/>
      <c r="H1137" s="34"/>
      <c r="I1137" s="35"/>
      <c r="J1137" s="24"/>
      <c r="K1137" s="7"/>
      <c r="L1137" s="9"/>
      <c r="M1137" s="9"/>
      <c r="N1137" s="15"/>
      <c r="O1137" s="15"/>
      <c r="P1137" s="15"/>
      <c r="Q1137" s="15"/>
      <c r="R1137" s="15"/>
    </row>
    <row r="1138" spans="1:18" ht="20.25" customHeight="1">
      <c r="A1138" s="36"/>
      <c r="B1138" s="28"/>
      <c r="C1138" s="24"/>
      <c r="D1138" s="34"/>
      <c r="E1138" s="34"/>
      <c r="F1138" s="34"/>
      <c r="G1138" s="34"/>
      <c r="H1138" s="34"/>
      <c r="I1138" s="35"/>
      <c r="J1138" s="24"/>
      <c r="K1138" s="7"/>
      <c r="L1138" s="9"/>
      <c r="M1138" s="9"/>
      <c r="N1138" s="15"/>
      <c r="O1138" s="15"/>
      <c r="P1138" s="15"/>
      <c r="Q1138" s="15"/>
      <c r="R1138" s="15"/>
    </row>
    <row r="1139" spans="1:18" ht="20.25" customHeight="1">
      <c r="A1139" s="36"/>
      <c r="B1139" s="28"/>
      <c r="C1139" s="24"/>
      <c r="D1139" s="34"/>
      <c r="E1139" s="34"/>
      <c r="F1139" s="34"/>
      <c r="G1139" s="34"/>
      <c r="H1139" s="34"/>
      <c r="I1139" s="35"/>
      <c r="J1139" s="24"/>
      <c r="K1139" s="7"/>
      <c r="L1139" s="9"/>
      <c r="M1139" s="9"/>
      <c r="N1139" s="15"/>
      <c r="O1139" s="15"/>
      <c r="P1139" s="15"/>
      <c r="Q1139" s="15"/>
      <c r="R1139" s="15"/>
    </row>
    <row r="1140" spans="1:18" ht="20.25" customHeight="1">
      <c r="A1140" s="36"/>
      <c r="B1140" s="28"/>
      <c r="C1140" s="24"/>
      <c r="D1140" s="34"/>
      <c r="E1140" s="34"/>
      <c r="F1140" s="34"/>
      <c r="G1140" s="34"/>
      <c r="H1140" s="34"/>
      <c r="I1140" s="35"/>
      <c r="J1140" s="24"/>
      <c r="K1140" s="7"/>
      <c r="L1140" s="9"/>
      <c r="M1140" s="9"/>
      <c r="N1140" s="15"/>
      <c r="O1140" s="15"/>
      <c r="P1140" s="15"/>
      <c r="Q1140" s="15"/>
      <c r="R1140" s="15"/>
    </row>
    <row r="1141" spans="1:18" ht="20.25" customHeight="1">
      <c r="A1141" s="36"/>
      <c r="B1141" s="28"/>
      <c r="C1141" s="24"/>
      <c r="D1141" s="34"/>
      <c r="E1141" s="34"/>
      <c r="F1141" s="34"/>
      <c r="G1141" s="34"/>
      <c r="H1141" s="34"/>
      <c r="I1141" s="35"/>
      <c r="J1141" s="24"/>
      <c r="K1141" s="7"/>
      <c r="L1141" s="9"/>
      <c r="M1141" s="9"/>
      <c r="N1141" s="15"/>
      <c r="O1141" s="15"/>
      <c r="P1141" s="15"/>
      <c r="Q1141" s="15"/>
      <c r="R1141" s="15"/>
    </row>
    <row r="1142" spans="1:18" ht="20.25" customHeight="1">
      <c r="A1142" s="36"/>
      <c r="B1142" s="28"/>
      <c r="C1142" s="24"/>
      <c r="D1142" s="34"/>
      <c r="E1142" s="34"/>
      <c r="F1142" s="34"/>
      <c r="G1142" s="34"/>
      <c r="H1142" s="34"/>
      <c r="I1142" s="35"/>
      <c r="J1142" s="24"/>
      <c r="K1142" s="7"/>
      <c r="L1142" s="9"/>
      <c r="M1142" s="9"/>
      <c r="N1142" s="15"/>
      <c r="O1142" s="15"/>
      <c r="P1142" s="15"/>
      <c r="Q1142" s="15"/>
      <c r="R1142" s="15"/>
    </row>
    <row r="1143" spans="1:18" ht="20.25" customHeight="1">
      <c r="A1143" s="36"/>
      <c r="B1143" s="28"/>
      <c r="C1143" s="24"/>
      <c r="D1143" s="34"/>
      <c r="E1143" s="34"/>
      <c r="F1143" s="34"/>
      <c r="G1143" s="34"/>
      <c r="H1143" s="34"/>
      <c r="I1143" s="35"/>
      <c r="J1143" s="24"/>
      <c r="K1143" s="7"/>
      <c r="L1143" s="9"/>
      <c r="M1143" s="9"/>
      <c r="N1143" s="15"/>
      <c r="O1143" s="15"/>
      <c r="P1143" s="15"/>
      <c r="Q1143" s="15"/>
      <c r="R1143" s="15"/>
    </row>
    <row r="1144" spans="1:18" ht="20.25" customHeight="1">
      <c r="A1144" s="36"/>
      <c r="B1144" s="28"/>
      <c r="C1144" s="24"/>
      <c r="D1144" s="34"/>
      <c r="E1144" s="34"/>
      <c r="F1144" s="34"/>
      <c r="G1144" s="34"/>
      <c r="H1144" s="34"/>
      <c r="I1144" s="35"/>
      <c r="J1144" s="24"/>
      <c r="K1144" s="7"/>
      <c r="L1144" s="9"/>
      <c r="M1144" s="9"/>
      <c r="N1144" s="15"/>
      <c r="O1144" s="15"/>
      <c r="P1144" s="15"/>
      <c r="Q1144" s="15"/>
      <c r="R1144" s="15"/>
    </row>
    <row r="1145" spans="1:18" ht="20.25" customHeight="1">
      <c r="A1145" s="36"/>
      <c r="B1145" s="28"/>
      <c r="C1145" s="24"/>
      <c r="D1145" s="34"/>
      <c r="E1145" s="34"/>
      <c r="F1145" s="34"/>
      <c r="G1145" s="34"/>
      <c r="H1145" s="34"/>
      <c r="I1145" s="35"/>
      <c r="J1145" s="24"/>
      <c r="K1145" s="7"/>
      <c r="L1145" s="9"/>
      <c r="M1145" s="9"/>
      <c r="N1145" s="15"/>
      <c r="O1145" s="15"/>
      <c r="P1145" s="15"/>
      <c r="Q1145" s="15"/>
      <c r="R1145" s="15"/>
    </row>
    <row r="1146" spans="1:18" ht="20.25" customHeight="1">
      <c r="A1146" s="36"/>
      <c r="B1146" s="28"/>
      <c r="C1146" s="24"/>
      <c r="D1146" s="34"/>
      <c r="E1146" s="34"/>
      <c r="F1146" s="34"/>
      <c r="G1146" s="34"/>
      <c r="H1146" s="34"/>
      <c r="I1146" s="35"/>
      <c r="J1146" s="24"/>
      <c r="K1146" s="7"/>
      <c r="L1146" s="9"/>
      <c r="M1146" s="9"/>
      <c r="N1146" s="15"/>
      <c r="O1146" s="15"/>
      <c r="P1146" s="15"/>
      <c r="Q1146" s="15"/>
      <c r="R1146" s="15"/>
    </row>
    <row r="1147" spans="1:18" ht="20.25" customHeight="1">
      <c r="A1147" s="36"/>
      <c r="B1147" s="28"/>
      <c r="C1147" s="24"/>
      <c r="D1147" s="34"/>
      <c r="E1147" s="34"/>
      <c r="F1147" s="34"/>
      <c r="G1147" s="34"/>
      <c r="H1147" s="34"/>
      <c r="I1147" s="35"/>
      <c r="J1147" s="24"/>
      <c r="K1147" s="7"/>
      <c r="L1147" s="9"/>
      <c r="M1147" s="9"/>
      <c r="N1147" s="15"/>
      <c r="O1147" s="15"/>
      <c r="P1147" s="15"/>
      <c r="Q1147" s="15"/>
      <c r="R1147" s="15"/>
    </row>
    <row r="1148" spans="1:18" ht="20.25" customHeight="1">
      <c r="A1148" s="36"/>
      <c r="B1148" s="28"/>
      <c r="C1148" s="24"/>
      <c r="D1148" s="34"/>
      <c r="E1148" s="34"/>
      <c r="F1148" s="34"/>
      <c r="G1148" s="34"/>
      <c r="H1148" s="34"/>
      <c r="I1148" s="35"/>
      <c r="J1148" s="24"/>
      <c r="K1148" s="7"/>
      <c r="L1148" s="9"/>
      <c r="M1148" s="9"/>
      <c r="N1148" s="15"/>
      <c r="O1148" s="15"/>
      <c r="P1148" s="15"/>
      <c r="Q1148" s="15"/>
      <c r="R1148" s="15"/>
    </row>
    <row r="1149" spans="1:18" ht="20.25" customHeight="1">
      <c r="A1149" s="36"/>
      <c r="B1149" s="28"/>
      <c r="C1149" s="24"/>
      <c r="D1149" s="34"/>
      <c r="E1149" s="34"/>
      <c r="F1149" s="34"/>
      <c r="G1149" s="34"/>
      <c r="H1149" s="34"/>
      <c r="I1149" s="35"/>
      <c r="J1149" s="24"/>
      <c r="K1149" s="7"/>
      <c r="L1149" s="9"/>
      <c r="M1149" s="9"/>
      <c r="N1149" s="15"/>
      <c r="O1149" s="15"/>
      <c r="P1149" s="15"/>
      <c r="Q1149" s="15"/>
      <c r="R1149" s="15"/>
    </row>
    <row r="1150" spans="1:18" ht="20.25" customHeight="1">
      <c r="A1150" s="36"/>
      <c r="B1150" s="28"/>
      <c r="C1150" s="24"/>
      <c r="D1150" s="34"/>
      <c r="E1150" s="34"/>
      <c r="F1150" s="34"/>
      <c r="G1150" s="34"/>
      <c r="H1150" s="34"/>
      <c r="I1150" s="35"/>
      <c r="J1150" s="24"/>
      <c r="K1150" s="7"/>
      <c r="L1150" s="9"/>
      <c r="M1150" s="9"/>
      <c r="N1150" s="15"/>
      <c r="O1150" s="15"/>
      <c r="P1150" s="15"/>
      <c r="Q1150" s="15"/>
      <c r="R1150" s="15"/>
    </row>
    <row r="1151" spans="1:18" ht="20.25" customHeight="1">
      <c r="A1151" s="36"/>
      <c r="B1151" s="28"/>
      <c r="C1151" s="24"/>
      <c r="D1151" s="34"/>
      <c r="E1151" s="34"/>
      <c r="F1151" s="34"/>
      <c r="G1151" s="34"/>
      <c r="H1151" s="34"/>
      <c r="I1151" s="35"/>
      <c r="J1151" s="24"/>
      <c r="K1151" s="7"/>
      <c r="L1151" s="9"/>
      <c r="M1151" s="9"/>
      <c r="N1151" s="15"/>
      <c r="O1151" s="15"/>
      <c r="P1151" s="15"/>
      <c r="Q1151" s="15"/>
      <c r="R1151" s="15"/>
    </row>
    <row r="1152" spans="1:18" ht="20.25" customHeight="1">
      <c r="A1152" s="36"/>
      <c r="B1152" s="28"/>
      <c r="C1152" s="24"/>
      <c r="D1152" s="34"/>
      <c r="E1152" s="34"/>
      <c r="F1152" s="34"/>
      <c r="G1152" s="34"/>
      <c r="H1152" s="34"/>
      <c r="I1152" s="35"/>
      <c r="J1152" s="24"/>
      <c r="K1152" s="7"/>
      <c r="L1152" s="9"/>
      <c r="M1152" s="9"/>
      <c r="N1152" s="15"/>
      <c r="O1152" s="15"/>
      <c r="P1152" s="15"/>
      <c r="Q1152" s="15"/>
      <c r="R1152" s="15"/>
    </row>
    <row r="1153" spans="1:18" ht="20.25" customHeight="1">
      <c r="A1153" s="36"/>
      <c r="B1153" s="28"/>
      <c r="C1153" s="24"/>
      <c r="D1153" s="34"/>
      <c r="E1153" s="34"/>
      <c r="F1153" s="34"/>
      <c r="G1153" s="34"/>
      <c r="H1153" s="34"/>
      <c r="I1153" s="35"/>
      <c r="J1153" s="24"/>
      <c r="K1153" s="7"/>
      <c r="L1153" s="9"/>
      <c r="M1153" s="9"/>
      <c r="N1153" s="15"/>
      <c r="O1153" s="15"/>
      <c r="P1153" s="15"/>
      <c r="Q1153" s="15"/>
      <c r="R1153" s="15"/>
    </row>
    <row r="1154" spans="1:18" ht="20.25" customHeight="1">
      <c r="A1154" s="36"/>
      <c r="B1154" s="28"/>
      <c r="C1154" s="24"/>
      <c r="D1154" s="34"/>
      <c r="E1154" s="34"/>
      <c r="F1154" s="34"/>
      <c r="G1154" s="34"/>
      <c r="H1154" s="34"/>
      <c r="I1154" s="35"/>
      <c r="J1154" s="24"/>
      <c r="K1154" s="7"/>
      <c r="L1154" s="9"/>
      <c r="M1154" s="9"/>
      <c r="N1154" s="15"/>
      <c r="O1154" s="15"/>
      <c r="P1154" s="15"/>
      <c r="Q1154" s="15"/>
      <c r="R1154" s="15"/>
    </row>
    <row r="1155" spans="1:18" ht="20.25" customHeight="1">
      <c r="A1155" s="36"/>
      <c r="B1155" s="28"/>
      <c r="C1155" s="24"/>
      <c r="D1155" s="34"/>
      <c r="E1155" s="34"/>
      <c r="F1155" s="34"/>
      <c r="G1155" s="34"/>
      <c r="H1155" s="34"/>
      <c r="I1155" s="35"/>
      <c r="J1155" s="24"/>
      <c r="K1155" s="7"/>
      <c r="L1155" s="9"/>
      <c r="M1155" s="9"/>
      <c r="N1155" s="15"/>
      <c r="O1155" s="15"/>
      <c r="P1155" s="15"/>
      <c r="Q1155" s="15"/>
      <c r="R1155" s="15"/>
    </row>
    <row r="1156" spans="1:18" ht="20.25" customHeight="1">
      <c r="A1156" s="36"/>
      <c r="B1156" s="28"/>
      <c r="C1156" s="24"/>
      <c r="D1156" s="34"/>
      <c r="E1156" s="34"/>
      <c r="F1156" s="34"/>
      <c r="G1156" s="34"/>
      <c r="H1156" s="34"/>
      <c r="I1156" s="35"/>
      <c r="J1156" s="24"/>
      <c r="K1156" s="7"/>
      <c r="L1156" s="9"/>
      <c r="M1156" s="9"/>
      <c r="N1156" s="15"/>
      <c r="O1156" s="15"/>
      <c r="P1156" s="15"/>
      <c r="Q1156" s="15"/>
      <c r="R1156" s="15"/>
    </row>
    <row r="1157" spans="1:18" ht="20.25" customHeight="1">
      <c r="A1157" s="36"/>
      <c r="B1157" s="28"/>
      <c r="C1157" s="24"/>
      <c r="D1157" s="34"/>
      <c r="E1157" s="34"/>
      <c r="F1157" s="34"/>
      <c r="G1157" s="34"/>
      <c r="H1157" s="34"/>
      <c r="I1157" s="35"/>
      <c r="J1157" s="24"/>
      <c r="K1157" s="7"/>
      <c r="L1157" s="9"/>
      <c r="M1157" s="9"/>
      <c r="N1157" s="15"/>
      <c r="O1157" s="15"/>
      <c r="P1157" s="15"/>
      <c r="Q1157" s="15"/>
      <c r="R1157" s="15"/>
    </row>
    <row r="1158" spans="1:18" ht="20.25" customHeight="1">
      <c r="A1158" s="36"/>
      <c r="B1158" s="28"/>
      <c r="C1158" s="24"/>
      <c r="D1158" s="34"/>
      <c r="E1158" s="34"/>
      <c r="F1158" s="34"/>
      <c r="G1158" s="34"/>
      <c r="H1158" s="34"/>
      <c r="I1158" s="35"/>
      <c r="J1158" s="24"/>
      <c r="K1158" s="7"/>
      <c r="L1158" s="9"/>
      <c r="M1158" s="9"/>
      <c r="N1158" s="15"/>
      <c r="O1158" s="15"/>
      <c r="P1158" s="15"/>
      <c r="Q1158" s="15"/>
      <c r="R1158" s="15"/>
    </row>
    <row r="1159" spans="1:18" ht="20.25" customHeight="1">
      <c r="A1159" s="36"/>
      <c r="B1159" s="28"/>
      <c r="C1159" s="24"/>
      <c r="D1159" s="34"/>
      <c r="E1159" s="34"/>
      <c r="F1159" s="34"/>
      <c r="G1159" s="34"/>
      <c r="H1159" s="34"/>
      <c r="I1159" s="35"/>
      <c r="J1159" s="24"/>
      <c r="K1159" s="7"/>
      <c r="L1159" s="9"/>
      <c r="M1159" s="9"/>
      <c r="N1159" s="15"/>
      <c r="O1159" s="15"/>
      <c r="P1159" s="15"/>
      <c r="Q1159" s="15"/>
      <c r="R1159" s="15"/>
    </row>
    <row r="1160" spans="1:18" ht="20.25" customHeight="1">
      <c r="A1160" s="36"/>
      <c r="B1160" s="28"/>
      <c r="C1160" s="24"/>
      <c r="D1160" s="34"/>
      <c r="E1160" s="34"/>
      <c r="F1160" s="34"/>
      <c r="G1160" s="34"/>
      <c r="H1160" s="34"/>
      <c r="I1160" s="35"/>
      <c r="J1160" s="24"/>
      <c r="K1160" s="7"/>
      <c r="L1160" s="9"/>
      <c r="M1160" s="9"/>
      <c r="N1160" s="15"/>
      <c r="O1160" s="15"/>
      <c r="P1160" s="15"/>
      <c r="Q1160" s="15"/>
      <c r="R1160" s="15"/>
    </row>
    <row r="1161" spans="1:18" ht="20.25" customHeight="1">
      <c r="A1161" s="36"/>
      <c r="B1161" s="28"/>
      <c r="C1161" s="24"/>
      <c r="D1161" s="34"/>
      <c r="E1161" s="34"/>
      <c r="F1161" s="34"/>
      <c r="G1161" s="34"/>
      <c r="H1161" s="34"/>
      <c r="I1161" s="35"/>
      <c r="J1161" s="24"/>
      <c r="K1161" s="7"/>
      <c r="L1161" s="9"/>
      <c r="M1161" s="9"/>
      <c r="N1161" s="15"/>
      <c r="O1161" s="15"/>
      <c r="P1161" s="15"/>
      <c r="Q1161" s="15"/>
      <c r="R1161" s="15"/>
    </row>
    <row r="1162" spans="1:18" ht="20.25" customHeight="1">
      <c r="A1162" s="36"/>
      <c r="B1162" s="28"/>
      <c r="C1162" s="24"/>
      <c r="D1162" s="34"/>
      <c r="E1162" s="34"/>
      <c r="F1162" s="34"/>
      <c r="G1162" s="34"/>
      <c r="H1162" s="34"/>
      <c r="I1162" s="35"/>
      <c r="J1162" s="24"/>
      <c r="K1162" s="7"/>
      <c r="L1162" s="9"/>
      <c r="M1162" s="9"/>
      <c r="N1162" s="15"/>
      <c r="O1162" s="15"/>
      <c r="P1162" s="15"/>
      <c r="Q1162" s="15"/>
      <c r="R1162" s="15"/>
    </row>
    <row r="1163" spans="1:18" ht="20.25" customHeight="1">
      <c r="A1163" s="36"/>
      <c r="B1163" s="28"/>
      <c r="C1163" s="24"/>
      <c r="D1163" s="34"/>
      <c r="E1163" s="34"/>
      <c r="F1163" s="34"/>
      <c r="G1163" s="34"/>
      <c r="H1163" s="34"/>
      <c r="I1163" s="35"/>
      <c r="J1163" s="24"/>
      <c r="K1163" s="7"/>
      <c r="L1163" s="9"/>
      <c r="M1163" s="9"/>
      <c r="N1163" s="15"/>
      <c r="O1163" s="15"/>
      <c r="P1163" s="15"/>
      <c r="Q1163" s="15"/>
      <c r="R1163" s="15"/>
    </row>
    <row r="1164" spans="1:18" ht="20.25" customHeight="1">
      <c r="A1164" s="36"/>
      <c r="B1164" s="28"/>
      <c r="C1164" s="24"/>
      <c r="D1164" s="34"/>
      <c r="E1164" s="34"/>
      <c r="F1164" s="34"/>
      <c r="G1164" s="34"/>
      <c r="H1164" s="34"/>
      <c r="I1164" s="35"/>
      <c r="J1164" s="24"/>
      <c r="K1164" s="7"/>
      <c r="L1164" s="9"/>
      <c r="M1164" s="9"/>
      <c r="N1164" s="15"/>
      <c r="O1164" s="15"/>
      <c r="P1164" s="15"/>
      <c r="Q1164" s="15"/>
      <c r="R1164" s="15"/>
    </row>
    <row r="1165" spans="1:18" ht="20.25" customHeight="1">
      <c r="A1165" s="36"/>
      <c r="B1165" s="28"/>
      <c r="C1165" s="24"/>
      <c r="D1165" s="34"/>
      <c r="E1165" s="34"/>
      <c r="F1165" s="34"/>
      <c r="G1165" s="34"/>
      <c r="H1165" s="34"/>
      <c r="I1165" s="35"/>
      <c r="J1165" s="24"/>
      <c r="K1165" s="7"/>
      <c r="L1165" s="9"/>
      <c r="M1165" s="9"/>
      <c r="N1165" s="15"/>
      <c r="O1165" s="15"/>
      <c r="P1165" s="15"/>
      <c r="Q1165" s="15"/>
      <c r="R1165" s="15"/>
    </row>
    <row r="1166" spans="1:18" ht="20.25" customHeight="1">
      <c r="A1166" s="36"/>
      <c r="B1166" s="28"/>
      <c r="C1166" s="24"/>
      <c r="D1166" s="34"/>
      <c r="E1166" s="34"/>
      <c r="F1166" s="34"/>
      <c r="G1166" s="34"/>
      <c r="H1166" s="34"/>
      <c r="I1166" s="35"/>
      <c r="J1166" s="24"/>
      <c r="K1166" s="7"/>
      <c r="L1166" s="9"/>
      <c r="M1166" s="9"/>
      <c r="N1166" s="15"/>
      <c r="O1166" s="15"/>
      <c r="P1166" s="15"/>
      <c r="Q1166" s="15"/>
      <c r="R1166" s="15"/>
    </row>
    <row r="1167" spans="1:18" ht="20.25" customHeight="1">
      <c r="A1167" s="36"/>
      <c r="B1167" s="28"/>
      <c r="C1167" s="24"/>
      <c r="D1167" s="34"/>
      <c r="E1167" s="34"/>
      <c r="F1167" s="34"/>
      <c r="G1167" s="34"/>
      <c r="H1167" s="34"/>
      <c r="I1167" s="35"/>
      <c r="J1167" s="24"/>
      <c r="K1167" s="7"/>
      <c r="L1167" s="9"/>
      <c r="M1167" s="9"/>
      <c r="N1167" s="15"/>
      <c r="O1167" s="15"/>
      <c r="P1167" s="15"/>
      <c r="Q1167" s="15"/>
      <c r="R1167" s="15"/>
    </row>
    <row r="1168" spans="1:18" ht="20.25" customHeight="1">
      <c r="A1168" s="36"/>
      <c r="B1168" s="28"/>
      <c r="C1168" s="24"/>
      <c r="D1168" s="34"/>
      <c r="E1168" s="34"/>
      <c r="F1168" s="34"/>
      <c r="G1168" s="34"/>
      <c r="H1168" s="34"/>
      <c r="I1168" s="35"/>
      <c r="J1168" s="24"/>
      <c r="K1168" s="7"/>
      <c r="L1168" s="9"/>
      <c r="M1168" s="9"/>
      <c r="N1168" s="15"/>
      <c r="O1168" s="15"/>
      <c r="P1168" s="15"/>
      <c r="Q1168" s="15"/>
      <c r="R1168" s="15"/>
    </row>
    <row r="1169" spans="1:18" ht="20.25" customHeight="1">
      <c r="A1169" s="36"/>
      <c r="B1169" s="28"/>
      <c r="C1169" s="24"/>
      <c r="D1169" s="34"/>
      <c r="E1169" s="34"/>
      <c r="F1169" s="34"/>
      <c r="G1169" s="34"/>
      <c r="H1169" s="34"/>
      <c r="I1169" s="35"/>
      <c r="J1169" s="24"/>
      <c r="K1169" s="7"/>
      <c r="L1169" s="9"/>
      <c r="M1169" s="9"/>
      <c r="N1169" s="15"/>
      <c r="O1169" s="15"/>
      <c r="P1169" s="15"/>
      <c r="Q1169" s="15"/>
      <c r="R1169" s="15"/>
    </row>
    <row r="1170" spans="1:18" ht="20.25" customHeight="1">
      <c r="A1170" s="36"/>
      <c r="B1170" s="28"/>
      <c r="C1170" s="24"/>
      <c r="D1170" s="34"/>
      <c r="E1170" s="34"/>
      <c r="F1170" s="34"/>
      <c r="G1170" s="34"/>
      <c r="H1170" s="34"/>
      <c r="I1170" s="35"/>
      <c r="J1170" s="24"/>
      <c r="K1170" s="7"/>
      <c r="L1170" s="9"/>
      <c r="M1170" s="9"/>
      <c r="N1170" s="15"/>
      <c r="O1170" s="15"/>
      <c r="P1170" s="15"/>
      <c r="Q1170" s="15"/>
      <c r="R1170" s="15"/>
    </row>
    <row r="1171" spans="1:18" ht="20.25" customHeight="1">
      <c r="A1171" s="36"/>
      <c r="B1171" s="28"/>
      <c r="C1171" s="24"/>
      <c r="D1171" s="34"/>
      <c r="E1171" s="34"/>
      <c r="F1171" s="34"/>
      <c r="G1171" s="34"/>
      <c r="H1171" s="34"/>
      <c r="I1171" s="35"/>
      <c r="J1171" s="24"/>
      <c r="K1171" s="7"/>
      <c r="L1171" s="9"/>
      <c r="M1171" s="9"/>
      <c r="N1171" s="15"/>
      <c r="O1171" s="15"/>
      <c r="P1171" s="15"/>
      <c r="Q1171" s="15"/>
      <c r="R1171" s="15"/>
    </row>
    <row r="1172" spans="1:18" ht="20.25" customHeight="1">
      <c r="A1172" s="36"/>
      <c r="B1172" s="28"/>
      <c r="C1172" s="24"/>
      <c r="D1172" s="34"/>
      <c r="E1172" s="34"/>
      <c r="F1172" s="34"/>
      <c r="G1172" s="34"/>
      <c r="H1172" s="34"/>
      <c r="I1172" s="35"/>
      <c r="J1172" s="24"/>
      <c r="K1172" s="7"/>
      <c r="L1172" s="9"/>
      <c r="M1172" s="9"/>
      <c r="N1172" s="15"/>
      <c r="O1172" s="15"/>
      <c r="P1172" s="15"/>
      <c r="Q1172" s="15"/>
      <c r="R1172" s="15"/>
    </row>
    <row r="1173" spans="1:18" ht="20.25" customHeight="1">
      <c r="A1173" s="36"/>
      <c r="B1173" s="28"/>
      <c r="C1173" s="24"/>
      <c r="D1173" s="34"/>
      <c r="E1173" s="34"/>
      <c r="F1173" s="34"/>
      <c r="G1173" s="34"/>
      <c r="H1173" s="34"/>
      <c r="I1173" s="35"/>
      <c r="J1173" s="24"/>
      <c r="K1173" s="7"/>
      <c r="L1173" s="9"/>
      <c r="M1173" s="9"/>
      <c r="N1173" s="15"/>
      <c r="O1173" s="15"/>
      <c r="P1173" s="15"/>
      <c r="Q1173" s="15"/>
      <c r="R1173" s="15"/>
    </row>
    <row r="1174" spans="1:18" ht="20.25" customHeight="1">
      <c r="A1174" s="36"/>
      <c r="B1174" s="28"/>
      <c r="C1174" s="24"/>
      <c r="D1174" s="34"/>
      <c r="E1174" s="34"/>
      <c r="F1174" s="34"/>
      <c r="G1174" s="34"/>
      <c r="H1174" s="34"/>
      <c r="I1174" s="35"/>
      <c r="J1174" s="24"/>
      <c r="K1174" s="7"/>
      <c r="L1174" s="9"/>
      <c r="M1174" s="9"/>
      <c r="N1174" s="15"/>
      <c r="O1174" s="15"/>
      <c r="P1174" s="15"/>
      <c r="Q1174" s="15"/>
      <c r="R1174" s="15"/>
    </row>
    <row r="1175" spans="1:18" ht="20.25" customHeight="1">
      <c r="A1175" s="36"/>
      <c r="B1175" s="28"/>
      <c r="C1175" s="24"/>
      <c r="D1175" s="34"/>
      <c r="E1175" s="34"/>
      <c r="F1175" s="34"/>
      <c r="G1175" s="34"/>
      <c r="H1175" s="34"/>
      <c r="I1175" s="35"/>
      <c r="J1175" s="24"/>
      <c r="K1175" s="7"/>
      <c r="L1175" s="9"/>
      <c r="M1175" s="9"/>
      <c r="N1175" s="15"/>
      <c r="O1175" s="15"/>
      <c r="P1175" s="15"/>
      <c r="Q1175" s="15"/>
      <c r="R1175" s="15"/>
    </row>
    <row r="1176" spans="1:18" ht="20.25" customHeight="1">
      <c r="A1176" s="36"/>
      <c r="B1176" s="28"/>
      <c r="C1176" s="24"/>
      <c r="D1176" s="34"/>
      <c r="E1176" s="34"/>
      <c r="F1176" s="34"/>
      <c r="G1176" s="34"/>
      <c r="H1176" s="34"/>
      <c r="I1176" s="35"/>
      <c r="J1176" s="24"/>
      <c r="K1176" s="7"/>
      <c r="L1176" s="9"/>
      <c r="M1176" s="9"/>
      <c r="N1176" s="15"/>
      <c r="O1176" s="15"/>
      <c r="P1176" s="15"/>
      <c r="Q1176" s="15"/>
      <c r="R1176" s="15"/>
    </row>
    <row r="1177" spans="1:18" ht="20.25" customHeight="1">
      <c r="A1177" s="36"/>
      <c r="B1177" s="28"/>
      <c r="C1177" s="24"/>
      <c r="D1177" s="34"/>
      <c r="E1177" s="34"/>
      <c r="F1177" s="34"/>
      <c r="G1177" s="34"/>
      <c r="H1177" s="34"/>
      <c r="I1177" s="35"/>
      <c r="J1177" s="24"/>
      <c r="K1177" s="7"/>
      <c r="L1177" s="9"/>
      <c r="M1177" s="9"/>
      <c r="N1177" s="15"/>
      <c r="O1177" s="15"/>
      <c r="P1177" s="15"/>
      <c r="Q1177" s="15"/>
      <c r="R1177" s="15"/>
    </row>
    <row r="1178" spans="1:18" ht="20.25" customHeight="1">
      <c r="A1178" s="36"/>
      <c r="B1178" s="28"/>
      <c r="C1178" s="24"/>
      <c r="D1178" s="34"/>
      <c r="E1178" s="34"/>
      <c r="F1178" s="34"/>
      <c r="G1178" s="34"/>
      <c r="H1178" s="34"/>
      <c r="I1178" s="35"/>
      <c r="J1178" s="24"/>
      <c r="K1178" s="7"/>
      <c r="L1178" s="9"/>
      <c r="M1178" s="9"/>
      <c r="N1178" s="15"/>
      <c r="O1178" s="15"/>
      <c r="P1178" s="15"/>
      <c r="Q1178" s="15"/>
      <c r="R1178" s="15"/>
    </row>
    <row r="1179" spans="1:18" ht="20.25" customHeight="1">
      <c r="A1179" s="36"/>
      <c r="B1179" s="28"/>
      <c r="C1179" s="24"/>
      <c r="D1179" s="34"/>
      <c r="E1179" s="34"/>
      <c r="F1179" s="34"/>
      <c r="G1179" s="34"/>
      <c r="H1179" s="34"/>
      <c r="I1179" s="35"/>
      <c r="J1179" s="24"/>
      <c r="K1179" s="7"/>
      <c r="L1179" s="9"/>
      <c r="M1179" s="9"/>
      <c r="N1179" s="15"/>
      <c r="O1179" s="15"/>
      <c r="P1179" s="15"/>
      <c r="Q1179" s="15"/>
      <c r="R1179" s="15"/>
    </row>
    <row r="1180" spans="1:18" ht="20.25" customHeight="1">
      <c r="A1180" s="36"/>
      <c r="B1180" s="28"/>
      <c r="C1180" s="24"/>
      <c r="D1180" s="34"/>
      <c r="E1180" s="34"/>
      <c r="F1180" s="34"/>
      <c r="G1180" s="34"/>
      <c r="H1180" s="34"/>
      <c r="I1180" s="35"/>
      <c r="J1180" s="24"/>
      <c r="K1180" s="7"/>
      <c r="L1180" s="9"/>
      <c r="M1180" s="9"/>
      <c r="N1180" s="15"/>
      <c r="O1180" s="15"/>
      <c r="P1180" s="15"/>
      <c r="Q1180" s="15"/>
      <c r="R1180" s="15"/>
    </row>
    <row r="1181" spans="1:18" ht="20.25" customHeight="1">
      <c r="A1181" s="36"/>
      <c r="B1181" s="28"/>
      <c r="C1181" s="24"/>
      <c r="D1181" s="34"/>
      <c r="E1181" s="34"/>
      <c r="F1181" s="34"/>
      <c r="G1181" s="34"/>
      <c r="H1181" s="34"/>
      <c r="I1181" s="35"/>
      <c r="J1181" s="24"/>
      <c r="K1181" s="7"/>
      <c r="L1181" s="9"/>
      <c r="M1181" s="9"/>
      <c r="N1181" s="15"/>
      <c r="O1181" s="15"/>
      <c r="P1181" s="15"/>
      <c r="Q1181" s="15"/>
      <c r="R1181" s="15"/>
    </row>
    <row r="1182" spans="1:18" ht="20.25" customHeight="1">
      <c r="A1182" s="36"/>
      <c r="B1182" s="28"/>
      <c r="C1182" s="24"/>
      <c r="D1182" s="34"/>
      <c r="E1182" s="34"/>
      <c r="F1182" s="34"/>
      <c r="G1182" s="34"/>
      <c r="H1182" s="34"/>
      <c r="I1182" s="35"/>
      <c r="J1182" s="24"/>
      <c r="K1182" s="7"/>
      <c r="L1182" s="9"/>
      <c r="M1182" s="9"/>
      <c r="N1182" s="15"/>
      <c r="O1182" s="15"/>
      <c r="P1182" s="15"/>
      <c r="Q1182" s="15"/>
      <c r="R1182" s="15"/>
    </row>
    <row r="1183" spans="1:18" ht="20.25" customHeight="1">
      <c r="A1183" s="36"/>
      <c r="B1183" s="28"/>
      <c r="C1183" s="24"/>
      <c r="D1183" s="34"/>
      <c r="E1183" s="34"/>
      <c r="F1183" s="34"/>
      <c r="G1183" s="34"/>
      <c r="H1183" s="34"/>
      <c r="I1183" s="35"/>
      <c r="J1183" s="24"/>
      <c r="K1183" s="7"/>
      <c r="L1183" s="9"/>
      <c r="M1183" s="9"/>
      <c r="N1183" s="15"/>
      <c r="O1183" s="15"/>
      <c r="P1183" s="15"/>
      <c r="Q1183" s="15"/>
      <c r="R1183" s="15"/>
    </row>
    <row r="1184" spans="1:18" ht="20.25" customHeight="1">
      <c r="A1184" s="36"/>
      <c r="B1184" s="28"/>
      <c r="C1184" s="24"/>
      <c r="D1184" s="34"/>
      <c r="E1184" s="34"/>
      <c r="F1184" s="34"/>
      <c r="G1184" s="34"/>
      <c r="H1184" s="34"/>
      <c r="I1184" s="35"/>
      <c r="J1184" s="24"/>
      <c r="K1184" s="7"/>
      <c r="L1184" s="9"/>
      <c r="M1184" s="9"/>
      <c r="N1184" s="15"/>
      <c r="O1184" s="15"/>
      <c r="P1184" s="15"/>
      <c r="Q1184" s="15"/>
      <c r="R1184" s="15"/>
    </row>
    <row r="1185" spans="1:18" ht="20.25" customHeight="1">
      <c r="A1185" s="36"/>
      <c r="B1185" s="28"/>
      <c r="C1185" s="24"/>
      <c r="D1185" s="34"/>
      <c r="E1185" s="34"/>
      <c r="F1185" s="34"/>
      <c r="G1185" s="34"/>
      <c r="H1185" s="34"/>
      <c r="I1185" s="35"/>
      <c r="J1185" s="24"/>
      <c r="K1185" s="7"/>
      <c r="L1185" s="9"/>
      <c r="M1185" s="9"/>
      <c r="N1185" s="15"/>
      <c r="O1185" s="15"/>
      <c r="P1185" s="15"/>
      <c r="Q1185" s="15"/>
      <c r="R1185" s="15"/>
    </row>
    <row r="1186" spans="1:18" ht="20.25" customHeight="1">
      <c r="A1186" s="36"/>
      <c r="B1186" s="28"/>
      <c r="C1186" s="24"/>
      <c r="D1186" s="34"/>
      <c r="E1186" s="34"/>
      <c r="F1186" s="34"/>
      <c r="G1186" s="34"/>
      <c r="H1186" s="34"/>
      <c r="I1186" s="35"/>
      <c r="J1186" s="24"/>
      <c r="K1186" s="7"/>
      <c r="L1186" s="9"/>
      <c r="M1186" s="9"/>
      <c r="N1186" s="15"/>
      <c r="O1186" s="15"/>
      <c r="P1186" s="15"/>
      <c r="Q1186" s="15"/>
      <c r="R1186" s="15"/>
    </row>
    <row r="1187" spans="1:18" ht="20.25" customHeight="1">
      <c r="A1187" s="36"/>
      <c r="B1187" s="28"/>
      <c r="C1187" s="24"/>
      <c r="D1187" s="34"/>
      <c r="E1187" s="34"/>
      <c r="F1187" s="34"/>
      <c r="G1187" s="34"/>
      <c r="H1187" s="34"/>
      <c r="I1187" s="35"/>
      <c r="J1187" s="24"/>
      <c r="K1187" s="7"/>
      <c r="L1187" s="9"/>
      <c r="M1187" s="9"/>
      <c r="N1187" s="15"/>
      <c r="O1187" s="15"/>
      <c r="P1187" s="15"/>
      <c r="Q1187" s="15"/>
      <c r="R1187" s="15"/>
    </row>
    <row r="1188" spans="1:18" ht="20.25" customHeight="1">
      <c r="A1188" s="36"/>
      <c r="B1188" s="28"/>
      <c r="C1188" s="24"/>
      <c r="D1188" s="34"/>
      <c r="E1188" s="34"/>
      <c r="F1188" s="34"/>
      <c r="G1188" s="34"/>
      <c r="H1188" s="34"/>
      <c r="I1188" s="35"/>
      <c r="J1188" s="24"/>
      <c r="K1188" s="7"/>
      <c r="L1188" s="9"/>
      <c r="M1188" s="9"/>
      <c r="N1188" s="15"/>
      <c r="O1188" s="15"/>
      <c r="P1188" s="15"/>
      <c r="Q1188" s="15"/>
      <c r="R1188" s="15"/>
    </row>
    <row r="1189" spans="1:18" ht="20.25" customHeight="1">
      <c r="A1189" s="36"/>
      <c r="B1189" s="28"/>
      <c r="C1189" s="24"/>
      <c r="D1189" s="34"/>
      <c r="E1189" s="34"/>
      <c r="F1189" s="34"/>
      <c r="G1189" s="34"/>
      <c r="H1189" s="34"/>
      <c r="I1189" s="35"/>
      <c r="J1189" s="24"/>
      <c r="K1189" s="7"/>
      <c r="L1189" s="9"/>
      <c r="M1189" s="9"/>
      <c r="N1189" s="15"/>
      <c r="O1189" s="15"/>
      <c r="P1189" s="15"/>
      <c r="Q1189" s="15"/>
      <c r="R1189" s="15"/>
    </row>
    <row r="1190" spans="1:18" ht="20.25" customHeight="1">
      <c r="A1190" s="36"/>
      <c r="B1190" s="28"/>
      <c r="C1190" s="24"/>
      <c r="D1190" s="34"/>
      <c r="E1190" s="34"/>
      <c r="F1190" s="34"/>
      <c r="G1190" s="34"/>
      <c r="H1190" s="34"/>
      <c r="I1190" s="35"/>
      <c r="J1190" s="24"/>
      <c r="K1190" s="7"/>
      <c r="L1190" s="9"/>
      <c r="M1190" s="9"/>
      <c r="N1190" s="15"/>
      <c r="O1190" s="15"/>
      <c r="P1190" s="15"/>
      <c r="Q1190" s="15"/>
      <c r="R1190" s="15"/>
    </row>
    <row r="1191" spans="1:18" ht="20.25" customHeight="1">
      <c r="A1191" s="36"/>
      <c r="B1191" s="28"/>
      <c r="C1191" s="24"/>
      <c r="D1191" s="34"/>
      <c r="E1191" s="34"/>
      <c r="F1191" s="34"/>
      <c r="G1191" s="34"/>
      <c r="H1191" s="34"/>
      <c r="I1191" s="35"/>
      <c r="J1191" s="24"/>
      <c r="K1191" s="7"/>
      <c r="L1191" s="9"/>
      <c r="M1191" s="9"/>
      <c r="N1191" s="15"/>
      <c r="O1191" s="15"/>
      <c r="P1191" s="15"/>
      <c r="Q1191" s="15"/>
      <c r="R1191" s="15"/>
    </row>
    <row r="1192" spans="1:18" ht="20.25" customHeight="1">
      <c r="A1192" s="36"/>
      <c r="B1192" s="28"/>
      <c r="C1192" s="24"/>
      <c r="D1192" s="34"/>
      <c r="E1192" s="34"/>
      <c r="F1192" s="34"/>
      <c r="G1192" s="34"/>
      <c r="H1192" s="34"/>
      <c r="I1192" s="35"/>
      <c r="J1192" s="24"/>
      <c r="K1192" s="7"/>
      <c r="L1192" s="9"/>
      <c r="M1192" s="9"/>
      <c r="N1192" s="15"/>
      <c r="O1192" s="15"/>
      <c r="P1192" s="15"/>
      <c r="Q1192" s="15"/>
      <c r="R1192" s="15"/>
    </row>
    <row r="1193" spans="1:18" ht="20.25" customHeight="1">
      <c r="A1193" s="36"/>
      <c r="B1193" s="28"/>
      <c r="C1193" s="24"/>
      <c r="D1193" s="34"/>
      <c r="E1193" s="34"/>
      <c r="F1193" s="34"/>
      <c r="G1193" s="34"/>
      <c r="H1193" s="34"/>
      <c r="I1193" s="35"/>
      <c r="J1193" s="24"/>
      <c r="K1193" s="7"/>
      <c r="L1193" s="9"/>
      <c r="M1193" s="9"/>
      <c r="N1193" s="15"/>
      <c r="O1193" s="15"/>
      <c r="P1193" s="15"/>
      <c r="Q1193" s="15"/>
      <c r="R1193" s="15"/>
    </row>
    <row r="1194" spans="1:18" ht="20.25" customHeight="1">
      <c r="A1194" s="36"/>
      <c r="B1194" s="28"/>
      <c r="C1194" s="24"/>
      <c r="D1194" s="34"/>
      <c r="E1194" s="34"/>
      <c r="F1194" s="34"/>
      <c r="G1194" s="34"/>
      <c r="H1194" s="34"/>
      <c r="I1194" s="35"/>
      <c r="J1194" s="24"/>
      <c r="K1194" s="7"/>
      <c r="L1194" s="9"/>
      <c r="M1194" s="9"/>
      <c r="N1194" s="15"/>
      <c r="O1194" s="15"/>
      <c r="P1194" s="15"/>
      <c r="Q1194" s="15"/>
      <c r="R1194" s="15"/>
    </row>
    <row r="1195" spans="1:18" ht="20.25" customHeight="1">
      <c r="A1195" s="36"/>
      <c r="B1195" s="28"/>
      <c r="C1195" s="24"/>
      <c r="D1195" s="34"/>
      <c r="E1195" s="34"/>
      <c r="F1195" s="34"/>
      <c r="G1195" s="34"/>
      <c r="H1195" s="34"/>
      <c r="I1195" s="35"/>
      <c r="J1195" s="24"/>
      <c r="K1195" s="7"/>
      <c r="L1195" s="9"/>
      <c r="M1195" s="9"/>
      <c r="N1195" s="15"/>
      <c r="O1195" s="15"/>
      <c r="P1195" s="15"/>
      <c r="Q1195" s="15"/>
      <c r="R1195" s="15"/>
    </row>
    <row r="1196" spans="1:18" ht="20.25" customHeight="1">
      <c r="A1196" s="36"/>
      <c r="B1196" s="28"/>
      <c r="C1196" s="24"/>
      <c r="D1196" s="34"/>
      <c r="E1196" s="34"/>
      <c r="F1196" s="34"/>
      <c r="G1196" s="34"/>
      <c r="H1196" s="34"/>
      <c r="I1196" s="35"/>
      <c r="J1196" s="24"/>
      <c r="K1196" s="7"/>
      <c r="L1196" s="9"/>
      <c r="M1196" s="9"/>
      <c r="N1196" s="15"/>
      <c r="O1196" s="15"/>
      <c r="P1196" s="15"/>
      <c r="Q1196" s="15"/>
      <c r="R1196" s="15"/>
    </row>
    <row r="1197" spans="1:18" ht="20.25" customHeight="1">
      <c r="A1197" s="36"/>
      <c r="B1197" s="28"/>
      <c r="C1197" s="24"/>
      <c r="D1197" s="34"/>
      <c r="E1197" s="34"/>
      <c r="F1197" s="34"/>
      <c r="G1197" s="34"/>
      <c r="H1197" s="34"/>
      <c r="I1197" s="35"/>
      <c r="J1197" s="24"/>
      <c r="K1197" s="7"/>
      <c r="L1197" s="9"/>
      <c r="M1197" s="9"/>
      <c r="N1197" s="15"/>
      <c r="O1197" s="15"/>
      <c r="P1197" s="15"/>
      <c r="Q1197" s="15"/>
      <c r="R1197" s="15"/>
    </row>
    <row r="1198" spans="1:18" ht="20.25" customHeight="1">
      <c r="A1198" s="36"/>
      <c r="B1198" s="28"/>
      <c r="C1198" s="24"/>
      <c r="D1198" s="34"/>
      <c r="E1198" s="34"/>
      <c r="F1198" s="34"/>
      <c r="G1198" s="34"/>
      <c r="H1198" s="34"/>
      <c r="I1198" s="35"/>
      <c r="J1198" s="24"/>
      <c r="K1198" s="7"/>
      <c r="L1198" s="9"/>
      <c r="M1198" s="9"/>
      <c r="N1198" s="15"/>
      <c r="O1198" s="15"/>
      <c r="P1198" s="15"/>
      <c r="Q1198" s="15"/>
      <c r="R1198" s="15"/>
    </row>
    <row r="1199" spans="1:18" ht="20.25" customHeight="1">
      <c r="A1199" s="36"/>
      <c r="B1199" s="28"/>
      <c r="C1199" s="24"/>
      <c r="D1199" s="34"/>
      <c r="E1199" s="34"/>
      <c r="F1199" s="34"/>
      <c r="G1199" s="34"/>
      <c r="H1199" s="34"/>
      <c r="I1199" s="35"/>
      <c r="J1199" s="24"/>
      <c r="K1199" s="7"/>
      <c r="L1199" s="9"/>
      <c r="M1199" s="9"/>
      <c r="N1199" s="15"/>
      <c r="O1199" s="15"/>
      <c r="P1199" s="15"/>
      <c r="Q1199" s="15"/>
      <c r="R1199" s="15"/>
    </row>
    <row r="1200" spans="1:18" ht="20.25" customHeight="1">
      <c r="A1200" s="36"/>
      <c r="B1200" s="28"/>
      <c r="C1200" s="24"/>
      <c r="D1200" s="34"/>
      <c r="E1200" s="34"/>
      <c r="F1200" s="34"/>
      <c r="G1200" s="34"/>
      <c r="H1200" s="34"/>
      <c r="I1200" s="35"/>
      <c r="J1200" s="24"/>
      <c r="K1200" s="7"/>
      <c r="L1200" s="9"/>
      <c r="M1200" s="9"/>
      <c r="N1200" s="15"/>
      <c r="O1200" s="15"/>
      <c r="P1200" s="15"/>
      <c r="Q1200" s="15"/>
      <c r="R1200" s="15"/>
    </row>
    <row r="1201" spans="1:18" ht="20.25" customHeight="1">
      <c r="A1201" s="36"/>
      <c r="B1201" s="28"/>
      <c r="C1201" s="24"/>
      <c r="D1201" s="34"/>
      <c r="E1201" s="34"/>
      <c r="F1201" s="34"/>
      <c r="G1201" s="34"/>
      <c r="H1201" s="34"/>
      <c r="I1201" s="35"/>
      <c r="J1201" s="24"/>
      <c r="K1201" s="7"/>
      <c r="L1201" s="9"/>
      <c r="M1201" s="9"/>
      <c r="N1201" s="15"/>
      <c r="O1201" s="15"/>
      <c r="P1201" s="15"/>
      <c r="Q1201" s="15"/>
      <c r="R1201" s="15"/>
    </row>
    <row r="1202" spans="1:18" ht="20.25" customHeight="1">
      <c r="A1202" s="36"/>
      <c r="B1202" s="28"/>
      <c r="C1202" s="24"/>
      <c r="D1202" s="34"/>
      <c r="E1202" s="34"/>
      <c r="F1202" s="34"/>
      <c r="G1202" s="34"/>
      <c r="H1202" s="34"/>
      <c r="I1202" s="35"/>
      <c r="J1202" s="24"/>
      <c r="K1202" s="7"/>
      <c r="L1202" s="9"/>
      <c r="M1202" s="9"/>
      <c r="N1202" s="15"/>
      <c r="O1202" s="15"/>
      <c r="P1202" s="15"/>
      <c r="Q1202" s="15"/>
      <c r="R1202" s="15"/>
    </row>
    <row r="1203" spans="1:18" ht="20.25" customHeight="1">
      <c r="A1203" s="36"/>
      <c r="B1203" s="28"/>
      <c r="C1203" s="24"/>
      <c r="D1203" s="34"/>
      <c r="E1203" s="34"/>
      <c r="F1203" s="34"/>
      <c r="G1203" s="34"/>
      <c r="H1203" s="34"/>
      <c r="I1203" s="35"/>
      <c r="J1203" s="24"/>
      <c r="K1203" s="7"/>
      <c r="L1203" s="9"/>
      <c r="M1203" s="9"/>
      <c r="N1203" s="15"/>
      <c r="O1203" s="15"/>
      <c r="P1203" s="15"/>
      <c r="Q1203" s="15"/>
      <c r="R1203" s="15"/>
    </row>
    <row r="1204" spans="1:18" ht="20.25" customHeight="1">
      <c r="A1204" s="36"/>
      <c r="B1204" s="28"/>
      <c r="C1204" s="24"/>
      <c r="D1204" s="34"/>
      <c r="E1204" s="34"/>
      <c r="F1204" s="34"/>
      <c r="G1204" s="34"/>
      <c r="H1204" s="34"/>
      <c r="I1204" s="35"/>
      <c r="J1204" s="24"/>
      <c r="K1204" s="7"/>
      <c r="L1204" s="9"/>
      <c r="M1204" s="9"/>
      <c r="N1204" s="15"/>
      <c r="O1204" s="15"/>
      <c r="P1204" s="15"/>
      <c r="Q1204" s="15"/>
      <c r="R1204" s="15"/>
    </row>
    <row r="1205" spans="1:18" ht="20.25" customHeight="1">
      <c r="A1205" s="36"/>
      <c r="B1205" s="28"/>
      <c r="C1205" s="24"/>
      <c r="D1205" s="34"/>
      <c r="E1205" s="34"/>
      <c r="F1205" s="34"/>
      <c r="G1205" s="34"/>
      <c r="H1205" s="34"/>
      <c r="I1205" s="35"/>
      <c r="J1205" s="24"/>
      <c r="K1205" s="7"/>
      <c r="L1205" s="9"/>
      <c r="M1205" s="9"/>
      <c r="N1205" s="15"/>
      <c r="O1205" s="15"/>
      <c r="P1205" s="15"/>
      <c r="Q1205" s="15"/>
      <c r="R1205" s="15"/>
    </row>
    <row r="1206" spans="1:18" ht="20.25" customHeight="1">
      <c r="A1206" s="36"/>
      <c r="B1206" s="28"/>
      <c r="C1206" s="24"/>
      <c r="D1206" s="34"/>
      <c r="E1206" s="34"/>
      <c r="F1206" s="34"/>
      <c r="G1206" s="34"/>
      <c r="H1206" s="34"/>
      <c r="I1206" s="35"/>
      <c r="J1206" s="24"/>
      <c r="K1206" s="7"/>
      <c r="L1206" s="9"/>
      <c r="M1206" s="9"/>
      <c r="N1206" s="15"/>
      <c r="O1206" s="15"/>
      <c r="P1206" s="15"/>
      <c r="Q1206" s="15"/>
      <c r="R1206" s="15"/>
    </row>
    <row r="1207" spans="1:18" ht="20.25" customHeight="1">
      <c r="A1207" s="36"/>
      <c r="B1207" s="28"/>
      <c r="C1207" s="24"/>
      <c r="D1207" s="34"/>
      <c r="E1207" s="34"/>
      <c r="F1207" s="34"/>
      <c r="G1207" s="34"/>
      <c r="H1207" s="34"/>
      <c r="I1207" s="35"/>
      <c r="J1207" s="24"/>
      <c r="K1207" s="7"/>
      <c r="L1207" s="9"/>
      <c r="M1207" s="9"/>
      <c r="N1207" s="15"/>
      <c r="O1207" s="15"/>
      <c r="P1207" s="15"/>
      <c r="Q1207" s="15"/>
      <c r="R1207" s="15"/>
    </row>
    <row r="1208" spans="1:18" ht="20.25" customHeight="1">
      <c r="A1208" s="36"/>
      <c r="B1208" s="28"/>
      <c r="C1208" s="24"/>
      <c r="D1208" s="34"/>
      <c r="E1208" s="34"/>
      <c r="F1208" s="34"/>
      <c r="G1208" s="34"/>
      <c r="H1208" s="34"/>
      <c r="I1208" s="35"/>
      <c r="J1208" s="24"/>
      <c r="K1208" s="7"/>
      <c r="L1208" s="9"/>
      <c r="M1208" s="9"/>
      <c r="N1208" s="15"/>
      <c r="O1208" s="15"/>
      <c r="P1208" s="15"/>
      <c r="Q1208" s="15"/>
      <c r="R1208" s="15"/>
    </row>
    <row r="1209" spans="1:18" ht="20.25" customHeight="1">
      <c r="A1209" s="36"/>
      <c r="B1209" s="28"/>
      <c r="C1209" s="24"/>
      <c r="D1209" s="34"/>
      <c r="E1209" s="34"/>
      <c r="F1209" s="34"/>
      <c r="G1209" s="34"/>
      <c r="H1209" s="34"/>
      <c r="I1209" s="35"/>
      <c r="J1209" s="24"/>
      <c r="K1209" s="7"/>
      <c r="L1209" s="9"/>
      <c r="M1209" s="9"/>
      <c r="N1209" s="15"/>
      <c r="O1209" s="15"/>
      <c r="P1209" s="15"/>
      <c r="Q1209" s="15"/>
      <c r="R1209" s="15"/>
    </row>
    <row r="1210" spans="1:18" ht="20.25" customHeight="1">
      <c r="A1210" s="36"/>
      <c r="B1210" s="28"/>
      <c r="C1210" s="24"/>
      <c r="D1210" s="34"/>
      <c r="E1210" s="34"/>
      <c r="F1210" s="34"/>
      <c r="G1210" s="34"/>
      <c r="H1210" s="34"/>
      <c r="I1210" s="35"/>
      <c r="J1210" s="24"/>
      <c r="K1210" s="7"/>
      <c r="L1210" s="9"/>
      <c r="M1210" s="9"/>
      <c r="N1210" s="15"/>
      <c r="O1210" s="15"/>
      <c r="P1210" s="15"/>
      <c r="Q1210" s="15"/>
      <c r="R1210" s="15"/>
    </row>
    <row r="1211" spans="1:18" ht="20.25" customHeight="1">
      <c r="A1211" s="36"/>
      <c r="B1211" s="28"/>
      <c r="C1211" s="24"/>
      <c r="D1211" s="34"/>
      <c r="E1211" s="34"/>
      <c r="F1211" s="34"/>
      <c r="G1211" s="34"/>
      <c r="H1211" s="34"/>
      <c r="I1211" s="35"/>
      <c r="J1211" s="24"/>
      <c r="K1211" s="7"/>
      <c r="L1211" s="9"/>
      <c r="M1211" s="9"/>
      <c r="N1211" s="15"/>
      <c r="O1211" s="15"/>
      <c r="P1211" s="15"/>
      <c r="Q1211" s="15"/>
      <c r="R1211" s="15"/>
    </row>
    <row r="1212" spans="1:18" ht="20.25" customHeight="1">
      <c r="A1212" s="36"/>
      <c r="B1212" s="28"/>
      <c r="C1212" s="24"/>
      <c r="D1212" s="34"/>
      <c r="E1212" s="34"/>
      <c r="F1212" s="34"/>
      <c r="G1212" s="34"/>
      <c r="H1212" s="34"/>
      <c r="I1212" s="35"/>
      <c r="J1212" s="24"/>
      <c r="K1212" s="7"/>
      <c r="L1212" s="9"/>
      <c r="M1212" s="9"/>
      <c r="N1212" s="15"/>
      <c r="O1212" s="15"/>
      <c r="P1212" s="15"/>
      <c r="Q1212" s="15"/>
      <c r="R1212" s="15"/>
    </row>
    <row r="1213" spans="1:18" ht="20.25" customHeight="1">
      <c r="A1213" s="36"/>
      <c r="B1213" s="28"/>
      <c r="C1213" s="24"/>
      <c r="D1213" s="34"/>
      <c r="E1213" s="34"/>
      <c r="F1213" s="34"/>
      <c r="G1213" s="34"/>
      <c r="H1213" s="34"/>
      <c r="I1213" s="35"/>
      <c r="J1213" s="24"/>
      <c r="K1213" s="7"/>
      <c r="L1213" s="9"/>
      <c r="M1213" s="9"/>
      <c r="N1213" s="15"/>
      <c r="O1213" s="15"/>
      <c r="P1213" s="15"/>
      <c r="Q1213" s="15"/>
      <c r="R1213" s="15"/>
    </row>
    <row r="1214" spans="1:18" ht="20.25" customHeight="1">
      <c r="A1214" s="36"/>
      <c r="B1214" s="28"/>
      <c r="C1214" s="24"/>
      <c r="D1214" s="34"/>
      <c r="E1214" s="34"/>
      <c r="F1214" s="34"/>
      <c r="G1214" s="34"/>
      <c r="H1214" s="34"/>
      <c r="I1214" s="35"/>
      <c r="J1214" s="24"/>
      <c r="K1214" s="7"/>
      <c r="L1214" s="9"/>
      <c r="M1214" s="9"/>
      <c r="N1214" s="15"/>
      <c r="O1214" s="15"/>
      <c r="P1214" s="15"/>
      <c r="Q1214" s="15"/>
      <c r="R1214" s="15"/>
    </row>
    <row r="1215" spans="1:18" ht="20.25" customHeight="1">
      <c r="A1215" s="36"/>
      <c r="B1215" s="28"/>
      <c r="C1215" s="24"/>
      <c r="D1215" s="34"/>
      <c r="E1215" s="34"/>
      <c r="F1215" s="34"/>
      <c r="G1215" s="34"/>
      <c r="H1215" s="34"/>
      <c r="I1215" s="35"/>
      <c r="J1215" s="24"/>
      <c r="K1215" s="7"/>
      <c r="L1215" s="9"/>
      <c r="M1215" s="9"/>
      <c r="N1215" s="15"/>
      <c r="O1215" s="15"/>
      <c r="P1215" s="15"/>
      <c r="Q1215" s="15"/>
      <c r="R1215" s="15"/>
    </row>
    <row r="1216" spans="1:18" ht="20.25" customHeight="1">
      <c r="A1216" s="36"/>
      <c r="B1216" s="28"/>
      <c r="C1216" s="24"/>
      <c r="D1216" s="34"/>
      <c r="E1216" s="34"/>
      <c r="F1216" s="34"/>
      <c r="G1216" s="34"/>
      <c r="H1216" s="34"/>
      <c r="I1216" s="35"/>
      <c r="J1216" s="24"/>
      <c r="K1216" s="7"/>
      <c r="L1216" s="9"/>
      <c r="M1216" s="9"/>
      <c r="N1216" s="15"/>
      <c r="O1216" s="15"/>
      <c r="P1216" s="15"/>
      <c r="Q1216" s="15"/>
      <c r="R1216" s="15"/>
    </row>
    <row r="1217" spans="1:18" ht="20.25" customHeight="1">
      <c r="A1217" s="36"/>
      <c r="B1217" s="28"/>
      <c r="C1217" s="24"/>
      <c r="D1217" s="34"/>
      <c r="E1217" s="34"/>
      <c r="F1217" s="34"/>
      <c r="G1217" s="34"/>
      <c r="H1217" s="34"/>
      <c r="I1217" s="35"/>
      <c r="J1217" s="24"/>
      <c r="K1217" s="7"/>
      <c r="L1217" s="9"/>
      <c r="M1217" s="9"/>
      <c r="N1217" s="15"/>
      <c r="O1217" s="15"/>
      <c r="P1217" s="15"/>
      <c r="Q1217" s="15"/>
      <c r="R1217" s="15"/>
    </row>
    <row r="1218" spans="1:18" ht="20.25" customHeight="1">
      <c r="A1218" s="36"/>
      <c r="B1218" s="28"/>
      <c r="C1218" s="24"/>
      <c r="D1218" s="34"/>
      <c r="E1218" s="34"/>
      <c r="F1218" s="34"/>
      <c r="G1218" s="34"/>
      <c r="H1218" s="34"/>
      <c r="I1218" s="35"/>
      <c r="J1218" s="24"/>
      <c r="K1218" s="7"/>
      <c r="L1218" s="9"/>
      <c r="M1218" s="9"/>
      <c r="N1218" s="15"/>
      <c r="O1218" s="15"/>
      <c r="P1218" s="15"/>
      <c r="Q1218" s="15"/>
      <c r="R1218" s="15"/>
    </row>
    <row r="1219" spans="1:18" ht="20.25" customHeight="1">
      <c r="A1219" s="36"/>
      <c r="B1219" s="28"/>
      <c r="C1219" s="24"/>
      <c r="D1219" s="34"/>
      <c r="E1219" s="34"/>
      <c r="F1219" s="34"/>
      <c r="G1219" s="34"/>
      <c r="H1219" s="34"/>
      <c r="I1219" s="35"/>
      <c r="J1219" s="24"/>
      <c r="K1219" s="7"/>
      <c r="L1219" s="9"/>
      <c r="M1219" s="9"/>
      <c r="N1219" s="15"/>
      <c r="O1219" s="15"/>
      <c r="P1219" s="15"/>
      <c r="Q1219" s="15"/>
      <c r="R1219" s="15"/>
    </row>
    <row r="1220" spans="1:18" ht="20.25" customHeight="1">
      <c r="A1220" s="36"/>
      <c r="B1220" s="28"/>
      <c r="C1220" s="24"/>
      <c r="D1220" s="34"/>
      <c r="E1220" s="34"/>
      <c r="F1220" s="34"/>
      <c r="G1220" s="34"/>
      <c r="H1220" s="34"/>
      <c r="I1220" s="35"/>
      <c r="J1220" s="24"/>
      <c r="K1220" s="7"/>
      <c r="L1220" s="9"/>
      <c r="M1220" s="9"/>
      <c r="N1220" s="15"/>
      <c r="O1220" s="15"/>
      <c r="P1220" s="15"/>
      <c r="Q1220" s="15"/>
      <c r="R1220" s="15"/>
    </row>
    <row r="1221" spans="1:18" ht="20.25" customHeight="1">
      <c r="A1221" s="36"/>
      <c r="B1221" s="28"/>
      <c r="C1221" s="24"/>
      <c r="D1221" s="34"/>
      <c r="E1221" s="34"/>
      <c r="F1221" s="34"/>
      <c r="G1221" s="34"/>
      <c r="H1221" s="34"/>
      <c r="I1221" s="35"/>
      <c r="J1221" s="24"/>
      <c r="K1221" s="7"/>
      <c r="L1221" s="9"/>
      <c r="M1221" s="9"/>
      <c r="N1221" s="15"/>
      <c r="O1221" s="15"/>
      <c r="P1221" s="15"/>
      <c r="Q1221" s="15"/>
      <c r="R1221" s="15"/>
    </row>
    <row r="1222" spans="1:18" ht="20.25" customHeight="1">
      <c r="A1222" s="36"/>
      <c r="B1222" s="28"/>
      <c r="C1222" s="24"/>
      <c r="D1222" s="34"/>
      <c r="E1222" s="34"/>
      <c r="F1222" s="34"/>
      <c r="G1222" s="34"/>
      <c r="H1222" s="34"/>
      <c r="I1222" s="35"/>
      <c r="J1222" s="24"/>
      <c r="K1222" s="7"/>
      <c r="L1222" s="9"/>
      <c r="M1222" s="9"/>
      <c r="N1222" s="15"/>
      <c r="O1222" s="15"/>
      <c r="P1222" s="15"/>
      <c r="Q1222" s="15"/>
      <c r="R1222" s="15"/>
    </row>
    <row r="1223" spans="1:18" ht="20.25" customHeight="1">
      <c r="A1223" s="36"/>
      <c r="B1223" s="28"/>
      <c r="C1223" s="24"/>
      <c r="D1223" s="34"/>
      <c r="E1223" s="34"/>
      <c r="F1223" s="34"/>
      <c r="G1223" s="34"/>
      <c r="H1223" s="34"/>
      <c r="I1223" s="35"/>
      <c r="J1223" s="24"/>
      <c r="K1223" s="7"/>
      <c r="L1223" s="9"/>
      <c r="M1223" s="9"/>
      <c r="N1223" s="15"/>
      <c r="O1223" s="15"/>
      <c r="P1223" s="15"/>
      <c r="Q1223" s="15"/>
      <c r="R1223" s="15"/>
    </row>
    <row r="1224" spans="1:18" ht="20.25" customHeight="1">
      <c r="A1224" s="36"/>
      <c r="B1224" s="28"/>
      <c r="C1224" s="24"/>
      <c r="D1224" s="34"/>
      <c r="E1224" s="34"/>
      <c r="F1224" s="34"/>
      <c r="G1224" s="34"/>
      <c r="H1224" s="34"/>
      <c r="I1224" s="35"/>
      <c r="J1224" s="24"/>
      <c r="K1224" s="7"/>
      <c r="L1224" s="9"/>
      <c r="M1224" s="9"/>
      <c r="N1224" s="15"/>
      <c r="O1224" s="15"/>
      <c r="P1224" s="15"/>
      <c r="Q1224" s="15"/>
      <c r="R1224" s="15"/>
    </row>
    <row r="1225" spans="1:18" ht="20.25" customHeight="1">
      <c r="A1225" s="36"/>
      <c r="B1225" s="28"/>
      <c r="C1225" s="24"/>
      <c r="D1225" s="34"/>
      <c r="E1225" s="34"/>
      <c r="F1225" s="34"/>
      <c r="G1225" s="34"/>
      <c r="H1225" s="34"/>
      <c r="I1225" s="35"/>
      <c r="J1225" s="24"/>
      <c r="K1225" s="7"/>
      <c r="L1225" s="9"/>
      <c r="M1225" s="9"/>
      <c r="N1225" s="15"/>
      <c r="O1225" s="15"/>
      <c r="P1225" s="15"/>
      <c r="Q1225" s="15"/>
      <c r="R1225" s="15"/>
    </row>
    <row r="1226" spans="1:18" ht="20.25" customHeight="1">
      <c r="A1226" s="36"/>
      <c r="B1226" s="28"/>
      <c r="C1226" s="24"/>
      <c r="D1226" s="34"/>
      <c r="E1226" s="34"/>
      <c r="F1226" s="34"/>
      <c r="G1226" s="34"/>
      <c r="H1226" s="34"/>
      <c r="I1226" s="35"/>
      <c r="J1226" s="24"/>
      <c r="K1226" s="7"/>
      <c r="L1226" s="9"/>
      <c r="M1226" s="9"/>
      <c r="N1226" s="15"/>
      <c r="O1226" s="15"/>
      <c r="P1226" s="15"/>
      <c r="Q1226" s="15"/>
      <c r="R1226" s="15"/>
    </row>
    <row r="1227" spans="1:18" ht="20.25" customHeight="1">
      <c r="A1227" s="36"/>
      <c r="B1227" s="28"/>
      <c r="C1227" s="24"/>
      <c r="D1227" s="34"/>
      <c r="E1227" s="34"/>
      <c r="F1227" s="34"/>
      <c r="G1227" s="34"/>
      <c r="H1227" s="34"/>
      <c r="I1227" s="35"/>
      <c r="J1227" s="24"/>
      <c r="K1227" s="7"/>
      <c r="L1227" s="9"/>
      <c r="M1227" s="9"/>
      <c r="N1227" s="15"/>
      <c r="O1227" s="15"/>
      <c r="P1227" s="15"/>
      <c r="Q1227" s="15"/>
      <c r="R1227" s="15"/>
    </row>
    <row r="1228" spans="1:18" ht="20.25" customHeight="1">
      <c r="A1228" s="36"/>
      <c r="B1228" s="28"/>
      <c r="C1228" s="24"/>
      <c r="D1228" s="34"/>
      <c r="E1228" s="34"/>
      <c r="F1228" s="34"/>
      <c r="G1228" s="34"/>
      <c r="H1228" s="34"/>
      <c r="I1228" s="35"/>
      <c r="J1228" s="24"/>
      <c r="K1228" s="7"/>
      <c r="L1228" s="9"/>
      <c r="M1228" s="9"/>
      <c r="N1228" s="15"/>
      <c r="O1228" s="15"/>
      <c r="P1228" s="15"/>
      <c r="Q1228" s="15"/>
      <c r="R1228" s="15"/>
    </row>
    <row r="1229" spans="1:18" ht="20.25" customHeight="1">
      <c r="A1229" s="36"/>
      <c r="B1229" s="28"/>
      <c r="C1229" s="24"/>
      <c r="D1229" s="34"/>
      <c r="E1229" s="34"/>
      <c r="F1229" s="34"/>
      <c r="G1229" s="34"/>
      <c r="H1229" s="34"/>
      <c r="I1229" s="35"/>
      <c r="J1229" s="24"/>
      <c r="K1229" s="7"/>
      <c r="L1229" s="9"/>
      <c r="M1229" s="9"/>
      <c r="N1229" s="15"/>
      <c r="O1229" s="15"/>
      <c r="P1229" s="15"/>
      <c r="Q1229" s="15"/>
      <c r="R1229" s="15"/>
    </row>
    <row r="1230" spans="1:18" ht="20.25" customHeight="1">
      <c r="A1230" s="36"/>
      <c r="B1230" s="28"/>
      <c r="C1230" s="24"/>
      <c r="D1230" s="34"/>
      <c r="E1230" s="34"/>
      <c r="F1230" s="34"/>
      <c r="G1230" s="34"/>
      <c r="H1230" s="34"/>
      <c r="I1230" s="35"/>
      <c r="J1230" s="24"/>
      <c r="K1230" s="7"/>
      <c r="L1230" s="9"/>
      <c r="M1230" s="9"/>
      <c r="N1230" s="15"/>
      <c r="O1230" s="15"/>
      <c r="P1230" s="15"/>
      <c r="Q1230" s="15"/>
      <c r="R1230" s="15"/>
    </row>
    <row r="1231" spans="1:18" ht="20.25" customHeight="1">
      <c r="A1231" s="36"/>
      <c r="B1231" s="28"/>
      <c r="C1231" s="24"/>
      <c r="D1231" s="34"/>
      <c r="E1231" s="34"/>
      <c r="F1231" s="34"/>
      <c r="G1231" s="34"/>
      <c r="H1231" s="34"/>
      <c r="I1231" s="35"/>
      <c r="J1231" s="24"/>
      <c r="K1231" s="7"/>
      <c r="L1231" s="9"/>
      <c r="M1231" s="9"/>
      <c r="N1231" s="15"/>
      <c r="O1231" s="15"/>
      <c r="P1231" s="15"/>
      <c r="Q1231" s="15"/>
      <c r="R1231" s="15"/>
    </row>
    <row r="1232" spans="1:18" ht="20.25" customHeight="1">
      <c r="A1232" s="36"/>
      <c r="B1232" s="28"/>
      <c r="C1232" s="24"/>
      <c r="D1232" s="34"/>
      <c r="E1232" s="34"/>
      <c r="F1232" s="34"/>
      <c r="G1232" s="34"/>
      <c r="H1232" s="34"/>
      <c r="I1232" s="35"/>
      <c r="J1232" s="24"/>
      <c r="K1232" s="7"/>
      <c r="L1232" s="9"/>
      <c r="M1232" s="9"/>
      <c r="N1232" s="15"/>
      <c r="O1232" s="15"/>
      <c r="P1232" s="15"/>
      <c r="Q1232" s="15"/>
      <c r="R1232" s="15"/>
    </row>
    <row r="1233" spans="1:18" ht="20.25" customHeight="1">
      <c r="A1233" s="36"/>
      <c r="B1233" s="28"/>
      <c r="C1233" s="24"/>
      <c r="D1233" s="34"/>
      <c r="E1233" s="34"/>
      <c r="F1233" s="34"/>
      <c r="G1233" s="34"/>
      <c r="H1233" s="34"/>
      <c r="I1233" s="35"/>
      <c r="J1233" s="24"/>
      <c r="K1233" s="7"/>
      <c r="L1233" s="9"/>
      <c r="M1233" s="9"/>
      <c r="N1233" s="15"/>
      <c r="O1233" s="15"/>
      <c r="P1233" s="15"/>
      <c r="Q1233" s="15"/>
      <c r="R1233" s="15"/>
    </row>
    <row r="1234" spans="1:18" ht="20.25" customHeight="1">
      <c r="A1234" s="36"/>
      <c r="B1234" s="28"/>
      <c r="C1234" s="24"/>
      <c r="D1234" s="34"/>
      <c r="E1234" s="34"/>
      <c r="F1234" s="34"/>
      <c r="G1234" s="34"/>
      <c r="H1234" s="34"/>
      <c r="I1234" s="35"/>
      <c r="J1234" s="24"/>
      <c r="K1234" s="7"/>
      <c r="L1234" s="9"/>
      <c r="M1234" s="9"/>
      <c r="N1234" s="15"/>
      <c r="O1234" s="15"/>
      <c r="P1234" s="15"/>
      <c r="Q1234" s="15"/>
      <c r="R1234" s="15"/>
    </row>
    <row r="1235" spans="1:18" ht="20.25" customHeight="1">
      <c r="A1235" s="36"/>
      <c r="B1235" s="28"/>
      <c r="C1235" s="24"/>
      <c r="D1235" s="34"/>
      <c r="E1235" s="34"/>
      <c r="F1235" s="34"/>
      <c r="G1235" s="34"/>
      <c r="H1235" s="34"/>
      <c r="I1235" s="35"/>
      <c r="J1235" s="24"/>
      <c r="K1235" s="7"/>
      <c r="L1235" s="9"/>
      <c r="M1235" s="9"/>
      <c r="N1235" s="15"/>
      <c r="O1235" s="15"/>
      <c r="P1235" s="15"/>
      <c r="Q1235" s="15"/>
      <c r="R1235" s="15"/>
    </row>
    <row r="1236" spans="1:18" ht="20.25" customHeight="1">
      <c r="A1236" s="36"/>
      <c r="B1236" s="28"/>
      <c r="C1236" s="24"/>
      <c r="D1236" s="34"/>
      <c r="E1236" s="34"/>
      <c r="F1236" s="34"/>
      <c r="G1236" s="34"/>
      <c r="H1236" s="34"/>
      <c r="I1236" s="35"/>
      <c r="J1236" s="24"/>
      <c r="K1236" s="7"/>
      <c r="L1236" s="9"/>
      <c r="M1236" s="9"/>
      <c r="N1236" s="15"/>
      <c r="O1236" s="15"/>
      <c r="P1236" s="15"/>
      <c r="Q1236" s="15"/>
      <c r="R1236" s="15"/>
    </row>
    <row r="1237" spans="1:18" ht="20.25" customHeight="1">
      <c r="A1237" s="36"/>
      <c r="B1237" s="28"/>
      <c r="C1237" s="24"/>
      <c r="D1237" s="34"/>
      <c r="E1237" s="34"/>
      <c r="F1237" s="34"/>
      <c r="G1237" s="34"/>
      <c r="H1237" s="34"/>
      <c r="I1237" s="35"/>
      <c r="J1237" s="24"/>
      <c r="K1237" s="7"/>
      <c r="L1237" s="9"/>
      <c r="M1237" s="9"/>
      <c r="N1237" s="15"/>
      <c r="O1237" s="15"/>
      <c r="P1237" s="15"/>
      <c r="Q1237" s="15"/>
      <c r="R1237" s="15"/>
    </row>
    <row r="1238" spans="1:18" ht="20.25" customHeight="1">
      <c r="A1238" s="36"/>
      <c r="B1238" s="28"/>
      <c r="C1238" s="24"/>
      <c r="D1238" s="34"/>
      <c r="E1238" s="34"/>
      <c r="F1238" s="34"/>
      <c r="G1238" s="34"/>
      <c r="H1238" s="34"/>
      <c r="I1238" s="35"/>
      <c r="J1238" s="24"/>
      <c r="K1238" s="7"/>
      <c r="L1238" s="9"/>
      <c r="M1238" s="9"/>
      <c r="N1238" s="15"/>
      <c r="O1238" s="15"/>
      <c r="P1238" s="15"/>
      <c r="Q1238" s="15"/>
      <c r="R1238" s="15"/>
    </row>
    <row r="1239" spans="1:18" ht="20.25" customHeight="1">
      <c r="A1239" s="36"/>
      <c r="B1239" s="28"/>
      <c r="C1239" s="24"/>
      <c r="D1239" s="34"/>
      <c r="E1239" s="34"/>
      <c r="F1239" s="34"/>
      <c r="G1239" s="34"/>
      <c r="H1239" s="34"/>
      <c r="I1239" s="35"/>
      <c r="J1239" s="24"/>
      <c r="K1239" s="7"/>
      <c r="L1239" s="9"/>
      <c r="M1239" s="9"/>
      <c r="N1239" s="15"/>
      <c r="O1239" s="15"/>
      <c r="P1239" s="15"/>
      <c r="Q1239" s="15"/>
      <c r="R1239" s="15"/>
    </row>
    <row r="1240" spans="1:18" ht="20.25" customHeight="1">
      <c r="A1240" s="36"/>
      <c r="B1240" s="28"/>
      <c r="C1240" s="24"/>
      <c r="D1240" s="34"/>
      <c r="E1240" s="34"/>
      <c r="F1240" s="34"/>
      <c r="G1240" s="34"/>
      <c r="H1240" s="34"/>
      <c r="I1240" s="35"/>
      <c r="J1240" s="24"/>
      <c r="K1240" s="7"/>
      <c r="L1240" s="9"/>
      <c r="M1240" s="9"/>
      <c r="N1240" s="15"/>
      <c r="O1240" s="15"/>
      <c r="P1240" s="15"/>
      <c r="Q1240" s="15"/>
      <c r="R1240" s="15"/>
    </row>
    <row r="1241" spans="1:18" ht="20.25" customHeight="1">
      <c r="A1241" s="36"/>
      <c r="B1241" s="28"/>
      <c r="C1241" s="24"/>
      <c r="D1241" s="34"/>
      <c r="E1241" s="34"/>
      <c r="F1241" s="34"/>
      <c r="G1241" s="34"/>
      <c r="H1241" s="34"/>
      <c r="I1241" s="35"/>
      <c r="J1241" s="24"/>
      <c r="K1241" s="7"/>
      <c r="L1241" s="9"/>
      <c r="M1241" s="9"/>
      <c r="N1241" s="15"/>
      <c r="O1241" s="15"/>
      <c r="P1241" s="15"/>
      <c r="Q1241" s="15"/>
      <c r="R1241" s="15"/>
    </row>
    <row r="1242" spans="1:18" ht="20.25" customHeight="1">
      <c r="A1242" s="36"/>
      <c r="B1242" s="28"/>
      <c r="C1242" s="24"/>
      <c r="D1242" s="34"/>
      <c r="E1242" s="34"/>
      <c r="F1242" s="34"/>
      <c r="G1242" s="34"/>
      <c r="H1242" s="34"/>
      <c r="I1242" s="35"/>
      <c r="J1242" s="24"/>
      <c r="K1242" s="7"/>
      <c r="L1242" s="9"/>
      <c r="M1242" s="9"/>
      <c r="N1242" s="15"/>
      <c r="O1242" s="15"/>
      <c r="P1242" s="15"/>
      <c r="Q1242" s="15"/>
      <c r="R1242" s="15"/>
    </row>
    <row r="1243" spans="1:18" ht="20.25" customHeight="1">
      <c r="A1243" s="36"/>
      <c r="B1243" s="28"/>
      <c r="C1243" s="24"/>
      <c r="D1243" s="34"/>
      <c r="E1243" s="34"/>
      <c r="F1243" s="34"/>
      <c r="G1243" s="34"/>
      <c r="H1243" s="34"/>
      <c r="I1243" s="35"/>
      <c r="J1243" s="24"/>
      <c r="K1243" s="7"/>
      <c r="L1243" s="9"/>
      <c r="M1243" s="9"/>
      <c r="N1243" s="15"/>
      <c r="O1243" s="15"/>
      <c r="P1243" s="15"/>
      <c r="Q1243" s="15"/>
      <c r="R1243" s="15"/>
    </row>
    <row r="1244" spans="1:18" ht="20.25" customHeight="1">
      <c r="A1244" s="36"/>
      <c r="B1244" s="28"/>
      <c r="C1244" s="24"/>
      <c r="D1244" s="34"/>
      <c r="E1244" s="34"/>
      <c r="F1244" s="34"/>
      <c r="G1244" s="34"/>
      <c r="H1244" s="34"/>
      <c r="I1244" s="35"/>
      <c r="J1244" s="24"/>
      <c r="K1244" s="7"/>
      <c r="L1244" s="9"/>
      <c r="M1244" s="9"/>
      <c r="N1244" s="15"/>
      <c r="O1244" s="15"/>
      <c r="P1244" s="15"/>
      <c r="Q1244" s="15"/>
      <c r="R1244" s="15"/>
    </row>
    <row r="1245" spans="1:18" ht="20.25" customHeight="1">
      <c r="A1245" s="36"/>
      <c r="B1245" s="28"/>
      <c r="C1245" s="24"/>
      <c r="D1245" s="34"/>
      <c r="E1245" s="34"/>
      <c r="F1245" s="34"/>
      <c r="G1245" s="34"/>
      <c r="H1245" s="34"/>
      <c r="I1245" s="35"/>
      <c r="J1245" s="24"/>
      <c r="K1245" s="7"/>
      <c r="L1245" s="9"/>
      <c r="M1245" s="9"/>
      <c r="N1245" s="15"/>
      <c r="O1245" s="15"/>
      <c r="P1245" s="15"/>
      <c r="Q1245" s="15"/>
      <c r="R1245" s="15"/>
    </row>
    <row r="1246" spans="1:18" ht="20.25" customHeight="1">
      <c r="A1246" s="36"/>
      <c r="B1246" s="28"/>
      <c r="C1246" s="24"/>
      <c r="D1246" s="34"/>
      <c r="E1246" s="34"/>
      <c r="F1246" s="34"/>
      <c r="G1246" s="34"/>
      <c r="H1246" s="34"/>
      <c r="I1246" s="35"/>
      <c r="J1246" s="24"/>
      <c r="K1246" s="7"/>
      <c r="L1246" s="9"/>
      <c r="M1246" s="9"/>
      <c r="N1246" s="15"/>
      <c r="O1246" s="15"/>
      <c r="P1246" s="15"/>
      <c r="Q1246" s="15"/>
      <c r="R1246" s="15"/>
    </row>
    <row r="1247" spans="1:18" ht="20.25" customHeight="1">
      <c r="A1247" s="36"/>
      <c r="B1247" s="28"/>
      <c r="C1247" s="24"/>
      <c r="D1247" s="34"/>
      <c r="E1247" s="34"/>
      <c r="F1247" s="34"/>
      <c r="G1247" s="34"/>
      <c r="H1247" s="34"/>
      <c r="I1247" s="35"/>
      <c r="J1247" s="24"/>
      <c r="K1247" s="7"/>
      <c r="L1247" s="9"/>
      <c r="M1247" s="9"/>
      <c r="N1247" s="15"/>
      <c r="O1247" s="15"/>
      <c r="P1247" s="15"/>
      <c r="Q1247" s="15"/>
      <c r="R1247" s="15"/>
    </row>
    <row r="1248" spans="1:18" ht="20.25" customHeight="1">
      <c r="A1248" s="36"/>
      <c r="B1248" s="28"/>
      <c r="C1248" s="24"/>
      <c r="D1248" s="34"/>
      <c r="E1248" s="34"/>
      <c r="F1248" s="34"/>
      <c r="G1248" s="34"/>
      <c r="H1248" s="34"/>
      <c r="I1248" s="35"/>
      <c r="J1248" s="24"/>
      <c r="K1248" s="7"/>
      <c r="L1248" s="9"/>
      <c r="M1248" s="9"/>
      <c r="N1248" s="15"/>
      <c r="O1248" s="15"/>
      <c r="P1248" s="15"/>
      <c r="Q1248" s="15"/>
      <c r="R1248" s="15"/>
    </row>
    <row r="1249" spans="1:18" ht="20.25" customHeight="1">
      <c r="A1249" s="36"/>
      <c r="B1249" s="28"/>
      <c r="C1249" s="24"/>
      <c r="D1249" s="34"/>
      <c r="E1249" s="34"/>
      <c r="F1249" s="34"/>
      <c r="G1249" s="34"/>
      <c r="H1249" s="34"/>
      <c r="I1249" s="35"/>
      <c r="J1249" s="24"/>
      <c r="K1249" s="7"/>
      <c r="L1249" s="9"/>
      <c r="M1249" s="9"/>
      <c r="N1249" s="15"/>
      <c r="O1249" s="15"/>
      <c r="P1249" s="15"/>
      <c r="Q1249" s="15"/>
      <c r="R1249" s="15"/>
    </row>
    <row r="1250" spans="1:18" ht="20.25" customHeight="1">
      <c r="A1250" s="36"/>
      <c r="B1250" s="28"/>
      <c r="C1250" s="24"/>
      <c r="D1250" s="34"/>
      <c r="E1250" s="34"/>
      <c r="F1250" s="34"/>
      <c r="G1250" s="34"/>
      <c r="H1250" s="34"/>
      <c r="I1250" s="35"/>
      <c r="J1250" s="24"/>
      <c r="K1250" s="7"/>
      <c r="L1250" s="9"/>
      <c r="M1250" s="9"/>
      <c r="N1250" s="15"/>
      <c r="O1250" s="15"/>
      <c r="P1250" s="15"/>
      <c r="Q1250" s="15"/>
      <c r="R1250" s="15"/>
    </row>
    <row r="1251" spans="1:18" ht="20.25" customHeight="1">
      <c r="A1251" s="36"/>
      <c r="B1251" s="28"/>
      <c r="C1251" s="24"/>
      <c r="D1251" s="34"/>
      <c r="E1251" s="34"/>
      <c r="F1251" s="34"/>
      <c r="G1251" s="34"/>
      <c r="H1251" s="34"/>
      <c r="I1251" s="35"/>
      <c r="J1251" s="24"/>
      <c r="K1251" s="7"/>
      <c r="L1251" s="9"/>
      <c r="M1251" s="9"/>
      <c r="N1251" s="15"/>
      <c r="O1251" s="15"/>
      <c r="P1251" s="15"/>
      <c r="Q1251" s="15"/>
      <c r="R1251" s="15"/>
    </row>
    <row r="1252" spans="1:18" ht="20.25" customHeight="1">
      <c r="A1252" s="36"/>
      <c r="B1252" s="28"/>
      <c r="C1252" s="24"/>
      <c r="D1252" s="34"/>
      <c r="E1252" s="34"/>
      <c r="F1252" s="34"/>
      <c r="G1252" s="34"/>
      <c r="H1252" s="34"/>
      <c r="I1252" s="35"/>
      <c r="J1252" s="24"/>
      <c r="K1252" s="7"/>
      <c r="L1252" s="9"/>
      <c r="M1252" s="9"/>
      <c r="N1252" s="15"/>
      <c r="O1252" s="15"/>
      <c r="P1252" s="15"/>
      <c r="Q1252" s="15"/>
      <c r="R1252" s="15"/>
    </row>
    <row r="1253" spans="1:18" ht="20.25" customHeight="1">
      <c r="A1253" s="36"/>
      <c r="B1253" s="28"/>
      <c r="C1253" s="24"/>
      <c r="D1253" s="34"/>
      <c r="E1253" s="34"/>
      <c r="F1253" s="34"/>
      <c r="G1253" s="34"/>
      <c r="H1253" s="34"/>
      <c r="I1253" s="35"/>
      <c r="J1253" s="24"/>
      <c r="K1253" s="7"/>
      <c r="L1253" s="9"/>
      <c r="M1253" s="9"/>
      <c r="N1253" s="15"/>
      <c r="O1253" s="15"/>
      <c r="P1253" s="15"/>
      <c r="Q1253" s="15"/>
      <c r="R1253" s="15"/>
    </row>
    <row r="1254" spans="1:18" ht="20.25" customHeight="1">
      <c r="A1254" s="36"/>
      <c r="B1254" s="28"/>
      <c r="C1254" s="24"/>
      <c r="D1254" s="34"/>
      <c r="E1254" s="34"/>
      <c r="F1254" s="34"/>
      <c r="G1254" s="34"/>
      <c r="H1254" s="34"/>
      <c r="I1254" s="35"/>
      <c r="J1254" s="24"/>
      <c r="K1254" s="7"/>
      <c r="L1254" s="9"/>
      <c r="M1254" s="9"/>
      <c r="N1254" s="15"/>
      <c r="O1254" s="15"/>
      <c r="P1254" s="15"/>
      <c r="Q1254" s="15"/>
      <c r="R1254" s="15"/>
    </row>
    <row r="1255" spans="1:18" ht="20.25" customHeight="1">
      <c r="A1255" s="36"/>
      <c r="B1255" s="28"/>
      <c r="C1255" s="24"/>
      <c r="D1255" s="34"/>
      <c r="E1255" s="34"/>
      <c r="F1255" s="34"/>
      <c r="G1255" s="34"/>
      <c r="H1255" s="34"/>
      <c r="I1255" s="35"/>
      <c r="J1255" s="24"/>
      <c r="K1255" s="7"/>
      <c r="L1255" s="9"/>
      <c r="M1255" s="9"/>
      <c r="N1255" s="15"/>
      <c r="O1255" s="15"/>
      <c r="P1255" s="15"/>
      <c r="Q1255" s="15"/>
      <c r="R1255" s="15"/>
    </row>
    <row r="1256" spans="1:18" ht="20.25" customHeight="1">
      <c r="A1256" s="36"/>
      <c r="B1256" s="28"/>
      <c r="C1256" s="24"/>
      <c r="D1256" s="34"/>
      <c r="E1256" s="34"/>
      <c r="F1256" s="34"/>
      <c r="G1256" s="34"/>
      <c r="H1256" s="34"/>
      <c r="I1256" s="35"/>
      <c r="J1256" s="24"/>
      <c r="K1256" s="7"/>
      <c r="L1256" s="9"/>
      <c r="M1256" s="9"/>
      <c r="N1256" s="15"/>
      <c r="O1256" s="15"/>
      <c r="P1256" s="15"/>
      <c r="Q1256" s="15"/>
      <c r="R1256" s="15"/>
    </row>
    <row r="1257" spans="1:18" ht="20.25" customHeight="1">
      <c r="A1257" s="36"/>
      <c r="B1257" s="28"/>
      <c r="C1257" s="24"/>
      <c r="D1257" s="34"/>
      <c r="E1257" s="34"/>
      <c r="F1257" s="34"/>
      <c r="G1257" s="34"/>
      <c r="H1257" s="34"/>
      <c r="I1257" s="35"/>
      <c r="J1257" s="24"/>
      <c r="K1257" s="7"/>
      <c r="L1257" s="9"/>
      <c r="M1257" s="9"/>
      <c r="N1257" s="15"/>
      <c r="O1257" s="15"/>
      <c r="P1257" s="15"/>
      <c r="Q1257" s="15"/>
      <c r="R1257" s="15"/>
    </row>
    <row r="1258" spans="1:18" ht="20.25" customHeight="1">
      <c r="A1258" s="36"/>
      <c r="B1258" s="28"/>
      <c r="C1258" s="24"/>
      <c r="D1258" s="34"/>
      <c r="E1258" s="34"/>
      <c r="F1258" s="34"/>
      <c r="G1258" s="34"/>
      <c r="H1258" s="34"/>
      <c r="I1258" s="35"/>
      <c r="J1258" s="24"/>
      <c r="K1258" s="7"/>
      <c r="L1258" s="9"/>
      <c r="M1258" s="9"/>
      <c r="N1258" s="15"/>
      <c r="O1258" s="15"/>
      <c r="P1258" s="15"/>
      <c r="Q1258" s="15"/>
      <c r="R1258" s="15"/>
    </row>
    <row r="1259" spans="1:18" ht="20.25" customHeight="1">
      <c r="A1259" s="36"/>
      <c r="B1259" s="28"/>
      <c r="C1259" s="24"/>
      <c r="D1259" s="34"/>
      <c r="E1259" s="34"/>
      <c r="F1259" s="34"/>
      <c r="G1259" s="34"/>
      <c r="H1259" s="34"/>
      <c r="I1259" s="35"/>
      <c r="J1259" s="24"/>
      <c r="K1259" s="7"/>
      <c r="L1259" s="9"/>
      <c r="M1259" s="9"/>
      <c r="N1259" s="15"/>
      <c r="O1259" s="15"/>
      <c r="P1259" s="15"/>
      <c r="Q1259" s="15"/>
      <c r="R1259" s="15"/>
    </row>
    <row r="1260" spans="1:18" ht="20.25" customHeight="1">
      <c r="A1260" s="36"/>
      <c r="B1260" s="28"/>
      <c r="C1260" s="24"/>
      <c r="D1260" s="34"/>
      <c r="E1260" s="34"/>
      <c r="F1260" s="34"/>
      <c r="G1260" s="34"/>
      <c r="H1260" s="34"/>
      <c r="I1260" s="35"/>
      <c r="J1260" s="24"/>
      <c r="K1260" s="7"/>
      <c r="L1260" s="9"/>
      <c r="M1260" s="9"/>
      <c r="N1260" s="15"/>
      <c r="O1260" s="15"/>
      <c r="P1260" s="15"/>
      <c r="Q1260" s="15"/>
      <c r="R1260" s="15"/>
    </row>
    <row r="1261" spans="1:18" ht="20.25" customHeight="1">
      <c r="A1261" s="36"/>
      <c r="B1261" s="28"/>
      <c r="C1261" s="24"/>
      <c r="D1261" s="34"/>
      <c r="E1261" s="34"/>
      <c r="F1261" s="34"/>
      <c r="G1261" s="34"/>
      <c r="H1261" s="34"/>
      <c r="I1261" s="35"/>
      <c r="J1261" s="24"/>
      <c r="K1261" s="7"/>
      <c r="L1261" s="9"/>
      <c r="M1261" s="9"/>
      <c r="N1261" s="15"/>
      <c r="O1261" s="15"/>
      <c r="P1261" s="15"/>
      <c r="Q1261" s="15"/>
      <c r="R1261" s="15"/>
    </row>
    <row r="1262" spans="1:18" ht="20.25" customHeight="1">
      <c r="A1262" s="36"/>
      <c r="B1262" s="28"/>
      <c r="C1262" s="24"/>
      <c r="D1262" s="34"/>
      <c r="E1262" s="34"/>
      <c r="F1262" s="34"/>
      <c r="G1262" s="34"/>
      <c r="H1262" s="34"/>
      <c r="I1262" s="35"/>
      <c r="J1262" s="24"/>
      <c r="K1262" s="7"/>
      <c r="L1262" s="9"/>
      <c r="M1262" s="9"/>
      <c r="N1262" s="15"/>
      <c r="O1262" s="15"/>
      <c r="P1262" s="15"/>
      <c r="Q1262" s="15"/>
      <c r="R1262" s="15"/>
    </row>
    <row r="1263" spans="1:18" ht="20.25" customHeight="1">
      <c r="A1263" s="36"/>
      <c r="B1263" s="28"/>
      <c r="C1263" s="24"/>
      <c r="D1263" s="34"/>
      <c r="E1263" s="34"/>
      <c r="F1263" s="34"/>
      <c r="G1263" s="34"/>
      <c r="H1263" s="34"/>
      <c r="I1263" s="35"/>
      <c r="J1263" s="24"/>
      <c r="K1263" s="7"/>
      <c r="L1263" s="9"/>
      <c r="M1263" s="9"/>
      <c r="N1263" s="15"/>
      <c r="O1263" s="15"/>
      <c r="P1263" s="15"/>
      <c r="Q1263" s="15"/>
      <c r="R1263" s="15"/>
    </row>
    <row r="1264" spans="1:18" ht="20.25" customHeight="1">
      <c r="A1264" s="36"/>
      <c r="B1264" s="28"/>
      <c r="C1264" s="24"/>
      <c r="D1264" s="34"/>
      <c r="E1264" s="34"/>
      <c r="F1264" s="34"/>
      <c r="G1264" s="34"/>
      <c r="H1264" s="34"/>
      <c r="I1264" s="35"/>
      <c r="J1264" s="24"/>
      <c r="K1264" s="7"/>
      <c r="L1264" s="9"/>
      <c r="M1264" s="9"/>
      <c r="N1264" s="15"/>
      <c r="O1264" s="15"/>
      <c r="P1264" s="15"/>
      <c r="Q1264" s="15"/>
      <c r="R1264" s="15"/>
    </row>
    <row r="1265" spans="1:18" ht="20.25" customHeight="1">
      <c r="A1265" s="36"/>
      <c r="B1265" s="28"/>
      <c r="C1265" s="24"/>
      <c r="D1265" s="34"/>
      <c r="E1265" s="34"/>
      <c r="F1265" s="34"/>
      <c r="G1265" s="34"/>
      <c r="H1265" s="34"/>
      <c r="I1265" s="35"/>
      <c r="J1265" s="24"/>
      <c r="K1265" s="7"/>
      <c r="L1265" s="9"/>
      <c r="M1265" s="9"/>
      <c r="N1265" s="15"/>
      <c r="O1265" s="15"/>
      <c r="P1265" s="15"/>
      <c r="Q1265" s="15"/>
      <c r="R1265" s="15"/>
    </row>
    <row r="1266" spans="1:18" ht="20.25" customHeight="1">
      <c r="A1266" s="36"/>
      <c r="B1266" s="28"/>
      <c r="C1266" s="24"/>
      <c r="D1266" s="34"/>
      <c r="E1266" s="34"/>
      <c r="F1266" s="34"/>
      <c r="G1266" s="34"/>
      <c r="H1266" s="34"/>
      <c r="I1266" s="35"/>
      <c r="J1266" s="24"/>
      <c r="K1266" s="7"/>
      <c r="L1266" s="9"/>
      <c r="M1266" s="9"/>
      <c r="N1266" s="15"/>
      <c r="O1266" s="15"/>
      <c r="P1266" s="15"/>
      <c r="Q1266" s="15"/>
      <c r="R1266" s="15"/>
    </row>
    <row r="1267" spans="1:18" ht="20.25" customHeight="1">
      <c r="A1267" s="36"/>
      <c r="B1267" s="28"/>
      <c r="C1267" s="24"/>
      <c r="D1267" s="34"/>
      <c r="E1267" s="34"/>
      <c r="F1267" s="34"/>
      <c r="G1267" s="34"/>
      <c r="H1267" s="34"/>
      <c r="I1267" s="35"/>
      <c r="J1267" s="24"/>
      <c r="K1267" s="7"/>
      <c r="L1267" s="9"/>
      <c r="M1267" s="9"/>
      <c r="N1267" s="15"/>
      <c r="O1267" s="15"/>
      <c r="P1267" s="15"/>
      <c r="Q1267" s="15"/>
      <c r="R1267" s="15"/>
    </row>
    <row r="1268" spans="1:18" ht="20.25" customHeight="1">
      <c r="A1268" s="36"/>
      <c r="B1268" s="28"/>
      <c r="C1268" s="24"/>
      <c r="D1268" s="34"/>
      <c r="E1268" s="34"/>
      <c r="F1268" s="34"/>
      <c r="G1268" s="34"/>
      <c r="H1268" s="34"/>
      <c r="I1268" s="35"/>
      <c r="J1268" s="24"/>
      <c r="K1268" s="7"/>
      <c r="L1268" s="9"/>
      <c r="M1268" s="9"/>
      <c r="N1268" s="15"/>
      <c r="O1268" s="15"/>
      <c r="P1268" s="15"/>
      <c r="Q1268" s="15"/>
      <c r="R1268" s="15"/>
    </row>
    <row r="1269" spans="1:18" ht="20.25" customHeight="1">
      <c r="A1269" s="36"/>
      <c r="B1269" s="28"/>
      <c r="C1269" s="24"/>
      <c r="D1269" s="34"/>
      <c r="E1269" s="34"/>
      <c r="F1269" s="34"/>
      <c r="G1269" s="34"/>
      <c r="H1269" s="34"/>
      <c r="I1269" s="35"/>
      <c r="J1269" s="24"/>
      <c r="K1269" s="7"/>
      <c r="L1269" s="9"/>
      <c r="M1269" s="9"/>
      <c r="N1269" s="15"/>
      <c r="O1269" s="15"/>
      <c r="P1269" s="15"/>
      <c r="Q1269" s="15"/>
      <c r="R1269" s="15"/>
    </row>
    <row r="1270" spans="1:18" ht="20.25" customHeight="1">
      <c r="A1270" s="36"/>
      <c r="B1270" s="28"/>
      <c r="C1270" s="24"/>
      <c r="D1270" s="34"/>
      <c r="E1270" s="34"/>
      <c r="F1270" s="34"/>
      <c r="G1270" s="34"/>
      <c r="H1270" s="34"/>
      <c r="I1270" s="35"/>
      <c r="J1270" s="24"/>
      <c r="K1270" s="7"/>
      <c r="L1270" s="9"/>
      <c r="M1270" s="9"/>
      <c r="N1270" s="15"/>
      <c r="O1270" s="15"/>
      <c r="P1270" s="15"/>
      <c r="Q1270" s="15"/>
      <c r="R1270" s="15"/>
    </row>
    <row r="1271" spans="1:18" ht="20.25" customHeight="1">
      <c r="A1271" s="36"/>
      <c r="B1271" s="28"/>
      <c r="C1271" s="24"/>
      <c r="D1271" s="34"/>
      <c r="E1271" s="34"/>
      <c r="F1271" s="34"/>
      <c r="G1271" s="34"/>
      <c r="H1271" s="34"/>
      <c r="I1271" s="35"/>
      <c r="J1271" s="24"/>
      <c r="K1271" s="7"/>
      <c r="L1271" s="9"/>
      <c r="M1271" s="9"/>
      <c r="N1271" s="15"/>
      <c r="O1271" s="15"/>
      <c r="P1271" s="15"/>
      <c r="Q1271" s="15"/>
      <c r="R1271" s="15"/>
    </row>
    <row r="1272" spans="1:18" ht="20.25" customHeight="1">
      <c r="A1272" s="36"/>
      <c r="B1272" s="28"/>
      <c r="C1272" s="24"/>
      <c r="D1272" s="34"/>
      <c r="E1272" s="34"/>
      <c r="F1272" s="34"/>
      <c r="G1272" s="34"/>
      <c r="H1272" s="34"/>
      <c r="I1272" s="35"/>
      <c r="J1272" s="24"/>
      <c r="K1272" s="7"/>
      <c r="L1272" s="9"/>
      <c r="M1272" s="9"/>
      <c r="N1272" s="15"/>
      <c r="O1272" s="15"/>
      <c r="P1272" s="15"/>
      <c r="Q1272" s="15"/>
      <c r="R1272" s="15"/>
    </row>
    <row r="1273" spans="1:18" ht="20.25" customHeight="1">
      <c r="A1273" s="36"/>
      <c r="B1273" s="28"/>
      <c r="C1273" s="24"/>
      <c r="D1273" s="34"/>
      <c r="E1273" s="34"/>
      <c r="F1273" s="34"/>
      <c r="G1273" s="34"/>
      <c r="H1273" s="34"/>
      <c r="I1273" s="35"/>
      <c r="J1273" s="24"/>
      <c r="K1273" s="7"/>
      <c r="L1273" s="9"/>
      <c r="M1273" s="9"/>
      <c r="N1273" s="15"/>
      <c r="O1273" s="15"/>
      <c r="P1273" s="15"/>
      <c r="Q1273" s="15"/>
      <c r="R1273" s="15"/>
    </row>
    <row r="1274" spans="1:18" ht="20.25" customHeight="1">
      <c r="A1274" s="36"/>
      <c r="B1274" s="28"/>
      <c r="C1274" s="24"/>
      <c r="D1274" s="34"/>
      <c r="E1274" s="34"/>
      <c r="F1274" s="34"/>
      <c r="G1274" s="34"/>
      <c r="H1274" s="34"/>
      <c r="I1274" s="35"/>
      <c r="J1274" s="24"/>
      <c r="K1274" s="7"/>
      <c r="L1274" s="9"/>
      <c r="M1274" s="9"/>
      <c r="N1274" s="15"/>
      <c r="O1274" s="15"/>
      <c r="P1274" s="15"/>
      <c r="Q1274" s="15"/>
      <c r="R1274" s="15"/>
    </row>
    <row r="1275" spans="1:18" ht="20.25" customHeight="1">
      <c r="A1275" s="36"/>
      <c r="B1275" s="28"/>
      <c r="C1275" s="24"/>
      <c r="D1275" s="34"/>
      <c r="E1275" s="34"/>
      <c r="F1275" s="34"/>
      <c r="G1275" s="34"/>
      <c r="H1275" s="34"/>
      <c r="I1275" s="35"/>
      <c r="J1275" s="24"/>
      <c r="K1275" s="7"/>
      <c r="L1275" s="9"/>
      <c r="M1275" s="9"/>
      <c r="N1275" s="15"/>
      <c r="O1275" s="15"/>
      <c r="P1275" s="15"/>
      <c r="Q1275" s="15"/>
      <c r="R1275" s="15"/>
    </row>
    <row r="1276" spans="1:18" ht="20.25" customHeight="1">
      <c r="A1276" s="36"/>
      <c r="B1276" s="28"/>
      <c r="C1276" s="24"/>
      <c r="D1276" s="34"/>
      <c r="E1276" s="34"/>
      <c r="F1276" s="34"/>
      <c r="G1276" s="34"/>
      <c r="H1276" s="34"/>
      <c r="I1276" s="35"/>
      <c r="J1276" s="24"/>
      <c r="K1276" s="7"/>
      <c r="L1276" s="9"/>
      <c r="M1276" s="9"/>
      <c r="N1276" s="15"/>
      <c r="O1276" s="15"/>
      <c r="P1276" s="15"/>
      <c r="Q1276" s="15"/>
      <c r="R1276" s="15"/>
    </row>
    <row r="1277" spans="1:18" ht="20.25" customHeight="1">
      <c r="A1277" s="36"/>
      <c r="B1277" s="28"/>
      <c r="C1277" s="24"/>
      <c r="D1277" s="34"/>
      <c r="E1277" s="34"/>
      <c r="F1277" s="34"/>
      <c r="G1277" s="34"/>
      <c r="H1277" s="34"/>
      <c r="I1277" s="35"/>
      <c r="J1277" s="24"/>
      <c r="K1277" s="7"/>
      <c r="L1277" s="9"/>
      <c r="M1277" s="9"/>
      <c r="N1277" s="15"/>
      <c r="O1277" s="15"/>
      <c r="P1277" s="15"/>
      <c r="Q1277" s="15"/>
      <c r="R1277" s="15"/>
    </row>
    <row r="1278" spans="1:18" ht="20.25" customHeight="1">
      <c r="A1278" s="36"/>
      <c r="B1278" s="28"/>
      <c r="C1278" s="24"/>
      <c r="D1278" s="34"/>
      <c r="E1278" s="34"/>
      <c r="F1278" s="34"/>
      <c r="G1278" s="34"/>
      <c r="H1278" s="34"/>
      <c r="I1278" s="35"/>
      <c r="J1278" s="24"/>
      <c r="K1278" s="7"/>
      <c r="L1278" s="9"/>
      <c r="M1278" s="9"/>
      <c r="N1278" s="15"/>
      <c r="O1278" s="15"/>
      <c r="P1278" s="15"/>
      <c r="Q1278" s="15"/>
      <c r="R1278" s="15"/>
    </row>
    <row r="1279" spans="1:18" ht="20.25" customHeight="1">
      <c r="A1279" s="36"/>
      <c r="B1279" s="28"/>
      <c r="C1279" s="24"/>
      <c r="D1279" s="34"/>
      <c r="E1279" s="34"/>
      <c r="F1279" s="34"/>
      <c r="G1279" s="34"/>
      <c r="H1279" s="34"/>
      <c r="I1279" s="35"/>
      <c r="J1279" s="24"/>
      <c r="K1279" s="7"/>
      <c r="L1279" s="9"/>
      <c r="M1279" s="9"/>
      <c r="N1279" s="15"/>
      <c r="O1279" s="15"/>
      <c r="P1279" s="15"/>
      <c r="Q1279" s="15"/>
      <c r="R1279" s="15"/>
    </row>
    <row r="1280" spans="1:18" ht="20.25" customHeight="1">
      <c r="A1280" s="36"/>
      <c r="B1280" s="28"/>
      <c r="C1280" s="24"/>
      <c r="D1280" s="34"/>
      <c r="E1280" s="34"/>
      <c r="F1280" s="34"/>
      <c r="G1280" s="34"/>
      <c r="H1280" s="34"/>
      <c r="I1280" s="35"/>
      <c r="J1280" s="24"/>
      <c r="K1280" s="7"/>
      <c r="L1280" s="9"/>
      <c r="M1280" s="9"/>
      <c r="N1280" s="15"/>
      <c r="O1280" s="15"/>
      <c r="P1280" s="15"/>
      <c r="Q1280" s="15"/>
      <c r="R1280" s="15"/>
    </row>
    <row r="1281" spans="1:18" ht="20.25" customHeight="1">
      <c r="A1281" s="36"/>
      <c r="B1281" s="28"/>
      <c r="C1281" s="24"/>
      <c r="D1281" s="34"/>
      <c r="E1281" s="34"/>
      <c r="F1281" s="34"/>
      <c r="G1281" s="34"/>
      <c r="H1281" s="34"/>
      <c r="I1281" s="35"/>
      <c r="J1281" s="24"/>
      <c r="K1281" s="7"/>
      <c r="L1281" s="9"/>
      <c r="M1281" s="9"/>
      <c r="N1281" s="15"/>
      <c r="O1281" s="15"/>
      <c r="P1281" s="15"/>
      <c r="Q1281" s="15"/>
      <c r="R1281" s="15"/>
    </row>
    <row r="1282" spans="1:18" ht="20.25" customHeight="1">
      <c r="A1282" s="36"/>
      <c r="B1282" s="28"/>
      <c r="C1282" s="24"/>
      <c r="D1282" s="34"/>
      <c r="E1282" s="34"/>
      <c r="F1282" s="34"/>
      <c r="G1282" s="34"/>
      <c r="H1282" s="34"/>
      <c r="I1282" s="35"/>
      <c r="J1282" s="24"/>
      <c r="K1282" s="7"/>
      <c r="L1282" s="9"/>
      <c r="M1282" s="9"/>
      <c r="N1282" s="15"/>
      <c r="O1282" s="15"/>
      <c r="P1282" s="15"/>
      <c r="Q1282" s="15"/>
      <c r="R1282" s="15"/>
    </row>
    <row r="1283" spans="1:18" ht="20.25" customHeight="1">
      <c r="A1283" s="36"/>
      <c r="B1283" s="28"/>
      <c r="C1283" s="24"/>
      <c r="D1283" s="34"/>
      <c r="E1283" s="34"/>
      <c r="F1283" s="34"/>
      <c r="G1283" s="34"/>
      <c r="H1283" s="34"/>
      <c r="I1283" s="35"/>
      <c r="J1283" s="24"/>
      <c r="K1283" s="7"/>
      <c r="L1283" s="9"/>
      <c r="M1283" s="9"/>
      <c r="N1283" s="15"/>
      <c r="O1283" s="15"/>
      <c r="P1283" s="15"/>
      <c r="Q1283" s="15"/>
      <c r="R1283" s="15"/>
    </row>
    <row r="1284" spans="1:18" ht="20.25" customHeight="1">
      <c r="A1284" s="36"/>
      <c r="B1284" s="28"/>
      <c r="C1284" s="24"/>
      <c r="D1284" s="34"/>
      <c r="E1284" s="34"/>
      <c r="F1284" s="34"/>
      <c r="G1284" s="34"/>
      <c r="H1284" s="34"/>
      <c r="I1284" s="35"/>
      <c r="J1284" s="24"/>
      <c r="K1284" s="7"/>
      <c r="L1284" s="9"/>
      <c r="M1284" s="9"/>
      <c r="N1284" s="15"/>
      <c r="O1284" s="15"/>
      <c r="P1284" s="15"/>
      <c r="Q1284" s="15"/>
      <c r="R1284" s="15"/>
    </row>
    <row r="1285" spans="1:18" ht="20.25" customHeight="1">
      <c r="A1285" s="36"/>
      <c r="B1285" s="28"/>
      <c r="C1285" s="24"/>
      <c r="D1285" s="34"/>
      <c r="E1285" s="34"/>
      <c r="F1285" s="34"/>
      <c r="G1285" s="34"/>
      <c r="H1285" s="34"/>
      <c r="I1285" s="35"/>
      <c r="J1285" s="24"/>
      <c r="K1285" s="7"/>
      <c r="L1285" s="9"/>
      <c r="M1285" s="9"/>
      <c r="N1285" s="15"/>
      <c r="O1285" s="15"/>
      <c r="P1285" s="15"/>
      <c r="Q1285" s="15"/>
      <c r="R1285" s="15"/>
    </row>
    <row r="1286" spans="1:18" ht="20.25" customHeight="1">
      <c r="A1286" s="36"/>
      <c r="B1286" s="28"/>
      <c r="C1286" s="24"/>
      <c r="D1286" s="34"/>
      <c r="E1286" s="34"/>
      <c r="F1286" s="34"/>
      <c r="G1286" s="34"/>
      <c r="H1286" s="34"/>
      <c r="I1286" s="35"/>
      <c r="J1286" s="24"/>
      <c r="K1286" s="7"/>
      <c r="L1286" s="9"/>
      <c r="M1286" s="9"/>
      <c r="N1286" s="15"/>
      <c r="O1286" s="15"/>
      <c r="P1286" s="15"/>
      <c r="Q1286" s="15"/>
      <c r="R1286" s="15"/>
    </row>
    <row r="1287" spans="1:18" ht="20.25" customHeight="1">
      <c r="A1287" s="36"/>
      <c r="B1287" s="28"/>
      <c r="C1287" s="24"/>
      <c r="D1287" s="34"/>
      <c r="E1287" s="34"/>
      <c r="F1287" s="34"/>
      <c r="G1287" s="34"/>
      <c r="H1287" s="34"/>
      <c r="I1287" s="35"/>
      <c r="J1287" s="24"/>
      <c r="K1287" s="7"/>
      <c r="L1287" s="9"/>
      <c r="M1287" s="9"/>
      <c r="N1287" s="15"/>
      <c r="O1287" s="15"/>
      <c r="P1287" s="15"/>
      <c r="Q1287" s="15"/>
      <c r="R1287" s="15"/>
    </row>
    <row r="1288" spans="1:18" ht="20.25" customHeight="1">
      <c r="A1288" s="36"/>
      <c r="B1288" s="28"/>
      <c r="C1288" s="24"/>
      <c r="D1288" s="34"/>
      <c r="E1288" s="34"/>
      <c r="F1288" s="34"/>
      <c r="G1288" s="34"/>
      <c r="H1288" s="34"/>
      <c r="I1288" s="35"/>
      <c r="J1288" s="24"/>
      <c r="K1288" s="7"/>
      <c r="L1288" s="9"/>
      <c r="M1288" s="9"/>
      <c r="N1288" s="15"/>
      <c r="O1288" s="15"/>
      <c r="P1288" s="15"/>
      <c r="Q1288" s="15"/>
      <c r="R1288" s="15"/>
    </row>
    <row r="1289" spans="1:18" ht="20.25" customHeight="1">
      <c r="A1289" s="36"/>
      <c r="B1289" s="28"/>
      <c r="C1289" s="24"/>
      <c r="D1289" s="34"/>
      <c r="E1289" s="34"/>
      <c r="F1289" s="34"/>
      <c r="G1289" s="34"/>
      <c r="H1289" s="34"/>
      <c r="I1289" s="35"/>
      <c r="J1289" s="24"/>
      <c r="K1289" s="7"/>
      <c r="L1289" s="9"/>
      <c r="M1289" s="9"/>
      <c r="N1289" s="15"/>
      <c r="O1289" s="15"/>
      <c r="P1289" s="15"/>
      <c r="Q1289" s="15"/>
      <c r="R1289" s="15"/>
    </row>
    <row r="1290" spans="1:18" ht="20.25" customHeight="1">
      <c r="A1290" s="36"/>
      <c r="B1290" s="28"/>
      <c r="C1290" s="24"/>
      <c r="D1290" s="34"/>
      <c r="E1290" s="34"/>
      <c r="F1290" s="34"/>
      <c r="G1290" s="34"/>
      <c r="H1290" s="34"/>
      <c r="I1290" s="35"/>
      <c r="J1290" s="24"/>
      <c r="K1290" s="7"/>
      <c r="L1290" s="9"/>
      <c r="M1290" s="9"/>
      <c r="N1290" s="15"/>
      <c r="O1290" s="15"/>
      <c r="P1290" s="15"/>
      <c r="Q1290" s="15"/>
      <c r="R1290" s="15"/>
    </row>
    <row r="1291" spans="1:18" ht="20.25" customHeight="1">
      <c r="A1291" s="36"/>
      <c r="B1291" s="28"/>
      <c r="C1291" s="24"/>
      <c r="D1291" s="34"/>
      <c r="E1291" s="34"/>
      <c r="F1291" s="34"/>
      <c r="G1291" s="34"/>
      <c r="H1291" s="34"/>
      <c r="I1291" s="35"/>
      <c r="J1291" s="24"/>
      <c r="K1291" s="7"/>
      <c r="L1291" s="9"/>
      <c r="M1291" s="9"/>
      <c r="N1291" s="15"/>
      <c r="O1291" s="15"/>
      <c r="P1291" s="15"/>
      <c r="Q1291" s="15"/>
      <c r="R1291" s="15"/>
    </row>
    <row r="1292" spans="1:18" ht="20.25" customHeight="1">
      <c r="A1292" s="36"/>
      <c r="B1292" s="28"/>
      <c r="C1292" s="24"/>
      <c r="D1292" s="34"/>
      <c r="E1292" s="34"/>
      <c r="F1292" s="34"/>
      <c r="G1292" s="34"/>
      <c r="H1292" s="34"/>
      <c r="I1292" s="35"/>
      <c r="J1292" s="24"/>
      <c r="K1292" s="7"/>
      <c r="L1292" s="9"/>
      <c r="M1292" s="9"/>
      <c r="N1292" s="15"/>
      <c r="O1292" s="15"/>
      <c r="P1292" s="15"/>
      <c r="Q1292" s="15"/>
      <c r="R1292" s="15"/>
    </row>
    <row r="1293" spans="1:18" ht="20.25" customHeight="1">
      <c r="A1293" s="36"/>
      <c r="B1293" s="28"/>
      <c r="C1293" s="24"/>
      <c r="D1293" s="34"/>
      <c r="E1293" s="34"/>
      <c r="F1293" s="34"/>
      <c r="G1293" s="34"/>
      <c r="H1293" s="34"/>
      <c r="I1293" s="35"/>
      <c r="J1293" s="24"/>
      <c r="K1293" s="7"/>
      <c r="L1293" s="9"/>
      <c r="M1293" s="9"/>
      <c r="N1293" s="15"/>
      <c r="O1293" s="15"/>
      <c r="P1293" s="15"/>
      <c r="Q1293" s="15"/>
      <c r="R1293" s="15"/>
    </row>
    <row r="1294" spans="1:18" ht="20.25" customHeight="1">
      <c r="A1294" s="36"/>
      <c r="B1294" s="28"/>
      <c r="C1294" s="24"/>
      <c r="D1294" s="34"/>
      <c r="E1294" s="34"/>
      <c r="F1294" s="34"/>
      <c r="G1294" s="34"/>
      <c r="H1294" s="34"/>
      <c r="I1294" s="35"/>
      <c r="J1294" s="24"/>
      <c r="K1294" s="7"/>
      <c r="L1294" s="9"/>
      <c r="M1294" s="9"/>
      <c r="N1294" s="15"/>
      <c r="O1294" s="15"/>
      <c r="P1294" s="15"/>
      <c r="Q1294" s="15"/>
      <c r="R1294" s="15"/>
    </row>
    <row r="1295" spans="1:18" ht="20.25" customHeight="1">
      <c r="A1295" s="36"/>
      <c r="B1295" s="28"/>
      <c r="C1295" s="24"/>
      <c r="D1295" s="34"/>
      <c r="E1295" s="34"/>
      <c r="F1295" s="34"/>
      <c r="G1295" s="34"/>
      <c r="H1295" s="34"/>
      <c r="I1295" s="35"/>
      <c r="J1295" s="24"/>
      <c r="K1295" s="7"/>
      <c r="L1295" s="9"/>
      <c r="M1295" s="9"/>
      <c r="N1295" s="15"/>
      <c r="O1295" s="15"/>
      <c r="P1295" s="15"/>
      <c r="Q1295" s="15"/>
      <c r="R1295" s="15"/>
    </row>
    <row r="1296" spans="1:18" ht="20.25" customHeight="1">
      <c r="A1296" s="36"/>
      <c r="B1296" s="28"/>
      <c r="C1296" s="24"/>
      <c r="D1296" s="34"/>
      <c r="E1296" s="34"/>
      <c r="F1296" s="34"/>
      <c r="G1296" s="34"/>
      <c r="H1296" s="34"/>
      <c r="I1296" s="35"/>
      <c r="J1296" s="24"/>
      <c r="K1296" s="7"/>
      <c r="L1296" s="9"/>
      <c r="M1296" s="9"/>
      <c r="N1296" s="15"/>
      <c r="O1296" s="15"/>
      <c r="P1296" s="15"/>
      <c r="Q1296" s="15"/>
      <c r="R1296" s="15"/>
    </row>
    <row r="1297" spans="1:18" ht="20.25" customHeight="1">
      <c r="A1297" s="36"/>
      <c r="B1297" s="28"/>
      <c r="C1297" s="24"/>
      <c r="D1297" s="34"/>
      <c r="E1297" s="34"/>
      <c r="F1297" s="34"/>
      <c r="G1297" s="34"/>
      <c r="H1297" s="34"/>
      <c r="I1297" s="35"/>
      <c r="J1297" s="24"/>
      <c r="K1297" s="7"/>
      <c r="L1297" s="9"/>
      <c r="M1297" s="9"/>
      <c r="N1297" s="15"/>
      <c r="O1297" s="15"/>
      <c r="P1297" s="15"/>
      <c r="Q1297" s="15"/>
      <c r="R1297" s="15"/>
    </row>
    <row r="1298" spans="1:18" ht="20.25" customHeight="1">
      <c r="A1298" s="36"/>
      <c r="B1298" s="28"/>
      <c r="C1298" s="24"/>
      <c r="D1298" s="34"/>
      <c r="E1298" s="34"/>
      <c r="F1298" s="34"/>
      <c r="G1298" s="34"/>
      <c r="H1298" s="34"/>
      <c r="I1298" s="35"/>
      <c r="J1298" s="24"/>
      <c r="K1298" s="7"/>
      <c r="L1298" s="9"/>
      <c r="M1298" s="9"/>
      <c r="N1298" s="15"/>
      <c r="O1298" s="15"/>
      <c r="P1298" s="15"/>
      <c r="Q1298" s="15"/>
      <c r="R1298" s="15"/>
    </row>
    <row r="1299" spans="1:18" ht="20.25" customHeight="1">
      <c r="A1299" s="36"/>
      <c r="B1299" s="28"/>
      <c r="C1299" s="24"/>
      <c r="D1299" s="34"/>
      <c r="E1299" s="34"/>
      <c r="F1299" s="34"/>
      <c r="G1299" s="34"/>
      <c r="H1299" s="34"/>
      <c r="I1299" s="35"/>
      <c r="J1299" s="24"/>
      <c r="K1299" s="7"/>
      <c r="L1299" s="9"/>
      <c r="M1299" s="9"/>
      <c r="N1299" s="15"/>
      <c r="O1299" s="15"/>
      <c r="P1299" s="15"/>
      <c r="Q1299" s="15"/>
      <c r="R1299" s="15"/>
    </row>
    <row r="1300" spans="1:18" ht="20.25" customHeight="1">
      <c r="A1300" s="36"/>
      <c r="B1300" s="28"/>
      <c r="C1300" s="24"/>
      <c r="D1300" s="34"/>
      <c r="E1300" s="34"/>
      <c r="F1300" s="34"/>
      <c r="G1300" s="34"/>
      <c r="H1300" s="34"/>
      <c r="I1300" s="35"/>
      <c r="J1300" s="24"/>
      <c r="K1300" s="7"/>
      <c r="L1300" s="9"/>
      <c r="M1300" s="9"/>
      <c r="N1300" s="15"/>
      <c r="O1300" s="15"/>
      <c r="P1300" s="15"/>
      <c r="Q1300" s="15"/>
      <c r="R1300" s="15"/>
    </row>
    <row r="1301" spans="1:18" ht="20.25" customHeight="1">
      <c r="A1301" s="36"/>
      <c r="B1301" s="28"/>
      <c r="C1301" s="24"/>
      <c r="D1301" s="34"/>
      <c r="E1301" s="34"/>
      <c r="F1301" s="34"/>
      <c r="G1301" s="34"/>
      <c r="H1301" s="34"/>
      <c r="I1301" s="35"/>
      <c r="J1301" s="24"/>
      <c r="K1301" s="7"/>
      <c r="L1301" s="9"/>
      <c r="M1301" s="9"/>
      <c r="N1301" s="15"/>
      <c r="O1301" s="15"/>
      <c r="P1301" s="15"/>
      <c r="Q1301" s="15"/>
      <c r="R1301" s="15"/>
    </row>
    <row r="1302" spans="1:18" ht="20.25" customHeight="1">
      <c r="A1302" s="36"/>
      <c r="B1302" s="28"/>
      <c r="C1302" s="24"/>
      <c r="D1302" s="34"/>
      <c r="E1302" s="34"/>
      <c r="F1302" s="34"/>
      <c r="G1302" s="34"/>
      <c r="H1302" s="34"/>
      <c r="I1302" s="35"/>
      <c r="J1302" s="24"/>
      <c r="K1302" s="7"/>
      <c r="L1302" s="9"/>
      <c r="M1302" s="9"/>
      <c r="N1302" s="15"/>
      <c r="O1302" s="15"/>
      <c r="P1302" s="15"/>
      <c r="Q1302" s="15"/>
      <c r="R1302" s="15"/>
    </row>
    <row r="1303" spans="1:18" ht="20.25" customHeight="1">
      <c r="A1303" s="36"/>
      <c r="B1303" s="28"/>
      <c r="C1303" s="24"/>
      <c r="D1303" s="34"/>
      <c r="E1303" s="34"/>
      <c r="F1303" s="34"/>
      <c r="G1303" s="34"/>
      <c r="H1303" s="34"/>
      <c r="I1303" s="35"/>
      <c r="J1303" s="24"/>
      <c r="K1303" s="7"/>
      <c r="L1303" s="9"/>
      <c r="M1303" s="9"/>
      <c r="N1303" s="15"/>
      <c r="O1303" s="15"/>
      <c r="P1303" s="15"/>
      <c r="Q1303" s="15"/>
      <c r="R1303" s="15"/>
    </row>
    <row r="1304" spans="1:18" ht="20.25" customHeight="1">
      <c r="A1304" s="36"/>
      <c r="B1304" s="28"/>
      <c r="C1304" s="24"/>
      <c r="D1304" s="34"/>
      <c r="E1304" s="34"/>
      <c r="F1304" s="34"/>
      <c r="G1304" s="34"/>
      <c r="H1304" s="34"/>
      <c r="I1304" s="35"/>
      <c r="J1304" s="24"/>
      <c r="K1304" s="7"/>
      <c r="L1304" s="9"/>
      <c r="M1304" s="9"/>
      <c r="N1304" s="15"/>
      <c r="O1304" s="15"/>
      <c r="P1304" s="15"/>
      <c r="Q1304" s="15"/>
      <c r="R1304" s="15"/>
    </row>
    <row r="1305" spans="1:18" ht="20.25" customHeight="1">
      <c r="A1305" s="36"/>
      <c r="B1305" s="28"/>
      <c r="C1305" s="24"/>
      <c r="D1305" s="34"/>
      <c r="E1305" s="34"/>
      <c r="F1305" s="34"/>
      <c r="G1305" s="34"/>
      <c r="H1305" s="34"/>
      <c r="I1305" s="35"/>
      <c r="J1305" s="24"/>
      <c r="K1305" s="7"/>
      <c r="L1305" s="9"/>
      <c r="M1305" s="9"/>
      <c r="N1305" s="15"/>
      <c r="O1305" s="15"/>
      <c r="P1305" s="15"/>
      <c r="Q1305" s="15"/>
      <c r="R1305" s="15"/>
    </row>
    <row r="1306" spans="1:18" ht="20.25" customHeight="1">
      <c r="A1306" s="36"/>
      <c r="B1306" s="28"/>
      <c r="C1306" s="24"/>
      <c r="D1306" s="34"/>
      <c r="E1306" s="34"/>
      <c r="F1306" s="34"/>
      <c r="G1306" s="34"/>
      <c r="H1306" s="34"/>
      <c r="I1306" s="35"/>
      <c r="J1306" s="24"/>
      <c r="K1306" s="7"/>
      <c r="L1306" s="9"/>
      <c r="M1306" s="9"/>
      <c r="N1306" s="15"/>
      <c r="O1306" s="15"/>
      <c r="P1306" s="15"/>
      <c r="Q1306" s="15"/>
      <c r="R1306" s="15"/>
    </row>
    <row r="1307" spans="1:18" ht="20.25" customHeight="1">
      <c r="A1307" s="36"/>
      <c r="B1307" s="28"/>
      <c r="C1307" s="24"/>
      <c r="D1307" s="34"/>
      <c r="E1307" s="34"/>
      <c r="F1307" s="34"/>
      <c r="G1307" s="34"/>
      <c r="H1307" s="34"/>
      <c r="I1307" s="35"/>
      <c r="J1307" s="24"/>
      <c r="K1307" s="7"/>
      <c r="L1307" s="9"/>
      <c r="M1307" s="9"/>
      <c r="N1307" s="15"/>
      <c r="O1307" s="15"/>
      <c r="P1307" s="15"/>
      <c r="Q1307" s="15"/>
      <c r="R1307" s="15"/>
    </row>
    <row r="1308" spans="1:18" ht="20.25" customHeight="1">
      <c r="A1308" s="36"/>
      <c r="B1308" s="28"/>
      <c r="C1308" s="24"/>
      <c r="D1308" s="34"/>
      <c r="E1308" s="34"/>
      <c r="F1308" s="34"/>
      <c r="G1308" s="34"/>
      <c r="H1308" s="34"/>
      <c r="I1308" s="35"/>
      <c r="J1308" s="24"/>
      <c r="K1308" s="7"/>
      <c r="L1308" s="9"/>
      <c r="M1308" s="9"/>
      <c r="N1308" s="15"/>
      <c r="O1308" s="15"/>
      <c r="P1308" s="15"/>
      <c r="Q1308" s="15"/>
      <c r="R1308" s="15"/>
    </row>
    <row r="1309" spans="1:18" ht="20.25" customHeight="1">
      <c r="A1309" s="36"/>
      <c r="B1309" s="28"/>
      <c r="C1309" s="24"/>
      <c r="D1309" s="34"/>
      <c r="E1309" s="34"/>
      <c r="F1309" s="34"/>
      <c r="G1309" s="34"/>
      <c r="H1309" s="34"/>
      <c r="I1309" s="35"/>
      <c r="J1309" s="24"/>
      <c r="K1309" s="7"/>
      <c r="L1309" s="9"/>
      <c r="M1309" s="9"/>
      <c r="N1309" s="15"/>
      <c r="O1309" s="15"/>
      <c r="P1309" s="15"/>
      <c r="Q1309" s="15"/>
      <c r="R1309" s="15"/>
    </row>
    <row r="1310" spans="1:18" ht="20.25" customHeight="1">
      <c r="A1310" s="36"/>
      <c r="B1310" s="28"/>
      <c r="C1310" s="24"/>
      <c r="D1310" s="34"/>
      <c r="E1310" s="34"/>
      <c r="F1310" s="34"/>
      <c r="G1310" s="34"/>
      <c r="H1310" s="34"/>
      <c r="I1310" s="35"/>
      <c r="J1310" s="24"/>
      <c r="K1310" s="7"/>
      <c r="L1310" s="9"/>
      <c r="M1310" s="9"/>
      <c r="N1310" s="15"/>
      <c r="O1310" s="15"/>
      <c r="P1310" s="15"/>
      <c r="Q1310" s="15"/>
      <c r="R1310" s="15"/>
    </row>
    <row r="1311" spans="1:18" ht="20.25" customHeight="1">
      <c r="A1311" s="36"/>
      <c r="B1311" s="28"/>
      <c r="C1311" s="24"/>
      <c r="D1311" s="34"/>
      <c r="E1311" s="34"/>
      <c r="F1311" s="34"/>
      <c r="G1311" s="34"/>
      <c r="H1311" s="34"/>
      <c r="I1311" s="35"/>
      <c r="J1311" s="24"/>
      <c r="K1311" s="7"/>
      <c r="L1311" s="9"/>
      <c r="M1311" s="9"/>
      <c r="N1311" s="15"/>
      <c r="O1311" s="15"/>
      <c r="P1311" s="15"/>
      <c r="Q1311" s="15"/>
      <c r="R1311" s="15"/>
    </row>
    <row r="1312" spans="1:18" ht="20.25" customHeight="1">
      <c r="A1312" s="36"/>
      <c r="B1312" s="28"/>
      <c r="C1312" s="24"/>
      <c r="D1312" s="34"/>
      <c r="E1312" s="34"/>
      <c r="F1312" s="34"/>
      <c r="G1312" s="34"/>
      <c r="H1312" s="34"/>
      <c r="I1312" s="35"/>
      <c r="J1312" s="24"/>
      <c r="K1312" s="7"/>
      <c r="L1312" s="9"/>
      <c r="M1312" s="9"/>
      <c r="N1312" s="15"/>
      <c r="O1312" s="15"/>
      <c r="P1312" s="15"/>
      <c r="Q1312" s="15"/>
      <c r="R1312" s="15"/>
    </row>
    <row r="1313" spans="1:18" ht="20.25" customHeight="1">
      <c r="A1313" s="36"/>
      <c r="B1313" s="28"/>
      <c r="C1313" s="24"/>
      <c r="D1313" s="34"/>
      <c r="E1313" s="34"/>
      <c r="F1313" s="34"/>
      <c r="G1313" s="34"/>
      <c r="H1313" s="34"/>
      <c r="I1313" s="35"/>
      <c r="J1313" s="24"/>
      <c r="K1313" s="7"/>
      <c r="L1313" s="9"/>
      <c r="M1313" s="9"/>
      <c r="N1313" s="15"/>
      <c r="O1313" s="15"/>
      <c r="P1313" s="15"/>
      <c r="Q1313" s="15"/>
      <c r="R1313" s="15"/>
    </row>
    <row r="1314" spans="1:18" ht="20.25" customHeight="1">
      <c r="A1314" s="36"/>
      <c r="B1314" s="28"/>
      <c r="C1314" s="24"/>
      <c r="D1314" s="34"/>
      <c r="E1314" s="34"/>
      <c r="F1314" s="34"/>
      <c r="G1314" s="34"/>
      <c r="H1314" s="34"/>
      <c r="I1314" s="35"/>
      <c r="J1314" s="24"/>
      <c r="K1314" s="7"/>
      <c r="L1314" s="9"/>
      <c r="M1314" s="9"/>
      <c r="N1314" s="15"/>
      <c r="O1314" s="15"/>
      <c r="P1314" s="15"/>
      <c r="Q1314" s="15"/>
      <c r="R1314" s="15"/>
    </row>
    <row r="1315" spans="1:18" ht="20.25" customHeight="1">
      <c r="A1315" s="36"/>
      <c r="B1315" s="28"/>
      <c r="C1315" s="24"/>
      <c r="D1315" s="34"/>
      <c r="E1315" s="34"/>
      <c r="F1315" s="34"/>
      <c r="G1315" s="34"/>
      <c r="H1315" s="34"/>
      <c r="I1315" s="35"/>
      <c r="J1315" s="24"/>
      <c r="K1315" s="7"/>
      <c r="L1315" s="9"/>
      <c r="M1315" s="9"/>
      <c r="N1315" s="15"/>
      <c r="O1315" s="15"/>
      <c r="P1315" s="15"/>
      <c r="Q1315" s="15"/>
      <c r="R1315" s="15"/>
    </row>
    <row r="1316" spans="1:18" ht="20.25" customHeight="1">
      <c r="A1316" s="36"/>
      <c r="B1316" s="28"/>
      <c r="C1316" s="24"/>
      <c r="D1316" s="34"/>
      <c r="E1316" s="34"/>
      <c r="F1316" s="34"/>
      <c r="G1316" s="34"/>
      <c r="H1316" s="34"/>
      <c r="I1316" s="35"/>
      <c r="J1316" s="24"/>
      <c r="K1316" s="7"/>
      <c r="L1316" s="9"/>
      <c r="M1316" s="9"/>
      <c r="N1316" s="15"/>
      <c r="O1316" s="15"/>
      <c r="P1316" s="15"/>
      <c r="Q1316" s="15"/>
      <c r="R1316" s="15"/>
    </row>
    <row r="1317" spans="1:18" ht="20.25" customHeight="1">
      <c r="A1317" s="36"/>
      <c r="B1317" s="28"/>
      <c r="C1317" s="24"/>
      <c r="D1317" s="34"/>
      <c r="E1317" s="34"/>
      <c r="F1317" s="34"/>
      <c r="G1317" s="34"/>
      <c r="H1317" s="34"/>
      <c r="I1317" s="35"/>
      <c r="J1317" s="24"/>
      <c r="K1317" s="7"/>
      <c r="L1317" s="9"/>
      <c r="M1317" s="9"/>
      <c r="N1317" s="15"/>
      <c r="O1317" s="15"/>
      <c r="P1317" s="15"/>
      <c r="Q1317" s="15"/>
      <c r="R1317" s="15"/>
    </row>
    <row r="1318" spans="1:18" ht="20.25" customHeight="1">
      <c r="A1318" s="36"/>
      <c r="B1318" s="28"/>
      <c r="C1318" s="24"/>
      <c r="D1318" s="34"/>
      <c r="E1318" s="34"/>
      <c r="F1318" s="34"/>
      <c r="G1318" s="34"/>
      <c r="H1318" s="34"/>
      <c r="I1318" s="35"/>
      <c r="J1318" s="24"/>
      <c r="K1318" s="7"/>
      <c r="L1318" s="9"/>
      <c r="M1318" s="9"/>
      <c r="N1318" s="15"/>
      <c r="O1318" s="15"/>
      <c r="P1318" s="15"/>
      <c r="Q1318" s="15"/>
      <c r="R1318" s="15"/>
    </row>
    <row r="1319" spans="1:18" ht="20.25" customHeight="1">
      <c r="A1319" s="36"/>
      <c r="B1319" s="28"/>
      <c r="C1319" s="24"/>
      <c r="D1319" s="34"/>
      <c r="E1319" s="34"/>
      <c r="F1319" s="34"/>
      <c r="G1319" s="34"/>
      <c r="H1319" s="34"/>
      <c r="I1319" s="35"/>
      <c r="J1319" s="24"/>
      <c r="K1319" s="7"/>
      <c r="L1319" s="9"/>
      <c r="M1319" s="9"/>
      <c r="N1319" s="15"/>
      <c r="O1319" s="15"/>
      <c r="P1319" s="15"/>
      <c r="Q1319" s="15"/>
      <c r="R1319" s="15"/>
    </row>
    <row r="1320" spans="1:18" ht="20.25" customHeight="1">
      <c r="A1320" s="36"/>
      <c r="B1320" s="28"/>
      <c r="C1320" s="24"/>
      <c r="D1320" s="34"/>
      <c r="E1320" s="34"/>
      <c r="F1320" s="34"/>
      <c r="G1320" s="34"/>
      <c r="H1320" s="34"/>
      <c r="I1320" s="35"/>
      <c r="J1320" s="24"/>
      <c r="K1320" s="7"/>
      <c r="L1320" s="9"/>
      <c r="M1320" s="9"/>
      <c r="N1320" s="15"/>
      <c r="O1320" s="15"/>
      <c r="P1320" s="15"/>
      <c r="Q1320" s="15"/>
      <c r="R1320" s="15"/>
    </row>
    <row r="1321" spans="1:18" ht="20.25" customHeight="1">
      <c r="A1321" s="36"/>
      <c r="B1321" s="28"/>
      <c r="C1321" s="24"/>
      <c r="D1321" s="34"/>
      <c r="E1321" s="34"/>
      <c r="F1321" s="34"/>
      <c r="G1321" s="34"/>
      <c r="H1321" s="34"/>
      <c r="I1321" s="35"/>
      <c r="J1321" s="24"/>
      <c r="K1321" s="7"/>
      <c r="L1321" s="9"/>
      <c r="M1321" s="9"/>
      <c r="N1321" s="15"/>
      <c r="O1321" s="15"/>
      <c r="P1321" s="15"/>
      <c r="Q1321" s="15"/>
      <c r="R1321" s="15"/>
    </row>
    <row r="1322" spans="1:18" ht="20.25" customHeight="1">
      <c r="A1322" s="36"/>
      <c r="B1322" s="28"/>
      <c r="C1322" s="24"/>
      <c r="D1322" s="34"/>
      <c r="E1322" s="34"/>
      <c r="F1322" s="34"/>
      <c r="G1322" s="34"/>
      <c r="H1322" s="34"/>
      <c r="I1322" s="35"/>
      <c r="J1322" s="24"/>
      <c r="K1322" s="7"/>
      <c r="L1322" s="9"/>
      <c r="M1322" s="9"/>
      <c r="N1322" s="15"/>
      <c r="O1322" s="15"/>
      <c r="P1322" s="15"/>
      <c r="Q1322" s="15"/>
      <c r="R1322" s="15"/>
    </row>
    <row r="1323" spans="1:18" ht="20.25" customHeight="1">
      <c r="A1323" s="36"/>
      <c r="B1323" s="28"/>
      <c r="C1323" s="24"/>
      <c r="D1323" s="34"/>
      <c r="E1323" s="34"/>
      <c r="F1323" s="34"/>
      <c r="G1323" s="34"/>
      <c r="H1323" s="34"/>
      <c r="I1323" s="35"/>
      <c r="J1323" s="24"/>
      <c r="K1323" s="7"/>
      <c r="L1323" s="9"/>
      <c r="M1323" s="9"/>
      <c r="N1323" s="15"/>
      <c r="O1323" s="15"/>
      <c r="P1323" s="15"/>
      <c r="Q1323" s="15"/>
      <c r="R1323" s="15"/>
    </row>
    <row r="1324" spans="1:18" ht="20.25" customHeight="1">
      <c r="A1324" s="36"/>
      <c r="B1324" s="28"/>
      <c r="C1324" s="24"/>
      <c r="D1324" s="34"/>
      <c r="E1324" s="34"/>
      <c r="F1324" s="34"/>
      <c r="G1324" s="34"/>
      <c r="H1324" s="34"/>
      <c r="I1324" s="35"/>
      <c r="J1324" s="24"/>
      <c r="K1324" s="7"/>
      <c r="L1324" s="9"/>
      <c r="M1324" s="9"/>
      <c r="N1324" s="15"/>
      <c r="O1324" s="15"/>
      <c r="P1324" s="15"/>
      <c r="Q1324" s="15"/>
      <c r="R1324" s="15"/>
    </row>
    <row r="1325" spans="1:18" ht="20.25" customHeight="1">
      <c r="A1325" s="36"/>
      <c r="B1325" s="28"/>
      <c r="C1325" s="24"/>
      <c r="D1325" s="34"/>
      <c r="E1325" s="34"/>
      <c r="F1325" s="34"/>
      <c r="G1325" s="34"/>
      <c r="H1325" s="34"/>
      <c r="I1325" s="35"/>
      <c r="J1325" s="24"/>
      <c r="K1325" s="7"/>
      <c r="L1325" s="9"/>
      <c r="M1325" s="9"/>
      <c r="N1325" s="15"/>
      <c r="O1325" s="15"/>
      <c r="P1325" s="15"/>
      <c r="Q1325" s="15"/>
      <c r="R1325" s="15"/>
    </row>
    <row r="1326" spans="1:18" ht="20.25" customHeight="1">
      <c r="A1326" s="36"/>
      <c r="B1326" s="28"/>
      <c r="C1326" s="24"/>
      <c r="D1326" s="34"/>
      <c r="E1326" s="34"/>
      <c r="F1326" s="34"/>
      <c r="G1326" s="34"/>
      <c r="H1326" s="34"/>
      <c r="I1326" s="35"/>
      <c r="J1326" s="24"/>
      <c r="K1326" s="7"/>
      <c r="L1326" s="9"/>
      <c r="M1326" s="9"/>
      <c r="N1326" s="15"/>
      <c r="O1326" s="15"/>
      <c r="P1326" s="15"/>
      <c r="Q1326" s="15"/>
      <c r="R1326" s="15"/>
    </row>
    <row r="1327" spans="1:18" ht="20.25" customHeight="1">
      <c r="A1327" s="36"/>
      <c r="B1327" s="28"/>
      <c r="C1327" s="24"/>
      <c r="D1327" s="34"/>
      <c r="E1327" s="34"/>
      <c r="F1327" s="34"/>
      <c r="G1327" s="34"/>
      <c r="H1327" s="34"/>
      <c r="I1327" s="35"/>
      <c r="J1327" s="24"/>
      <c r="K1327" s="7"/>
      <c r="L1327" s="9"/>
      <c r="M1327" s="9"/>
      <c r="N1327" s="15"/>
      <c r="O1327" s="15"/>
      <c r="P1327" s="15"/>
      <c r="Q1327" s="15"/>
      <c r="R1327" s="15"/>
    </row>
    <row r="1328" spans="1:18" ht="20.25" customHeight="1">
      <c r="A1328" s="36"/>
      <c r="B1328" s="28"/>
      <c r="C1328" s="24"/>
      <c r="D1328" s="34"/>
      <c r="E1328" s="34"/>
      <c r="F1328" s="34"/>
      <c r="G1328" s="34"/>
      <c r="H1328" s="34"/>
      <c r="I1328" s="35"/>
      <c r="J1328" s="24"/>
      <c r="K1328" s="7"/>
      <c r="L1328" s="9"/>
      <c r="M1328" s="9"/>
      <c r="N1328" s="15"/>
      <c r="O1328" s="15"/>
      <c r="P1328" s="15"/>
      <c r="Q1328" s="15"/>
      <c r="R1328" s="15"/>
    </row>
    <row r="1329" spans="1:18" ht="20.25" customHeight="1">
      <c r="A1329" s="36"/>
      <c r="B1329" s="28"/>
      <c r="C1329" s="24"/>
      <c r="D1329" s="34"/>
      <c r="E1329" s="34"/>
      <c r="F1329" s="34"/>
      <c r="G1329" s="34"/>
      <c r="H1329" s="34"/>
      <c r="I1329" s="35"/>
      <c r="J1329" s="24"/>
      <c r="K1329" s="7"/>
      <c r="L1329" s="9"/>
      <c r="M1329" s="9"/>
      <c r="N1329" s="15"/>
      <c r="O1329" s="15"/>
      <c r="P1329" s="15"/>
      <c r="Q1329" s="15"/>
      <c r="R1329" s="15"/>
    </row>
    <row r="1330" spans="1:18" ht="20.25" customHeight="1">
      <c r="A1330" s="36"/>
      <c r="B1330" s="28"/>
      <c r="C1330" s="24"/>
      <c r="D1330" s="34"/>
      <c r="E1330" s="34"/>
      <c r="F1330" s="34"/>
      <c r="G1330" s="34"/>
      <c r="H1330" s="34"/>
      <c r="I1330" s="35"/>
      <c r="J1330" s="24"/>
      <c r="K1330" s="7"/>
      <c r="L1330" s="9"/>
      <c r="M1330" s="9"/>
      <c r="N1330" s="15"/>
      <c r="O1330" s="15"/>
      <c r="P1330" s="15"/>
      <c r="Q1330" s="15"/>
      <c r="R1330" s="15"/>
    </row>
    <row r="1331" spans="1:18" ht="20.25" customHeight="1">
      <c r="A1331" s="36"/>
      <c r="B1331" s="28"/>
      <c r="C1331" s="24"/>
      <c r="D1331" s="34"/>
      <c r="E1331" s="34"/>
      <c r="F1331" s="34"/>
      <c r="G1331" s="34"/>
      <c r="H1331" s="34"/>
      <c r="I1331" s="35"/>
      <c r="J1331" s="24"/>
      <c r="K1331" s="7"/>
      <c r="L1331" s="9"/>
      <c r="M1331" s="9"/>
      <c r="N1331" s="15"/>
      <c r="O1331" s="15"/>
      <c r="P1331" s="15"/>
      <c r="Q1331" s="15"/>
      <c r="R1331" s="15"/>
    </row>
    <row r="1332" spans="1:18" ht="20.25" customHeight="1">
      <c r="A1332" s="36"/>
      <c r="B1332" s="28"/>
      <c r="C1332" s="24"/>
      <c r="D1332" s="34"/>
      <c r="E1332" s="34"/>
      <c r="F1332" s="34"/>
      <c r="G1332" s="34"/>
      <c r="H1332" s="34"/>
      <c r="I1332" s="35"/>
      <c r="J1332" s="24"/>
      <c r="K1332" s="7"/>
      <c r="L1332" s="9"/>
      <c r="M1332" s="9"/>
      <c r="N1332" s="15"/>
      <c r="O1332" s="15"/>
      <c r="P1332" s="15"/>
      <c r="Q1332" s="15"/>
      <c r="R1332" s="15"/>
    </row>
    <row r="1333" spans="1:18" ht="20.25" customHeight="1">
      <c r="A1333" s="36"/>
      <c r="B1333" s="28"/>
      <c r="C1333" s="24"/>
      <c r="D1333" s="34"/>
      <c r="E1333" s="34"/>
      <c r="F1333" s="34"/>
      <c r="G1333" s="34"/>
      <c r="H1333" s="34"/>
      <c r="I1333" s="35"/>
      <c r="J1333" s="24"/>
      <c r="K1333" s="7"/>
      <c r="L1333" s="9"/>
      <c r="M1333" s="9"/>
      <c r="N1333" s="15"/>
      <c r="O1333" s="15"/>
      <c r="P1333" s="15"/>
      <c r="Q1333" s="15"/>
      <c r="R1333" s="15"/>
    </row>
    <row r="1334" spans="1:18" ht="20.25" customHeight="1">
      <c r="A1334" s="36"/>
      <c r="B1334" s="28"/>
      <c r="C1334" s="24"/>
      <c r="D1334" s="34"/>
      <c r="E1334" s="34"/>
      <c r="F1334" s="34"/>
      <c r="G1334" s="34"/>
      <c r="H1334" s="34"/>
      <c r="I1334" s="35"/>
      <c r="J1334" s="24"/>
      <c r="K1334" s="7"/>
      <c r="L1334" s="9"/>
      <c r="M1334" s="9"/>
      <c r="N1334" s="15"/>
      <c r="O1334" s="15"/>
      <c r="P1334" s="15"/>
      <c r="Q1334" s="15"/>
      <c r="R1334" s="15"/>
    </row>
    <row r="1335" spans="1:18" ht="20.25" customHeight="1">
      <c r="A1335" s="36"/>
      <c r="B1335" s="28"/>
      <c r="C1335" s="24"/>
      <c r="D1335" s="34"/>
      <c r="E1335" s="34"/>
      <c r="F1335" s="34"/>
      <c r="G1335" s="34"/>
      <c r="H1335" s="34"/>
      <c r="I1335" s="35"/>
      <c r="J1335" s="24"/>
      <c r="K1335" s="7"/>
      <c r="L1335" s="9"/>
      <c r="M1335" s="9"/>
      <c r="N1335" s="15"/>
      <c r="O1335" s="15"/>
      <c r="P1335" s="15"/>
      <c r="Q1335" s="15"/>
      <c r="R1335" s="15"/>
    </row>
    <row r="1336" spans="1:18" ht="20.25" customHeight="1">
      <c r="A1336" s="36"/>
      <c r="B1336" s="28"/>
      <c r="C1336" s="24"/>
      <c r="D1336" s="34"/>
      <c r="E1336" s="34"/>
      <c r="F1336" s="34"/>
      <c r="G1336" s="34"/>
      <c r="H1336" s="34"/>
      <c r="I1336" s="35"/>
      <c r="J1336" s="24"/>
      <c r="K1336" s="7"/>
      <c r="L1336" s="9"/>
      <c r="M1336" s="9"/>
      <c r="N1336" s="15"/>
      <c r="O1336" s="15"/>
      <c r="P1336" s="15"/>
      <c r="Q1336" s="15"/>
      <c r="R1336" s="15"/>
    </row>
    <row r="1337" spans="1:18" ht="20.25" customHeight="1">
      <c r="A1337" s="36"/>
      <c r="B1337" s="28"/>
      <c r="C1337" s="24"/>
      <c r="D1337" s="34"/>
      <c r="E1337" s="34"/>
      <c r="F1337" s="34"/>
      <c r="G1337" s="34"/>
      <c r="H1337" s="34"/>
      <c r="I1337" s="35"/>
      <c r="J1337" s="24"/>
      <c r="K1337" s="7"/>
      <c r="L1337" s="9"/>
      <c r="M1337" s="9"/>
      <c r="N1337" s="15"/>
      <c r="O1337" s="15"/>
      <c r="P1337" s="15"/>
      <c r="Q1337" s="15"/>
      <c r="R1337" s="15"/>
    </row>
    <row r="1338" spans="1:18" ht="20.25" customHeight="1">
      <c r="A1338" s="36"/>
      <c r="B1338" s="28"/>
      <c r="C1338" s="24"/>
      <c r="D1338" s="34"/>
      <c r="E1338" s="34"/>
      <c r="F1338" s="34"/>
      <c r="G1338" s="34"/>
      <c r="H1338" s="34"/>
      <c r="I1338" s="35"/>
      <c r="J1338" s="24"/>
      <c r="K1338" s="7"/>
      <c r="L1338" s="9"/>
      <c r="M1338" s="9"/>
      <c r="N1338" s="15"/>
      <c r="O1338" s="15"/>
      <c r="P1338" s="15"/>
      <c r="Q1338" s="15"/>
      <c r="R1338" s="15"/>
    </row>
    <row r="1339" spans="1:18" ht="20.25" customHeight="1">
      <c r="A1339" s="36"/>
      <c r="B1339" s="28"/>
      <c r="C1339" s="24"/>
      <c r="D1339" s="34"/>
      <c r="E1339" s="34"/>
      <c r="F1339" s="34"/>
      <c r="G1339" s="34"/>
      <c r="H1339" s="34"/>
      <c r="I1339" s="35"/>
      <c r="J1339" s="24"/>
      <c r="K1339" s="7"/>
      <c r="L1339" s="9"/>
      <c r="M1339" s="9"/>
      <c r="N1339" s="15"/>
      <c r="O1339" s="15"/>
      <c r="P1339" s="15"/>
      <c r="Q1339" s="15"/>
      <c r="R1339" s="15"/>
    </row>
    <row r="1340" spans="1:18" ht="20.25" customHeight="1">
      <c r="A1340" s="36"/>
      <c r="B1340" s="28"/>
      <c r="C1340" s="24"/>
      <c r="D1340" s="34"/>
      <c r="E1340" s="34"/>
      <c r="F1340" s="34"/>
      <c r="G1340" s="34"/>
      <c r="H1340" s="34"/>
      <c r="I1340" s="35"/>
      <c r="J1340" s="24"/>
      <c r="K1340" s="7"/>
      <c r="L1340" s="9"/>
      <c r="M1340" s="9"/>
      <c r="N1340" s="15"/>
      <c r="O1340" s="15"/>
      <c r="P1340" s="15"/>
      <c r="Q1340" s="15"/>
      <c r="R1340" s="15"/>
    </row>
    <row r="1341" spans="1:18" ht="20.25" customHeight="1">
      <c r="A1341" s="36"/>
      <c r="B1341" s="28"/>
      <c r="C1341" s="24"/>
      <c r="D1341" s="34"/>
      <c r="E1341" s="34"/>
      <c r="F1341" s="34"/>
      <c r="G1341" s="34"/>
      <c r="H1341" s="34"/>
      <c r="I1341" s="35"/>
      <c r="J1341" s="24"/>
      <c r="K1341" s="7"/>
      <c r="L1341" s="9"/>
      <c r="M1341" s="9"/>
      <c r="N1341" s="15"/>
      <c r="O1341" s="15"/>
      <c r="P1341" s="15"/>
      <c r="Q1341" s="15"/>
      <c r="R1341" s="15"/>
    </row>
    <row r="1342" spans="1:18" ht="20.25" customHeight="1">
      <c r="A1342" s="36"/>
      <c r="B1342" s="28"/>
      <c r="C1342" s="24"/>
      <c r="D1342" s="34"/>
      <c r="E1342" s="34"/>
      <c r="F1342" s="34"/>
      <c r="G1342" s="34"/>
      <c r="H1342" s="34"/>
      <c r="I1342" s="35"/>
      <c r="J1342" s="24"/>
      <c r="K1342" s="7"/>
      <c r="L1342" s="9"/>
      <c r="M1342" s="9"/>
      <c r="N1342" s="15"/>
      <c r="O1342" s="15"/>
      <c r="P1342" s="15"/>
      <c r="Q1342" s="15"/>
      <c r="R1342" s="15"/>
    </row>
    <row r="1343" spans="1:18" ht="20.25" customHeight="1">
      <c r="A1343" s="36"/>
      <c r="B1343" s="28"/>
      <c r="C1343" s="24"/>
      <c r="D1343" s="34"/>
      <c r="E1343" s="34"/>
      <c r="F1343" s="34"/>
      <c r="G1343" s="34"/>
      <c r="H1343" s="34"/>
      <c r="I1343" s="35"/>
      <c r="J1343" s="24"/>
      <c r="K1343" s="7"/>
      <c r="L1343" s="9"/>
      <c r="M1343" s="9"/>
      <c r="N1343" s="15"/>
      <c r="O1343" s="15"/>
      <c r="P1343" s="15"/>
      <c r="Q1343" s="15"/>
      <c r="R1343" s="15"/>
    </row>
    <row r="1344" spans="1:18" ht="20.25" customHeight="1">
      <c r="A1344" s="36"/>
      <c r="B1344" s="28"/>
      <c r="C1344" s="24"/>
      <c r="D1344" s="34"/>
      <c r="E1344" s="34"/>
      <c r="F1344" s="34"/>
      <c r="G1344" s="34"/>
      <c r="H1344" s="34"/>
      <c r="I1344" s="35"/>
      <c r="J1344" s="24"/>
      <c r="K1344" s="7"/>
      <c r="L1344" s="9"/>
      <c r="M1344" s="9"/>
      <c r="N1344" s="15"/>
      <c r="O1344" s="15"/>
      <c r="P1344" s="15"/>
      <c r="Q1344" s="15"/>
      <c r="R1344" s="15"/>
    </row>
    <row r="1345" spans="1:18" ht="20.25" customHeight="1">
      <c r="A1345" s="36"/>
      <c r="B1345" s="28"/>
      <c r="C1345" s="24"/>
      <c r="D1345" s="34"/>
      <c r="E1345" s="34"/>
      <c r="F1345" s="34"/>
      <c r="G1345" s="34"/>
      <c r="H1345" s="34"/>
      <c r="I1345" s="35"/>
      <c r="J1345" s="24"/>
      <c r="K1345" s="7"/>
      <c r="L1345" s="9"/>
      <c r="M1345" s="9"/>
      <c r="N1345" s="15"/>
      <c r="O1345" s="15"/>
      <c r="P1345" s="15"/>
      <c r="Q1345" s="15"/>
      <c r="R1345" s="15"/>
    </row>
    <row r="1346" spans="1:18" ht="20.25" customHeight="1">
      <c r="A1346" s="36"/>
      <c r="B1346" s="28"/>
      <c r="C1346" s="24"/>
      <c r="D1346" s="34"/>
      <c r="E1346" s="34"/>
      <c r="F1346" s="34"/>
      <c r="G1346" s="34"/>
      <c r="H1346" s="34"/>
      <c r="I1346" s="35"/>
      <c r="J1346" s="24"/>
      <c r="K1346" s="7"/>
      <c r="L1346" s="9"/>
      <c r="M1346" s="9"/>
      <c r="N1346" s="15"/>
      <c r="O1346" s="15"/>
      <c r="P1346" s="15"/>
      <c r="Q1346" s="15"/>
      <c r="R1346" s="15"/>
    </row>
    <row r="1347" spans="1:18" ht="20.25" customHeight="1">
      <c r="A1347" s="36"/>
      <c r="B1347" s="28"/>
      <c r="C1347" s="24"/>
      <c r="D1347" s="34"/>
      <c r="E1347" s="34"/>
      <c r="F1347" s="34"/>
      <c r="G1347" s="34"/>
      <c r="H1347" s="34"/>
      <c r="I1347" s="35"/>
      <c r="J1347" s="24"/>
      <c r="K1347" s="7"/>
      <c r="L1347" s="9"/>
      <c r="M1347" s="9"/>
      <c r="N1347" s="15"/>
      <c r="O1347" s="15"/>
      <c r="P1347" s="15"/>
      <c r="Q1347" s="15"/>
      <c r="R1347" s="15"/>
    </row>
    <row r="1348" spans="1:18" ht="20.25" customHeight="1">
      <c r="A1348" s="36"/>
      <c r="B1348" s="28"/>
      <c r="C1348" s="24"/>
      <c r="D1348" s="34"/>
      <c r="E1348" s="34"/>
      <c r="F1348" s="34"/>
      <c r="G1348" s="34"/>
      <c r="H1348" s="34"/>
      <c r="I1348" s="35"/>
      <c r="J1348" s="24"/>
      <c r="K1348" s="7"/>
      <c r="L1348" s="9"/>
      <c r="M1348" s="9"/>
      <c r="N1348" s="15"/>
      <c r="O1348" s="15"/>
      <c r="P1348" s="15"/>
      <c r="Q1348" s="15"/>
      <c r="R1348" s="15"/>
    </row>
    <row r="1349" spans="1:18" ht="20.25" customHeight="1">
      <c r="A1349" s="36"/>
      <c r="B1349" s="28"/>
      <c r="C1349" s="24"/>
      <c r="D1349" s="34"/>
      <c r="E1349" s="34"/>
      <c r="F1349" s="34"/>
      <c r="G1349" s="34"/>
      <c r="H1349" s="34"/>
      <c r="I1349" s="35"/>
      <c r="J1349" s="24"/>
      <c r="K1349" s="7"/>
      <c r="L1349" s="9"/>
      <c r="M1349" s="9"/>
      <c r="N1349" s="15"/>
      <c r="O1349" s="15"/>
      <c r="P1349" s="15"/>
      <c r="Q1349" s="15"/>
      <c r="R1349" s="15"/>
    </row>
    <row r="1350" spans="1:18" ht="20.25" customHeight="1">
      <c r="A1350" s="36"/>
      <c r="B1350" s="28"/>
      <c r="C1350" s="24"/>
      <c r="D1350" s="34"/>
      <c r="E1350" s="34"/>
      <c r="F1350" s="34"/>
      <c r="G1350" s="34"/>
      <c r="H1350" s="34"/>
      <c r="I1350" s="35"/>
      <c r="J1350" s="24"/>
      <c r="K1350" s="7"/>
      <c r="L1350" s="9"/>
      <c r="M1350" s="9"/>
      <c r="N1350" s="15"/>
      <c r="O1350" s="15"/>
      <c r="P1350" s="15"/>
      <c r="Q1350" s="15"/>
      <c r="R1350" s="15"/>
    </row>
    <row r="1351" spans="1:18" ht="20.25" customHeight="1">
      <c r="A1351" s="36"/>
      <c r="B1351" s="28"/>
      <c r="C1351" s="24"/>
      <c r="D1351" s="34"/>
      <c r="E1351" s="34"/>
      <c r="F1351" s="34"/>
      <c r="G1351" s="34"/>
      <c r="H1351" s="34"/>
      <c r="I1351" s="35"/>
      <c r="J1351" s="24"/>
      <c r="K1351" s="7"/>
      <c r="L1351" s="9"/>
      <c r="M1351" s="9"/>
      <c r="N1351" s="15"/>
      <c r="O1351" s="15"/>
      <c r="P1351" s="15"/>
      <c r="Q1351" s="15"/>
      <c r="R1351" s="15"/>
    </row>
    <row r="1352" spans="1:18" ht="20.25" customHeight="1">
      <c r="A1352" s="36"/>
      <c r="B1352" s="28"/>
      <c r="C1352" s="24"/>
      <c r="D1352" s="34"/>
      <c r="E1352" s="34"/>
      <c r="F1352" s="34"/>
      <c r="G1352" s="34"/>
      <c r="H1352" s="34"/>
      <c r="I1352" s="35"/>
      <c r="J1352" s="24"/>
      <c r="K1352" s="7"/>
      <c r="L1352" s="9"/>
      <c r="M1352" s="9"/>
      <c r="N1352" s="15"/>
      <c r="O1352" s="15"/>
      <c r="P1352" s="15"/>
      <c r="Q1352" s="15"/>
      <c r="R1352" s="15"/>
    </row>
    <row r="1353" spans="1:18" ht="20.25" customHeight="1">
      <c r="A1353" s="36"/>
      <c r="B1353" s="28"/>
      <c r="C1353" s="24"/>
      <c r="D1353" s="34"/>
      <c r="E1353" s="34"/>
      <c r="F1353" s="34"/>
      <c r="G1353" s="34"/>
      <c r="H1353" s="34"/>
      <c r="I1353" s="35"/>
      <c r="J1353" s="24"/>
      <c r="K1353" s="7"/>
      <c r="L1353" s="9"/>
      <c r="M1353" s="9"/>
      <c r="N1353" s="15"/>
      <c r="O1353" s="15"/>
      <c r="P1353" s="15"/>
      <c r="Q1353" s="15"/>
      <c r="R1353" s="15"/>
    </row>
    <row r="1354" spans="1:18" ht="20.25" customHeight="1">
      <c r="A1354" s="36"/>
      <c r="B1354" s="28"/>
      <c r="C1354" s="24"/>
      <c r="D1354" s="34"/>
      <c r="E1354" s="34"/>
      <c r="F1354" s="34"/>
      <c r="G1354" s="34"/>
      <c r="H1354" s="34"/>
      <c r="I1354" s="35"/>
      <c r="J1354" s="24"/>
      <c r="K1354" s="7"/>
      <c r="L1354" s="9"/>
      <c r="M1354" s="9"/>
      <c r="N1354" s="15"/>
      <c r="O1354" s="15"/>
      <c r="P1354" s="15"/>
      <c r="Q1354" s="15"/>
      <c r="R1354" s="15"/>
    </row>
    <row r="1355" spans="1:18" ht="20.25" customHeight="1">
      <c r="A1355" s="36"/>
      <c r="B1355" s="28"/>
      <c r="C1355" s="24"/>
      <c r="D1355" s="34"/>
      <c r="E1355" s="34"/>
      <c r="F1355" s="34"/>
      <c r="G1355" s="34"/>
      <c r="H1355" s="34"/>
      <c r="I1355" s="35"/>
      <c r="J1355" s="24"/>
      <c r="K1355" s="7"/>
      <c r="L1355" s="9"/>
      <c r="M1355" s="9"/>
      <c r="N1355" s="15"/>
      <c r="O1355" s="15"/>
      <c r="P1355" s="15"/>
      <c r="Q1355" s="15"/>
      <c r="R1355" s="15"/>
    </row>
    <row r="1356" spans="1:18" ht="20.25" customHeight="1">
      <c r="A1356" s="36"/>
      <c r="B1356" s="28"/>
      <c r="C1356" s="24"/>
      <c r="D1356" s="34"/>
      <c r="E1356" s="34"/>
      <c r="F1356" s="34"/>
      <c r="G1356" s="34"/>
      <c r="H1356" s="34"/>
      <c r="I1356" s="35"/>
      <c r="J1356" s="24"/>
      <c r="K1356" s="7"/>
      <c r="L1356" s="9"/>
      <c r="M1356" s="9"/>
      <c r="N1356" s="15"/>
      <c r="O1356" s="15"/>
      <c r="P1356" s="15"/>
      <c r="Q1356" s="15"/>
      <c r="R1356" s="15"/>
    </row>
    <row r="1357" spans="1:18" ht="20.25" customHeight="1">
      <c r="A1357" s="36"/>
      <c r="B1357" s="28"/>
      <c r="C1357" s="24"/>
      <c r="D1357" s="34"/>
      <c r="E1357" s="34"/>
      <c r="F1357" s="34"/>
      <c r="G1357" s="34"/>
      <c r="H1357" s="34"/>
      <c r="I1357" s="35"/>
      <c r="J1357" s="24"/>
      <c r="K1357" s="7"/>
      <c r="L1357" s="9"/>
      <c r="M1357" s="9"/>
      <c r="N1357" s="15"/>
      <c r="O1357" s="15"/>
      <c r="P1357" s="15"/>
      <c r="Q1357" s="15"/>
      <c r="R1357" s="15"/>
    </row>
    <row r="1358" spans="1:18" ht="20.25" customHeight="1">
      <c r="A1358" s="36"/>
      <c r="B1358" s="28"/>
      <c r="C1358" s="24"/>
      <c r="D1358" s="34"/>
      <c r="E1358" s="34"/>
      <c r="F1358" s="34"/>
      <c r="G1358" s="34"/>
      <c r="H1358" s="34"/>
      <c r="I1358" s="35"/>
      <c r="J1358" s="24"/>
      <c r="K1358" s="7"/>
      <c r="L1358" s="9"/>
      <c r="M1358" s="9"/>
      <c r="N1358" s="15"/>
      <c r="O1358" s="15"/>
      <c r="P1358" s="15"/>
      <c r="Q1358" s="15"/>
      <c r="R1358" s="15"/>
    </row>
    <row r="1359" spans="1:18" ht="20.25" customHeight="1">
      <c r="A1359" s="36"/>
      <c r="B1359" s="28"/>
      <c r="C1359" s="24"/>
      <c r="D1359" s="34"/>
      <c r="E1359" s="34"/>
      <c r="F1359" s="34"/>
      <c r="G1359" s="34"/>
      <c r="H1359" s="34"/>
      <c r="I1359" s="35"/>
      <c r="J1359" s="24"/>
      <c r="K1359" s="7"/>
      <c r="L1359" s="9"/>
      <c r="M1359" s="9"/>
      <c r="N1359" s="15"/>
      <c r="O1359" s="15"/>
      <c r="P1359" s="15"/>
      <c r="Q1359" s="15"/>
      <c r="R1359" s="15"/>
    </row>
    <row r="1360" spans="1:18" ht="20.25" customHeight="1">
      <c r="A1360" s="36"/>
      <c r="B1360" s="28"/>
      <c r="C1360" s="24"/>
      <c r="D1360" s="34"/>
      <c r="E1360" s="34"/>
      <c r="F1360" s="34"/>
      <c r="G1360" s="34"/>
      <c r="H1360" s="34"/>
      <c r="I1360" s="35"/>
      <c r="J1360" s="24"/>
      <c r="K1360" s="7"/>
      <c r="L1360" s="9"/>
      <c r="M1360" s="9"/>
      <c r="N1360" s="15"/>
      <c r="O1360" s="15"/>
      <c r="P1360" s="15"/>
      <c r="Q1360" s="15"/>
      <c r="R1360" s="15"/>
    </row>
    <row r="1361" spans="1:18" ht="20.25" customHeight="1">
      <c r="A1361" s="36"/>
      <c r="B1361" s="28"/>
      <c r="C1361" s="24"/>
      <c r="D1361" s="34"/>
      <c r="E1361" s="34"/>
      <c r="F1361" s="34"/>
      <c r="G1361" s="34"/>
      <c r="H1361" s="34"/>
      <c r="I1361" s="35"/>
      <c r="J1361" s="24"/>
      <c r="K1361" s="7"/>
      <c r="L1361" s="9"/>
      <c r="M1361" s="9"/>
      <c r="N1361" s="15"/>
      <c r="O1361" s="15"/>
      <c r="P1361" s="15"/>
      <c r="Q1361" s="15"/>
      <c r="R1361" s="15"/>
    </row>
    <row r="1362" spans="1:18" ht="20.25" customHeight="1">
      <c r="A1362" s="36"/>
      <c r="B1362" s="28"/>
      <c r="C1362" s="24"/>
      <c r="D1362" s="34"/>
      <c r="E1362" s="34"/>
      <c r="F1362" s="34"/>
      <c r="G1362" s="34"/>
      <c r="H1362" s="34"/>
      <c r="I1362" s="35"/>
      <c r="J1362" s="24"/>
      <c r="K1362" s="7"/>
      <c r="L1362" s="9"/>
      <c r="M1362" s="9"/>
      <c r="N1362" s="15"/>
      <c r="O1362" s="15"/>
      <c r="P1362" s="15"/>
      <c r="Q1362" s="15"/>
      <c r="R1362" s="15"/>
    </row>
    <row r="1363" spans="1:18" ht="20.25" customHeight="1">
      <c r="A1363" s="36"/>
      <c r="B1363" s="28"/>
      <c r="C1363" s="24"/>
      <c r="D1363" s="34"/>
      <c r="E1363" s="34"/>
      <c r="F1363" s="34"/>
      <c r="G1363" s="34"/>
      <c r="H1363" s="34"/>
      <c r="I1363" s="35"/>
      <c r="J1363" s="24"/>
      <c r="K1363" s="7"/>
      <c r="L1363" s="9"/>
      <c r="M1363" s="9"/>
      <c r="N1363" s="15"/>
      <c r="O1363" s="15"/>
      <c r="P1363" s="15"/>
      <c r="Q1363" s="15"/>
      <c r="R1363" s="15"/>
    </row>
    <row r="1364" spans="1:18" ht="20.25" customHeight="1">
      <c r="A1364" s="36"/>
      <c r="B1364" s="28"/>
      <c r="C1364" s="24"/>
      <c r="D1364" s="34"/>
      <c r="E1364" s="34"/>
      <c r="F1364" s="34"/>
      <c r="G1364" s="34"/>
      <c r="H1364" s="34"/>
      <c r="I1364" s="35"/>
      <c r="J1364" s="24"/>
      <c r="K1364" s="7"/>
      <c r="L1364" s="9"/>
      <c r="M1364" s="9"/>
      <c r="N1364" s="15"/>
      <c r="O1364" s="15"/>
      <c r="P1364" s="15"/>
      <c r="Q1364" s="15"/>
      <c r="R1364" s="15"/>
    </row>
    <row r="1365" spans="1:18" ht="20.25" customHeight="1">
      <c r="A1365" s="36"/>
      <c r="B1365" s="28"/>
      <c r="C1365" s="24"/>
      <c r="D1365" s="34"/>
      <c r="E1365" s="34"/>
      <c r="F1365" s="34"/>
      <c r="G1365" s="34"/>
      <c r="H1365" s="34"/>
      <c r="I1365" s="35"/>
      <c r="J1365" s="24"/>
      <c r="K1365" s="7"/>
      <c r="L1365" s="9"/>
      <c r="M1365" s="9"/>
      <c r="N1365" s="15"/>
      <c r="O1365" s="15"/>
      <c r="P1365" s="15"/>
      <c r="Q1365" s="15"/>
      <c r="R1365" s="15"/>
    </row>
    <row r="1366" spans="1:18" ht="20.25" customHeight="1">
      <c r="A1366" s="36"/>
      <c r="B1366" s="28"/>
      <c r="C1366" s="24"/>
      <c r="D1366" s="34"/>
      <c r="E1366" s="34"/>
      <c r="F1366" s="34"/>
      <c r="G1366" s="34"/>
      <c r="H1366" s="34"/>
      <c r="I1366" s="35"/>
      <c r="J1366" s="24"/>
      <c r="K1366" s="7"/>
      <c r="L1366" s="9"/>
      <c r="M1366" s="9"/>
      <c r="N1366" s="15"/>
      <c r="O1366" s="15"/>
      <c r="P1366" s="15"/>
      <c r="Q1366" s="15"/>
      <c r="R1366" s="15"/>
    </row>
    <row r="1367" spans="1:18" ht="20.25" customHeight="1">
      <c r="A1367" s="36"/>
      <c r="B1367" s="28"/>
      <c r="C1367" s="24"/>
      <c r="D1367" s="34"/>
      <c r="E1367" s="34"/>
      <c r="F1367" s="34"/>
      <c r="G1367" s="34"/>
      <c r="H1367" s="34"/>
      <c r="I1367" s="35"/>
      <c r="J1367" s="24"/>
      <c r="K1367" s="7"/>
      <c r="L1367" s="9"/>
      <c r="M1367" s="9"/>
      <c r="N1367" s="15"/>
      <c r="O1367" s="15"/>
      <c r="P1367" s="15"/>
      <c r="Q1367" s="15"/>
      <c r="R1367" s="15"/>
    </row>
    <row r="1368" spans="1:18" ht="20.25" customHeight="1">
      <c r="A1368" s="36"/>
      <c r="B1368" s="28"/>
      <c r="C1368" s="24"/>
      <c r="D1368" s="34"/>
      <c r="E1368" s="34"/>
      <c r="F1368" s="34"/>
      <c r="G1368" s="34"/>
      <c r="H1368" s="34"/>
      <c r="I1368" s="35"/>
      <c r="J1368" s="24"/>
      <c r="K1368" s="7"/>
      <c r="L1368" s="9"/>
      <c r="M1368" s="9"/>
      <c r="N1368" s="15"/>
      <c r="O1368" s="15"/>
      <c r="P1368" s="15"/>
      <c r="Q1368" s="15"/>
      <c r="R1368" s="15"/>
    </row>
    <row r="1369" spans="1:18" ht="20.25" customHeight="1">
      <c r="A1369" s="36"/>
      <c r="B1369" s="28"/>
      <c r="C1369" s="24"/>
      <c r="D1369" s="34"/>
      <c r="E1369" s="34"/>
      <c r="F1369" s="34"/>
      <c r="G1369" s="34"/>
      <c r="H1369" s="34"/>
      <c r="I1369" s="35"/>
      <c r="J1369" s="24"/>
      <c r="K1369" s="7"/>
      <c r="L1369" s="9"/>
      <c r="M1369" s="9"/>
      <c r="N1369" s="15"/>
      <c r="O1369" s="15"/>
      <c r="P1369" s="15"/>
      <c r="Q1369" s="15"/>
      <c r="R1369" s="15"/>
    </row>
    <row r="1370" spans="1:18" ht="20.25" customHeight="1">
      <c r="A1370" s="36"/>
      <c r="B1370" s="28"/>
      <c r="C1370" s="24"/>
      <c r="D1370" s="34"/>
      <c r="E1370" s="34"/>
      <c r="F1370" s="34"/>
      <c r="G1370" s="34"/>
      <c r="H1370" s="34"/>
      <c r="I1370" s="35"/>
      <c r="J1370" s="24"/>
      <c r="K1370" s="7"/>
      <c r="L1370" s="9"/>
      <c r="M1370" s="9"/>
      <c r="N1370" s="15"/>
      <c r="O1370" s="15"/>
      <c r="P1370" s="15"/>
      <c r="Q1370" s="15"/>
      <c r="R1370" s="15"/>
    </row>
    <row r="1371" spans="1:18" ht="20.25" customHeight="1">
      <c r="A1371" s="36"/>
      <c r="B1371" s="28"/>
      <c r="C1371" s="24"/>
      <c r="D1371" s="34"/>
      <c r="E1371" s="34"/>
      <c r="F1371" s="34"/>
      <c r="G1371" s="34"/>
      <c r="H1371" s="34"/>
      <c r="I1371" s="35"/>
      <c r="J1371" s="24"/>
      <c r="K1371" s="7"/>
      <c r="L1371" s="9"/>
      <c r="M1371" s="9"/>
      <c r="N1371" s="15"/>
      <c r="O1371" s="15"/>
      <c r="P1371" s="15"/>
      <c r="Q1371" s="15"/>
      <c r="R1371" s="15"/>
    </row>
    <row r="1372" spans="1:18" ht="20.25" customHeight="1">
      <c r="A1372" s="36"/>
      <c r="B1372" s="28"/>
      <c r="C1372" s="24"/>
      <c r="D1372" s="34"/>
      <c r="E1372" s="34"/>
      <c r="F1372" s="34"/>
      <c r="G1372" s="34"/>
      <c r="H1372" s="34"/>
      <c r="I1372" s="35"/>
      <c r="J1372" s="24"/>
      <c r="K1372" s="7"/>
      <c r="L1372" s="9"/>
      <c r="M1372" s="9"/>
      <c r="N1372" s="15"/>
      <c r="O1372" s="15"/>
      <c r="P1372" s="15"/>
      <c r="Q1372" s="15"/>
      <c r="R1372" s="15"/>
    </row>
    <row r="1373" spans="1:18" ht="20.25" customHeight="1">
      <c r="A1373" s="36"/>
      <c r="B1373" s="28"/>
      <c r="C1373" s="24"/>
      <c r="D1373" s="34"/>
      <c r="E1373" s="34"/>
      <c r="F1373" s="34"/>
      <c r="G1373" s="34"/>
      <c r="H1373" s="34"/>
      <c r="I1373" s="35"/>
      <c r="J1373" s="24"/>
      <c r="K1373" s="7"/>
      <c r="L1373" s="9"/>
      <c r="M1373" s="9"/>
      <c r="N1373" s="15"/>
      <c r="O1373" s="15"/>
      <c r="P1373" s="15"/>
      <c r="Q1373" s="15"/>
      <c r="R1373" s="15"/>
    </row>
    <row r="1374" spans="1:18" ht="20.25" customHeight="1">
      <c r="A1374" s="36"/>
      <c r="B1374" s="28"/>
      <c r="C1374" s="24"/>
      <c r="D1374" s="34"/>
      <c r="E1374" s="34"/>
      <c r="F1374" s="34"/>
      <c r="G1374" s="34"/>
      <c r="H1374" s="34"/>
      <c r="I1374" s="35"/>
      <c r="J1374" s="24"/>
      <c r="K1374" s="7"/>
      <c r="L1374" s="9"/>
      <c r="M1374" s="9"/>
      <c r="N1374" s="15"/>
      <c r="O1374" s="15"/>
      <c r="P1374" s="15"/>
      <c r="Q1374" s="15"/>
      <c r="R1374" s="15"/>
    </row>
    <row r="1375" spans="1:18" ht="20.25" customHeight="1">
      <c r="A1375" s="36"/>
      <c r="B1375" s="28"/>
      <c r="C1375" s="24"/>
      <c r="D1375" s="34"/>
      <c r="E1375" s="34"/>
      <c r="F1375" s="34"/>
      <c r="G1375" s="34"/>
      <c r="H1375" s="34"/>
      <c r="I1375" s="35"/>
      <c r="J1375" s="24"/>
      <c r="K1375" s="7"/>
      <c r="L1375" s="9"/>
      <c r="M1375" s="9"/>
      <c r="N1375" s="15"/>
      <c r="O1375" s="15"/>
      <c r="P1375" s="15"/>
      <c r="Q1375" s="15"/>
      <c r="R1375" s="15"/>
    </row>
    <row r="1376" spans="1:18" ht="20.25" customHeight="1">
      <c r="A1376" s="36"/>
      <c r="B1376" s="28"/>
      <c r="C1376" s="24"/>
      <c r="D1376" s="34"/>
      <c r="E1376" s="34"/>
      <c r="F1376" s="34"/>
      <c r="G1376" s="34"/>
      <c r="H1376" s="34"/>
      <c r="I1376" s="35"/>
      <c r="J1376" s="24"/>
      <c r="K1376" s="7"/>
      <c r="L1376" s="9"/>
      <c r="M1376" s="9"/>
      <c r="N1376" s="15"/>
      <c r="O1376" s="15"/>
      <c r="P1376" s="15"/>
      <c r="Q1376" s="15"/>
      <c r="R1376" s="15"/>
    </row>
    <row r="1377" spans="1:18" ht="20.25" customHeight="1">
      <c r="A1377" s="36"/>
      <c r="B1377" s="28"/>
      <c r="C1377" s="24"/>
      <c r="D1377" s="34"/>
      <c r="E1377" s="34"/>
      <c r="F1377" s="34"/>
      <c r="G1377" s="34"/>
      <c r="H1377" s="34"/>
      <c r="I1377" s="35"/>
      <c r="J1377" s="24"/>
      <c r="K1377" s="7"/>
      <c r="L1377" s="9"/>
      <c r="M1377" s="9"/>
      <c r="N1377" s="15"/>
      <c r="O1377" s="15"/>
      <c r="P1377" s="15"/>
      <c r="Q1377" s="15"/>
      <c r="R1377" s="15"/>
    </row>
    <row r="1378" spans="1:18" ht="20.25" customHeight="1">
      <c r="A1378" s="36"/>
      <c r="B1378" s="28"/>
      <c r="C1378" s="24"/>
      <c r="D1378" s="34"/>
      <c r="E1378" s="34"/>
      <c r="F1378" s="34"/>
      <c r="G1378" s="34"/>
      <c r="H1378" s="34"/>
      <c r="I1378" s="35"/>
      <c r="J1378" s="24"/>
      <c r="K1378" s="7"/>
      <c r="L1378" s="9"/>
      <c r="M1378" s="9"/>
      <c r="N1378" s="15"/>
      <c r="O1378" s="15"/>
      <c r="P1378" s="15"/>
      <c r="Q1378" s="15"/>
      <c r="R1378" s="15"/>
    </row>
    <row r="1379" spans="1:18" ht="20.25" customHeight="1">
      <c r="A1379" s="36"/>
      <c r="B1379" s="28"/>
      <c r="C1379" s="24"/>
      <c r="D1379" s="34"/>
      <c r="E1379" s="34"/>
      <c r="F1379" s="34"/>
      <c r="G1379" s="34"/>
      <c r="H1379" s="34"/>
      <c r="I1379" s="35"/>
      <c r="J1379" s="24"/>
      <c r="K1379" s="7"/>
      <c r="L1379" s="9"/>
      <c r="M1379" s="9"/>
      <c r="N1379" s="15"/>
      <c r="O1379" s="15"/>
      <c r="P1379" s="15"/>
      <c r="Q1379" s="15"/>
      <c r="R1379" s="15"/>
    </row>
    <row r="1380" spans="1:18" ht="20.25" customHeight="1">
      <c r="A1380" s="36"/>
      <c r="B1380" s="28"/>
      <c r="C1380" s="24"/>
      <c r="D1380" s="34"/>
      <c r="E1380" s="34"/>
      <c r="F1380" s="34"/>
      <c r="G1380" s="34"/>
      <c r="H1380" s="34"/>
      <c r="I1380" s="35"/>
      <c r="J1380" s="24"/>
      <c r="K1380" s="7"/>
      <c r="L1380" s="9"/>
      <c r="M1380" s="9"/>
      <c r="N1380" s="15"/>
      <c r="O1380" s="15"/>
      <c r="P1380" s="15"/>
      <c r="Q1380" s="15"/>
      <c r="R1380" s="15"/>
    </row>
    <row r="1381" spans="1:18" ht="20.25" customHeight="1">
      <c r="A1381" s="36"/>
      <c r="B1381" s="28"/>
      <c r="C1381" s="24"/>
      <c r="D1381" s="34"/>
      <c r="E1381" s="34"/>
      <c r="F1381" s="34"/>
      <c r="G1381" s="34"/>
      <c r="H1381" s="34"/>
      <c r="I1381" s="35"/>
      <c r="J1381" s="24"/>
      <c r="K1381" s="7"/>
      <c r="L1381" s="9"/>
      <c r="M1381" s="9"/>
      <c r="N1381" s="15"/>
      <c r="O1381" s="15"/>
      <c r="P1381" s="15"/>
      <c r="Q1381" s="15"/>
      <c r="R1381" s="15"/>
    </row>
    <row r="1382" spans="1:18" ht="20.25" customHeight="1">
      <c r="A1382" s="36"/>
      <c r="B1382" s="28"/>
      <c r="C1382" s="24"/>
      <c r="D1382" s="34"/>
      <c r="E1382" s="34"/>
      <c r="F1382" s="34"/>
      <c r="G1382" s="34"/>
      <c r="H1382" s="34"/>
      <c r="I1382" s="35"/>
      <c r="J1382" s="24"/>
      <c r="K1382" s="7"/>
      <c r="L1382" s="9"/>
      <c r="M1382" s="9"/>
      <c r="N1382" s="15"/>
      <c r="O1382" s="15"/>
      <c r="P1382" s="15"/>
      <c r="Q1382" s="15"/>
      <c r="R1382" s="15"/>
    </row>
    <row r="1383" spans="1:18" ht="20.25" customHeight="1">
      <c r="A1383" s="36"/>
      <c r="B1383" s="28"/>
      <c r="C1383" s="24"/>
      <c r="D1383" s="34"/>
      <c r="E1383" s="34"/>
      <c r="F1383" s="34"/>
      <c r="G1383" s="34"/>
      <c r="H1383" s="34"/>
      <c r="I1383" s="35"/>
      <c r="J1383" s="24"/>
      <c r="K1383" s="7"/>
      <c r="L1383" s="9"/>
      <c r="M1383" s="9"/>
      <c r="N1383" s="15"/>
      <c r="O1383" s="15"/>
      <c r="P1383" s="15"/>
      <c r="Q1383" s="15"/>
      <c r="R1383" s="15"/>
    </row>
    <row r="1384" spans="1:18" ht="20.25" customHeight="1">
      <c r="A1384" s="36"/>
      <c r="B1384" s="28"/>
      <c r="C1384" s="24"/>
      <c r="D1384" s="34"/>
      <c r="E1384" s="34"/>
      <c r="F1384" s="34"/>
      <c r="G1384" s="34"/>
      <c r="H1384" s="34"/>
      <c r="I1384" s="35"/>
      <c r="J1384" s="24"/>
      <c r="K1384" s="7"/>
      <c r="L1384" s="9"/>
      <c r="M1384" s="9"/>
      <c r="N1384" s="15"/>
      <c r="O1384" s="15"/>
      <c r="P1384" s="15"/>
      <c r="Q1384" s="15"/>
      <c r="R1384" s="15"/>
    </row>
    <row r="1385" spans="1:18" ht="20.25" customHeight="1">
      <c r="A1385" s="36"/>
      <c r="B1385" s="28"/>
      <c r="C1385" s="24"/>
      <c r="D1385" s="34"/>
      <c r="E1385" s="34"/>
      <c r="F1385" s="34"/>
      <c r="G1385" s="34"/>
      <c r="H1385" s="34"/>
      <c r="I1385" s="35"/>
      <c r="J1385" s="24"/>
      <c r="K1385" s="7"/>
      <c r="L1385" s="9"/>
      <c r="M1385" s="9"/>
      <c r="N1385" s="15"/>
      <c r="O1385" s="15"/>
      <c r="P1385" s="15"/>
      <c r="Q1385" s="15"/>
      <c r="R1385" s="15"/>
    </row>
    <row r="1386" spans="1:18" ht="20.25" customHeight="1">
      <c r="A1386" s="36"/>
      <c r="B1386" s="28"/>
      <c r="C1386" s="24"/>
      <c r="D1386" s="34"/>
      <c r="E1386" s="34"/>
      <c r="F1386" s="34"/>
      <c r="G1386" s="34"/>
      <c r="H1386" s="34"/>
      <c r="I1386" s="35"/>
      <c r="J1386" s="24"/>
      <c r="K1386" s="7"/>
      <c r="L1386" s="9"/>
      <c r="M1386" s="9"/>
      <c r="N1386" s="15"/>
      <c r="O1386" s="15"/>
      <c r="P1386" s="15"/>
      <c r="Q1386" s="15"/>
      <c r="R1386" s="15"/>
    </row>
    <row r="1387" spans="1:18" ht="20.25" customHeight="1">
      <c r="A1387" s="36"/>
      <c r="B1387" s="28"/>
      <c r="C1387" s="24"/>
      <c r="D1387" s="34"/>
      <c r="E1387" s="34"/>
      <c r="F1387" s="34"/>
      <c r="G1387" s="34"/>
      <c r="H1387" s="34"/>
      <c r="I1387" s="35"/>
      <c r="J1387" s="24"/>
      <c r="K1387" s="7"/>
      <c r="L1387" s="9"/>
      <c r="M1387" s="9"/>
      <c r="N1387" s="15"/>
      <c r="O1387" s="15"/>
      <c r="P1387" s="15"/>
      <c r="Q1387" s="15"/>
      <c r="R1387" s="15"/>
    </row>
    <row r="1388" spans="1:18" ht="20.25" customHeight="1">
      <c r="A1388" s="36"/>
      <c r="B1388" s="28"/>
      <c r="C1388" s="24"/>
      <c r="D1388" s="34"/>
      <c r="E1388" s="34"/>
      <c r="F1388" s="34"/>
      <c r="G1388" s="34"/>
      <c r="H1388" s="34"/>
      <c r="I1388" s="35"/>
      <c r="J1388" s="24"/>
      <c r="K1388" s="7"/>
      <c r="L1388" s="9"/>
      <c r="M1388" s="9"/>
      <c r="N1388" s="15"/>
      <c r="O1388" s="15"/>
      <c r="P1388" s="15"/>
      <c r="Q1388" s="15"/>
      <c r="R1388" s="15"/>
    </row>
    <row r="1389" spans="1:18" ht="20.25" customHeight="1">
      <c r="A1389" s="36"/>
      <c r="B1389" s="28"/>
      <c r="C1389" s="24"/>
      <c r="D1389" s="34"/>
      <c r="E1389" s="34"/>
      <c r="F1389" s="34"/>
      <c r="G1389" s="34"/>
      <c r="H1389" s="34"/>
      <c r="I1389" s="35"/>
      <c r="J1389" s="24"/>
      <c r="K1389" s="7"/>
      <c r="L1389" s="9"/>
      <c r="M1389" s="9"/>
      <c r="N1389" s="15"/>
      <c r="O1389" s="15"/>
      <c r="P1389" s="15"/>
      <c r="Q1389" s="15"/>
      <c r="R1389" s="15"/>
    </row>
    <row r="1390" spans="1:18" ht="20.25" customHeight="1">
      <c r="A1390" s="36"/>
      <c r="B1390" s="28"/>
      <c r="C1390" s="24"/>
      <c r="D1390" s="34"/>
      <c r="E1390" s="34"/>
      <c r="F1390" s="34"/>
      <c r="G1390" s="34"/>
      <c r="H1390" s="34"/>
      <c r="I1390" s="35"/>
      <c r="J1390" s="24"/>
      <c r="K1390" s="7"/>
      <c r="L1390" s="9"/>
      <c r="M1390" s="9"/>
      <c r="N1390" s="15"/>
      <c r="O1390" s="15"/>
      <c r="P1390" s="15"/>
      <c r="Q1390" s="15"/>
      <c r="R1390" s="15"/>
    </row>
    <row r="1391" spans="1:18" ht="20.25" customHeight="1">
      <c r="A1391" s="36"/>
      <c r="B1391" s="28"/>
      <c r="C1391" s="24"/>
      <c r="D1391" s="34"/>
      <c r="E1391" s="34"/>
      <c r="F1391" s="34"/>
      <c r="G1391" s="34"/>
      <c r="H1391" s="34"/>
      <c r="I1391" s="35"/>
      <c r="J1391" s="24"/>
      <c r="K1391" s="7"/>
      <c r="L1391" s="9"/>
      <c r="M1391" s="9"/>
      <c r="N1391" s="15"/>
      <c r="O1391" s="15"/>
      <c r="P1391" s="15"/>
      <c r="Q1391" s="15"/>
      <c r="R1391" s="15"/>
    </row>
    <row r="1392" spans="1:18" ht="20.25" customHeight="1">
      <c r="A1392" s="36"/>
      <c r="B1392" s="28"/>
      <c r="C1392" s="24"/>
      <c r="D1392" s="34"/>
      <c r="E1392" s="34"/>
      <c r="F1392" s="34"/>
      <c r="G1392" s="34"/>
      <c r="H1392" s="34"/>
      <c r="I1392" s="35"/>
      <c r="J1392" s="24"/>
      <c r="K1392" s="7"/>
      <c r="L1392" s="9"/>
      <c r="M1392" s="9"/>
      <c r="N1392" s="15"/>
      <c r="O1392" s="15"/>
      <c r="P1392" s="15"/>
      <c r="Q1392" s="15"/>
      <c r="R1392" s="15"/>
    </row>
    <row r="1393" spans="1:18" ht="20.25" customHeight="1">
      <c r="A1393" s="36"/>
      <c r="B1393" s="28"/>
      <c r="C1393" s="24"/>
      <c r="D1393" s="34"/>
      <c r="E1393" s="34"/>
      <c r="F1393" s="34"/>
      <c r="G1393" s="34"/>
      <c r="H1393" s="34"/>
      <c r="I1393" s="35"/>
      <c r="J1393" s="24"/>
      <c r="K1393" s="7"/>
      <c r="L1393" s="9"/>
      <c r="M1393" s="9"/>
      <c r="N1393" s="15"/>
      <c r="O1393" s="15"/>
      <c r="P1393" s="15"/>
      <c r="Q1393" s="15"/>
      <c r="R1393" s="15"/>
    </row>
    <row r="1394" spans="1:18" ht="20.25" customHeight="1">
      <c r="A1394" s="36"/>
      <c r="B1394" s="28"/>
      <c r="C1394" s="24"/>
      <c r="D1394" s="34"/>
      <c r="E1394" s="34"/>
      <c r="F1394" s="34"/>
      <c r="G1394" s="34"/>
      <c r="H1394" s="34"/>
      <c r="I1394" s="35"/>
      <c r="J1394" s="24"/>
      <c r="K1394" s="7"/>
      <c r="L1394" s="9"/>
      <c r="M1394" s="9"/>
      <c r="N1394" s="15"/>
      <c r="O1394" s="15"/>
      <c r="P1394" s="15"/>
      <c r="Q1394" s="15"/>
      <c r="R1394" s="15"/>
    </row>
    <row r="1395" spans="1:18" ht="20.25" customHeight="1">
      <c r="A1395" s="36"/>
      <c r="B1395" s="28"/>
      <c r="C1395" s="24"/>
      <c r="D1395" s="34"/>
      <c r="E1395" s="34"/>
      <c r="F1395" s="34"/>
      <c r="G1395" s="34"/>
      <c r="H1395" s="34"/>
      <c r="I1395" s="35"/>
      <c r="J1395" s="24"/>
      <c r="K1395" s="7"/>
      <c r="L1395" s="9"/>
      <c r="M1395" s="9"/>
      <c r="N1395" s="15"/>
      <c r="O1395" s="15"/>
      <c r="P1395" s="15"/>
      <c r="Q1395" s="15"/>
      <c r="R1395" s="15"/>
    </row>
    <row r="1396" spans="1:18" ht="20.25" customHeight="1">
      <c r="A1396" s="36"/>
      <c r="B1396" s="28"/>
      <c r="C1396" s="24"/>
      <c r="D1396" s="34"/>
      <c r="E1396" s="34"/>
      <c r="F1396" s="34"/>
      <c r="G1396" s="34"/>
      <c r="H1396" s="34"/>
      <c r="I1396" s="35"/>
      <c r="J1396" s="24"/>
      <c r="K1396" s="7"/>
      <c r="L1396" s="9"/>
      <c r="M1396" s="9"/>
      <c r="N1396" s="15"/>
      <c r="O1396" s="15"/>
      <c r="P1396" s="15"/>
      <c r="Q1396" s="15"/>
      <c r="R1396" s="15"/>
    </row>
    <row r="1397" spans="1:18" ht="20.25" customHeight="1">
      <c r="A1397" s="36"/>
      <c r="B1397" s="28"/>
      <c r="C1397" s="24"/>
      <c r="D1397" s="34"/>
      <c r="E1397" s="34"/>
      <c r="F1397" s="34"/>
      <c r="G1397" s="34"/>
      <c r="H1397" s="34"/>
      <c r="I1397" s="35"/>
      <c r="J1397" s="24"/>
      <c r="K1397" s="7"/>
      <c r="L1397" s="9"/>
      <c r="M1397" s="9"/>
      <c r="N1397" s="15"/>
      <c r="O1397" s="15"/>
      <c r="P1397" s="15"/>
      <c r="Q1397" s="15"/>
      <c r="R1397" s="15"/>
    </row>
    <row r="1398" spans="1:18" ht="20.25" customHeight="1">
      <c r="A1398" s="36"/>
      <c r="B1398" s="28"/>
      <c r="C1398" s="24"/>
      <c r="D1398" s="34"/>
      <c r="E1398" s="34"/>
      <c r="F1398" s="34"/>
      <c r="G1398" s="34"/>
      <c r="H1398" s="34"/>
      <c r="I1398" s="35"/>
      <c r="J1398" s="24"/>
      <c r="K1398" s="7"/>
      <c r="L1398" s="9"/>
      <c r="M1398" s="9"/>
      <c r="N1398" s="15"/>
      <c r="O1398" s="15"/>
      <c r="P1398" s="15"/>
      <c r="Q1398" s="15"/>
      <c r="R1398" s="15"/>
    </row>
    <row r="1399" spans="1:18" ht="20.25" customHeight="1">
      <c r="A1399" s="36"/>
      <c r="B1399" s="28"/>
      <c r="C1399" s="24"/>
      <c r="D1399" s="34"/>
      <c r="E1399" s="34"/>
      <c r="F1399" s="34"/>
      <c r="G1399" s="34"/>
      <c r="H1399" s="34"/>
      <c r="I1399" s="35"/>
      <c r="J1399" s="24"/>
      <c r="K1399" s="7"/>
      <c r="L1399" s="9"/>
      <c r="M1399" s="9"/>
      <c r="N1399" s="15"/>
      <c r="O1399" s="15"/>
      <c r="P1399" s="15"/>
      <c r="Q1399" s="15"/>
      <c r="R1399" s="15"/>
    </row>
    <row r="1400" spans="1:18" ht="20.25" customHeight="1">
      <c r="A1400" s="36"/>
      <c r="B1400" s="28"/>
      <c r="C1400" s="24"/>
      <c r="D1400" s="34"/>
      <c r="E1400" s="34"/>
      <c r="F1400" s="34"/>
      <c r="G1400" s="34"/>
      <c r="H1400" s="34"/>
      <c r="I1400" s="35"/>
      <c r="J1400" s="24"/>
      <c r="K1400" s="7"/>
      <c r="L1400" s="9"/>
      <c r="M1400" s="9"/>
      <c r="N1400" s="15"/>
      <c r="O1400" s="15"/>
      <c r="P1400" s="15"/>
      <c r="Q1400" s="15"/>
      <c r="R1400" s="15"/>
    </row>
    <row r="1401" spans="1:18" ht="20.25" customHeight="1">
      <c r="A1401" s="36"/>
      <c r="B1401" s="28"/>
      <c r="C1401" s="24"/>
      <c r="D1401" s="34"/>
      <c r="E1401" s="34"/>
      <c r="F1401" s="34"/>
      <c r="G1401" s="34"/>
      <c r="H1401" s="34"/>
      <c r="I1401" s="35"/>
      <c r="J1401" s="24"/>
      <c r="K1401" s="7"/>
      <c r="L1401" s="9"/>
      <c r="M1401" s="9"/>
      <c r="N1401" s="15"/>
      <c r="O1401" s="15"/>
      <c r="P1401" s="15"/>
      <c r="Q1401" s="15"/>
      <c r="R1401" s="15"/>
    </row>
    <row r="1402" spans="1:18" ht="20.25" customHeight="1">
      <c r="A1402" s="36"/>
      <c r="B1402" s="28"/>
      <c r="C1402" s="24"/>
      <c r="D1402" s="34"/>
      <c r="E1402" s="34"/>
      <c r="F1402" s="34"/>
      <c r="G1402" s="34"/>
      <c r="H1402" s="34"/>
      <c r="I1402" s="35"/>
      <c r="J1402" s="24"/>
      <c r="K1402" s="7"/>
      <c r="L1402" s="9"/>
      <c r="M1402" s="9"/>
      <c r="N1402" s="15"/>
      <c r="O1402" s="15"/>
      <c r="P1402" s="15"/>
      <c r="Q1402" s="15"/>
      <c r="R1402" s="15"/>
    </row>
    <row r="1403" spans="1:18" ht="20.25" customHeight="1">
      <c r="A1403" s="36"/>
      <c r="B1403" s="28"/>
      <c r="C1403" s="24"/>
      <c r="D1403" s="34"/>
      <c r="E1403" s="34"/>
      <c r="F1403" s="34"/>
      <c r="G1403" s="34"/>
      <c r="H1403" s="34"/>
      <c r="I1403" s="35"/>
      <c r="J1403" s="24"/>
      <c r="K1403" s="7"/>
      <c r="L1403" s="9"/>
      <c r="M1403" s="9"/>
      <c r="N1403" s="15"/>
      <c r="O1403" s="15"/>
      <c r="P1403" s="15"/>
      <c r="Q1403" s="15"/>
      <c r="R1403" s="15"/>
    </row>
    <row r="1404" spans="1:18" ht="20.25" customHeight="1">
      <c r="A1404" s="36"/>
      <c r="B1404" s="28"/>
      <c r="C1404" s="24"/>
      <c r="D1404" s="34"/>
      <c r="E1404" s="34"/>
      <c r="F1404" s="34"/>
      <c r="G1404" s="34"/>
      <c r="H1404" s="34"/>
      <c r="I1404" s="35"/>
      <c r="J1404" s="24"/>
      <c r="K1404" s="7"/>
      <c r="L1404" s="9"/>
      <c r="M1404" s="9"/>
      <c r="N1404" s="15"/>
      <c r="O1404" s="15"/>
      <c r="P1404" s="15"/>
      <c r="Q1404" s="15"/>
      <c r="R1404" s="15"/>
    </row>
    <row r="1405" spans="1:18" ht="20.25" customHeight="1">
      <c r="A1405" s="36"/>
      <c r="B1405" s="28"/>
      <c r="C1405" s="24"/>
      <c r="D1405" s="34"/>
      <c r="E1405" s="34"/>
      <c r="F1405" s="34"/>
      <c r="G1405" s="34"/>
      <c r="H1405" s="34"/>
      <c r="I1405" s="35"/>
      <c r="J1405" s="24"/>
      <c r="K1405" s="7"/>
      <c r="L1405" s="9"/>
      <c r="M1405" s="9"/>
      <c r="N1405" s="15"/>
      <c r="O1405" s="15"/>
      <c r="P1405" s="15"/>
      <c r="Q1405" s="15"/>
      <c r="R1405" s="15"/>
    </row>
    <row r="1406" spans="1:18" ht="20.25" customHeight="1">
      <c r="A1406" s="36"/>
      <c r="B1406" s="28"/>
      <c r="C1406" s="24"/>
      <c r="D1406" s="34"/>
      <c r="E1406" s="34"/>
      <c r="F1406" s="34"/>
      <c r="G1406" s="34"/>
      <c r="H1406" s="34"/>
      <c r="I1406" s="35"/>
      <c r="J1406" s="24"/>
      <c r="K1406" s="7"/>
      <c r="L1406" s="9"/>
      <c r="M1406" s="9"/>
      <c r="N1406" s="15"/>
      <c r="O1406" s="15"/>
      <c r="P1406" s="15"/>
      <c r="Q1406" s="15"/>
      <c r="R1406" s="15"/>
    </row>
    <row r="1407" spans="1:18" ht="20.25" customHeight="1">
      <c r="A1407" s="36"/>
      <c r="B1407" s="28"/>
      <c r="C1407" s="24"/>
      <c r="D1407" s="34"/>
      <c r="E1407" s="34"/>
      <c r="F1407" s="34"/>
      <c r="G1407" s="34"/>
      <c r="H1407" s="34"/>
      <c r="I1407" s="35"/>
      <c r="J1407" s="24"/>
      <c r="K1407" s="7"/>
      <c r="L1407" s="9"/>
      <c r="M1407" s="9"/>
      <c r="N1407" s="15"/>
      <c r="O1407" s="15"/>
      <c r="P1407" s="15"/>
      <c r="Q1407" s="15"/>
      <c r="R1407" s="15"/>
    </row>
    <row r="1408" spans="1:18" ht="20.25" customHeight="1">
      <c r="A1408" s="36"/>
      <c r="B1408" s="28"/>
      <c r="C1408" s="24"/>
      <c r="D1408" s="34"/>
      <c r="E1408" s="34"/>
      <c r="F1408" s="34"/>
      <c r="G1408" s="34"/>
      <c r="H1408" s="34"/>
      <c r="I1408" s="35"/>
      <c r="J1408" s="24"/>
      <c r="K1408" s="7"/>
      <c r="L1408" s="9"/>
      <c r="M1408" s="9"/>
      <c r="N1408" s="15"/>
      <c r="O1408" s="15"/>
      <c r="P1408" s="15"/>
      <c r="Q1408" s="15"/>
      <c r="R1408" s="15"/>
    </row>
    <row r="1409" spans="1:18" ht="20.25" customHeight="1">
      <c r="A1409" s="36"/>
      <c r="B1409" s="28"/>
      <c r="C1409" s="24"/>
      <c r="D1409" s="34"/>
      <c r="E1409" s="34"/>
      <c r="F1409" s="34"/>
      <c r="G1409" s="34"/>
      <c r="H1409" s="34"/>
      <c r="I1409" s="35"/>
      <c r="J1409" s="24"/>
      <c r="K1409" s="7"/>
      <c r="L1409" s="9"/>
      <c r="M1409" s="9"/>
      <c r="N1409" s="15"/>
      <c r="O1409" s="15"/>
      <c r="P1409" s="15"/>
      <c r="Q1409" s="15"/>
      <c r="R1409" s="15"/>
    </row>
    <row r="1410" spans="1:18" ht="20.25" customHeight="1">
      <c r="A1410" s="36"/>
      <c r="B1410" s="28"/>
      <c r="C1410" s="24"/>
      <c r="D1410" s="34"/>
      <c r="E1410" s="34"/>
      <c r="F1410" s="34"/>
      <c r="G1410" s="34"/>
      <c r="H1410" s="34"/>
      <c r="I1410" s="35"/>
      <c r="J1410" s="24"/>
      <c r="K1410" s="7"/>
      <c r="L1410" s="9"/>
      <c r="M1410" s="9"/>
      <c r="N1410" s="15"/>
      <c r="O1410" s="15"/>
      <c r="P1410" s="15"/>
      <c r="Q1410" s="15"/>
      <c r="R1410" s="15"/>
    </row>
    <row r="1411" spans="1:18" ht="20.25" customHeight="1">
      <c r="A1411" s="36"/>
      <c r="B1411" s="28"/>
      <c r="C1411" s="24"/>
      <c r="D1411" s="34"/>
      <c r="E1411" s="34"/>
      <c r="F1411" s="34"/>
      <c r="G1411" s="34"/>
      <c r="H1411" s="34"/>
      <c r="I1411" s="35"/>
      <c r="J1411" s="24"/>
      <c r="K1411" s="7"/>
      <c r="L1411" s="9"/>
      <c r="M1411" s="9"/>
      <c r="N1411" s="15"/>
      <c r="O1411" s="15"/>
      <c r="P1411" s="15"/>
      <c r="Q1411" s="15"/>
      <c r="R1411" s="15"/>
    </row>
    <row r="1412" spans="1:18" ht="20.25" customHeight="1">
      <c r="A1412" s="36"/>
      <c r="B1412" s="28"/>
      <c r="C1412" s="24"/>
      <c r="D1412" s="34"/>
      <c r="E1412" s="34"/>
      <c r="F1412" s="34"/>
      <c r="G1412" s="34"/>
      <c r="H1412" s="34"/>
      <c r="I1412" s="35"/>
      <c r="J1412" s="24"/>
      <c r="K1412" s="7"/>
      <c r="L1412" s="9"/>
      <c r="M1412" s="9"/>
      <c r="N1412" s="15"/>
      <c r="O1412" s="15"/>
      <c r="P1412" s="15"/>
      <c r="Q1412" s="15"/>
      <c r="R1412" s="15"/>
    </row>
    <row r="1413" spans="1:18" ht="20.25" customHeight="1">
      <c r="A1413" s="36"/>
      <c r="B1413" s="28"/>
      <c r="C1413" s="24"/>
      <c r="D1413" s="34"/>
      <c r="E1413" s="34"/>
      <c r="F1413" s="34"/>
      <c r="G1413" s="34"/>
      <c r="H1413" s="34"/>
      <c r="I1413" s="35"/>
      <c r="J1413" s="24"/>
      <c r="K1413" s="7"/>
      <c r="L1413" s="9"/>
      <c r="M1413" s="9"/>
      <c r="N1413" s="15"/>
      <c r="O1413" s="15"/>
      <c r="P1413" s="15"/>
      <c r="Q1413" s="15"/>
      <c r="R1413" s="15"/>
    </row>
    <row r="1414" spans="1:18" ht="20.25" customHeight="1">
      <c r="A1414" s="36"/>
      <c r="B1414" s="28"/>
      <c r="C1414" s="24"/>
      <c r="D1414" s="34"/>
      <c r="E1414" s="34"/>
      <c r="F1414" s="34"/>
      <c r="G1414" s="34"/>
      <c r="H1414" s="34"/>
      <c r="I1414" s="35"/>
      <c r="J1414" s="24"/>
      <c r="K1414" s="7"/>
      <c r="L1414" s="9"/>
      <c r="M1414" s="9"/>
      <c r="N1414" s="15"/>
      <c r="O1414" s="15"/>
      <c r="P1414" s="15"/>
      <c r="Q1414" s="15"/>
      <c r="R1414" s="15"/>
    </row>
    <row r="1415" spans="1:18" ht="20.25" customHeight="1">
      <c r="A1415" s="36"/>
      <c r="B1415" s="28"/>
      <c r="C1415" s="24"/>
      <c r="D1415" s="34"/>
      <c r="E1415" s="34"/>
      <c r="F1415" s="34"/>
      <c r="G1415" s="34"/>
      <c r="H1415" s="34"/>
      <c r="I1415" s="35"/>
      <c r="J1415" s="24"/>
      <c r="K1415" s="7"/>
      <c r="L1415" s="9"/>
      <c r="M1415" s="9"/>
      <c r="N1415" s="15"/>
      <c r="O1415" s="15"/>
      <c r="P1415" s="15"/>
      <c r="Q1415" s="15"/>
      <c r="R1415" s="15"/>
    </row>
    <row r="1416" spans="1:18" ht="20.25" customHeight="1">
      <c r="A1416" s="36"/>
      <c r="B1416" s="28"/>
      <c r="C1416" s="24"/>
      <c r="D1416" s="34"/>
      <c r="E1416" s="34"/>
      <c r="F1416" s="34"/>
      <c r="G1416" s="34"/>
      <c r="H1416" s="34"/>
      <c r="I1416" s="35"/>
      <c r="J1416" s="24"/>
      <c r="K1416" s="7"/>
      <c r="L1416" s="9"/>
      <c r="M1416" s="9"/>
      <c r="N1416" s="15"/>
      <c r="O1416" s="15"/>
      <c r="P1416" s="15"/>
      <c r="Q1416" s="15"/>
      <c r="R1416" s="15"/>
    </row>
    <row r="1417" spans="1:18" ht="20.25" customHeight="1">
      <c r="A1417" s="36"/>
      <c r="B1417" s="28"/>
      <c r="C1417" s="24"/>
      <c r="D1417" s="34"/>
      <c r="E1417" s="34"/>
      <c r="F1417" s="34"/>
      <c r="G1417" s="34"/>
      <c r="H1417" s="34"/>
      <c r="I1417" s="35"/>
      <c r="J1417" s="24"/>
      <c r="K1417" s="7"/>
      <c r="L1417" s="9"/>
      <c r="M1417" s="9"/>
      <c r="N1417" s="15"/>
      <c r="O1417" s="15"/>
      <c r="P1417" s="15"/>
      <c r="Q1417" s="15"/>
      <c r="R1417" s="15"/>
    </row>
    <row r="1418" spans="1:18" ht="20.25" customHeight="1">
      <c r="A1418" s="36"/>
      <c r="B1418" s="28"/>
      <c r="C1418" s="24"/>
      <c r="D1418" s="34"/>
      <c r="E1418" s="34"/>
      <c r="F1418" s="34"/>
      <c r="G1418" s="34"/>
      <c r="H1418" s="34"/>
      <c r="I1418" s="35"/>
      <c r="J1418" s="24"/>
      <c r="K1418" s="7"/>
      <c r="L1418" s="9"/>
      <c r="M1418" s="9"/>
      <c r="N1418" s="15"/>
      <c r="O1418" s="15"/>
      <c r="P1418" s="15"/>
      <c r="Q1418" s="15"/>
      <c r="R1418" s="15"/>
    </row>
    <row r="1419" spans="1:18" ht="20.25" customHeight="1">
      <c r="A1419" s="36"/>
      <c r="B1419" s="28"/>
      <c r="C1419" s="24"/>
      <c r="D1419" s="34"/>
      <c r="E1419" s="34"/>
      <c r="F1419" s="34"/>
      <c r="G1419" s="34"/>
      <c r="H1419" s="34"/>
      <c r="I1419" s="35"/>
      <c r="J1419" s="24"/>
      <c r="K1419" s="7"/>
      <c r="L1419" s="9"/>
      <c r="M1419" s="9"/>
      <c r="N1419" s="15"/>
      <c r="O1419" s="15"/>
      <c r="P1419" s="15"/>
      <c r="Q1419" s="15"/>
      <c r="R1419" s="15"/>
    </row>
    <row r="1420" spans="1:18" ht="20.25" customHeight="1">
      <c r="A1420" s="36"/>
      <c r="B1420" s="28"/>
      <c r="C1420" s="24"/>
      <c r="D1420" s="34"/>
      <c r="E1420" s="34"/>
      <c r="F1420" s="34"/>
      <c r="G1420" s="34"/>
      <c r="H1420" s="34"/>
      <c r="I1420" s="35"/>
      <c r="J1420" s="24"/>
      <c r="K1420" s="7"/>
      <c r="L1420" s="9"/>
      <c r="M1420" s="9"/>
      <c r="N1420" s="15"/>
      <c r="O1420" s="15"/>
      <c r="P1420" s="15"/>
      <c r="Q1420" s="15"/>
      <c r="R1420" s="15"/>
    </row>
    <row r="1421" spans="1:18" ht="20.25" customHeight="1">
      <c r="A1421" s="36"/>
      <c r="B1421" s="28"/>
      <c r="C1421" s="24"/>
      <c r="D1421" s="34"/>
      <c r="E1421" s="34"/>
      <c r="F1421" s="34"/>
      <c r="G1421" s="34"/>
      <c r="H1421" s="34"/>
      <c r="I1421" s="35"/>
      <c r="J1421" s="24"/>
      <c r="K1421" s="7"/>
      <c r="L1421" s="9"/>
      <c r="M1421" s="9"/>
      <c r="N1421" s="15"/>
      <c r="O1421" s="15"/>
      <c r="P1421" s="15"/>
      <c r="Q1421" s="15"/>
      <c r="R1421" s="15"/>
    </row>
    <row r="1422" spans="1:18" ht="20.25" customHeight="1">
      <c r="A1422" s="36"/>
      <c r="B1422" s="28"/>
      <c r="C1422" s="24"/>
      <c r="D1422" s="34"/>
      <c r="E1422" s="34"/>
      <c r="F1422" s="34"/>
      <c r="G1422" s="34"/>
      <c r="H1422" s="34"/>
      <c r="I1422" s="35"/>
      <c r="J1422" s="24"/>
      <c r="K1422" s="7"/>
      <c r="L1422" s="9"/>
      <c r="M1422" s="9"/>
      <c r="N1422" s="15"/>
      <c r="O1422" s="15"/>
      <c r="P1422" s="15"/>
      <c r="Q1422" s="15"/>
      <c r="R1422" s="15"/>
    </row>
    <row r="1423" spans="1:18" ht="20.25" customHeight="1">
      <c r="A1423" s="36"/>
      <c r="B1423" s="28"/>
      <c r="C1423" s="24"/>
      <c r="D1423" s="34"/>
      <c r="E1423" s="34"/>
      <c r="F1423" s="34"/>
      <c r="G1423" s="34"/>
      <c r="H1423" s="34"/>
      <c r="I1423" s="35"/>
      <c r="J1423" s="24"/>
      <c r="K1423" s="7"/>
      <c r="L1423" s="9"/>
      <c r="M1423" s="9"/>
      <c r="N1423" s="15"/>
      <c r="O1423" s="15"/>
      <c r="P1423" s="15"/>
      <c r="Q1423" s="15"/>
      <c r="R1423" s="15"/>
    </row>
    <row r="1424" spans="1:18" ht="20.25" customHeight="1">
      <c r="A1424" s="36"/>
      <c r="B1424" s="28"/>
      <c r="C1424" s="24"/>
      <c r="D1424" s="34"/>
      <c r="E1424" s="34"/>
      <c r="F1424" s="34"/>
      <c r="G1424" s="34"/>
      <c r="H1424" s="34"/>
      <c r="I1424" s="35"/>
      <c r="J1424" s="24"/>
      <c r="K1424" s="7"/>
      <c r="L1424" s="9"/>
      <c r="M1424" s="9"/>
      <c r="N1424" s="15"/>
      <c r="O1424" s="15"/>
      <c r="P1424" s="15"/>
      <c r="Q1424" s="15"/>
      <c r="R1424" s="15"/>
    </row>
    <row r="1425" spans="1:18" ht="20.25" customHeight="1">
      <c r="A1425" s="36"/>
      <c r="B1425" s="28"/>
      <c r="C1425" s="24"/>
      <c r="D1425" s="34"/>
      <c r="E1425" s="34"/>
      <c r="F1425" s="34"/>
      <c r="G1425" s="34"/>
      <c r="H1425" s="34"/>
      <c r="I1425" s="35"/>
      <c r="J1425" s="24"/>
      <c r="K1425" s="7"/>
      <c r="L1425" s="9"/>
      <c r="M1425" s="9"/>
      <c r="N1425" s="15"/>
      <c r="O1425" s="15"/>
      <c r="P1425" s="15"/>
      <c r="Q1425" s="15"/>
      <c r="R1425" s="15"/>
    </row>
    <row r="1426" spans="1:18" ht="20.25" customHeight="1">
      <c r="A1426" s="36"/>
      <c r="B1426" s="28"/>
      <c r="C1426" s="24"/>
      <c r="D1426" s="34"/>
      <c r="E1426" s="34"/>
      <c r="F1426" s="34"/>
      <c r="G1426" s="34"/>
      <c r="H1426" s="34"/>
      <c r="I1426" s="35"/>
      <c r="J1426" s="24"/>
      <c r="K1426" s="7"/>
      <c r="L1426" s="9"/>
      <c r="M1426" s="9"/>
      <c r="N1426" s="15"/>
      <c r="O1426" s="15"/>
      <c r="P1426" s="15"/>
      <c r="Q1426" s="15"/>
      <c r="R1426" s="15"/>
    </row>
    <row r="1427" spans="1:18" ht="20.25" customHeight="1">
      <c r="A1427" s="36"/>
      <c r="B1427" s="28"/>
      <c r="C1427" s="24"/>
      <c r="D1427" s="34"/>
      <c r="E1427" s="34"/>
      <c r="F1427" s="34"/>
      <c r="G1427" s="34"/>
      <c r="H1427" s="34"/>
      <c r="I1427" s="35"/>
      <c r="J1427" s="24"/>
      <c r="K1427" s="7"/>
      <c r="L1427" s="9"/>
      <c r="M1427" s="9"/>
      <c r="N1427" s="15"/>
      <c r="O1427" s="15"/>
      <c r="P1427" s="15"/>
      <c r="Q1427" s="15"/>
      <c r="R1427" s="15"/>
    </row>
    <row r="1428" spans="1:18" ht="20.25" customHeight="1">
      <c r="A1428" s="36"/>
      <c r="B1428" s="28"/>
      <c r="C1428" s="24"/>
      <c r="D1428" s="34"/>
      <c r="E1428" s="34"/>
      <c r="F1428" s="34"/>
      <c r="G1428" s="34"/>
      <c r="H1428" s="34"/>
      <c r="I1428" s="35"/>
      <c r="J1428" s="24"/>
      <c r="K1428" s="7"/>
      <c r="L1428" s="9"/>
      <c r="M1428" s="9"/>
      <c r="N1428" s="15"/>
      <c r="O1428" s="15"/>
      <c r="P1428" s="15"/>
      <c r="Q1428" s="15"/>
      <c r="R1428" s="15"/>
    </row>
    <row r="1429" spans="1:18" ht="20.25" customHeight="1">
      <c r="A1429" s="36"/>
      <c r="B1429" s="28"/>
      <c r="C1429" s="24"/>
      <c r="D1429" s="34"/>
      <c r="E1429" s="34"/>
      <c r="F1429" s="34"/>
      <c r="G1429" s="34"/>
      <c r="H1429" s="34"/>
      <c r="I1429" s="35"/>
      <c r="J1429" s="24"/>
      <c r="K1429" s="7"/>
      <c r="L1429" s="9"/>
      <c r="M1429" s="9"/>
      <c r="N1429" s="15"/>
      <c r="O1429" s="15"/>
      <c r="P1429" s="15"/>
      <c r="Q1429" s="15"/>
      <c r="R1429" s="15"/>
    </row>
    <row r="1430" spans="1:18" ht="20.25" customHeight="1">
      <c r="A1430" s="36"/>
      <c r="B1430" s="28"/>
      <c r="C1430" s="24"/>
      <c r="D1430" s="34"/>
      <c r="E1430" s="34"/>
      <c r="F1430" s="34"/>
      <c r="G1430" s="34"/>
      <c r="H1430" s="34"/>
      <c r="I1430" s="35"/>
      <c r="J1430" s="24"/>
      <c r="K1430" s="7"/>
      <c r="L1430" s="9"/>
      <c r="M1430" s="9"/>
      <c r="N1430" s="15"/>
      <c r="O1430" s="15"/>
      <c r="P1430" s="15"/>
      <c r="Q1430" s="15"/>
      <c r="R1430" s="15"/>
    </row>
    <row r="1431" spans="1:18" ht="20.25" customHeight="1">
      <c r="A1431" s="36"/>
      <c r="B1431" s="28"/>
      <c r="C1431" s="24"/>
      <c r="D1431" s="34"/>
      <c r="E1431" s="34"/>
      <c r="F1431" s="34"/>
      <c r="G1431" s="34"/>
      <c r="H1431" s="34"/>
      <c r="I1431" s="35"/>
      <c r="J1431" s="24"/>
      <c r="K1431" s="7"/>
      <c r="L1431" s="9"/>
      <c r="M1431" s="9"/>
      <c r="N1431" s="15"/>
      <c r="O1431" s="15"/>
      <c r="P1431" s="15"/>
      <c r="Q1431" s="15"/>
      <c r="R1431" s="15"/>
    </row>
    <row r="1432" spans="1:18" ht="20.25" customHeight="1">
      <c r="A1432" s="36"/>
      <c r="B1432" s="28"/>
      <c r="C1432" s="24"/>
      <c r="D1432" s="34"/>
      <c r="E1432" s="34"/>
      <c r="F1432" s="34"/>
      <c r="G1432" s="34"/>
      <c r="H1432" s="34"/>
      <c r="I1432" s="35"/>
      <c r="J1432" s="24"/>
      <c r="K1432" s="7"/>
      <c r="L1432" s="9"/>
      <c r="M1432" s="9"/>
      <c r="N1432" s="15"/>
      <c r="O1432" s="15"/>
      <c r="P1432" s="15"/>
      <c r="Q1432" s="15"/>
      <c r="R1432" s="15"/>
    </row>
    <row r="1433" spans="1:18" ht="20.25" customHeight="1">
      <c r="A1433" s="36"/>
      <c r="B1433" s="28"/>
      <c r="C1433" s="24"/>
      <c r="D1433" s="34"/>
      <c r="E1433" s="34"/>
      <c r="F1433" s="34"/>
      <c r="G1433" s="34"/>
      <c r="H1433" s="34"/>
      <c r="I1433" s="35"/>
      <c r="J1433" s="24"/>
      <c r="K1433" s="7"/>
      <c r="L1433" s="9"/>
      <c r="M1433" s="9"/>
      <c r="N1433" s="15"/>
      <c r="O1433" s="15"/>
      <c r="P1433" s="15"/>
      <c r="Q1433" s="15"/>
      <c r="R1433" s="15"/>
    </row>
    <row r="1434" spans="1:18" ht="20.25" customHeight="1">
      <c r="A1434" s="36"/>
      <c r="B1434" s="28"/>
      <c r="C1434" s="24"/>
      <c r="D1434" s="34"/>
      <c r="E1434" s="34"/>
      <c r="F1434" s="34"/>
      <c r="G1434" s="34"/>
      <c r="H1434" s="34"/>
      <c r="I1434" s="35"/>
      <c r="J1434" s="24"/>
      <c r="K1434" s="7"/>
      <c r="L1434" s="9"/>
      <c r="M1434" s="9"/>
      <c r="N1434" s="15"/>
      <c r="O1434" s="15"/>
      <c r="P1434" s="15"/>
      <c r="Q1434" s="15"/>
      <c r="R1434" s="15"/>
    </row>
    <row r="1435" spans="1:18" ht="20.25" customHeight="1">
      <c r="A1435" s="36"/>
      <c r="B1435" s="28"/>
      <c r="C1435" s="24"/>
      <c r="D1435" s="34"/>
      <c r="E1435" s="34"/>
      <c r="F1435" s="34"/>
      <c r="G1435" s="34"/>
      <c r="H1435" s="34"/>
      <c r="I1435" s="35"/>
      <c r="J1435" s="24"/>
      <c r="K1435" s="7"/>
      <c r="L1435" s="9"/>
      <c r="M1435" s="9"/>
      <c r="N1435" s="15"/>
      <c r="O1435" s="15"/>
      <c r="P1435" s="15"/>
      <c r="Q1435" s="15"/>
      <c r="R1435" s="15"/>
    </row>
    <row r="1436" spans="1:18" ht="20.25" customHeight="1">
      <c r="A1436" s="36"/>
      <c r="B1436" s="28"/>
      <c r="C1436" s="24"/>
      <c r="D1436" s="34"/>
      <c r="E1436" s="34"/>
      <c r="F1436" s="34"/>
      <c r="G1436" s="34"/>
      <c r="H1436" s="34"/>
      <c r="I1436" s="35"/>
      <c r="J1436" s="24"/>
      <c r="K1436" s="7"/>
      <c r="L1436" s="9"/>
      <c r="M1436" s="9"/>
      <c r="N1436" s="15"/>
      <c r="O1436" s="15"/>
      <c r="P1436" s="15"/>
      <c r="Q1436" s="15"/>
      <c r="R1436" s="15"/>
    </row>
    <row r="1437" spans="1:18" ht="20.25" customHeight="1">
      <c r="A1437" s="36"/>
      <c r="B1437" s="28"/>
      <c r="C1437" s="24"/>
      <c r="D1437" s="34"/>
      <c r="E1437" s="34"/>
      <c r="F1437" s="34"/>
      <c r="G1437" s="34"/>
      <c r="H1437" s="34"/>
      <c r="I1437" s="35"/>
      <c r="J1437" s="24"/>
      <c r="K1437" s="7"/>
      <c r="L1437" s="9"/>
      <c r="M1437" s="9"/>
      <c r="N1437" s="15"/>
      <c r="O1437" s="15"/>
      <c r="P1437" s="15"/>
      <c r="Q1437" s="15"/>
      <c r="R1437" s="15"/>
    </row>
    <row r="1438" spans="1:18" ht="20.25" customHeight="1">
      <c r="A1438" s="36"/>
      <c r="B1438" s="28"/>
      <c r="C1438" s="24"/>
      <c r="D1438" s="34"/>
      <c r="E1438" s="34"/>
      <c r="F1438" s="34"/>
      <c r="G1438" s="34"/>
      <c r="H1438" s="34"/>
      <c r="I1438" s="35"/>
      <c r="J1438" s="24"/>
      <c r="K1438" s="7"/>
      <c r="L1438" s="9"/>
      <c r="M1438" s="9"/>
      <c r="N1438" s="15"/>
      <c r="O1438" s="15"/>
      <c r="P1438" s="15"/>
      <c r="Q1438" s="15"/>
      <c r="R1438" s="15"/>
    </row>
    <row r="1439" spans="1:18" ht="20.25" customHeight="1">
      <c r="A1439" s="36"/>
      <c r="B1439" s="28"/>
      <c r="C1439" s="24"/>
      <c r="D1439" s="34"/>
      <c r="E1439" s="34"/>
      <c r="F1439" s="34"/>
      <c r="G1439" s="34"/>
      <c r="H1439" s="34"/>
      <c r="I1439" s="35"/>
      <c r="J1439" s="24"/>
      <c r="K1439" s="7"/>
      <c r="L1439" s="9"/>
      <c r="M1439" s="9"/>
      <c r="N1439" s="15"/>
      <c r="O1439" s="15"/>
      <c r="P1439" s="15"/>
      <c r="Q1439" s="15"/>
      <c r="R1439" s="15"/>
    </row>
    <row r="1440" spans="1:18" ht="20.25" customHeight="1">
      <c r="A1440" s="36"/>
      <c r="B1440" s="28"/>
      <c r="C1440" s="24"/>
      <c r="D1440" s="34"/>
      <c r="E1440" s="34"/>
      <c r="F1440" s="34"/>
      <c r="G1440" s="34"/>
      <c r="H1440" s="34"/>
      <c r="I1440" s="35"/>
      <c r="J1440" s="24"/>
      <c r="K1440" s="7"/>
      <c r="L1440" s="9"/>
      <c r="M1440" s="9"/>
      <c r="N1440" s="15"/>
      <c r="O1440" s="15"/>
      <c r="P1440" s="15"/>
      <c r="Q1440" s="15"/>
      <c r="R1440" s="15"/>
    </row>
    <row r="1441" spans="1:18" ht="20.25" customHeight="1">
      <c r="A1441" s="36"/>
      <c r="B1441" s="28"/>
      <c r="C1441" s="24"/>
      <c r="D1441" s="34"/>
      <c r="E1441" s="34"/>
      <c r="F1441" s="34"/>
      <c r="G1441" s="34"/>
      <c r="H1441" s="34"/>
      <c r="I1441" s="35"/>
      <c r="J1441" s="24"/>
      <c r="K1441" s="7"/>
      <c r="L1441" s="9"/>
      <c r="M1441" s="9"/>
      <c r="N1441" s="15"/>
      <c r="O1441" s="15"/>
      <c r="P1441" s="15"/>
      <c r="Q1441" s="15"/>
      <c r="R1441" s="15"/>
    </row>
    <row r="1442" spans="1:18" ht="20.25" customHeight="1">
      <c r="A1442" s="36"/>
      <c r="B1442" s="28"/>
      <c r="C1442" s="24"/>
      <c r="D1442" s="34"/>
      <c r="E1442" s="34"/>
      <c r="F1442" s="34"/>
      <c r="G1442" s="34"/>
      <c r="H1442" s="34"/>
      <c r="I1442" s="35"/>
      <c r="J1442" s="24"/>
      <c r="K1442" s="7"/>
      <c r="L1442" s="9"/>
      <c r="M1442" s="9"/>
      <c r="N1442" s="15"/>
      <c r="O1442" s="15"/>
      <c r="P1442" s="15"/>
      <c r="Q1442" s="15"/>
      <c r="R1442" s="15"/>
    </row>
    <row r="1443" spans="1:18" ht="20.25" customHeight="1">
      <c r="A1443" s="36"/>
      <c r="B1443" s="28"/>
      <c r="C1443" s="24"/>
      <c r="D1443" s="34"/>
      <c r="E1443" s="34"/>
      <c r="F1443" s="34"/>
      <c r="G1443" s="34"/>
      <c r="H1443" s="34"/>
      <c r="I1443" s="35"/>
      <c r="J1443" s="24"/>
      <c r="K1443" s="7"/>
      <c r="L1443" s="9"/>
      <c r="M1443" s="9"/>
      <c r="N1443" s="15"/>
      <c r="O1443" s="15"/>
      <c r="P1443" s="15"/>
      <c r="Q1443" s="15"/>
      <c r="R1443" s="15"/>
    </row>
    <row r="1444" spans="1:18" ht="20.25" customHeight="1">
      <c r="A1444" s="36"/>
      <c r="B1444" s="28"/>
      <c r="C1444" s="24"/>
      <c r="D1444" s="34"/>
      <c r="E1444" s="34"/>
      <c r="F1444" s="34"/>
      <c r="G1444" s="34"/>
      <c r="H1444" s="34"/>
      <c r="I1444" s="35"/>
      <c r="J1444" s="24"/>
      <c r="K1444" s="7"/>
      <c r="L1444" s="9"/>
      <c r="M1444" s="9"/>
      <c r="N1444" s="15"/>
      <c r="O1444" s="15"/>
      <c r="P1444" s="15"/>
      <c r="Q1444" s="15"/>
      <c r="R1444" s="15"/>
    </row>
    <row r="1445" spans="1:18" ht="20.25" customHeight="1">
      <c r="A1445" s="36"/>
      <c r="B1445" s="28"/>
      <c r="C1445" s="24"/>
      <c r="D1445" s="34"/>
      <c r="E1445" s="34"/>
      <c r="F1445" s="34"/>
      <c r="G1445" s="34"/>
      <c r="H1445" s="34"/>
      <c r="I1445" s="35"/>
      <c r="J1445" s="24"/>
      <c r="K1445" s="7"/>
      <c r="L1445" s="9"/>
      <c r="M1445" s="9"/>
      <c r="N1445" s="15"/>
      <c r="O1445" s="15"/>
      <c r="P1445" s="15"/>
      <c r="Q1445" s="15"/>
      <c r="R1445" s="15"/>
    </row>
    <row r="1446" spans="1:18" ht="20.25" customHeight="1">
      <c r="A1446" s="36"/>
      <c r="B1446" s="28"/>
      <c r="C1446" s="24"/>
      <c r="D1446" s="34"/>
      <c r="E1446" s="34"/>
      <c r="F1446" s="34"/>
      <c r="G1446" s="34"/>
      <c r="H1446" s="34"/>
      <c r="I1446" s="35"/>
      <c r="J1446" s="24"/>
      <c r="K1446" s="7"/>
      <c r="L1446" s="9"/>
      <c r="M1446" s="9"/>
      <c r="N1446" s="15"/>
      <c r="O1446" s="15"/>
      <c r="P1446" s="15"/>
      <c r="Q1446" s="15"/>
      <c r="R1446" s="15"/>
    </row>
    <row r="1447" spans="1:18" ht="20.25" customHeight="1">
      <c r="A1447" s="36"/>
      <c r="B1447" s="28"/>
      <c r="C1447" s="24"/>
      <c r="D1447" s="34"/>
      <c r="E1447" s="34"/>
      <c r="F1447" s="34"/>
      <c r="G1447" s="34"/>
      <c r="H1447" s="34"/>
      <c r="I1447" s="35"/>
      <c r="J1447" s="24"/>
      <c r="K1447" s="7"/>
      <c r="L1447" s="9"/>
      <c r="M1447" s="9"/>
      <c r="N1447" s="15"/>
      <c r="O1447" s="15"/>
      <c r="P1447" s="15"/>
      <c r="Q1447" s="15"/>
      <c r="R1447" s="15"/>
    </row>
    <row r="1448" spans="1:18" ht="20.25" customHeight="1">
      <c r="A1448" s="36"/>
      <c r="B1448" s="28"/>
      <c r="C1448" s="24"/>
      <c r="D1448" s="34"/>
      <c r="E1448" s="34"/>
      <c r="F1448" s="34"/>
      <c r="G1448" s="34"/>
      <c r="H1448" s="34"/>
      <c r="I1448" s="35"/>
      <c r="J1448" s="24"/>
      <c r="K1448" s="7"/>
      <c r="L1448" s="9"/>
      <c r="M1448" s="9"/>
      <c r="N1448" s="15"/>
      <c r="O1448" s="15"/>
      <c r="P1448" s="15"/>
      <c r="Q1448" s="15"/>
      <c r="R1448" s="15"/>
    </row>
    <row r="1449" spans="1:18" ht="20.25" customHeight="1">
      <c r="A1449" s="36"/>
      <c r="B1449" s="28"/>
      <c r="C1449" s="24"/>
      <c r="D1449" s="34"/>
      <c r="E1449" s="34"/>
      <c r="F1449" s="34"/>
      <c r="G1449" s="34"/>
      <c r="H1449" s="34"/>
      <c r="I1449" s="35"/>
      <c r="J1449" s="24"/>
      <c r="K1449" s="7"/>
      <c r="L1449" s="9"/>
      <c r="M1449" s="9"/>
      <c r="N1449" s="15"/>
      <c r="O1449" s="15"/>
      <c r="P1449" s="15"/>
      <c r="Q1449" s="15"/>
      <c r="R1449" s="15"/>
    </row>
    <row r="1450" spans="1:18" ht="20.25" customHeight="1">
      <c r="A1450" s="36"/>
      <c r="B1450" s="28"/>
      <c r="C1450" s="24"/>
      <c r="D1450" s="34"/>
      <c r="E1450" s="34"/>
      <c r="F1450" s="34"/>
      <c r="G1450" s="34"/>
      <c r="H1450" s="34"/>
      <c r="I1450" s="35"/>
      <c r="J1450" s="24"/>
      <c r="K1450" s="7"/>
      <c r="L1450" s="9"/>
      <c r="M1450" s="9"/>
      <c r="N1450" s="15"/>
      <c r="O1450" s="15"/>
      <c r="P1450" s="15"/>
      <c r="Q1450" s="15"/>
      <c r="R1450" s="15"/>
    </row>
    <row r="1451" spans="1:18" ht="20.25" customHeight="1">
      <c r="A1451" s="36"/>
      <c r="B1451" s="28"/>
      <c r="C1451" s="24"/>
      <c r="D1451" s="34"/>
      <c r="E1451" s="34"/>
      <c r="F1451" s="34"/>
      <c r="G1451" s="34"/>
      <c r="H1451" s="34"/>
      <c r="I1451" s="35"/>
      <c r="J1451" s="24"/>
      <c r="K1451" s="7"/>
      <c r="L1451" s="9"/>
      <c r="M1451" s="9"/>
      <c r="N1451" s="15"/>
      <c r="O1451" s="15"/>
      <c r="P1451" s="15"/>
      <c r="Q1451" s="15"/>
      <c r="R1451" s="15"/>
    </row>
    <row r="1452" spans="1:18" ht="20.25" customHeight="1">
      <c r="A1452" s="36"/>
      <c r="B1452" s="28"/>
      <c r="C1452" s="24"/>
      <c r="D1452" s="34"/>
      <c r="E1452" s="34"/>
      <c r="F1452" s="34"/>
      <c r="G1452" s="34"/>
      <c r="H1452" s="34"/>
      <c r="I1452" s="35"/>
      <c r="J1452" s="24"/>
      <c r="K1452" s="7"/>
      <c r="L1452" s="9"/>
      <c r="M1452" s="9"/>
      <c r="N1452" s="15"/>
      <c r="O1452" s="15"/>
      <c r="P1452" s="15"/>
      <c r="Q1452" s="15"/>
      <c r="R1452" s="15"/>
    </row>
    <row r="1453" spans="1:18" ht="20.25" customHeight="1">
      <c r="A1453" s="36"/>
      <c r="B1453" s="28"/>
      <c r="C1453" s="24"/>
      <c r="D1453" s="34"/>
      <c r="E1453" s="34"/>
      <c r="F1453" s="34"/>
      <c r="G1453" s="34"/>
      <c r="H1453" s="34"/>
      <c r="I1453" s="35"/>
      <c r="J1453" s="24"/>
      <c r="K1453" s="7"/>
      <c r="L1453" s="9"/>
      <c r="M1453" s="9"/>
      <c r="N1453" s="15"/>
      <c r="O1453" s="15"/>
      <c r="P1453" s="15"/>
      <c r="Q1453" s="15"/>
      <c r="R1453" s="15"/>
    </row>
    <row r="1454" spans="1:18" ht="20.25" customHeight="1">
      <c r="A1454" s="36"/>
      <c r="B1454" s="28"/>
      <c r="C1454" s="24"/>
      <c r="D1454" s="34"/>
      <c r="E1454" s="34"/>
      <c r="F1454" s="34"/>
      <c r="G1454" s="34"/>
      <c r="H1454" s="34"/>
      <c r="I1454" s="35"/>
      <c r="J1454" s="24"/>
      <c r="K1454" s="7"/>
      <c r="L1454" s="9"/>
      <c r="M1454" s="9"/>
      <c r="N1454" s="15"/>
      <c r="O1454" s="15"/>
      <c r="P1454" s="15"/>
      <c r="Q1454" s="15"/>
      <c r="R1454" s="15"/>
    </row>
    <row r="1455" spans="1:18" ht="20.25" customHeight="1">
      <c r="A1455" s="36"/>
      <c r="B1455" s="28"/>
      <c r="C1455" s="24"/>
      <c r="D1455" s="34"/>
      <c r="E1455" s="34"/>
      <c r="F1455" s="34"/>
      <c r="G1455" s="34"/>
      <c r="H1455" s="34"/>
      <c r="I1455" s="35"/>
      <c r="J1455" s="24"/>
      <c r="K1455" s="7"/>
      <c r="L1455" s="9"/>
      <c r="M1455" s="9"/>
      <c r="N1455" s="15"/>
      <c r="O1455" s="15"/>
      <c r="P1455" s="15"/>
      <c r="Q1455" s="15"/>
      <c r="R1455" s="15"/>
    </row>
    <row r="1456" spans="1:18" ht="20.25" customHeight="1">
      <c r="A1456" s="36"/>
      <c r="B1456" s="28"/>
      <c r="C1456" s="24"/>
      <c r="D1456" s="34"/>
      <c r="E1456" s="34"/>
      <c r="F1456" s="34"/>
      <c r="G1456" s="34"/>
      <c r="H1456" s="34"/>
      <c r="I1456" s="35"/>
      <c r="J1456" s="24"/>
      <c r="K1456" s="7"/>
      <c r="L1456" s="9"/>
      <c r="M1456" s="9"/>
      <c r="N1456" s="15"/>
      <c r="O1456" s="15"/>
      <c r="P1456" s="15"/>
      <c r="Q1456" s="15"/>
      <c r="R1456" s="15"/>
    </row>
    <row r="1457" spans="1:18" ht="20.25" customHeight="1">
      <c r="A1457" s="36"/>
      <c r="B1457" s="28"/>
      <c r="C1457" s="24"/>
      <c r="D1457" s="34"/>
      <c r="E1457" s="34"/>
      <c r="F1457" s="34"/>
      <c r="G1457" s="34"/>
      <c r="H1457" s="34"/>
      <c r="I1457" s="35"/>
      <c r="J1457" s="24"/>
      <c r="K1457" s="7"/>
      <c r="L1457" s="9"/>
      <c r="M1457" s="9"/>
      <c r="N1457" s="15"/>
      <c r="O1457" s="15"/>
      <c r="P1457" s="15"/>
      <c r="Q1457" s="15"/>
      <c r="R1457" s="15"/>
    </row>
    <row r="1458" spans="1:18" ht="20.25" customHeight="1">
      <c r="A1458" s="36"/>
      <c r="B1458" s="28"/>
      <c r="C1458" s="24"/>
      <c r="D1458" s="34"/>
      <c r="E1458" s="34"/>
      <c r="F1458" s="34"/>
      <c r="G1458" s="34"/>
      <c r="H1458" s="34"/>
      <c r="I1458" s="35"/>
      <c r="J1458" s="24"/>
      <c r="K1458" s="7"/>
      <c r="L1458" s="9"/>
      <c r="M1458" s="9"/>
      <c r="N1458" s="15"/>
      <c r="O1458" s="15"/>
      <c r="P1458" s="15"/>
      <c r="Q1458" s="15"/>
      <c r="R1458" s="15"/>
    </row>
    <row r="1459" spans="1:18" ht="20.25" customHeight="1">
      <c r="A1459" s="36"/>
      <c r="B1459" s="28"/>
      <c r="C1459" s="24"/>
      <c r="D1459" s="34"/>
      <c r="E1459" s="34"/>
      <c r="F1459" s="34"/>
      <c r="G1459" s="34"/>
      <c r="H1459" s="34"/>
      <c r="I1459" s="35"/>
      <c r="J1459" s="24"/>
      <c r="K1459" s="7"/>
      <c r="L1459" s="9"/>
      <c r="M1459" s="9"/>
      <c r="N1459" s="15"/>
      <c r="O1459" s="15"/>
      <c r="P1459" s="15"/>
      <c r="Q1459" s="15"/>
      <c r="R1459" s="15"/>
    </row>
    <row r="1460" spans="1:18" ht="20.25" customHeight="1">
      <c r="A1460" s="36"/>
      <c r="B1460" s="28"/>
      <c r="C1460" s="24"/>
      <c r="D1460" s="34"/>
      <c r="E1460" s="34"/>
      <c r="F1460" s="34"/>
      <c r="G1460" s="34"/>
      <c r="H1460" s="34"/>
      <c r="I1460" s="35"/>
      <c r="J1460" s="24"/>
      <c r="K1460" s="7"/>
      <c r="L1460" s="9"/>
      <c r="M1460" s="9"/>
      <c r="N1460" s="15"/>
      <c r="O1460" s="15"/>
      <c r="P1460" s="15"/>
      <c r="Q1460" s="15"/>
      <c r="R1460" s="15"/>
    </row>
    <row r="1461" spans="1:18" ht="20.25" customHeight="1">
      <c r="A1461" s="36"/>
      <c r="B1461" s="28"/>
      <c r="C1461" s="24"/>
      <c r="D1461" s="34"/>
      <c r="E1461" s="34"/>
      <c r="F1461" s="34"/>
      <c r="G1461" s="34"/>
      <c r="H1461" s="34"/>
      <c r="I1461" s="35"/>
      <c r="J1461" s="24"/>
      <c r="K1461" s="7"/>
      <c r="L1461" s="9"/>
      <c r="M1461" s="9"/>
      <c r="N1461" s="15"/>
      <c r="O1461" s="15"/>
      <c r="P1461" s="15"/>
      <c r="Q1461" s="15"/>
      <c r="R1461" s="15"/>
    </row>
    <row r="1462" spans="1:18" ht="20.25" customHeight="1">
      <c r="A1462" s="36"/>
      <c r="B1462" s="28"/>
      <c r="C1462" s="24"/>
      <c r="D1462" s="34"/>
      <c r="E1462" s="34"/>
      <c r="F1462" s="34"/>
      <c r="G1462" s="34"/>
      <c r="H1462" s="34"/>
      <c r="I1462" s="35"/>
      <c r="J1462" s="24"/>
      <c r="K1462" s="7"/>
      <c r="L1462" s="9"/>
      <c r="M1462" s="9"/>
      <c r="N1462" s="15"/>
      <c r="O1462" s="15"/>
      <c r="P1462" s="15"/>
      <c r="Q1462" s="15"/>
      <c r="R1462" s="15"/>
    </row>
    <row r="1463" spans="1:18" ht="20.25" customHeight="1">
      <c r="A1463" s="36"/>
      <c r="B1463" s="28"/>
      <c r="C1463" s="24"/>
      <c r="D1463" s="34"/>
      <c r="E1463" s="34"/>
      <c r="F1463" s="34"/>
      <c r="G1463" s="34"/>
      <c r="H1463" s="34"/>
      <c r="I1463" s="35"/>
      <c r="J1463" s="24"/>
      <c r="K1463" s="7"/>
      <c r="L1463" s="9"/>
      <c r="M1463" s="9"/>
      <c r="N1463" s="15"/>
      <c r="O1463" s="15"/>
      <c r="P1463" s="15"/>
      <c r="Q1463" s="15"/>
      <c r="R1463" s="15"/>
    </row>
    <row r="1464" spans="1:18" ht="20.25" customHeight="1">
      <c r="A1464" s="36"/>
      <c r="B1464" s="28"/>
      <c r="C1464" s="24"/>
      <c r="D1464" s="34"/>
      <c r="E1464" s="34"/>
      <c r="F1464" s="34"/>
      <c r="G1464" s="34"/>
      <c r="H1464" s="34"/>
      <c r="I1464" s="35"/>
      <c r="J1464" s="24"/>
      <c r="K1464" s="7"/>
      <c r="L1464" s="9"/>
      <c r="M1464" s="9"/>
      <c r="N1464" s="15"/>
      <c r="O1464" s="15"/>
      <c r="P1464" s="15"/>
      <c r="Q1464" s="15"/>
      <c r="R1464" s="15"/>
    </row>
    <row r="1465" spans="1:18" ht="20.25" customHeight="1">
      <c r="A1465" s="36"/>
      <c r="B1465" s="28"/>
      <c r="C1465" s="24"/>
      <c r="D1465" s="34"/>
      <c r="E1465" s="34"/>
      <c r="F1465" s="34"/>
      <c r="G1465" s="34"/>
      <c r="H1465" s="34"/>
      <c r="I1465" s="35"/>
      <c r="J1465" s="24"/>
      <c r="K1465" s="7"/>
      <c r="L1465" s="9"/>
      <c r="M1465" s="9"/>
      <c r="N1465" s="15"/>
      <c r="O1465" s="15"/>
      <c r="P1465" s="15"/>
      <c r="Q1465" s="15"/>
      <c r="R1465" s="15"/>
    </row>
    <row r="1466" spans="1:18" ht="20.25" customHeight="1">
      <c r="A1466" s="36"/>
      <c r="B1466" s="28"/>
      <c r="C1466" s="24"/>
      <c r="D1466" s="34"/>
      <c r="E1466" s="34"/>
      <c r="F1466" s="34"/>
      <c r="G1466" s="34"/>
      <c r="H1466" s="34"/>
      <c r="I1466" s="35"/>
      <c r="J1466" s="24"/>
      <c r="K1466" s="7"/>
      <c r="L1466" s="9"/>
      <c r="M1466" s="9"/>
      <c r="N1466" s="15"/>
      <c r="O1466" s="15"/>
      <c r="P1466" s="15"/>
      <c r="Q1466" s="15"/>
      <c r="R1466" s="15"/>
    </row>
    <row r="1467" spans="1:18" ht="20.25" customHeight="1">
      <c r="A1467" s="36"/>
      <c r="B1467" s="28"/>
      <c r="C1467" s="24"/>
      <c r="D1467" s="34"/>
      <c r="E1467" s="34"/>
      <c r="F1467" s="34"/>
      <c r="G1467" s="34"/>
      <c r="H1467" s="34"/>
      <c r="I1467" s="35"/>
      <c r="J1467" s="24"/>
      <c r="K1467" s="7"/>
      <c r="L1467" s="9"/>
      <c r="M1467" s="9"/>
      <c r="N1467" s="15"/>
      <c r="O1467" s="15"/>
      <c r="P1467" s="15"/>
      <c r="Q1467" s="15"/>
      <c r="R1467" s="15"/>
    </row>
    <row r="1468" spans="1:18" ht="20.25" customHeight="1">
      <c r="A1468" s="36"/>
      <c r="B1468" s="28"/>
      <c r="C1468" s="24"/>
      <c r="D1468" s="34"/>
      <c r="E1468" s="34"/>
      <c r="F1468" s="34"/>
      <c r="G1468" s="34"/>
      <c r="H1468" s="34"/>
      <c r="I1468" s="35"/>
      <c r="J1468" s="24"/>
      <c r="K1468" s="7"/>
      <c r="L1468" s="9"/>
      <c r="M1468" s="9"/>
      <c r="N1468" s="15"/>
      <c r="O1468" s="15"/>
      <c r="P1468" s="15"/>
      <c r="Q1468" s="15"/>
      <c r="R1468" s="15"/>
    </row>
    <row r="1469" spans="1:18" ht="20.25" customHeight="1">
      <c r="A1469" s="36"/>
      <c r="B1469" s="28"/>
      <c r="C1469" s="24"/>
      <c r="D1469" s="34"/>
      <c r="E1469" s="34"/>
      <c r="F1469" s="34"/>
      <c r="G1469" s="34"/>
      <c r="H1469" s="34"/>
      <c r="I1469" s="35"/>
      <c r="J1469" s="24"/>
      <c r="K1469" s="7"/>
      <c r="L1469" s="9"/>
      <c r="M1469" s="9"/>
      <c r="N1469" s="15"/>
      <c r="O1469" s="15"/>
      <c r="P1469" s="15"/>
      <c r="Q1469" s="15"/>
      <c r="R1469" s="15"/>
    </row>
    <row r="1470" spans="1:18" ht="20.25" customHeight="1">
      <c r="A1470" s="36"/>
      <c r="B1470" s="28"/>
      <c r="C1470" s="24"/>
      <c r="D1470" s="34"/>
      <c r="E1470" s="34"/>
      <c r="F1470" s="34"/>
      <c r="G1470" s="34"/>
      <c r="H1470" s="34"/>
      <c r="I1470" s="35"/>
      <c r="J1470" s="24"/>
      <c r="K1470" s="7"/>
      <c r="L1470" s="9"/>
      <c r="M1470" s="9"/>
      <c r="N1470" s="15"/>
      <c r="O1470" s="15"/>
      <c r="P1470" s="15"/>
      <c r="Q1470" s="15"/>
      <c r="R1470" s="15"/>
    </row>
    <row r="1471" spans="1:18" ht="20.25" customHeight="1">
      <c r="A1471" s="36"/>
      <c r="B1471" s="28"/>
      <c r="C1471" s="24"/>
      <c r="D1471" s="34"/>
      <c r="E1471" s="34"/>
      <c r="F1471" s="34"/>
      <c r="G1471" s="34"/>
      <c r="H1471" s="34"/>
      <c r="I1471" s="35"/>
      <c r="J1471" s="24"/>
      <c r="K1471" s="7"/>
      <c r="L1471" s="9"/>
      <c r="M1471" s="9"/>
      <c r="N1471" s="15"/>
      <c r="O1471" s="15"/>
      <c r="P1471" s="15"/>
      <c r="Q1471" s="15"/>
      <c r="R1471" s="15"/>
    </row>
    <row r="1472" spans="1:18" ht="20.25" customHeight="1">
      <c r="A1472" s="36"/>
      <c r="B1472" s="28"/>
      <c r="C1472" s="24"/>
      <c r="D1472" s="34"/>
      <c r="E1472" s="34"/>
      <c r="F1472" s="34"/>
      <c r="G1472" s="34"/>
      <c r="H1472" s="34"/>
      <c r="I1472" s="35"/>
      <c r="J1472" s="24"/>
      <c r="K1472" s="7"/>
      <c r="L1472" s="9"/>
      <c r="M1472" s="9"/>
      <c r="N1472" s="15"/>
      <c r="O1472" s="15"/>
      <c r="P1472" s="15"/>
      <c r="Q1472" s="15"/>
      <c r="R1472" s="15"/>
    </row>
    <row r="1473" spans="1:18" ht="20.25" customHeight="1">
      <c r="A1473" s="36"/>
      <c r="B1473" s="28"/>
      <c r="C1473" s="24"/>
      <c r="D1473" s="34"/>
      <c r="E1473" s="34"/>
      <c r="F1473" s="34"/>
      <c r="G1473" s="34"/>
      <c r="H1473" s="34"/>
      <c r="I1473" s="35"/>
      <c r="J1473" s="24"/>
      <c r="K1473" s="7"/>
      <c r="L1473" s="9"/>
      <c r="M1473" s="9"/>
      <c r="N1473" s="15"/>
      <c r="O1473" s="15"/>
      <c r="P1473" s="15"/>
      <c r="Q1473" s="15"/>
      <c r="R1473" s="15"/>
    </row>
    <row r="1474" spans="1:18" ht="20.25" customHeight="1">
      <c r="A1474" s="36"/>
      <c r="B1474" s="28"/>
      <c r="C1474" s="24"/>
      <c r="D1474" s="34"/>
      <c r="E1474" s="34"/>
      <c r="F1474" s="34"/>
      <c r="G1474" s="34"/>
      <c r="H1474" s="34"/>
      <c r="I1474" s="35"/>
      <c r="J1474" s="24"/>
      <c r="K1474" s="7"/>
      <c r="L1474" s="9"/>
      <c r="M1474" s="9"/>
      <c r="N1474" s="15"/>
      <c r="O1474" s="15"/>
      <c r="P1474" s="15"/>
      <c r="Q1474" s="15"/>
      <c r="R1474" s="15"/>
    </row>
    <row r="1475" spans="1:18" ht="20.25" customHeight="1">
      <c r="A1475" s="36"/>
      <c r="B1475" s="28"/>
      <c r="C1475" s="24"/>
      <c r="D1475" s="34"/>
      <c r="E1475" s="34"/>
      <c r="F1475" s="34"/>
      <c r="G1475" s="34"/>
      <c r="H1475" s="34"/>
      <c r="I1475" s="35"/>
      <c r="J1475" s="24"/>
      <c r="K1475" s="7"/>
      <c r="L1475" s="9"/>
      <c r="M1475" s="9"/>
      <c r="N1475" s="15"/>
      <c r="O1475" s="15"/>
      <c r="P1475" s="15"/>
      <c r="Q1475" s="15"/>
      <c r="R1475" s="15"/>
    </row>
    <row r="1476" spans="1:18" ht="20.25" customHeight="1">
      <c r="A1476" s="36"/>
      <c r="B1476" s="28"/>
      <c r="C1476" s="24"/>
      <c r="D1476" s="34"/>
      <c r="E1476" s="34"/>
      <c r="F1476" s="34"/>
      <c r="G1476" s="34"/>
      <c r="H1476" s="34"/>
      <c r="I1476" s="35"/>
      <c r="J1476" s="24"/>
      <c r="K1476" s="7"/>
      <c r="L1476" s="9"/>
      <c r="M1476" s="9"/>
      <c r="N1476" s="15"/>
      <c r="O1476" s="15"/>
      <c r="P1476" s="15"/>
      <c r="Q1476" s="15"/>
      <c r="R1476" s="15"/>
    </row>
    <row r="1477" spans="1:18" ht="20.25" customHeight="1">
      <c r="A1477" s="36"/>
      <c r="B1477" s="28"/>
      <c r="C1477" s="24"/>
      <c r="D1477" s="34"/>
      <c r="E1477" s="34"/>
      <c r="F1477" s="34"/>
      <c r="G1477" s="34"/>
      <c r="H1477" s="34"/>
      <c r="I1477" s="35"/>
      <c r="J1477" s="24"/>
      <c r="K1477" s="7"/>
      <c r="L1477" s="9"/>
      <c r="M1477" s="9"/>
      <c r="N1477" s="15"/>
      <c r="O1477" s="15"/>
      <c r="P1477" s="15"/>
      <c r="Q1477" s="15"/>
      <c r="R1477" s="15"/>
    </row>
    <row r="1478" spans="1:18" ht="20.25" customHeight="1">
      <c r="A1478" s="36"/>
      <c r="B1478" s="28"/>
      <c r="C1478" s="24"/>
      <c r="D1478" s="34"/>
      <c r="E1478" s="34"/>
      <c r="F1478" s="34"/>
      <c r="G1478" s="34"/>
      <c r="H1478" s="34"/>
      <c r="I1478" s="35"/>
      <c r="J1478" s="24"/>
      <c r="K1478" s="7"/>
      <c r="L1478" s="9"/>
      <c r="M1478" s="9"/>
      <c r="N1478" s="15"/>
      <c r="O1478" s="15"/>
      <c r="P1478" s="15"/>
      <c r="Q1478" s="15"/>
      <c r="R1478" s="15"/>
    </row>
    <row r="1479" spans="1:18" ht="20.25" customHeight="1">
      <c r="A1479" s="36"/>
      <c r="B1479" s="28"/>
      <c r="C1479" s="24"/>
      <c r="D1479" s="34"/>
      <c r="E1479" s="34"/>
      <c r="F1479" s="34"/>
      <c r="G1479" s="34"/>
      <c r="H1479" s="34"/>
      <c r="I1479" s="35"/>
      <c r="J1479" s="24"/>
      <c r="K1479" s="7"/>
      <c r="L1479" s="9"/>
      <c r="M1479" s="9"/>
      <c r="N1479" s="15"/>
      <c r="O1479" s="15"/>
      <c r="P1479" s="15"/>
      <c r="Q1479" s="15"/>
      <c r="R1479" s="15"/>
    </row>
    <row r="1480" spans="1:18" ht="20.25" customHeight="1">
      <c r="A1480" s="36"/>
      <c r="B1480" s="28"/>
      <c r="C1480" s="24"/>
      <c r="D1480" s="34"/>
      <c r="E1480" s="34"/>
      <c r="F1480" s="34"/>
      <c r="G1480" s="34"/>
      <c r="H1480" s="34"/>
      <c r="I1480" s="35"/>
      <c r="J1480" s="24"/>
      <c r="K1480" s="7"/>
      <c r="L1480" s="9"/>
      <c r="M1480" s="9"/>
      <c r="N1480" s="15"/>
      <c r="O1480" s="15"/>
      <c r="P1480" s="15"/>
      <c r="Q1480" s="15"/>
      <c r="R1480" s="15"/>
    </row>
    <row r="1481" spans="1:18" ht="20.25" customHeight="1">
      <c r="A1481" s="36"/>
      <c r="B1481" s="28"/>
      <c r="C1481" s="24"/>
      <c r="D1481" s="34"/>
      <c r="E1481" s="34"/>
      <c r="F1481" s="34"/>
      <c r="G1481" s="34"/>
      <c r="H1481" s="34"/>
      <c r="I1481" s="35"/>
      <c r="J1481" s="24"/>
      <c r="K1481" s="7"/>
      <c r="L1481" s="9"/>
      <c r="M1481" s="9"/>
      <c r="N1481" s="15"/>
      <c r="O1481" s="15"/>
      <c r="P1481" s="15"/>
      <c r="Q1481" s="15"/>
      <c r="R1481" s="15"/>
    </row>
    <row r="1482" spans="1:18" ht="20.25" customHeight="1">
      <c r="A1482" s="36"/>
      <c r="B1482" s="28"/>
      <c r="C1482" s="24"/>
      <c r="D1482" s="34"/>
      <c r="E1482" s="34"/>
      <c r="F1482" s="34"/>
      <c r="G1482" s="34"/>
      <c r="H1482" s="34"/>
      <c r="I1482" s="35"/>
      <c r="J1482" s="24"/>
      <c r="K1482" s="7"/>
      <c r="L1482" s="9"/>
      <c r="M1482" s="9"/>
      <c r="N1482" s="15"/>
      <c r="O1482" s="15"/>
      <c r="P1482" s="15"/>
      <c r="Q1482" s="15"/>
      <c r="R1482" s="15"/>
    </row>
    <row r="1483" spans="1:18" ht="20.25" customHeight="1">
      <c r="A1483" s="36"/>
      <c r="B1483" s="28"/>
      <c r="C1483" s="24"/>
      <c r="D1483" s="34"/>
      <c r="E1483" s="34"/>
      <c r="F1483" s="34"/>
      <c r="G1483" s="34"/>
      <c r="H1483" s="34"/>
      <c r="I1483" s="35"/>
      <c r="J1483" s="24"/>
      <c r="K1483" s="7"/>
      <c r="L1483" s="9"/>
      <c r="M1483" s="9"/>
      <c r="N1483" s="15"/>
      <c r="O1483" s="15"/>
      <c r="P1483" s="15"/>
      <c r="Q1483" s="15"/>
      <c r="R1483" s="15"/>
    </row>
    <row r="1484" spans="1:18" ht="20.25" customHeight="1">
      <c r="A1484" s="36"/>
      <c r="B1484" s="28"/>
      <c r="C1484" s="24"/>
      <c r="D1484" s="34"/>
      <c r="E1484" s="34"/>
      <c r="F1484" s="34"/>
      <c r="G1484" s="34"/>
      <c r="H1484" s="34"/>
      <c r="I1484" s="35"/>
      <c r="J1484" s="24"/>
      <c r="K1484" s="7"/>
      <c r="L1484" s="9"/>
      <c r="M1484" s="9"/>
      <c r="N1484" s="15"/>
      <c r="O1484" s="15"/>
      <c r="P1484" s="15"/>
      <c r="Q1484" s="15"/>
      <c r="R1484" s="15"/>
    </row>
    <row r="1485" spans="1:18" ht="20.25" customHeight="1">
      <c r="A1485" s="36"/>
      <c r="B1485" s="28"/>
      <c r="C1485" s="24"/>
      <c r="D1485" s="34"/>
      <c r="E1485" s="34"/>
      <c r="F1485" s="34"/>
      <c r="G1485" s="34"/>
      <c r="H1485" s="34"/>
      <c r="I1485" s="35"/>
      <c r="J1485" s="24"/>
      <c r="K1485" s="7"/>
      <c r="L1485" s="9"/>
      <c r="M1485" s="9"/>
      <c r="N1485" s="15"/>
      <c r="O1485" s="15"/>
      <c r="P1485" s="15"/>
      <c r="Q1485" s="15"/>
      <c r="R1485" s="15"/>
    </row>
    <row r="1486" spans="1:18" ht="20.25" customHeight="1">
      <c r="A1486" s="36"/>
      <c r="B1486" s="28"/>
      <c r="C1486" s="24"/>
      <c r="D1486" s="34"/>
      <c r="E1486" s="34"/>
      <c r="F1486" s="34"/>
      <c r="G1486" s="34"/>
      <c r="H1486" s="34"/>
      <c r="I1486" s="35"/>
      <c r="J1486" s="24"/>
      <c r="K1486" s="7"/>
      <c r="L1486" s="9"/>
      <c r="M1486" s="9"/>
      <c r="N1486" s="15"/>
      <c r="O1486" s="15"/>
      <c r="P1486" s="15"/>
      <c r="Q1486" s="15"/>
      <c r="R1486" s="15"/>
    </row>
    <row r="1487" spans="1:18" ht="20.25" customHeight="1">
      <c r="A1487" s="36"/>
      <c r="B1487" s="28"/>
      <c r="C1487" s="24"/>
      <c r="D1487" s="34"/>
      <c r="E1487" s="34"/>
      <c r="F1487" s="34"/>
      <c r="G1487" s="34"/>
      <c r="H1487" s="34"/>
      <c r="I1487" s="35"/>
      <c r="J1487" s="24"/>
      <c r="K1487" s="7"/>
      <c r="L1487" s="9"/>
      <c r="M1487" s="9"/>
      <c r="N1487" s="15"/>
      <c r="O1487" s="15"/>
      <c r="P1487" s="15"/>
      <c r="Q1487" s="15"/>
      <c r="R1487" s="15"/>
    </row>
    <row r="1488" spans="1:18" ht="20.25" customHeight="1">
      <c r="A1488" s="36"/>
      <c r="B1488" s="28"/>
      <c r="C1488" s="24"/>
      <c r="D1488" s="34"/>
      <c r="E1488" s="34"/>
      <c r="F1488" s="34"/>
      <c r="G1488" s="34"/>
      <c r="H1488" s="34"/>
      <c r="I1488" s="35"/>
      <c r="J1488" s="24"/>
      <c r="K1488" s="7"/>
      <c r="L1488" s="9"/>
      <c r="M1488" s="9"/>
      <c r="N1488" s="15"/>
      <c r="O1488" s="15"/>
      <c r="P1488" s="15"/>
      <c r="Q1488" s="15"/>
      <c r="R1488" s="15"/>
    </row>
    <row r="1489" spans="1:18" ht="20.25" customHeight="1">
      <c r="A1489" s="36"/>
      <c r="B1489" s="28"/>
      <c r="C1489" s="24"/>
      <c r="D1489" s="34"/>
      <c r="E1489" s="34"/>
      <c r="F1489" s="34"/>
      <c r="G1489" s="34"/>
      <c r="H1489" s="34"/>
      <c r="I1489" s="35"/>
      <c r="J1489" s="24"/>
      <c r="K1489" s="7"/>
      <c r="L1489" s="9"/>
      <c r="M1489" s="9"/>
      <c r="N1489" s="15"/>
      <c r="O1489" s="15"/>
      <c r="P1489" s="15"/>
      <c r="Q1489" s="15"/>
      <c r="R1489" s="15"/>
    </row>
    <row r="1490" spans="1:18" ht="20.25" customHeight="1">
      <c r="A1490" s="36"/>
      <c r="B1490" s="28"/>
      <c r="C1490" s="24"/>
      <c r="D1490" s="34"/>
      <c r="E1490" s="34"/>
      <c r="F1490" s="34"/>
      <c r="G1490" s="34"/>
      <c r="H1490" s="34"/>
      <c r="I1490" s="35"/>
      <c r="J1490" s="24"/>
      <c r="K1490" s="7"/>
      <c r="L1490" s="9"/>
      <c r="M1490" s="9"/>
      <c r="N1490" s="15"/>
      <c r="O1490" s="15"/>
      <c r="P1490" s="15"/>
      <c r="Q1490" s="15"/>
      <c r="R1490" s="15"/>
    </row>
    <row r="1491" spans="1:18" ht="20.25" customHeight="1">
      <c r="A1491" s="36"/>
      <c r="B1491" s="28"/>
      <c r="C1491" s="24"/>
      <c r="D1491" s="34"/>
      <c r="E1491" s="34"/>
      <c r="F1491" s="34"/>
      <c r="G1491" s="34"/>
      <c r="H1491" s="34"/>
      <c r="I1491" s="35"/>
      <c r="J1491" s="24"/>
      <c r="K1491" s="7"/>
      <c r="L1491" s="9"/>
      <c r="M1491" s="9"/>
      <c r="N1491" s="15"/>
      <c r="O1491" s="15"/>
      <c r="P1491" s="15"/>
      <c r="Q1491" s="15"/>
      <c r="R1491" s="15"/>
    </row>
    <row r="1492" spans="1:18" ht="20.25" customHeight="1">
      <c r="A1492" s="36"/>
      <c r="B1492" s="28"/>
      <c r="C1492" s="24"/>
      <c r="D1492" s="34"/>
      <c r="E1492" s="34"/>
      <c r="F1492" s="34"/>
      <c r="G1492" s="34"/>
      <c r="H1492" s="34"/>
      <c r="I1492" s="35"/>
      <c r="J1492" s="24"/>
      <c r="K1492" s="7"/>
      <c r="L1492" s="9"/>
      <c r="M1492" s="9"/>
      <c r="N1492" s="15"/>
      <c r="O1492" s="15"/>
      <c r="P1492" s="15"/>
      <c r="Q1492" s="15"/>
      <c r="R1492" s="15"/>
    </row>
    <row r="1493" spans="1:18" ht="20.25" customHeight="1">
      <c r="A1493" s="36"/>
      <c r="B1493" s="28"/>
      <c r="C1493" s="24"/>
      <c r="D1493" s="34"/>
      <c r="E1493" s="34"/>
      <c r="F1493" s="34"/>
      <c r="G1493" s="34"/>
      <c r="H1493" s="34"/>
      <c r="I1493" s="35"/>
      <c r="J1493" s="24"/>
      <c r="K1493" s="7"/>
      <c r="L1493" s="9"/>
      <c r="M1493" s="9"/>
      <c r="N1493" s="15"/>
      <c r="O1493" s="15"/>
      <c r="P1493" s="15"/>
      <c r="Q1493" s="15"/>
      <c r="R1493" s="15"/>
    </row>
    <row r="1494" spans="1:18" ht="20.25" customHeight="1">
      <c r="A1494" s="36"/>
      <c r="B1494" s="28"/>
      <c r="C1494" s="24"/>
      <c r="D1494" s="34"/>
      <c r="E1494" s="34"/>
      <c r="F1494" s="34"/>
      <c r="G1494" s="34"/>
      <c r="H1494" s="34"/>
      <c r="I1494" s="35"/>
      <c r="J1494" s="24"/>
      <c r="K1494" s="7"/>
      <c r="L1494" s="9"/>
      <c r="M1494" s="9"/>
      <c r="N1494" s="15"/>
      <c r="O1494" s="15"/>
      <c r="P1494" s="15"/>
      <c r="Q1494" s="15"/>
      <c r="R1494" s="15"/>
    </row>
    <row r="1495" spans="1:18" ht="20.25" customHeight="1">
      <c r="A1495" s="36"/>
      <c r="B1495" s="28"/>
      <c r="C1495" s="24"/>
      <c r="D1495" s="34"/>
      <c r="E1495" s="34"/>
      <c r="F1495" s="34"/>
      <c r="G1495" s="34"/>
      <c r="H1495" s="34"/>
      <c r="I1495" s="35"/>
      <c r="J1495" s="24"/>
      <c r="K1495" s="7"/>
      <c r="L1495" s="9"/>
      <c r="M1495" s="9"/>
      <c r="N1495" s="15"/>
      <c r="O1495" s="15"/>
      <c r="P1495" s="15"/>
      <c r="Q1495" s="15"/>
      <c r="R1495" s="15"/>
    </row>
    <row r="1496" spans="1:18" ht="20.25" customHeight="1">
      <c r="A1496" s="36"/>
      <c r="B1496" s="28"/>
      <c r="C1496" s="24"/>
      <c r="D1496" s="34"/>
      <c r="E1496" s="34"/>
      <c r="F1496" s="34"/>
      <c r="G1496" s="34"/>
      <c r="H1496" s="34"/>
      <c r="I1496" s="35"/>
      <c r="J1496" s="24"/>
      <c r="K1496" s="7"/>
      <c r="L1496" s="9"/>
      <c r="M1496" s="9"/>
      <c r="N1496" s="15"/>
      <c r="O1496" s="15"/>
      <c r="P1496" s="15"/>
      <c r="Q1496" s="15"/>
      <c r="R1496" s="15"/>
    </row>
    <row r="1497" spans="1:18" ht="20.25" customHeight="1">
      <c r="A1497" s="36"/>
      <c r="B1497" s="28"/>
      <c r="C1497" s="24"/>
      <c r="D1497" s="34"/>
      <c r="E1497" s="34"/>
      <c r="F1497" s="34"/>
      <c r="G1497" s="34"/>
      <c r="H1497" s="34"/>
      <c r="I1497" s="35"/>
      <c r="J1497" s="24"/>
      <c r="K1497" s="7"/>
      <c r="L1497" s="9"/>
      <c r="M1497" s="9"/>
      <c r="N1497" s="15"/>
      <c r="O1497" s="15"/>
      <c r="P1497" s="15"/>
      <c r="Q1497" s="15"/>
      <c r="R1497" s="15"/>
    </row>
    <row r="1498" spans="1:18" ht="20.25" customHeight="1">
      <c r="A1498" s="36"/>
      <c r="B1498" s="28"/>
      <c r="C1498" s="24"/>
      <c r="D1498" s="34"/>
      <c r="E1498" s="34"/>
      <c r="F1498" s="34"/>
      <c r="G1498" s="34"/>
      <c r="H1498" s="34"/>
      <c r="I1498" s="35"/>
      <c r="J1498" s="24"/>
      <c r="K1498" s="7"/>
      <c r="L1498" s="9"/>
      <c r="M1498" s="9"/>
      <c r="N1498" s="15"/>
      <c r="O1498" s="15"/>
      <c r="P1498" s="15"/>
      <c r="Q1498" s="15"/>
      <c r="R1498" s="15"/>
    </row>
    <row r="1499" spans="1:18" ht="20.25" customHeight="1">
      <c r="A1499" s="36"/>
      <c r="B1499" s="28"/>
      <c r="C1499" s="24"/>
      <c r="D1499" s="34"/>
      <c r="E1499" s="34"/>
      <c r="F1499" s="34"/>
      <c r="G1499" s="34"/>
      <c r="H1499" s="34"/>
      <c r="I1499" s="35"/>
      <c r="J1499" s="24"/>
      <c r="K1499" s="7"/>
      <c r="L1499" s="9"/>
      <c r="M1499" s="9"/>
      <c r="N1499" s="15"/>
      <c r="O1499" s="15"/>
      <c r="P1499" s="15"/>
      <c r="Q1499" s="15"/>
      <c r="R1499" s="15"/>
    </row>
    <row r="1500" spans="1:18" ht="20.25" customHeight="1">
      <c r="A1500" s="36"/>
      <c r="B1500" s="28"/>
      <c r="C1500" s="24"/>
      <c r="D1500" s="34"/>
      <c r="E1500" s="34"/>
      <c r="F1500" s="34"/>
      <c r="G1500" s="34"/>
      <c r="H1500" s="34"/>
      <c r="I1500" s="35"/>
      <c r="J1500" s="24"/>
      <c r="K1500" s="7"/>
      <c r="L1500" s="9"/>
      <c r="M1500" s="9"/>
      <c r="N1500" s="15"/>
      <c r="O1500" s="15"/>
      <c r="P1500" s="15"/>
      <c r="Q1500" s="15"/>
      <c r="R1500" s="15"/>
    </row>
    <row r="1501" spans="1:18" ht="20.25" customHeight="1">
      <c r="A1501" s="36"/>
      <c r="B1501" s="28"/>
      <c r="C1501" s="24"/>
      <c r="D1501" s="34"/>
      <c r="E1501" s="34"/>
      <c r="F1501" s="34"/>
      <c r="G1501" s="34"/>
      <c r="H1501" s="34"/>
      <c r="I1501" s="35"/>
      <c r="J1501" s="24"/>
      <c r="K1501" s="7"/>
      <c r="L1501" s="9"/>
      <c r="M1501" s="9"/>
      <c r="N1501" s="15"/>
      <c r="O1501" s="15"/>
      <c r="P1501" s="15"/>
      <c r="Q1501" s="15"/>
      <c r="R1501" s="15"/>
    </row>
    <row r="1502" spans="1:18" ht="20.25" customHeight="1">
      <c r="A1502" s="36"/>
      <c r="B1502" s="28"/>
      <c r="C1502" s="24"/>
      <c r="D1502" s="34"/>
      <c r="E1502" s="34"/>
      <c r="F1502" s="34"/>
      <c r="G1502" s="34"/>
      <c r="H1502" s="34"/>
      <c r="I1502" s="35"/>
      <c r="J1502" s="24"/>
      <c r="K1502" s="7"/>
      <c r="L1502" s="9"/>
      <c r="M1502" s="9"/>
      <c r="N1502" s="15"/>
      <c r="O1502" s="15"/>
      <c r="P1502" s="15"/>
      <c r="Q1502" s="15"/>
      <c r="R1502" s="15"/>
    </row>
    <row r="1503" spans="1:18" ht="20.25" customHeight="1">
      <c r="A1503" s="36"/>
      <c r="B1503" s="28"/>
      <c r="C1503" s="24"/>
      <c r="D1503" s="34"/>
      <c r="E1503" s="34"/>
      <c r="F1503" s="34"/>
      <c r="G1503" s="34"/>
      <c r="H1503" s="34"/>
      <c r="I1503" s="35"/>
      <c r="J1503" s="24"/>
      <c r="K1503" s="7"/>
      <c r="L1503" s="9"/>
      <c r="M1503" s="9"/>
      <c r="N1503" s="15"/>
      <c r="O1503" s="15"/>
      <c r="P1503" s="15"/>
      <c r="Q1503" s="15"/>
      <c r="R1503" s="15"/>
    </row>
    <row r="1504" spans="1:18" ht="20.25" customHeight="1">
      <c r="A1504" s="36"/>
      <c r="B1504" s="28"/>
      <c r="C1504" s="24"/>
      <c r="D1504" s="34"/>
      <c r="E1504" s="34"/>
      <c r="F1504" s="34"/>
      <c r="G1504" s="34"/>
      <c r="H1504" s="34"/>
      <c r="I1504" s="35"/>
      <c r="J1504" s="24"/>
      <c r="K1504" s="7"/>
      <c r="L1504" s="9"/>
      <c r="M1504" s="9"/>
      <c r="N1504" s="15"/>
      <c r="O1504" s="15"/>
      <c r="P1504" s="15"/>
      <c r="Q1504" s="15"/>
      <c r="R1504" s="15"/>
    </row>
    <row r="1505" spans="1:18" ht="20.25" customHeight="1">
      <c r="A1505" s="36"/>
      <c r="B1505" s="28"/>
      <c r="C1505" s="24"/>
      <c r="D1505" s="34"/>
      <c r="E1505" s="34"/>
      <c r="F1505" s="34"/>
      <c r="G1505" s="34"/>
      <c r="H1505" s="34"/>
      <c r="I1505" s="35"/>
      <c r="J1505" s="24"/>
      <c r="K1505" s="7"/>
      <c r="L1505" s="9"/>
      <c r="M1505" s="9"/>
      <c r="N1505" s="15"/>
      <c r="O1505" s="15"/>
      <c r="P1505" s="15"/>
      <c r="Q1505" s="15"/>
      <c r="R1505" s="15"/>
    </row>
    <row r="1506" spans="1:18" ht="20.25" customHeight="1">
      <c r="A1506" s="36"/>
      <c r="B1506" s="28"/>
      <c r="C1506" s="24"/>
      <c r="D1506" s="34"/>
      <c r="E1506" s="34"/>
      <c r="F1506" s="34"/>
      <c r="G1506" s="34"/>
      <c r="H1506" s="34"/>
      <c r="I1506" s="35"/>
      <c r="J1506" s="24"/>
      <c r="K1506" s="7"/>
      <c r="L1506" s="9"/>
      <c r="M1506" s="9"/>
      <c r="N1506" s="15"/>
      <c r="O1506" s="15"/>
      <c r="P1506" s="15"/>
      <c r="Q1506" s="15"/>
      <c r="R1506" s="15"/>
    </row>
    <row r="1507" spans="1:18" ht="20.25" customHeight="1">
      <c r="A1507" s="36"/>
      <c r="B1507" s="28"/>
      <c r="C1507" s="24"/>
      <c r="D1507" s="34"/>
      <c r="E1507" s="34"/>
      <c r="F1507" s="34"/>
      <c r="G1507" s="34"/>
      <c r="H1507" s="34"/>
      <c r="I1507" s="35"/>
      <c r="J1507" s="24"/>
      <c r="K1507" s="7"/>
      <c r="L1507" s="9"/>
      <c r="M1507" s="9"/>
      <c r="N1507" s="15"/>
      <c r="O1507" s="15"/>
      <c r="P1507" s="15"/>
      <c r="Q1507" s="15"/>
      <c r="R1507" s="15"/>
    </row>
    <row r="1508" spans="1:18" ht="20.25" customHeight="1">
      <c r="A1508" s="36"/>
      <c r="B1508" s="28"/>
      <c r="C1508" s="24"/>
      <c r="D1508" s="34"/>
      <c r="E1508" s="34"/>
      <c r="F1508" s="34"/>
      <c r="G1508" s="34"/>
      <c r="H1508" s="34"/>
      <c r="I1508" s="35"/>
      <c r="J1508" s="24"/>
      <c r="K1508" s="7"/>
      <c r="L1508" s="9"/>
      <c r="M1508" s="9"/>
      <c r="N1508" s="15"/>
      <c r="O1508" s="15"/>
      <c r="P1508" s="15"/>
      <c r="Q1508" s="15"/>
      <c r="R1508" s="15"/>
    </row>
    <row r="1509" spans="1:18" ht="20.25" customHeight="1">
      <c r="A1509" s="36"/>
      <c r="B1509" s="28"/>
      <c r="C1509" s="24"/>
      <c r="D1509" s="34"/>
      <c r="E1509" s="34"/>
      <c r="F1509" s="34"/>
      <c r="G1509" s="34"/>
      <c r="H1509" s="34"/>
      <c r="I1509" s="35"/>
      <c r="J1509" s="24"/>
      <c r="K1509" s="7"/>
      <c r="L1509" s="9"/>
      <c r="M1509" s="9"/>
      <c r="N1509" s="15"/>
      <c r="O1509" s="15"/>
      <c r="P1509" s="15"/>
      <c r="Q1509" s="15"/>
      <c r="R1509" s="15"/>
    </row>
    <row r="1510" spans="1:18" ht="20.25" customHeight="1">
      <c r="A1510" s="36"/>
      <c r="B1510" s="28"/>
      <c r="C1510" s="24"/>
      <c r="D1510" s="34"/>
      <c r="E1510" s="34"/>
      <c r="F1510" s="34"/>
      <c r="G1510" s="34"/>
      <c r="H1510" s="34"/>
      <c r="I1510" s="35"/>
      <c r="J1510" s="24"/>
      <c r="K1510" s="7"/>
      <c r="L1510" s="9"/>
      <c r="M1510" s="9"/>
      <c r="N1510" s="15"/>
      <c r="O1510" s="15"/>
      <c r="P1510" s="15"/>
      <c r="Q1510" s="15"/>
      <c r="R1510" s="15"/>
    </row>
    <row r="1511" spans="1:18" ht="20.25" customHeight="1">
      <c r="A1511" s="36"/>
      <c r="B1511" s="28"/>
      <c r="C1511" s="24"/>
      <c r="D1511" s="34"/>
      <c r="E1511" s="34"/>
      <c r="F1511" s="34"/>
      <c r="G1511" s="34"/>
      <c r="H1511" s="34"/>
      <c r="I1511" s="35"/>
      <c r="J1511" s="24"/>
      <c r="K1511" s="7"/>
      <c r="L1511" s="9"/>
      <c r="M1511" s="9"/>
      <c r="N1511" s="15"/>
      <c r="O1511" s="15"/>
      <c r="P1511" s="15"/>
      <c r="Q1511" s="15"/>
      <c r="R1511" s="15"/>
    </row>
    <row r="1512" spans="1:18" ht="20.25" customHeight="1">
      <c r="A1512" s="36"/>
      <c r="B1512" s="28"/>
      <c r="C1512" s="24"/>
      <c r="D1512" s="34"/>
      <c r="E1512" s="34"/>
      <c r="F1512" s="34"/>
      <c r="G1512" s="34"/>
      <c r="H1512" s="34"/>
      <c r="I1512" s="35"/>
      <c r="J1512" s="24"/>
      <c r="K1512" s="7"/>
      <c r="L1512" s="9"/>
      <c r="M1512" s="9"/>
      <c r="N1512" s="15"/>
      <c r="O1512" s="15"/>
      <c r="P1512" s="15"/>
      <c r="Q1512" s="15"/>
      <c r="R1512" s="15"/>
    </row>
    <row r="1513" spans="1:18" ht="20.25" customHeight="1">
      <c r="A1513" s="36"/>
      <c r="B1513" s="28"/>
      <c r="C1513" s="24"/>
      <c r="D1513" s="34"/>
      <c r="E1513" s="34"/>
      <c r="F1513" s="34"/>
      <c r="G1513" s="34"/>
      <c r="H1513" s="34"/>
      <c r="I1513" s="35"/>
      <c r="J1513" s="24"/>
      <c r="K1513" s="7"/>
      <c r="L1513" s="9"/>
      <c r="M1513" s="9"/>
      <c r="N1513" s="15"/>
      <c r="O1513" s="15"/>
      <c r="P1513" s="15"/>
      <c r="Q1513" s="15"/>
      <c r="R1513" s="15"/>
    </row>
    <row r="1514" spans="1:18" ht="20.25" customHeight="1">
      <c r="A1514" s="36"/>
      <c r="B1514" s="28"/>
      <c r="C1514" s="24"/>
      <c r="D1514" s="34"/>
      <c r="E1514" s="34"/>
      <c r="F1514" s="34"/>
      <c r="G1514" s="34"/>
      <c r="H1514" s="34"/>
      <c r="I1514" s="35"/>
      <c r="J1514" s="24"/>
      <c r="K1514" s="7"/>
      <c r="L1514" s="9"/>
      <c r="M1514" s="9"/>
      <c r="N1514" s="15"/>
      <c r="O1514" s="15"/>
      <c r="P1514" s="15"/>
      <c r="Q1514" s="15"/>
      <c r="R1514" s="15"/>
    </row>
    <row r="1515" spans="1:18" ht="20.25" customHeight="1">
      <c r="A1515" s="36"/>
      <c r="B1515" s="28"/>
      <c r="C1515" s="24"/>
      <c r="D1515" s="34"/>
      <c r="E1515" s="34"/>
      <c r="F1515" s="34"/>
      <c r="G1515" s="34"/>
      <c r="H1515" s="34"/>
      <c r="I1515" s="35"/>
      <c r="J1515" s="24"/>
      <c r="K1515" s="7"/>
      <c r="L1515" s="9"/>
      <c r="M1515" s="9"/>
      <c r="N1515" s="15"/>
      <c r="O1515" s="15"/>
      <c r="P1515" s="15"/>
      <c r="Q1515" s="15"/>
      <c r="R1515" s="15"/>
    </row>
    <row r="1516" spans="1:18" ht="20.25" customHeight="1">
      <c r="A1516" s="36"/>
      <c r="B1516" s="28"/>
      <c r="C1516" s="24"/>
      <c r="D1516" s="34"/>
      <c r="E1516" s="34"/>
      <c r="F1516" s="34"/>
      <c r="G1516" s="34"/>
      <c r="H1516" s="34"/>
      <c r="I1516" s="35"/>
      <c r="J1516" s="24"/>
      <c r="K1516" s="7"/>
      <c r="L1516" s="9"/>
      <c r="M1516" s="9"/>
      <c r="N1516" s="15"/>
      <c r="O1516" s="15"/>
      <c r="P1516" s="15"/>
      <c r="Q1516" s="15"/>
      <c r="R1516" s="15"/>
    </row>
    <row r="1517" spans="1:18" ht="20.25" customHeight="1">
      <c r="A1517" s="36"/>
      <c r="B1517" s="28"/>
      <c r="C1517" s="24"/>
      <c r="D1517" s="34"/>
      <c r="E1517" s="34"/>
      <c r="F1517" s="34"/>
      <c r="G1517" s="34"/>
      <c r="H1517" s="34"/>
      <c r="I1517" s="35"/>
      <c r="J1517" s="24"/>
      <c r="K1517" s="7"/>
      <c r="L1517" s="9"/>
      <c r="M1517" s="9"/>
      <c r="N1517" s="15"/>
      <c r="O1517" s="15"/>
      <c r="P1517" s="15"/>
      <c r="Q1517" s="15"/>
      <c r="R1517" s="15"/>
    </row>
    <row r="1518" spans="1:18" ht="20.25" customHeight="1">
      <c r="A1518" s="36"/>
      <c r="B1518" s="28"/>
      <c r="C1518" s="24"/>
      <c r="D1518" s="34"/>
      <c r="E1518" s="34"/>
      <c r="F1518" s="34"/>
      <c r="G1518" s="34"/>
      <c r="H1518" s="34"/>
      <c r="I1518" s="35"/>
      <c r="J1518" s="24"/>
      <c r="K1518" s="7"/>
      <c r="L1518" s="9"/>
      <c r="M1518" s="9"/>
      <c r="N1518" s="15"/>
      <c r="O1518" s="15"/>
      <c r="P1518" s="15"/>
      <c r="Q1518" s="15"/>
      <c r="R1518" s="15"/>
    </row>
    <row r="1519" spans="1:18" ht="20.25" customHeight="1">
      <c r="A1519" s="36"/>
      <c r="B1519" s="28"/>
      <c r="C1519" s="24"/>
      <c r="D1519" s="34"/>
      <c r="E1519" s="34"/>
      <c r="F1519" s="34"/>
      <c r="G1519" s="34"/>
      <c r="H1519" s="34"/>
      <c r="I1519" s="35"/>
      <c r="J1519" s="24"/>
      <c r="K1519" s="7"/>
      <c r="L1519" s="9"/>
      <c r="M1519" s="9"/>
      <c r="N1519" s="15"/>
      <c r="O1519" s="15"/>
      <c r="P1519" s="15"/>
      <c r="Q1519" s="15"/>
      <c r="R1519" s="15"/>
    </row>
    <row r="1520" spans="1:18" ht="20.25" customHeight="1">
      <c r="A1520" s="36"/>
      <c r="B1520" s="28"/>
      <c r="C1520" s="24"/>
      <c r="D1520" s="34"/>
      <c r="E1520" s="34"/>
      <c r="F1520" s="34"/>
      <c r="G1520" s="34"/>
      <c r="H1520" s="34"/>
      <c r="I1520" s="35"/>
      <c r="J1520" s="24"/>
      <c r="K1520" s="7"/>
      <c r="L1520" s="9"/>
      <c r="M1520" s="9"/>
      <c r="N1520" s="15"/>
      <c r="O1520" s="15"/>
      <c r="P1520" s="15"/>
      <c r="Q1520" s="15"/>
      <c r="R1520" s="15"/>
    </row>
    <row r="1521" spans="1:18" ht="20.25" customHeight="1">
      <c r="A1521" s="36"/>
      <c r="B1521" s="28"/>
      <c r="C1521" s="24"/>
      <c r="D1521" s="34"/>
      <c r="E1521" s="34"/>
      <c r="F1521" s="34"/>
      <c r="G1521" s="34"/>
      <c r="H1521" s="34"/>
      <c r="I1521" s="35"/>
      <c r="J1521" s="24"/>
      <c r="K1521" s="7"/>
      <c r="L1521" s="9"/>
      <c r="M1521" s="9"/>
      <c r="N1521" s="15"/>
      <c r="O1521" s="15"/>
      <c r="P1521" s="15"/>
      <c r="Q1521" s="15"/>
      <c r="R1521" s="15"/>
    </row>
    <row r="1522" spans="1:18" ht="20.25" customHeight="1">
      <c r="A1522" s="36"/>
      <c r="B1522" s="28"/>
      <c r="C1522" s="24"/>
      <c r="D1522" s="34"/>
      <c r="E1522" s="34"/>
      <c r="F1522" s="34"/>
      <c r="G1522" s="34"/>
      <c r="H1522" s="34"/>
      <c r="I1522" s="35"/>
      <c r="J1522" s="24"/>
      <c r="K1522" s="7"/>
      <c r="L1522" s="9"/>
      <c r="M1522" s="9"/>
      <c r="N1522" s="15"/>
      <c r="O1522" s="15"/>
      <c r="P1522" s="15"/>
      <c r="Q1522" s="15"/>
      <c r="R1522" s="15"/>
    </row>
    <row r="1523" spans="1:18" ht="20.25" customHeight="1">
      <c r="A1523" s="36"/>
      <c r="B1523" s="28"/>
      <c r="C1523" s="24"/>
      <c r="D1523" s="34"/>
      <c r="E1523" s="34"/>
      <c r="F1523" s="34"/>
      <c r="G1523" s="34"/>
      <c r="H1523" s="34"/>
      <c r="I1523" s="35"/>
      <c r="J1523" s="24"/>
      <c r="K1523" s="7"/>
      <c r="L1523" s="9"/>
      <c r="M1523" s="9"/>
      <c r="N1523" s="15"/>
      <c r="O1523" s="15"/>
      <c r="P1523" s="15"/>
      <c r="Q1523" s="15"/>
      <c r="R1523" s="15"/>
    </row>
    <row r="1524" spans="1:18" ht="20.25" customHeight="1">
      <c r="A1524" s="36"/>
      <c r="B1524" s="28"/>
      <c r="C1524" s="24"/>
      <c r="D1524" s="34"/>
      <c r="E1524" s="34"/>
      <c r="F1524" s="34"/>
      <c r="G1524" s="34"/>
      <c r="H1524" s="34"/>
      <c r="I1524" s="35"/>
      <c r="J1524" s="24"/>
      <c r="K1524" s="7"/>
      <c r="L1524" s="9"/>
      <c r="M1524" s="9"/>
      <c r="N1524" s="15"/>
      <c r="O1524" s="15"/>
      <c r="P1524" s="15"/>
      <c r="Q1524" s="15"/>
      <c r="R1524" s="15"/>
    </row>
    <row r="1525" spans="1:18" ht="20.25" customHeight="1">
      <c r="A1525" s="36"/>
      <c r="B1525" s="28"/>
      <c r="C1525" s="24"/>
      <c r="D1525" s="34"/>
      <c r="E1525" s="34"/>
      <c r="F1525" s="34"/>
      <c r="G1525" s="34"/>
      <c r="H1525" s="34"/>
      <c r="I1525" s="35"/>
      <c r="J1525" s="24"/>
      <c r="K1525" s="7"/>
      <c r="L1525" s="9"/>
      <c r="M1525" s="9"/>
      <c r="N1525" s="15"/>
      <c r="O1525" s="15"/>
      <c r="P1525" s="15"/>
      <c r="Q1525" s="15"/>
      <c r="R1525" s="15"/>
    </row>
    <row r="1526" spans="1:18" ht="20.25" customHeight="1">
      <c r="A1526" s="36"/>
      <c r="B1526" s="28"/>
      <c r="C1526" s="24"/>
      <c r="D1526" s="34"/>
      <c r="E1526" s="34"/>
      <c r="F1526" s="34"/>
      <c r="G1526" s="34"/>
      <c r="H1526" s="34"/>
      <c r="I1526" s="35"/>
      <c r="J1526" s="24"/>
      <c r="K1526" s="7"/>
      <c r="L1526" s="9"/>
      <c r="M1526" s="9"/>
      <c r="N1526" s="15"/>
      <c r="O1526" s="15"/>
      <c r="P1526" s="15"/>
      <c r="Q1526" s="15"/>
      <c r="R1526" s="15"/>
    </row>
    <row r="1527" spans="1:18" ht="20.25" customHeight="1">
      <c r="A1527" s="36"/>
      <c r="B1527" s="28"/>
      <c r="C1527" s="24"/>
      <c r="D1527" s="34"/>
      <c r="E1527" s="34"/>
      <c r="F1527" s="34"/>
      <c r="G1527" s="34"/>
      <c r="H1527" s="34"/>
      <c r="I1527" s="35"/>
      <c r="J1527" s="24"/>
      <c r="K1527" s="7"/>
      <c r="L1527" s="9"/>
      <c r="M1527" s="9"/>
      <c r="N1527" s="15"/>
      <c r="O1527" s="15"/>
      <c r="P1527" s="15"/>
      <c r="Q1527" s="15"/>
      <c r="R1527" s="15"/>
    </row>
    <row r="1528" spans="1:18" ht="20.25" customHeight="1">
      <c r="A1528" s="36"/>
      <c r="B1528" s="28"/>
      <c r="C1528" s="24"/>
      <c r="D1528" s="34"/>
      <c r="E1528" s="34"/>
      <c r="F1528" s="34"/>
      <c r="G1528" s="34"/>
      <c r="H1528" s="34"/>
      <c r="I1528" s="35"/>
      <c r="J1528" s="24"/>
      <c r="K1528" s="7"/>
      <c r="L1528" s="9"/>
      <c r="M1528" s="9"/>
      <c r="N1528" s="15"/>
      <c r="O1528" s="15"/>
      <c r="P1528" s="15"/>
      <c r="Q1528" s="15"/>
      <c r="R1528" s="15"/>
    </row>
    <row r="1529" spans="1:18" ht="20.25" customHeight="1">
      <c r="A1529" s="36"/>
      <c r="B1529" s="28"/>
      <c r="C1529" s="24"/>
      <c r="D1529" s="34"/>
      <c r="E1529" s="34"/>
      <c r="F1529" s="34"/>
      <c r="G1529" s="34"/>
      <c r="H1529" s="34"/>
      <c r="I1529" s="35"/>
      <c r="J1529" s="24"/>
      <c r="K1529" s="7"/>
      <c r="L1529" s="9"/>
      <c r="M1529" s="9"/>
      <c r="N1529" s="15"/>
      <c r="O1529" s="15"/>
      <c r="P1529" s="15"/>
      <c r="Q1529" s="15"/>
      <c r="R1529" s="15"/>
    </row>
    <row r="1530" spans="1:18" ht="20.25" customHeight="1">
      <c r="A1530" s="36"/>
      <c r="B1530" s="28"/>
      <c r="C1530" s="24"/>
      <c r="D1530" s="34"/>
      <c r="E1530" s="34"/>
      <c r="F1530" s="34"/>
      <c r="G1530" s="34"/>
      <c r="H1530" s="34"/>
      <c r="I1530" s="35"/>
      <c r="J1530" s="24"/>
      <c r="K1530" s="7"/>
      <c r="L1530" s="9"/>
      <c r="M1530" s="9"/>
      <c r="N1530" s="15"/>
      <c r="O1530" s="15"/>
      <c r="P1530" s="15"/>
      <c r="Q1530" s="15"/>
      <c r="R1530" s="15"/>
    </row>
    <row r="1531" spans="1:18" ht="20.25" customHeight="1">
      <c r="A1531" s="36"/>
      <c r="B1531" s="28"/>
      <c r="C1531" s="24"/>
      <c r="D1531" s="34"/>
      <c r="E1531" s="34"/>
      <c r="F1531" s="34"/>
      <c r="G1531" s="34"/>
      <c r="H1531" s="34"/>
      <c r="I1531" s="35"/>
      <c r="J1531" s="24"/>
      <c r="K1531" s="7"/>
      <c r="L1531" s="9"/>
      <c r="M1531" s="9"/>
      <c r="N1531" s="15"/>
      <c r="O1531" s="15"/>
      <c r="P1531" s="15"/>
      <c r="Q1531" s="15"/>
      <c r="R1531" s="15"/>
    </row>
    <row r="1532" spans="1:18" ht="20.25" customHeight="1">
      <c r="A1532" s="36"/>
      <c r="B1532" s="28"/>
      <c r="C1532" s="24"/>
      <c r="D1532" s="34"/>
      <c r="E1532" s="34"/>
      <c r="F1532" s="34"/>
      <c r="G1532" s="34"/>
      <c r="H1532" s="34"/>
      <c r="I1532" s="35"/>
      <c r="J1532" s="24"/>
      <c r="K1532" s="7"/>
      <c r="L1532" s="9"/>
      <c r="M1532" s="9"/>
      <c r="N1532" s="15"/>
      <c r="O1532" s="15"/>
      <c r="P1532" s="15"/>
      <c r="Q1532" s="15"/>
      <c r="R1532" s="15"/>
    </row>
    <row r="1533" spans="1:18" ht="20.25" customHeight="1">
      <c r="A1533" s="36"/>
      <c r="B1533" s="28"/>
      <c r="C1533" s="24"/>
      <c r="D1533" s="34"/>
      <c r="E1533" s="34"/>
      <c r="F1533" s="34"/>
      <c r="G1533" s="34"/>
      <c r="H1533" s="34"/>
      <c r="I1533" s="35"/>
      <c r="J1533" s="24"/>
      <c r="K1533" s="7"/>
      <c r="L1533" s="9"/>
      <c r="M1533" s="9"/>
      <c r="N1533" s="15"/>
      <c r="O1533" s="15"/>
      <c r="P1533" s="15"/>
      <c r="Q1533" s="15"/>
      <c r="R1533" s="15"/>
    </row>
    <row r="1534" spans="1:18" ht="20.25" customHeight="1">
      <c r="A1534" s="36"/>
      <c r="B1534" s="28"/>
      <c r="C1534" s="24"/>
      <c r="D1534" s="34"/>
      <c r="E1534" s="34"/>
      <c r="F1534" s="34"/>
      <c r="G1534" s="34"/>
      <c r="H1534" s="34"/>
      <c r="I1534" s="35"/>
      <c r="J1534" s="24"/>
      <c r="K1534" s="7"/>
      <c r="L1534" s="9"/>
      <c r="M1534" s="9"/>
      <c r="N1534" s="15"/>
      <c r="O1534" s="15"/>
      <c r="P1534" s="15"/>
      <c r="Q1534" s="15"/>
      <c r="R1534" s="15"/>
    </row>
    <row r="1535" spans="1:18" ht="20.25" customHeight="1">
      <c r="A1535" s="36"/>
      <c r="B1535" s="28"/>
      <c r="C1535" s="24"/>
      <c r="D1535" s="34"/>
      <c r="E1535" s="34"/>
      <c r="F1535" s="34"/>
      <c r="G1535" s="34"/>
      <c r="H1535" s="34"/>
      <c r="I1535" s="35"/>
      <c r="J1535" s="24"/>
      <c r="K1535" s="7"/>
      <c r="L1535" s="9"/>
      <c r="M1535" s="9"/>
      <c r="N1535" s="15"/>
      <c r="O1535" s="15"/>
      <c r="P1535" s="15"/>
      <c r="Q1535" s="15"/>
      <c r="R1535" s="15"/>
    </row>
    <row r="1536" spans="1:18" ht="20.25" customHeight="1">
      <c r="A1536" s="36"/>
      <c r="B1536" s="28"/>
      <c r="C1536" s="24"/>
      <c r="D1536" s="34"/>
      <c r="E1536" s="34"/>
      <c r="F1536" s="34"/>
      <c r="G1536" s="34"/>
      <c r="H1536" s="34"/>
      <c r="I1536" s="35"/>
      <c r="J1536" s="24"/>
      <c r="K1536" s="7"/>
      <c r="L1536" s="9"/>
      <c r="M1536" s="9"/>
      <c r="N1536" s="15"/>
      <c r="O1536" s="15"/>
      <c r="P1536" s="15"/>
      <c r="Q1536" s="15"/>
      <c r="R1536" s="15"/>
    </row>
    <row r="1537" spans="1:18" ht="20.25" customHeight="1">
      <c r="A1537" s="36"/>
      <c r="B1537" s="28"/>
      <c r="C1537" s="24"/>
      <c r="D1537" s="34"/>
      <c r="E1537" s="34"/>
      <c r="F1537" s="34"/>
      <c r="G1537" s="34"/>
      <c r="H1537" s="34"/>
      <c r="I1537" s="35"/>
      <c r="J1537" s="24"/>
      <c r="K1537" s="7"/>
      <c r="L1537" s="9"/>
      <c r="M1537" s="9"/>
      <c r="N1537" s="15"/>
      <c r="O1537" s="15"/>
      <c r="P1537" s="15"/>
      <c r="Q1537" s="15"/>
      <c r="R1537" s="15"/>
    </row>
    <row r="1538" spans="1:18" ht="20.25" customHeight="1">
      <c r="A1538" s="36"/>
      <c r="B1538" s="28"/>
      <c r="C1538" s="24"/>
      <c r="D1538" s="34"/>
      <c r="E1538" s="34"/>
      <c r="F1538" s="34"/>
      <c r="G1538" s="34"/>
      <c r="H1538" s="34"/>
      <c r="I1538" s="35"/>
      <c r="J1538" s="24"/>
      <c r="K1538" s="7"/>
      <c r="L1538" s="9"/>
      <c r="M1538" s="9"/>
      <c r="N1538" s="15"/>
      <c r="O1538" s="15"/>
      <c r="P1538" s="15"/>
      <c r="Q1538" s="15"/>
      <c r="R1538" s="15"/>
    </row>
    <row r="1539" spans="1:18" ht="20.25" customHeight="1">
      <c r="A1539" s="36"/>
      <c r="B1539" s="28"/>
      <c r="C1539" s="24"/>
      <c r="D1539" s="34"/>
      <c r="E1539" s="34"/>
      <c r="F1539" s="34"/>
      <c r="G1539" s="34"/>
      <c r="H1539" s="34"/>
      <c r="I1539" s="35"/>
      <c r="J1539" s="24"/>
      <c r="K1539" s="7"/>
      <c r="L1539" s="9"/>
      <c r="M1539" s="9"/>
      <c r="N1539" s="15"/>
      <c r="O1539" s="15"/>
      <c r="P1539" s="15"/>
      <c r="Q1539" s="15"/>
      <c r="R1539" s="15"/>
    </row>
    <row r="1540" spans="1:18" ht="20.25" customHeight="1">
      <c r="A1540" s="36"/>
      <c r="B1540" s="28"/>
      <c r="C1540" s="24"/>
      <c r="D1540" s="34"/>
      <c r="E1540" s="34"/>
      <c r="F1540" s="34"/>
      <c r="G1540" s="34"/>
      <c r="H1540" s="34"/>
      <c r="I1540" s="35"/>
      <c r="J1540" s="24"/>
      <c r="K1540" s="7"/>
      <c r="L1540" s="9"/>
      <c r="M1540" s="9"/>
      <c r="N1540" s="15"/>
      <c r="O1540" s="15"/>
      <c r="P1540" s="15"/>
      <c r="Q1540" s="15"/>
      <c r="R1540" s="15"/>
    </row>
    <row r="1541" spans="1:18" ht="20.25" customHeight="1">
      <c r="A1541" s="36"/>
      <c r="B1541" s="28"/>
      <c r="C1541" s="24"/>
      <c r="D1541" s="34"/>
      <c r="E1541" s="34"/>
      <c r="F1541" s="34"/>
      <c r="G1541" s="34"/>
      <c r="H1541" s="34"/>
      <c r="I1541" s="35"/>
      <c r="J1541" s="24"/>
      <c r="K1541" s="7"/>
      <c r="L1541" s="9"/>
      <c r="M1541" s="9"/>
      <c r="N1541" s="15"/>
      <c r="O1541" s="15"/>
      <c r="P1541" s="15"/>
      <c r="Q1541" s="15"/>
      <c r="R1541" s="15"/>
    </row>
    <row r="1542" spans="1:18" ht="20.25" customHeight="1">
      <c r="A1542" s="36"/>
      <c r="B1542" s="28"/>
      <c r="C1542" s="24"/>
      <c r="D1542" s="34"/>
      <c r="E1542" s="34"/>
      <c r="F1542" s="34"/>
      <c r="G1542" s="34"/>
      <c r="H1542" s="34"/>
      <c r="I1542" s="35"/>
      <c r="J1542" s="24"/>
      <c r="K1542" s="7"/>
      <c r="L1542" s="9"/>
      <c r="M1542" s="9"/>
      <c r="N1542" s="15"/>
      <c r="O1542" s="15"/>
      <c r="P1542" s="15"/>
      <c r="Q1542" s="15"/>
      <c r="R1542" s="15"/>
    </row>
    <row r="1543" spans="1:18" ht="20.25" customHeight="1">
      <c r="A1543" s="36"/>
      <c r="B1543" s="28"/>
      <c r="C1543" s="24"/>
      <c r="D1543" s="34"/>
      <c r="E1543" s="34"/>
      <c r="F1543" s="34"/>
      <c r="G1543" s="34"/>
      <c r="H1543" s="34"/>
      <c r="I1543" s="35"/>
      <c r="J1543" s="24"/>
      <c r="K1543" s="7"/>
      <c r="L1543" s="9"/>
      <c r="M1543" s="9"/>
      <c r="N1543" s="15"/>
      <c r="O1543" s="15"/>
      <c r="P1543" s="15"/>
      <c r="Q1543" s="15"/>
      <c r="R1543" s="15"/>
    </row>
    <row r="1544" spans="1:18" ht="20.25" customHeight="1">
      <c r="A1544" s="36"/>
      <c r="B1544" s="28"/>
      <c r="C1544" s="24"/>
      <c r="D1544" s="34"/>
      <c r="E1544" s="34"/>
      <c r="F1544" s="34"/>
      <c r="G1544" s="34"/>
      <c r="H1544" s="34"/>
      <c r="I1544" s="35"/>
      <c r="J1544" s="24"/>
      <c r="K1544" s="7"/>
      <c r="L1544" s="9"/>
      <c r="M1544" s="9"/>
      <c r="N1544" s="15"/>
      <c r="O1544" s="15"/>
      <c r="P1544" s="15"/>
      <c r="Q1544" s="15"/>
      <c r="R1544" s="15"/>
    </row>
    <row r="1545" spans="1:18" ht="20.25" customHeight="1">
      <c r="A1545" s="36"/>
      <c r="B1545" s="28"/>
      <c r="C1545" s="24"/>
      <c r="D1545" s="34"/>
      <c r="E1545" s="34"/>
      <c r="F1545" s="34"/>
      <c r="G1545" s="34"/>
      <c r="H1545" s="34"/>
      <c r="I1545" s="35"/>
      <c r="J1545" s="24"/>
      <c r="K1545" s="7"/>
      <c r="L1545" s="9"/>
      <c r="M1545" s="9"/>
      <c r="N1545" s="15"/>
      <c r="O1545" s="15"/>
      <c r="P1545" s="15"/>
      <c r="Q1545" s="15"/>
      <c r="R1545" s="15"/>
    </row>
    <row r="1546" spans="1:18" ht="20.25" customHeight="1">
      <c r="A1546" s="36"/>
      <c r="B1546" s="28"/>
      <c r="C1546" s="24"/>
      <c r="D1546" s="34"/>
      <c r="E1546" s="34"/>
      <c r="F1546" s="34"/>
      <c r="G1546" s="34"/>
      <c r="H1546" s="34"/>
      <c r="I1546" s="35"/>
      <c r="J1546" s="24"/>
      <c r="K1546" s="7"/>
      <c r="L1546" s="9"/>
      <c r="M1546" s="9"/>
      <c r="N1546" s="15"/>
      <c r="O1546" s="15"/>
      <c r="P1546" s="15"/>
      <c r="Q1546" s="15"/>
      <c r="R1546" s="15"/>
    </row>
    <row r="1547" spans="1:18" ht="20.25" customHeight="1">
      <c r="A1547" s="36"/>
      <c r="B1547" s="28"/>
      <c r="C1547" s="24"/>
      <c r="D1547" s="34"/>
      <c r="E1547" s="34"/>
      <c r="F1547" s="34"/>
      <c r="G1547" s="34"/>
      <c r="H1547" s="34"/>
      <c r="I1547" s="35"/>
      <c r="J1547" s="24"/>
      <c r="K1547" s="7"/>
      <c r="L1547" s="9"/>
      <c r="M1547" s="9"/>
      <c r="N1547" s="15"/>
      <c r="O1547" s="15"/>
      <c r="P1547" s="15"/>
      <c r="Q1547" s="15"/>
      <c r="R1547" s="15"/>
    </row>
    <row r="1548" spans="1:18" ht="20.25" customHeight="1">
      <c r="A1548" s="36"/>
      <c r="B1548" s="28"/>
      <c r="C1548" s="24"/>
      <c r="D1548" s="34"/>
      <c r="E1548" s="34"/>
      <c r="F1548" s="34"/>
      <c r="G1548" s="34"/>
      <c r="H1548" s="34"/>
      <c r="I1548" s="35"/>
      <c r="J1548" s="24"/>
      <c r="K1548" s="7"/>
      <c r="L1548" s="9"/>
      <c r="M1548" s="9"/>
      <c r="N1548" s="15"/>
      <c r="O1548" s="15"/>
      <c r="P1548" s="15"/>
      <c r="Q1548" s="15"/>
      <c r="R1548" s="15"/>
    </row>
    <row r="1549" spans="1:18" ht="20.25" customHeight="1">
      <c r="A1549" s="36"/>
      <c r="B1549" s="28"/>
      <c r="C1549" s="24"/>
      <c r="D1549" s="34"/>
      <c r="E1549" s="34"/>
      <c r="F1549" s="34"/>
      <c r="G1549" s="34"/>
      <c r="H1549" s="34"/>
      <c r="I1549" s="35"/>
      <c r="J1549" s="24"/>
      <c r="K1549" s="7"/>
      <c r="L1549" s="9"/>
      <c r="M1549" s="9"/>
      <c r="N1549" s="15"/>
      <c r="O1549" s="15"/>
      <c r="P1549" s="15"/>
      <c r="Q1549" s="15"/>
      <c r="R1549" s="15"/>
    </row>
    <row r="1550" spans="1:18" ht="20.25" customHeight="1">
      <c r="A1550" s="36"/>
      <c r="B1550" s="28"/>
      <c r="C1550" s="24"/>
      <c r="D1550" s="34"/>
      <c r="E1550" s="34"/>
      <c r="F1550" s="34"/>
      <c r="G1550" s="34"/>
      <c r="H1550" s="34"/>
      <c r="I1550" s="35"/>
      <c r="J1550" s="24"/>
      <c r="K1550" s="7"/>
      <c r="L1550" s="9"/>
      <c r="M1550" s="9"/>
      <c r="N1550" s="15"/>
      <c r="O1550" s="15"/>
      <c r="P1550" s="15"/>
      <c r="Q1550" s="15"/>
      <c r="R1550" s="15"/>
    </row>
    <row r="1551" spans="1:18" ht="20.25" customHeight="1">
      <c r="A1551" s="36"/>
      <c r="B1551" s="28"/>
      <c r="C1551" s="24"/>
      <c r="D1551" s="34"/>
      <c r="E1551" s="34"/>
      <c r="F1551" s="34"/>
      <c r="G1551" s="34"/>
      <c r="H1551" s="34"/>
      <c r="I1551" s="35"/>
      <c r="J1551" s="24"/>
      <c r="K1551" s="7"/>
      <c r="L1551" s="9"/>
      <c r="M1551" s="9"/>
      <c r="N1551" s="15"/>
      <c r="O1551" s="15"/>
      <c r="P1551" s="15"/>
      <c r="Q1551" s="15"/>
      <c r="R1551" s="15"/>
    </row>
    <row r="1552" spans="1:18" ht="20.25" customHeight="1">
      <c r="A1552" s="36"/>
      <c r="B1552" s="28"/>
      <c r="C1552" s="24"/>
      <c r="D1552" s="34"/>
      <c r="E1552" s="34"/>
      <c r="F1552" s="34"/>
      <c r="G1552" s="34"/>
      <c r="H1552" s="34"/>
      <c r="I1552" s="35"/>
      <c r="J1552" s="24"/>
      <c r="K1552" s="7"/>
      <c r="L1552" s="9"/>
      <c r="M1552" s="9"/>
      <c r="N1552" s="15"/>
      <c r="O1552" s="15"/>
      <c r="P1552" s="15"/>
      <c r="Q1552" s="15"/>
      <c r="R1552" s="15"/>
    </row>
    <row r="1553" spans="1:18" ht="20.25" customHeight="1">
      <c r="A1553" s="36"/>
      <c r="B1553" s="28"/>
      <c r="C1553" s="24"/>
      <c r="D1553" s="34"/>
      <c r="E1553" s="34"/>
      <c r="F1553" s="34"/>
      <c r="G1553" s="34"/>
      <c r="H1553" s="34"/>
      <c r="I1553" s="35"/>
      <c r="J1553" s="24"/>
      <c r="K1553" s="7"/>
      <c r="L1553" s="9"/>
      <c r="M1553" s="9"/>
      <c r="N1553" s="15"/>
      <c r="O1553" s="15"/>
      <c r="P1553" s="15"/>
      <c r="Q1553" s="15"/>
      <c r="R1553" s="15"/>
    </row>
    <row r="1554" spans="1:18" ht="20.25" customHeight="1">
      <c r="A1554" s="36"/>
      <c r="B1554" s="28"/>
      <c r="C1554" s="24"/>
      <c r="D1554" s="34"/>
      <c r="E1554" s="34"/>
      <c r="F1554" s="34"/>
      <c r="G1554" s="34"/>
      <c r="H1554" s="34"/>
      <c r="I1554" s="35"/>
      <c r="J1554" s="24"/>
      <c r="K1554" s="7"/>
      <c r="L1554" s="9"/>
      <c r="M1554" s="9"/>
      <c r="N1554" s="15"/>
      <c r="O1554" s="15"/>
      <c r="P1554" s="15"/>
      <c r="Q1554" s="15"/>
      <c r="R1554" s="15"/>
    </row>
    <row r="1555" spans="1:18" ht="20.25" customHeight="1">
      <c r="A1555" s="36"/>
      <c r="B1555" s="28"/>
      <c r="C1555" s="24"/>
      <c r="D1555" s="34"/>
      <c r="E1555" s="34"/>
      <c r="F1555" s="34"/>
      <c r="G1555" s="34"/>
      <c r="H1555" s="34"/>
      <c r="I1555" s="35"/>
      <c r="J1555" s="24"/>
      <c r="K1555" s="7"/>
      <c r="L1555" s="9"/>
      <c r="M1555" s="9"/>
      <c r="N1555" s="15"/>
      <c r="O1555" s="15"/>
      <c r="P1555" s="15"/>
      <c r="Q1555" s="15"/>
      <c r="R1555" s="15"/>
    </row>
    <row r="1556" spans="1:18" ht="20.25" customHeight="1">
      <c r="A1556" s="36"/>
      <c r="B1556" s="28"/>
      <c r="C1556" s="24"/>
      <c r="D1556" s="34"/>
      <c r="E1556" s="34"/>
      <c r="F1556" s="34"/>
      <c r="G1556" s="34"/>
      <c r="H1556" s="34"/>
      <c r="I1556" s="35"/>
      <c r="J1556" s="24"/>
      <c r="K1556" s="7"/>
      <c r="L1556" s="9"/>
      <c r="M1556" s="9"/>
      <c r="N1556" s="15"/>
      <c r="O1556" s="15"/>
      <c r="P1556" s="15"/>
      <c r="Q1556" s="15"/>
      <c r="R1556" s="15"/>
    </row>
    <row r="1557" spans="1:18" ht="20.25" customHeight="1">
      <c r="A1557" s="36"/>
      <c r="B1557" s="28"/>
      <c r="C1557" s="24"/>
      <c r="D1557" s="34"/>
      <c r="E1557" s="34"/>
      <c r="F1557" s="34"/>
      <c r="G1557" s="34"/>
      <c r="H1557" s="34"/>
      <c r="I1557" s="35"/>
      <c r="J1557" s="24"/>
      <c r="K1557" s="7"/>
      <c r="L1557" s="9"/>
      <c r="M1557" s="9"/>
      <c r="N1557" s="15"/>
      <c r="O1557" s="15"/>
      <c r="P1557" s="15"/>
      <c r="Q1557" s="15"/>
      <c r="R1557" s="15"/>
    </row>
    <row r="1558" spans="1:18" ht="20.25" customHeight="1">
      <c r="A1558" s="36"/>
      <c r="B1558" s="28"/>
      <c r="C1558" s="24"/>
      <c r="D1558" s="34"/>
      <c r="E1558" s="34"/>
      <c r="F1558" s="34"/>
      <c r="G1558" s="34"/>
      <c r="H1558" s="34"/>
      <c r="I1558" s="35"/>
      <c r="J1558" s="24"/>
      <c r="K1558" s="7"/>
      <c r="L1558" s="9"/>
      <c r="M1558" s="9"/>
      <c r="N1558" s="15"/>
      <c r="O1558" s="15"/>
      <c r="P1558" s="15"/>
      <c r="Q1558" s="15"/>
      <c r="R1558" s="15"/>
    </row>
    <row r="1559" spans="1:18" ht="20.25" customHeight="1">
      <c r="A1559" s="36"/>
      <c r="B1559" s="28"/>
      <c r="C1559" s="24"/>
      <c r="D1559" s="34"/>
      <c r="E1559" s="34"/>
      <c r="F1559" s="34"/>
      <c r="G1559" s="34"/>
      <c r="H1559" s="34"/>
      <c r="I1559" s="35"/>
      <c r="J1559" s="24"/>
      <c r="K1559" s="7"/>
      <c r="L1559" s="9"/>
      <c r="M1559" s="9"/>
      <c r="N1559" s="15"/>
      <c r="O1559" s="15"/>
      <c r="P1559" s="15"/>
      <c r="Q1559" s="15"/>
      <c r="R1559" s="15"/>
    </row>
    <row r="1560" spans="1:18" ht="20.25" customHeight="1">
      <c r="A1560" s="36"/>
      <c r="B1560" s="28"/>
      <c r="C1560" s="24"/>
      <c r="D1560" s="34"/>
      <c r="E1560" s="34"/>
      <c r="F1560" s="34"/>
      <c r="G1560" s="34"/>
      <c r="H1560" s="34"/>
      <c r="I1560" s="35"/>
      <c r="J1560" s="24"/>
      <c r="K1560" s="7"/>
      <c r="L1560" s="9"/>
      <c r="M1560" s="9"/>
      <c r="N1560" s="15"/>
      <c r="O1560" s="15"/>
      <c r="P1560" s="15"/>
      <c r="Q1560" s="15"/>
      <c r="R1560" s="15"/>
    </row>
    <row r="1561" spans="1:18" ht="20.25" customHeight="1">
      <c r="A1561" s="36"/>
      <c r="B1561" s="28"/>
      <c r="C1561" s="24"/>
      <c r="D1561" s="34"/>
      <c r="E1561" s="34"/>
      <c r="F1561" s="34"/>
      <c r="G1561" s="34"/>
      <c r="H1561" s="34"/>
      <c r="I1561" s="35"/>
      <c r="J1561" s="24"/>
      <c r="K1561" s="7"/>
      <c r="L1561" s="9"/>
      <c r="M1561" s="9"/>
      <c r="N1561" s="15"/>
      <c r="O1561" s="15"/>
      <c r="P1561" s="15"/>
      <c r="Q1561" s="15"/>
      <c r="R1561" s="15"/>
    </row>
    <row r="1562" spans="1:18" ht="20.25" customHeight="1">
      <c r="A1562" s="36"/>
      <c r="B1562" s="28"/>
      <c r="C1562" s="24"/>
      <c r="D1562" s="34"/>
      <c r="E1562" s="34"/>
      <c r="F1562" s="34"/>
      <c r="G1562" s="34"/>
      <c r="H1562" s="34"/>
      <c r="I1562" s="35"/>
      <c r="J1562" s="24"/>
      <c r="K1562" s="7"/>
      <c r="L1562" s="9"/>
      <c r="M1562" s="9"/>
      <c r="N1562" s="15"/>
      <c r="O1562" s="15"/>
      <c r="P1562" s="15"/>
      <c r="Q1562" s="15"/>
      <c r="R1562" s="15"/>
    </row>
    <row r="1563" spans="1:18" ht="20.25" customHeight="1">
      <c r="A1563" s="36"/>
      <c r="B1563" s="28"/>
      <c r="C1563" s="24"/>
      <c r="D1563" s="34"/>
      <c r="E1563" s="34"/>
      <c r="F1563" s="34"/>
      <c r="G1563" s="34"/>
      <c r="H1563" s="34"/>
      <c r="I1563" s="35"/>
      <c r="J1563" s="24"/>
      <c r="K1563" s="7"/>
      <c r="L1563" s="9"/>
      <c r="M1563" s="9"/>
      <c r="N1563" s="15"/>
      <c r="O1563" s="15"/>
      <c r="P1563" s="15"/>
      <c r="Q1563" s="15"/>
      <c r="R1563" s="15"/>
    </row>
    <row r="1564" spans="1:18" ht="20.25" customHeight="1">
      <c r="A1564" s="36"/>
      <c r="B1564" s="28"/>
      <c r="C1564" s="24"/>
      <c r="D1564" s="34"/>
      <c r="E1564" s="34"/>
      <c r="F1564" s="34"/>
      <c r="G1564" s="34"/>
      <c r="H1564" s="34"/>
      <c r="I1564" s="35"/>
      <c r="J1564" s="24"/>
      <c r="K1564" s="7"/>
      <c r="L1564" s="9"/>
      <c r="M1564" s="9"/>
      <c r="N1564" s="15"/>
      <c r="O1564" s="15"/>
      <c r="P1564" s="15"/>
      <c r="Q1564" s="15"/>
      <c r="R1564" s="15"/>
    </row>
    <row r="1565" spans="1:18" ht="20.25" customHeight="1">
      <c r="A1565" s="36"/>
      <c r="B1565" s="28"/>
      <c r="C1565" s="24"/>
      <c r="D1565" s="34"/>
      <c r="E1565" s="34"/>
      <c r="F1565" s="34"/>
      <c r="G1565" s="34"/>
      <c r="H1565" s="34"/>
      <c r="I1565" s="35"/>
      <c r="J1565" s="24"/>
      <c r="K1565" s="7"/>
      <c r="L1565" s="9"/>
      <c r="M1565" s="9"/>
      <c r="N1565" s="15"/>
      <c r="O1565" s="15"/>
      <c r="P1565" s="15"/>
      <c r="Q1565" s="15"/>
      <c r="R1565" s="15"/>
    </row>
    <row r="1566" spans="1:18" ht="20.25" customHeight="1">
      <c r="A1566" s="36"/>
      <c r="B1566" s="28"/>
      <c r="C1566" s="24"/>
      <c r="D1566" s="34"/>
      <c r="E1566" s="34"/>
      <c r="F1566" s="34"/>
      <c r="G1566" s="34"/>
      <c r="H1566" s="34"/>
      <c r="I1566" s="35"/>
      <c r="J1566" s="24"/>
      <c r="K1566" s="7"/>
      <c r="L1566" s="9"/>
      <c r="M1566" s="9"/>
      <c r="N1566" s="15"/>
      <c r="O1566" s="15"/>
      <c r="P1566" s="15"/>
      <c r="Q1566" s="15"/>
      <c r="R1566" s="15"/>
    </row>
    <row r="1567" spans="1:18" ht="20.25" customHeight="1">
      <c r="A1567" s="36"/>
      <c r="B1567" s="28"/>
      <c r="C1567" s="24"/>
      <c r="D1567" s="34"/>
      <c r="E1567" s="34"/>
      <c r="F1567" s="34"/>
      <c r="G1567" s="34"/>
      <c r="H1567" s="34"/>
      <c r="I1567" s="35"/>
      <c r="J1567" s="24"/>
      <c r="K1567" s="7"/>
      <c r="L1567" s="9"/>
      <c r="M1567" s="9"/>
      <c r="N1567" s="15"/>
      <c r="O1567" s="15"/>
      <c r="P1567" s="15"/>
      <c r="Q1567" s="15"/>
      <c r="R1567" s="15"/>
    </row>
    <row r="1568" spans="1:18" ht="20.25" customHeight="1">
      <c r="A1568" s="36"/>
      <c r="B1568" s="28"/>
      <c r="C1568" s="24"/>
      <c r="D1568" s="34"/>
      <c r="E1568" s="34"/>
      <c r="F1568" s="34"/>
      <c r="G1568" s="34"/>
      <c r="H1568" s="34"/>
      <c r="I1568" s="35"/>
      <c r="J1568" s="24"/>
      <c r="K1568" s="7"/>
      <c r="L1568" s="9"/>
      <c r="M1568" s="9"/>
      <c r="N1568" s="15"/>
      <c r="O1568" s="15"/>
      <c r="P1568" s="15"/>
      <c r="Q1568" s="15"/>
      <c r="R1568" s="15"/>
    </row>
    <row r="1569" spans="1:18" ht="20.25" customHeight="1">
      <c r="A1569" s="36"/>
      <c r="B1569" s="28"/>
      <c r="C1569" s="24"/>
      <c r="D1569" s="34"/>
      <c r="E1569" s="34"/>
      <c r="F1569" s="34"/>
      <c r="G1569" s="34"/>
      <c r="H1569" s="34"/>
      <c r="I1569" s="35"/>
      <c r="J1569" s="24"/>
      <c r="K1569" s="7"/>
      <c r="L1569" s="9"/>
      <c r="M1569" s="9"/>
      <c r="N1569" s="15"/>
      <c r="O1569" s="15"/>
      <c r="P1569" s="15"/>
      <c r="Q1569" s="15"/>
      <c r="R1569" s="15"/>
    </row>
    <row r="1570" spans="1:18" ht="20.25" customHeight="1">
      <c r="A1570" s="36"/>
      <c r="B1570" s="28"/>
      <c r="C1570" s="24"/>
      <c r="D1570" s="34"/>
      <c r="E1570" s="34"/>
      <c r="F1570" s="34"/>
      <c r="G1570" s="34"/>
      <c r="H1570" s="34"/>
      <c r="I1570" s="35"/>
      <c r="J1570" s="24"/>
      <c r="K1570" s="7"/>
      <c r="L1570" s="9"/>
      <c r="M1570" s="9"/>
      <c r="N1570" s="15"/>
      <c r="O1570" s="15"/>
      <c r="P1570" s="15"/>
      <c r="Q1570" s="15"/>
      <c r="R1570" s="15"/>
    </row>
    <row r="1571" spans="1:18" ht="20.25" customHeight="1">
      <c r="A1571" s="36"/>
      <c r="B1571" s="28"/>
      <c r="C1571" s="24"/>
      <c r="D1571" s="34"/>
      <c r="E1571" s="34"/>
      <c r="F1571" s="34"/>
      <c r="G1571" s="34"/>
      <c r="H1571" s="34"/>
      <c r="I1571" s="35"/>
      <c r="J1571" s="24"/>
      <c r="K1571" s="7"/>
      <c r="L1571" s="9"/>
      <c r="M1571" s="9"/>
      <c r="N1571" s="15"/>
      <c r="O1571" s="15"/>
      <c r="P1571" s="15"/>
      <c r="Q1571" s="15"/>
      <c r="R1571" s="15"/>
    </row>
    <row r="1572" spans="1:18" ht="20.25" customHeight="1">
      <c r="A1572" s="36"/>
      <c r="B1572" s="28"/>
      <c r="C1572" s="24"/>
      <c r="D1572" s="34"/>
      <c r="E1572" s="34"/>
      <c r="F1572" s="34"/>
      <c r="G1572" s="34"/>
      <c r="H1572" s="34"/>
      <c r="I1572" s="35"/>
      <c r="J1572" s="24"/>
      <c r="K1572" s="7"/>
      <c r="L1572" s="9"/>
      <c r="M1572" s="9"/>
      <c r="N1572" s="15"/>
      <c r="O1572" s="15"/>
      <c r="P1572" s="15"/>
      <c r="Q1572" s="15"/>
      <c r="R1572" s="15"/>
    </row>
    <row r="1573" spans="1:18" ht="20.25" customHeight="1">
      <c r="A1573" s="36"/>
      <c r="B1573" s="28"/>
      <c r="C1573" s="24"/>
      <c r="D1573" s="34"/>
      <c r="E1573" s="34"/>
      <c r="F1573" s="34"/>
      <c r="G1573" s="34"/>
      <c r="H1573" s="34"/>
      <c r="I1573" s="35"/>
      <c r="J1573" s="24"/>
      <c r="K1573" s="7"/>
      <c r="L1573" s="9"/>
      <c r="M1573" s="9"/>
      <c r="N1573" s="15"/>
      <c r="O1573" s="15"/>
      <c r="P1573" s="15"/>
      <c r="Q1573" s="15"/>
      <c r="R1573" s="15"/>
    </row>
  </sheetData>
  <autoFilter ref="A1:R1573"/>
  <conditionalFormatting sqref="B2:B705 B714:B1573 C2:C1573">
    <cfRule type="expression" dxfId="0" priority="1">
      <formula>COUNTIF(B:B,B2)&gt;1</formula>
    </cfRule>
  </conditionalFormatting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604"/>
  <sheetViews>
    <sheetView workbookViewId="0"/>
  </sheetViews>
  <sheetFormatPr defaultColWidth="11.25" defaultRowHeight="15" customHeight="1"/>
  <cols>
    <col min="4" max="4" width="10.75" customWidth="1"/>
    <col min="5" max="5" width="24.25" customWidth="1"/>
    <col min="6" max="6" width="21.375" customWidth="1"/>
  </cols>
  <sheetData>
    <row r="1" spans="1:26">
      <c r="A1" s="40" t="str">
        <f ca="1">IFERROR(__xludf.DUMMYFUNCTION("IMPORTRANGE(""https://docs.google.com/spreadsheets/d/1nzvv5usICtZL5kShhRzPtkBGgdjwgcj-hlAM9o-6LXA/edit?gid=422932158#gid=422932158"",""MP!A6:f5000"")"),"")</f>
        <v/>
      </c>
      <c r="B1" s="41" t="str">
        <f ca="1">IFERROR(__xludf.DUMMYFUNCTION("""COMPUTED_VALUE"""),"Đã nghỉ")</f>
        <v>Đã nghỉ</v>
      </c>
      <c r="C1" s="42">
        <f ca="1">IFERROR(__xludf.DUMMYFUNCTION("""COMPUTED_VALUE"""),2)</f>
        <v>2</v>
      </c>
      <c r="D1" s="43" t="str">
        <f ca="1">IFERROR(__xludf.DUMMYFUNCTION("""COMPUTED_VALUE"""),"x")</f>
        <v>x</v>
      </c>
      <c r="E1" s="42" t="str">
        <f ca="1">IFERROR(__xludf.DUMMYFUNCTION("""COMPUTED_VALUE"""),"NGUYỄN THANH VÂN")</f>
        <v>NGUYỄN THANH VÂN</v>
      </c>
      <c r="F1" s="42" t="str">
        <f ca="1">IFERROR(__xludf.DUMMYFUNCTION("""COMPUTED_VALUE"""),"NGUYEN THANH VAN")</f>
        <v>NGUYEN THANH VAN</v>
      </c>
      <c r="G1" s="41">
        <f ca="1">IFERROR(__xludf.DUMMYFUNCTION("IMPORTRANGE(""https://docs.google.com/spreadsheets/d/1nzvv5usICtZL5kShhRzPtkBGgdjwgcj-hlAM9o-6LXA/edit?gid=422932158#gid=422932158"",""MP!h6:h5000"")"),36075.5833333333)</f>
        <v>36075.583333333299</v>
      </c>
      <c r="H1" s="42" t="str">
        <f ca="1">IFERROR(__xludf.DUMMYFUNCTION("IMPORTRANGE(""https://docs.google.com/spreadsheets/d/1nzvv5usICtZL5kShhRzPtkBGgdjwgcj-hlAM9o-6LXA/edit?gid=422932158#gid=422932158"",""MP!AA6:Ad5000"")"),"TLC")</f>
        <v>TLC</v>
      </c>
      <c r="I1" s="42" t="str">
        <f ca="1">IFERROR(__xludf.DUMMYFUNCTION("""COMPUTED_VALUE"""),"STORE")</f>
        <v>STORE</v>
      </c>
      <c r="J1" s="42" t="str">
        <f ca="1">IFERROR(__xludf.DUMMYFUNCTION("""COMPUTED_VALUE"""),"BAKES")</f>
        <v>BAKES</v>
      </c>
      <c r="K1" s="42" t="str">
        <f ca="1">IFERROR(__xludf.DUMMYFUNCTION("""COMPUTED_VALUE"""),"KIT")</f>
        <v>KIT</v>
      </c>
      <c r="L1" s="42" t="str">
        <f ca="1">IFERROR(__xludf.DUMMYFUNCTION("IMPORTRANGE(""https://docs.google.com/spreadsheets/d/1nzvv5usICtZL5kShhRzPtkBGgdjwgcj-hlAM9o-6LXA/edit?gid=422932158#gid=422932158"",""MP!AG6:AH5000"")"),"PTE")</f>
        <v>PTE</v>
      </c>
      <c r="M1" s="44" t="str">
        <f ca="1">IFERROR(__xludf.DUMMYFUNCTION("""COMPUTED_VALUE"""),"Leave")</f>
        <v>Leave</v>
      </c>
      <c r="N1" s="42" t="str">
        <f ca="1">IFERROR(__xludf.DUMMYFUNCTION("IMPORTRANGE(""https://docs.google.com/spreadsheets/d/1nzvv5usICtZL5kShhRzPtkBGgdjwgcj-hlAM9o-6LXA/edit?gid=422932158#gid=422932158"",""MP!BJ6:BJ5000"")"),"x")</f>
        <v>x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>
      <c r="A2" s="39"/>
      <c r="B2" s="39" t="str">
        <f ca="1">IFERROR(__xludf.DUMMYFUNCTION("""COMPUTED_VALUE"""),"Đã nghỉ")</f>
        <v>Đã nghỉ</v>
      </c>
      <c r="C2" s="44">
        <f ca="1">IFERROR(__xludf.DUMMYFUNCTION("""COMPUTED_VALUE"""),3)</f>
        <v>3</v>
      </c>
      <c r="D2" s="38" t="str">
        <f ca="1">IFERROR(__xludf.DUMMYFUNCTION("""COMPUTED_VALUE"""),"x")</f>
        <v>x</v>
      </c>
      <c r="E2" s="44" t="str">
        <f ca="1">IFERROR(__xludf.DUMMYFUNCTION("""COMPUTED_VALUE"""),"NGÔ THUẬN AN")</f>
        <v>NGÔ THUẬN AN</v>
      </c>
      <c r="F2" s="44" t="str">
        <f ca="1">IFERROR(__xludf.DUMMYFUNCTION("""COMPUTED_VALUE"""),"NGO THUAN AN")</f>
        <v>NGO THUAN AN</v>
      </c>
      <c r="G2" s="39">
        <f ca="1">IFERROR(__xludf.DUMMYFUNCTION("""COMPUTED_VALUE"""),34860.5833333333)</f>
        <v>34860.583333333299</v>
      </c>
      <c r="H2" s="39" t="str">
        <f ca="1">IFERROR(__xludf.DUMMYFUNCTION("""COMPUTED_VALUE"""),"TLC")</f>
        <v>TLC</v>
      </c>
      <c r="I2" s="44" t="str">
        <f ca="1">IFERROR(__xludf.DUMMYFUNCTION("""COMPUTED_VALUE"""),"STORE")</f>
        <v>STORE</v>
      </c>
      <c r="J2" s="44" t="str">
        <f ca="1">IFERROR(__xludf.DUMMYFUNCTION("""COMPUTED_VALUE"""),"BAKES")</f>
        <v>BAKES</v>
      </c>
      <c r="K2" s="44" t="str">
        <f ca="1">IFERROR(__xludf.DUMMYFUNCTION("""COMPUTED_VALUE"""),"KIT")</f>
        <v>KIT</v>
      </c>
      <c r="L2" s="44" t="str">
        <f ca="1">IFERROR(__xludf.DUMMYFUNCTION("""COMPUTED_VALUE"""),"PTE")</f>
        <v>PTE</v>
      </c>
      <c r="M2" s="44" t="str">
        <f ca="1">IFERROR(__xludf.DUMMYFUNCTION("""COMPUTED_VALUE"""),"Leave")</f>
        <v>Leave</v>
      </c>
      <c r="N2" s="44" t="str">
        <f ca="1">IFERROR(__xludf.DUMMYFUNCTION("""COMPUTED_VALUE"""),"x")</f>
        <v>x</v>
      </c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>
      <c r="A3" s="45"/>
      <c r="B3" s="45" t="str">
        <f ca="1">IFERROR(__xludf.DUMMYFUNCTION("""COMPUTED_VALUE"""),"Đã nghỉ")</f>
        <v>Đã nghỉ</v>
      </c>
      <c r="C3" s="46">
        <f ca="1">IFERROR(__xludf.DUMMYFUNCTION("""COMPUTED_VALUE"""),4)</f>
        <v>4</v>
      </c>
      <c r="D3" s="47" t="str">
        <f ca="1">IFERROR(__xludf.DUMMYFUNCTION("""COMPUTED_VALUE"""),"x")</f>
        <v>x</v>
      </c>
      <c r="E3" s="46" t="str">
        <f ca="1">IFERROR(__xludf.DUMMYFUNCTION("""COMPUTED_VALUE"""),"VŨ TUYẾT NHI")</f>
        <v>VŨ TUYẾT NHI</v>
      </c>
      <c r="F3" s="46" t="str">
        <f ca="1">IFERROR(__xludf.DUMMYFUNCTION("""COMPUTED_VALUE"""),"VU TUYET NHI")</f>
        <v>VU TUYET NHI</v>
      </c>
      <c r="G3" s="45"/>
      <c r="H3" s="45" t="str">
        <f ca="1">IFERROR(__xludf.DUMMYFUNCTION("""COMPUTED_VALUE"""),"TLC")</f>
        <v>TLC</v>
      </c>
      <c r="I3" s="46" t="str">
        <f ca="1">IFERROR(__xludf.DUMMYFUNCTION("""COMPUTED_VALUE"""),"STORE")</f>
        <v>STORE</v>
      </c>
      <c r="J3" s="46" t="str">
        <f ca="1">IFERROR(__xludf.DUMMYFUNCTION("""COMPUTED_VALUE"""),"BAKES")</f>
        <v>BAKES</v>
      </c>
      <c r="K3" s="46" t="str">
        <f ca="1">IFERROR(__xludf.DUMMYFUNCTION("""COMPUTED_VALUE"""),"KIT")</f>
        <v>KIT</v>
      </c>
      <c r="L3" s="46" t="str">
        <f ca="1">IFERROR(__xludf.DUMMYFUNCTION("""COMPUTED_VALUE"""),"PTE")</f>
        <v>PTE</v>
      </c>
      <c r="M3" s="46" t="str">
        <f ca="1">IFERROR(__xludf.DUMMYFUNCTION("""COMPUTED_VALUE"""),"Leave")</f>
        <v>Leave</v>
      </c>
      <c r="N3" s="46" t="str">
        <f ca="1">IFERROR(__xludf.DUMMYFUNCTION("""COMPUTED_VALUE"""),"x")</f>
        <v>x</v>
      </c>
    </row>
    <row r="4" spans="1:26">
      <c r="A4" s="45"/>
      <c r="B4" s="45" t="str">
        <f ca="1">IFERROR(__xludf.DUMMYFUNCTION("""COMPUTED_VALUE"""),"Đã nghỉ")</f>
        <v>Đã nghỉ</v>
      </c>
      <c r="C4" s="46">
        <f ca="1">IFERROR(__xludf.DUMMYFUNCTION("""COMPUTED_VALUE"""),5)</f>
        <v>5</v>
      </c>
      <c r="D4" s="47" t="str">
        <f ca="1">IFERROR(__xludf.DUMMYFUNCTION("""COMPUTED_VALUE"""),"x")</f>
        <v>x</v>
      </c>
      <c r="E4" s="46" t="str">
        <f ca="1">IFERROR(__xludf.DUMMYFUNCTION("""COMPUTED_VALUE"""),"NGUYỄN PHÚ THÀNH")</f>
        <v>NGUYỄN PHÚ THÀNH</v>
      </c>
      <c r="F4" s="46" t="str">
        <f ca="1">IFERROR(__xludf.DUMMYFUNCTION("""COMPUTED_VALUE"""),"NGUYEN PHU THANH")</f>
        <v>NGUYEN PHU THANH</v>
      </c>
      <c r="G4" s="45">
        <f ca="1">IFERROR(__xludf.DUMMYFUNCTION("""COMPUTED_VALUE"""),36590.625)</f>
        <v>36590.625</v>
      </c>
      <c r="H4" s="45" t="str">
        <f ca="1">IFERROR(__xludf.DUMMYFUNCTION("""COMPUTED_VALUE"""),"TLC")</f>
        <v>TLC</v>
      </c>
      <c r="I4" s="46" t="str">
        <f ca="1">IFERROR(__xludf.DUMMYFUNCTION("""COMPUTED_VALUE"""),"STORE")</f>
        <v>STORE</v>
      </c>
      <c r="J4" s="46" t="str">
        <f ca="1">IFERROR(__xludf.DUMMYFUNCTION("""COMPUTED_VALUE"""),"BAKES")</f>
        <v>BAKES</v>
      </c>
      <c r="K4" s="46" t="str">
        <f ca="1">IFERROR(__xludf.DUMMYFUNCTION("""COMPUTED_VALUE"""),"KIT")</f>
        <v>KIT</v>
      </c>
      <c r="L4" s="46" t="str">
        <f ca="1">IFERROR(__xludf.DUMMYFUNCTION("""COMPUTED_VALUE"""),"PTE")</f>
        <v>PTE</v>
      </c>
      <c r="M4" s="46" t="str">
        <f ca="1">IFERROR(__xludf.DUMMYFUNCTION("""COMPUTED_VALUE"""),"Leave")</f>
        <v>Leave</v>
      </c>
      <c r="N4" s="46" t="str">
        <f ca="1">IFERROR(__xludf.DUMMYFUNCTION("""COMPUTED_VALUE"""),"x")</f>
        <v>x</v>
      </c>
    </row>
    <row r="5" spans="1:26">
      <c r="A5" s="45"/>
      <c r="B5" s="45" t="str">
        <f ca="1">IFERROR(__xludf.DUMMYFUNCTION("""COMPUTED_VALUE"""),"Đã nghỉ")</f>
        <v>Đã nghỉ</v>
      </c>
      <c r="C5" s="46">
        <f ca="1">IFERROR(__xludf.DUMMYFUNCTION("""COMPUTED_VALUE"""),6)</f>
        <v>6</v>
      </c>
      <c r="D5" s="47" t="str">
        <f ca="1">IFERROR(__xludf.DUMMYFUNCTION("""COMPUTED_VALUE"""),"x")</f>
        <v>x</v>
      </c>
      <c r="E5" s="46" t="str">
        <f ca="1">IFERROR(__xludf.DUMMYFUNCTION("""COMPUTED_VALUE"""),"HUỲNH GIA HÂN")</f>
        <v>HUỲNH GIA HÂN</v>
      </c>
      <c r="F5" s="46" t="str">
        <f ca="1">IFERROR(__xludf.DUMMYFUNCTION("""COMPUTED_VALUE"""),"HUYNH GIA HAN")</f>
        <v>HUYNH GIA HAN</v>
      </c>
      <c r="G5" s="45"/>
      <c r="H5" s="45" t="str">
        <f ca="1">IFERROR(__xludf.DUMMYFUNCTION("""COMPUTED_VALUE"""),"TLC")</f>
        <v>TLC</v>
      </c>
      <c r="I5" s="46" t="str">
        <f ca="1">IFERROR(__xludf.DUMMYFUNCTION("""COMPUTED_VALUE"""),"STORE")</f>
        <v>STORE</v>
      </c>
      <c r="J5" s="46" t="str">
        <f ca="1">IFERROR(__xludf.DUMMYFUNCTION("""COMPUTED_VALUE"""),"BAKES")</f>
        <v>BAKES</v>
      </c>
      <c r="K5" s="46" t="str">
        <f ca="1">IFERROR(__xludf.DUMMYFUNCTION("""COMPUTED_VALUE"""),"STR")</f>
        <v>STR</v>
      </c>
      <c r="L5" s="46" t="str">
        <f ca="1">IFERROR(__xludf.DUMMYFUNCTION("""COMPUTED_VALUE"""),"PTE")</f>
        <v>PTE</v>
      </c>
      <c r="M5" s="46" t="str">
        <f ca="1">IFERROR(__xludf.DUMMYFUNCTION("""COMPUTED_VALUE"""),"Leave")</f>
        <v>Leave</v>
      </c>
      <c r="N5" s="46" t="str">
        <f ca="1">IFERROR(__xludf.DUMMYFUNCTION("""COMPUTED_VALUE"""),"x")</f>
        <v>x</v>
      </c>
    </row>
    <row r="6" spans="1:26">
      <c r="A6" s="45"/>
      <c r="B6" s="45" t="str">
        <f ca="1">IFERROR(__xludf.DUMMYFUNCTION("""COMPUTED_VALUE"""),"Đã nghỉ")</f>
        <v>Đã nghỉ</v>
      </c>
      <c r="C6" s="46">
        <f ca="1">IFERROR(__xludf.DUMMYFUNCTION("""COMPUTED_VALUE"""),7)</f>
        <v>7</v>
      </c>
      <c r="D6" s="47" t="str">
        <f ca="1">IFERROR(__xludf.DUMMYFUNCTION("""COMPUTED_VALUE"""),"x")</f>
        <v>x</v>
      </c>
      <c r="E6" s="46" t="str">
        <f ca="1">IFERROR(__xludf.DUMMYFUNCTION("""COMPUTED_VALUE"""),"HUỲNH THỊ THANH DUNG")</f>
        <v>HUỲNH THỊ THANH DUNG</v>
      </c>
      <c r="F6" s="46" t="str">
        <f ca="1">IFERROR(__xludf.DUMMYFUNCTION("""COMPUTED_VALUE"""),"HUYNH THI THANH DUNG")</f>
        <v>HUYNH THI THANH DUNG</v>
      </c>
      <c r="G6" s="45"/>
      <c r="H6" s="45" t="str">
        <f ca="1">IFERROR(__xludf.DUMMYFUNCTION("""COMPUTED_VALUE"""),"BAKES")</f>
        <v>BAKES</v>
      </c>
      <c r="I6" s="46" t="str">
        <f ca="1">IFERROR(__xludf.DUMMYFUNCTION("""COMPUTED_VALUE"""),"STORE")</f>
        <v>STORE</v>
      </c>
      <c r="J6" s="46" t="str">
        <f ca="1">IFERROR(__xludf.DUMMYFUNCTION("""COMPUTED_VALUE"""),"BAKES D2")</f>
        <v>BAKES D2</v>
      </c>
      <c r="K6" s="46" t="str">
        <f ca="1">IFERROR(__xludf.DUMMYFUNCTION("""COMPUTED_VALUE"""),"STR")</f>
        <v>STR</v>
      </c>
      <c r="L6" s="46" t="str">
        <f ca="1">IFERROR(__xludf.DUMMYFUNCTION("""COMPUTED_VALUE"""),"PTE")</f>
        <v>PTE</v>
      </c>
      <c r="M6" s="46" t="str">
        <f ca="1">IFERROR(__xludf.DUMMYFUNCTION("""COMPUTED_VALUE"""),"Leave")</f>
        <v>Leave</v>
      </c>
      <c r="N6" s="46" t="str">
        <f ca="1">IFERROR(__xludf.DUMMYFUNCTION("""COMPUTED_VALUE"""),"x")</f>
        <v>x</v>
      </c>
    </row>
    <row r="7" spans="1:26">
      <c r="A7" s="45"/>
      <c r="B7" s="45" t="str">
        <f ca="1">IFERROR(__xludf.DUMMYFUNCTION("""COMPUTED_VALUE"""),"Đã nghỉ")</f>
        <v>Đã nghỉ</v>
      </c>
      <c r="C7" s="46">
        <f ca="1">IFERROR(__xludf.DUMMYFUNCTION("""COMPUTED_VALUE"""),8)</f>
        <v>8</v>
      </c>
      <c r="D7" s="47" t="str">
        <f ca="1">IFERROR(__xludf.DUMMYFUNCTION("""COMPUTED_VALUE"""),"x")</f>
        <v>x</v>
      </c>
      <c r="E7" s="46" t="str">
        <f ca="1">IFERROR(__xludf.DUMMYFUNCTION("""COMPUTED_VALUE"""),"TRẦN SONG NGUYÊN")</f>
        <v>TRẦN SONG NGUYÊN</v>
      </c>
      <c r="F7" s="46" t="str">
        <f ca="1">IFERROR(__xludf.DUMMYFUNCTION("""COMPUTED_VALUE"""),"TRAN SONG NGUYEN")</f>
        <v>TRAN SONG NGUYEN</v>
      </c>
      <c r="G7" s="45"/>
      <c r="H7" s="45" t="str">
        <f ca="1">IFERROR(__xludf.DUMMYFUNCTION("""COMPUTED_VALUE"""),"BAKES")</f>
        <v>BAKES</v>
      </c>
      <c r="I7" s="46" t="str">
        <f ca="1">IFERROR(__xludf.DUMMYFUNCTION("""COMPUTED_VALUE"""),"STORE")</f>
        <v>STORE</v>
      </c>
      <c r="J7" s="46" t="str">
        <f ca="1">IFERROR(__xludf.DUMMYFUNCTION("""COMPUTED_VALUE"""),"BAKES D2")</f>
        <v>BAKES D2</v>
      </c>
      <c r="K7" s="46" t="str">
        <f ca="1">IFERROR(__xludf.DUMMYFUNCTION("""COMPUTED_VALUE"""),"STR")</f>
        <v>STR</v>
      </c>
      <c r="L7" s="46" t="str">
        <f ca="1">IFERROR(__xludf.DUMMYFUNCTION("""COMPUTED_VALUE"""),"PTE")</f>
        <v>PTE</v>
      </c>
      <c r="M7" s="46" t="str">
        <f ca="1">IFERROR(__xludf.DUMMYFUNCTION("""COMPUTED_VALUE"""),"Leave")</f>
        <v>Leave</v>
      </c>
      <c r="N7" s="46" t="str">
        <f ca="1">IFERROR(__xludf.DUMMYFUNCTION("""COMPUTED_VALUE"""),"x")</f>
        <v>x</v>
      </c>
    </row>
    <row r="8" spans="1:26">
      <c r="A8" s="45"/>
      <c r="B8" s="45" t="str">
        <f ca="1">IFERROR(__xludf.DUMMYFUNCTION("""COMPUTED_VALUE"""),"Đã nghỉ")</f>
        <v>Đã nghỉ</v>
      </c>
      <c r="C8" s="46">
        <f ca="1">IFERROR(__xludf.DUMMYFUNCTION("""COMPUTED_VALUE"""),9)</f>
        <v>9</v>
      </c>
      <c r="D8" s="47" t="str">
        <f ca="1">IFERROR(__xludf.DUMMYFUNCTION("""COMPUTED_VALUE"""),"x")</f>
        <v>x</v>
      </c>
      <c r="E8" s="46" t="str">
        <f ca="1">IFERROR(__xludf.DUMMYFUNCTION("""COMPUTED_VALUE"""),"HÀ MINH HIẾU")</f>
        <v>HÀ MINH HIẾU</v>
      </c>
      <c r="F8" s="46" t="str">
        <f ca="1">IFERROR(__xludf.DUMMYFUNCTION("""COMPUTED_VALUE"""),"HA MINH HIEU")</f>
        <v>HA MINH HIEU</v>
      </c>
      <c r="G8" s="45">
        <f ca="1">IFERROR(__xludf.DUMMYFUNCTION("""COMPUTED_VALUE"""),36399.5833333333)</f>
        <v>36399.583333333299</v>
      </c>
      <c r="H8" s="45" t="str">
        <f ca="1">IFERROR(__xludf.DUMMYFUNCTION("""COMPUTED_VALUE"""),"TLC")</f>
        <v>TLC</v>
      </c>
      <c r="I8" s="46" t="str">
        <f ca="1">IFERROR(__xludf.DUMMYFUNCTION("""COMPUTED_VALUE"""),"STORE")</f>
        <v>STORE</v>
      </c>
      <c r="J8" s="46" t="str">
        <f ca="1">IFERROR(__xludf.DUMMYFUNCTION("""COMPUTED_VALUE"""),"BLANK HN")</f>
        <v>BLANK HN</v>
      </c>
      <c r="K8" s="46" t="str">
        <f ca="1">IFERROR(__xludf.DUMMYFUNCTION("""COMPUTED_VALUE"""),"STR")</f>
        <v>STR</v>
      </c>
      <c r="L8" s="46" t="str">
        <f ca="1">IFERROR(__xludf.DUMMYFUNCTION("""COMPUTED_VALUE"""),"PTE")</f>
        <v>PTE</v>
      </c>
      <c r="M8" s="46" t="str">
        <f ca="1">IFERROR(__xludf.DUMMYFUNCTION("""COMPUTED_VALUE"""),"Leave")</f>
        <v>Leave</v>
      </c>
      <c r="N8" s="46" t="str">
        <f ca="1">IFERROR(__xludf.DUMMYFUNCTION("""COMPUTED_VALUE"""),"x")</f>
        <v>x</v>
      </c>
    </row>
    <row r="9" spans="1:26">
      <c r="A9" s="45"/>
      <c r="B9" s="45" t="str">
        <f ca="1">IFERROR(__xludf.DUMMYFUNCTION("""COMPUTED_VALUE"""),"Đã nghỉ")</f>
        <v>Đã nghỉ</v>
      </c>
      <c r="C9" s="46">
        <f ca="1">IFERROR(__xludf.DUMMYFUNCTION("""COMPUTED_VALUE"""),10)</f>
        <v>10</v>
      </c>
      <c r="D9" s="47" t="str">
        <f ca="1">IFERROR(__xludf.DUMMYFUNCTION("""COMPUTED_VALUE"""),"x")</f>
        <v>x</v>
      </c>
      <c r="E9" s="46" t="str">
        <f ca="1">IFERROR(__xludf.DUMMYFUNCTION("""COMPUTED_VALUE"""),"NGUYỄN QUỲNH TRANG")</f>
        <v>NGUYỄN QUỲNH TRANG</v>
      </c>
      <c r="F9" s="46" t="str">
        <f ca="1">IFERROR(__xludf.DUMMYFUNCTION("""COMPUTED_VALUE"""),"NGUYEN QUYNH TRANG")</f>
        <v>NGUYEN QUYNH TRANG</v>
      </c>
      <c r="G9" s="45">
        <f ca="1">IFERROR(__xludf.DUMMYFUNCTION("""COMPUTED_VALUE"""),36542.625)</f>
        <v>36542.625</v>
      </c>
      <c r="H9" s="45" t="str">
        <f ca="1">IFERROR(__xludf.DUMMYFUNCTION("""COMPUTED_VALUE"""),"TLC")</f>
        <v>TLC</v>
      </c>
      <c r="I9" s="46" t="str">
        <f ca="1">IFERROR(__xludf.DUMMYFUNCTION("""COMPUTED_VALUE"""),"STORE")</f>
        <v>STORE</v>
      </c>
      <c r="J9" s="46" t="str">
        <f ca="1">IFERROR(__xludf.DUMMYFUNCTION("""COMPUTED_VALUE"""),"BLANK HN")</f>
        <v>BLANK HN</v>
      </c>
      <c r="K9" s="46" t="str">
        <f ca="1">IFERROR(__xludf.DUMMYFUNCTION("""COMPUTED_VALUE"""),"STR")</f>
        <v>STR</v>
      </c>
      <c r="L9" s="46" t="str">
        <f ca="1">IFERROR(__xludf.DUMMYFUNCTION("""COMPUTED_VALUE"""),"PTE")</f>
        <v>PTE</v>
      </c>
      <c r="M9" s="46" t="str">
        <f ca="1">IFERROR(__xludf.DUMMYFUNCTION("""COMPUTED_VALUE"""),"Leave")</f>
        <v>Leave</v>
      </c>
      <c r="N9" s="46" t="str">
        <f ca="1">IFERROR(__xludf.DUMMYFUNCTION("""COMPUTED_VALUE"""),"x")</f>
        <v>x</v>
      </c>
    </row>
    <row r="10" spans="1:26">
      <c r="A10" s="45"/>
      <c r="B10" s="45" t="str">
        <f ca="1">IFERROR(__xludf.DUMMYFUNCTION("""COMPUTED_VALUE"""),"Đã nghỉ")</f>
        <v>Đã nghỉ</v>
      </c>
      <c r="C10" s="46">
        <f ca="1">IFERROR(__xludf.DUMMYFUNCTION("""COMPUTED_VALUE"""),11)</f>
        <v>11</v>
      </c>
      <c r="D10" s="47" t="str">
        <f ca="1">IFERROR(__xludf.DUMMYFUNCTION("""COMPUTED_VALUE"""),"x")</f>
        <v>x</v>
      </c>
      <c r="E10" s="46" t="str">
        <f ca="1">IFERROR(__xludf.DUMMYFUNCTION("""COMPUTED_VALUE"""),"TRẦN THỊ HUYỀN")</f>
        <v>TRẦN THỊ HUYỀN</v>
      </c>
      <c r="F10" s="46" t="str">
        <f ca="1">IFERROR(__xludf.DUMMYFUNCTION("""COMPUTED_VALUE"""),"TRAN THI HUYEN")</f>
        <v>TRAN THI HUYEN</v>
      </c>
      <c r="G10" s="45"/>
      <c r="H10" s="45" t="str">
        <f ca="1">IFERROR(__xludf.DUMMYFUNCTION("""COMPUTED_VALUE"""),"TLC")</f>
        <v>TLC</v>
      </c>
      <c r="I10" s="46" t="str">
        <f ca="1">IFERROR(__xludf.DUMMYFUNCTION("""COMPUTED_VALUE"""),"STORE")</f>
        <v>STORE</v>
      </c>
      <c r="J10" s="46" t="str">
        <f ca="1">IFERROR(__xludf.DUMMYFUNCTION("""COMPUTED_VALUE"""),"BLANK HN")</f>
        <v>BLANK HN</v>
      </c>
      <c r="K10" s="46" t="str">
        <f ca="1">IFERROR(__xludf.DUMMYFUNCTION("""COMPUTED_VALUE"""),"STR")</f>
        <v>STR</v>
      </c>
      <c r="L10" s="46" t="str">
        <f ca="1">IFERROR(__xludf.DUMMYFUNCTION("""COMPUTED_VALUE"""),"PTE")</f>
        <v>PTE</v>
      </c>
      <c r="M10" s="46" t="str">
        <f ca="1">IFERROR(__xludf.DUMMYFUNCTION("""COMPUTED_VALUE"""),"Leave")</f>
        <v>Leave</v>
      </c>
      <c r="N10" s="46" t="str">
        <f ca="1">IFERROR(__xludf.DUMMYFUNCTION("""COMPUTED_VALUE"""),"x")</f>
        <v>x</v>
      </c>
    </row>
    <row r="11" spans="1:26">
      <c r="A11" s="45"/>
      <c r="B11" s="45" t="str">
        <f ca="1">IFERROR(__xludf.DUMMYFUNCTION("""COMPUTED_VALUE"""),"Đã nghỉ")</f>
        <v>Đã nghỉ</v>
      </c>
      <c r="C11" s="46">
        <f ca="1">IFERROR(__xludf.DUMMYFUNCTION("""COMPUTED_VALUE"""),12)</f>
        <v>12</v>
      </c>
      <c r="D11" s="47" t="str">
        <f ca="1">IFERROR(__xludf.DUMMYFUNCTION("""COMPUTED_VALUE"""),"x")</f>
        <v>x</v>
      </c>
      <c r="E11" s="46" t="str">
        <f ca="1">IFERROR(__xludf.DUMMYFUNCTION("""COMPUTED_VALUE"""),"TRIỆU QUANG TẤN")</f>
        <v>TRIỆU QUANG TẤN</v>
      </c>
      <c r="F11" s="46" t="str">
        <f ca="1">IFERROR(__xludf.DUMMYFUNCTION("""COMPUTED_VALUE"""),"TRIEU QUANG TAN")</f>
        <v>TRIEU QUANG TAN</v>
      </c>
      <c r="G11" s="45"/>
      <c r="H11" s="45" t="str">
        <f ca="1">IFERROR(__xludf.DUMMYFUNCTION("""COMPUTED_VALUE"""),"TLC")</f>
        <v>TLC</v>
      </c>
      <c r="I11" s="46" t="str">
        <f ca="1">IFERROR(__xludf.DUMMYFUNCTION("""COMPUTED_VALUE"""),"STORE")</f>
        <v>STORE</v>
      </c>
      <c r="J11" s="46" t="str">
        <f ca="1">IFERROR(__xludf.DUMMYFUNCTION("""COMPUTED_VALUE"""),"BLANK LOUNGE")</f>
        <v>BLANK LOUNGE</v>
      </c>
      <c r="K11" s="46" t="str">
        <f ca="1">IFERROR(__xludf.DUMMYFUNCTION("""COMPUTED_VALUE"""),"STR")</f>
        <v>STR</v>
      </c>
      <c r="L11" s="46" t="str">
        <f ca="1">IFERROR(__xludf.DUMMYFUNCTION("""COMPUTED_VALUE"""),"PTE")</f>
        <v>PTE</v>
      </c>
      <c r="M11" s="46" t="str">
        <f ca="1">IFERROR(__xludf.DUMMYFUNCTION("""COMPUTED_VALUE"""),"Leave")</f>
        <v>Leave</v>
      </c>
      <c r="N11" s="46" t="str">
        <f ca="1">IFERROR(__xludf.DUMMYFUNCTION("""COMPUTED_VALUE"""),"x")</f>
        <v>x</v>
      </c>
    </row>
    <row r="12" spans="1:26">
      <c r="A12" s="45"/>
      <c r="B12" s="45" t="str">
        <f ca="1">IFERROR(__xludf.DUMMYFUNCTION("""COMPUTED_VALUE"""),"Đã nghỉ")</f>
        <v>Đã nghỉ</v>
      </c>
      <c r="C12" s="46">
        <f ca="1">IFERROR(__xludf.DUMMYFUNCTION("""COMPUTED_VALUE"""),13)</f>
        <v>13</v>
      </c>
      <c r="D12" s="47" t="str">
        <f ca="1">IFERROR(__xludf.DUMMYFUNCTION("""COMPUTED_VALUE"""),"x")</f>
        <v>x</v>
      </c>
      <c r="E12" s="46" t="str">
        <f ca="1">IFERROR(__xludf.DUMMYFUNCTION("""COMPUTED_VALUE"""),"TRỊNH NGỌC BẢO")</f>
        <v>TRỊNH NGỌC BẢO</v>
      </c>
      <c r="F12" s="46" t="str">
        <f ca="1">IFERROR(__xludf.DUMMYFUNCTION("""COMPUTED_VALUE"""),"TRINH NGOC BAO")</f>
        <v>TRINH NGOC BAO</v>
      </c>
      <c r="G12" s="45"/>
      <c r="H12" s="45" t="str">
        <f ca="1">IFERROR(__xludf.DUMMYFUNCTION("""COMPUTED_VALUE"""),"TLC")</f>
        <v>TLC</v>
      </c>
      <c r="I12" s="46" t="str">
        <f ca="1">IFERROR(__xludf.DUMMYFUNCTION("""COMPUTED_VALUE"""),"STORE")</f>
        <v>STORE</v>
      </c>
      <c r="J12" s="46" t="str">
        <f ca="1">IFERROR(__xludf.DUMMYFUNCTION("""COMPUTED_VALUE"""),"BLANK LOUNGE")</f>
        <v>BLANK LOUNGE</v>
      </c>
      <c r="K12" s="46" t="str">
        <f ca="1">IFERROR(__xludf.DUMMYFUNCTION("""COMPUTED_VALUE"""),"STR")</f>
        <v>STR</v>
      </c>
      <c r="L12" s="46" t="str">
        <f ca="1">IFERROR(__xludf.DUMMYFUNCTION("""COMPUTED_VALUE"""),"PTE")</f>
        <v>PTE</v>
      </c>
      <c r="M12" s="46" t="str">
        <f ca="1">IFERROR(__xludf.DUMMYFUNCTION("""COMPUTED_VALUE"""),"Leave")</f>
        <v>Leave</v>
      </c>
      <c r="N12" s="46" t="str">
        <f ca="1">IFERROR(__xludf.DUMMYFUNCTION("""COMPUTED_VALUE"""),"x")</f>
        <v>x</v>
      </c>
    </row>
    <row r="13" spans="1:26">
      <c r="A13" s="45"/>
      <c r="B13" s="45" t="str">
        <f ca="1">IFERROR(__xludf.DUMMYFUNCTION("""COMPUTED_VALUE"""),"Đã nghỉ")</f>
        <v>Đã nghỉ</v>
      </c>
      <c r="C13" s="46">
        <f ca="1">IFERROR(__xludf.DUMMYFUNCTION("""COMPUTED_VALUE"""),14)</f>
        <v>14</v>
      </c>
      <c r="D13" s="47" t="str">
        <f ca="1">IFERROR(__xludf.DUMMYFUNCTION("""COMPUTED_VALUE"""),"x")</f>
        <v>x</v>
      </c>
      <c r="E13" s="46" t="str">
        <f ca="1">IFERROR(__xludf.DUMMYFUNCTION("""COMPUTED_VALUE"""),"NGUYỄN HUỲNH TRÚC TÂM")</f>
        <v>NGUYỄN HUỲNH TRÚC TÂM</v>
      </c>
      <c r="F13" s="46" t="str">
        <f ca="1">IFERROR(__xludf.DUMMYFUNCTION("""COMPUTED_VALUE"""),"NGUYEN HUYNH TRUC TAM")</f>
        <v>NGUYEN HUYNH TRUC TAM</v>
      </c>
      <c r="G13" s="45">
        <f ca="1">IFERROR(__xludf.DUMMYFUNCTION("""COMPUTED_VALUE"""),36814.5833333333)</f>
        <v>36814.583333333299</v>
      </c>
      <c r="H13" s="45" t="str">
        <f ca="1">IFERROR(__xludf.DUMMYFUNCTION("""COMPUTED_VALUE"""),"TLC")</f>
        <v>TLC</v>
      </c>
      <c r="I13" s="46" t="str">
        <f ca="1">IFERROR(__xludf.DUMMYFUNCTION("""COMPUTED_VALUE"""),"STORE")</f>
        <v>STORE</v>
      </c>
      <c r="J13" s="46" t="str">
        <f ca="1">IFERROR(__xludf.DUMMYFUNCTION("""COMPUTED_VALUE"""),"BLANK LOUNGE")</f>
        <v>BLANK LOUNGE</v>
      </c>
      <c r="K13" s="46" t="str">
        <f ca="1">IFERROR(__xludf.DUMMYFUNCTION("""COMPUTED_VALUE"""),"STR")</f>
        <v>STR</v>
      </c>
      <c r="L13" s="46" t="str">
        <f ca="1">IFERROR(__xludf.DUMMYFUNCTION("""COMPUTED_VALUE"""),"PTE")</f>
        <v>PTE</v>
      </c>
      <c r="M13" s="46" t="str">
        <f ca="1">IFERROR(__xludf.DUMMYFUNCTION("""COMPUTED_VALUE"""),"Leave")</f>
        <v>Leave</v>
      </c>
      <c r="N13" s="46" t="str">
        <f ca="1">IFERROR(__xludf.DUMMYFUNCTION("""COMPUTED_VALUE"""),"x")</f>
        <v>x</v>
      </c>
    </row>
    <row r="14" spans="1:26">
      <c r="A14" s="45"/>
      <c r="B14" s="45" t="str">
        <f ca="1">IFERROR(__xludf.DUMMYFUNCTION("""COMPUTED_VALUE"""),"Đã nghỉ")</f>
        <v>Đã nghỉ</v>
      </c>
      <c r="C14" s="46">
        <f ca="1">IFERROR(__xludf.DUMMYFUNCTION("""COMPUTED_VALUE"""),15)</f>
        <v>15</v>
      </c>
      <c r="D14" s="47" t="str">
        <f ca="1">IFERROR(__xludf.DUMMYFUNCTION("""COMPUTED_VALUE"""),"x")</f>
        <v>x</v>
      </c>
      <c r="E14" s="46" t="str">
        <f ca="1">IFERROR(__xludf.DUMMYFUNCTION("""COMPUTED_VALUE"""),"TRẦN GIA HUY")</f>
        <v>TRẦN GIA HUY</v>
      </c>
      <c r="F14" s="46" t="str">
        <f ca="1">IFERROR(__xludf.DUMMYFUNCTION("""COMPUTED_VALUE"""),"TRAN GIA HUY")</f>
        <v>TRAN GIA HUY</v>
      </c>
      <c r="G14" s="45">
        <f ca="1">IFERROR(__xludf.DUMMYFUNCTION("""COMPUTED_VALUE"""),36784.5833333333)</f>
        <v>36784.583333333299</v>
      </c>
      <c r="H14" s="45"/>
      <c r="I14" s="46"/>
      <c r="J14" s="46"/>
      <c r="K14" s="46"/>
      <c r="L14" s="46" t="str">
        <f ca="1">IFERROR(__xludf.DUMMYFUNCTION("""COMPUTED_VALUE"""),"PTE")</f>
        <v>PTE</v>
      </c>
      <c r="M14" s="46" t="str">
        <f ca="1">IFERROR(__xludf.DUMMYFUNCTION("""COMPUTED_VALUE"""),"Leave")</f>
        <v>Leave</v>
      </c>
      <c r="N14" s="46" t="str">
        <f ca="1">IFERROR(__xludf.DUMMYFUNCTION("""COMPUTED_VALUE"""),"x")</f>
        <v>x</v>
      </c>
    </row>
    <row r="15" spans="1:26">
      <c r="A15" s="45"/>
      <c r="B15" s="45">
        <f ca="1">IFERROR(__xludf.DUMMYFUNCTION("""COMPUTED_VALUE"""),45292.625)</f>
        <v>45292.625</v>
      </c>
      <c r="C15" s="46">
        <f ca="1">IFERROR(__xludf.DUMMYFUNCTION("""COMPUTED_VALUE"""),16)</f>
        <v>16</v>
      </c>
      <c r="D15" s="47" t="str">
        <f ca="1">IFERROR(__xludf.DUMMYFUNCTION("""COMPUTED_VALUE"""),"HN001")</f>
        <v>HN001</v>
      </c>
      <c r="E15" s="46" t="str">
        <f ca="1">IFERROR(__xludf.DUMMYFUNCTION("""COMPUTED_VALUE"""),"LÊ THU QUỲNH")</f>
        <v>LÊ THU QUỲNH</v>
      </c>
      <c r="F15" s="46" t="str">
        <f ca="1">IFERROR(__xludf.DUMMYFUNCTION("""COMPUTED_VALUE"""),"LE THU QUYNH")</f>
        <v>LE THU QUYNH</v>
      </c>
      <c r="G15" s="45">
        <f ca="1">IFERROR(__xludf.DUMMYFUNCTION("""COMPUTED_VALUE"""),35622.5833333333)</f>
        <v>35622.583333333299</v>
      </c>
      <c r="H15" s="45" t="str">
        <f ca="1">IFERROR(__xludf.DUMMYFUNCTION("""COMPUTED_VALUE"""),"TLC")</f>
        <v>TLC</v>
      </c>
      <c r="I15" s="46" t="str">
        <f ca="1">IFERROR(__xludf.DUMMYFUNCTION("""COMPUTED_VALUE"""),"STORE")</f>
        <v>STORE</v>
      </c>
      <c r="J15" s="46" t="str">
        <f ca="1">IFERROR(__xludf.DUMMYFUNCTION("""COMPUTED_VALUE"""),"BLANK HN")</f>
        <v>BLANK HN</v>
      </c>
      <c r="K15" s="46" t="str">
        <f ca="1">IFERROR(__xludf.DUMMYFUNCTION("""COMPUTED_VALUE"""),"STR")</f>
        <v>STR</v>
      </c>
      <c r="L15" s="46" t="str">
        <f ca="1">IFERROR(__xludf.DUMMYFUNCTION("""COMPUTED_VALUE"""),"PTE")</f>
        <v>PTE</v>
      </c>
      <c r="M15" s="46" t="str">
        <f ca="1">IFERROR(__xludf.DUMMYFUNCTION("""COMPUTED_VALUE"""),"Leave")</f>
        <v>Leave</v>
      </c>
      <c r="N15" s="46" t="str">
        <f ca="1">IFERROR(__xludf.DUMMYFUNCTION("""COMPUTED_VALUE"""),"x")</f>
        <v>x</v>
      </c>
    </row>
    <row r="16" spans="1:26">
      <c r="A16" s="45"/>
      <c r="B16" s="45">
        <f ca="1">IFERROR(__xludf.DUMMYFUNCTION("""COMPUTED_VALUE"""),45292.625)</f>
        <v>45292.625</v>
      </c>
      <c r="C16" s="46">
        <f ca="1">IFERROR(__xludf.DUMMYFUNCTION("""COMPUTED_VALUE"""),17)</f>
        <v>17</v>
      </c>
      <c r="D16" s="47" t="str">
        <f ca="1">IFERROR(__xludf.DUMMYFUNCTION("""COMPUTED_VALUE"""),"HN002")</f>
        <v>HN002</v>
      </c>
      <c r="E16" s="46" t="str">
        <f ca="1">IFERROR(__xludf.DUMMYFUNCTION("""COMPUTED_VALUE"""),"VŨ THẾ MINH HIẾU")</f>
        <v>VŨ THẾ MINH HIẾU</v>
      </c>
      <c r="F16" s="46" t="str">
        <f ca="1">IFERROR(__xludf.DUMMYFUNCTION("""COMPUTED_VALUE"""),"VU THE MINH HIEU")</f>
        <v>VU THE MINH HIEU</v>
      </c>
      <c r="G16" s="45">
        <f ca="1">IFERROR(__xludf.DUMMYFUNCTION("""COMPUTED_VALUE"""),36390.5833333333)</f>
        <v>36390.583333333299</v>
      </c>
      <c r="H16" s="45" t="str">
        <f ca="1">IFERROR(__xludf.DUMMYFUNCTION("""COMPUTED_VALUE"""),"TLC")</f>
        <v>TLC</v>
      </c>
      <c r="I16" s="46" t="str">
        <f ca="1">IFERROR(__xludf.DUMMYFUNCTION("""COMPUTED_VALUE"""),"STORE")</f>
        <v>STORE</v>
      </c>
      <c r="J16" s="46" t="str">
        <f ca="1">IFERROR(__xludf.DUMMYFUNCTION("""COMPUTED_VALUE"""),"BLANK HN")</f>
        <v>BLANK HN</v>
      </c>
      <c r="K16" s="46" t="str">
        <f ca="1">IFERROR(__xludf.DUMMYFUNCTION("""COMPUTED_VALUE"""),"STR")</f>
        <v>STR</v>
      </c>
      <c r="L16" s="46" t="str">
        <f ca="1">IFERROR(__xludf.DUMMYFUNCTION("""COMPUTED_VALUE"""),"PTE")</f>
        <v>PTE</v>
      </c>
      <c r="M16" s="46" t="str">
        <f ca="1">IFERROR(__xludf.DUMMYFUNCTION("""COMPUTED_VALUE"""),"Leave")</f>
        <v>Leave</v>
      </c>
      <c r="N16" s="46" t="str">
        <f ca="1">IFERROR(__xludf.DUMMYFUNCTION("""COMPUTED_VALUE"""),"x")</f>
        <v>x</v>
      </c>
    </row>
    <row r="17" spans="1:14">
      <c r="A17" s="45"/>
      <c r="B17" s="45" t="str">
        <f ca="1">IFERROR(__xludf.DUMMYFUNCTION("""COMPUTED_VALUE"""),"Đã nghỉ")</f>
        <v>Đã nghỉ</v>
      </c>
      <c r="C17" s="46">
        <f ca="1">IFERROR(__xludf.DUMMYFUNCTION("""COMPUTED_VALUE"""),18)</f>
        <v>18</v>
      </c>
      <c r="D17" s="47" t="str">
        <f ca="1">IFERROR(__xludf.DUMMYFUNCTION("""COMPUTED_VALUE"""),"HN003")</f>
        <v>HN003</v>
      </c>
      <c r="E17" s="46" t="str">
        <f ca="1">IFERROR(__xludf.DUMMYFUNCTION("""COMPUTED_VALUE"""),"TRỊNH NGỌC TRINH")</f>
        <v>TRỊNH NGỌC TRINH</v>
      </c>
      <c r="F17" s="46" t="str">
        <f ca="1">IFERROR(__xludf.DUMMYFUNCTION("""COMPUTED_VALUE"""),"TRINH NGOC TRINH")</f>
        <v>TRINH NGOC TRINH</v>
      </c>
      <c r="G17" s="45"/>
      <c r="H17" s="45" t="str">
        <f ca="1">IFERROR(__xludf.DUMMYFUNCTION("""COMPUTED_VALUE"""),"BAKES")</f>
        <v>BAKES</v>
      </c>
      <c r="I17" s="46" t="str">
        <f ca="1">IFERROR(__xludf.DUMMYFUNCTION("""COMPUTED_VALUE"""),"STORE")</f>
        <v>STORE</v>
      </c>
      <c r="J17" s="46" t="str">
        <f ca="1">IFERROR(__xludf.DUMMYFUNCTION("""COMPUTED_VALUE"""),"BAKES D2")</f>
        <v>BAKES D2</v>
      </c>
      <c r="K17" s="46" t="str">
        <f ca="1">IFERROR(__xludf.DUMMYFUNCTION("""COMPUTED_VALUE"""),"STR")</f>
        <v>STR</v>
      </c>
      <c r="L17" s="46" t="str">
        <f ca="1">IFERROR(__xludf.DUMMYFUNCTION("""COMPUTED_VALUE"""),"PTE")</f>
        <v>PTE</v>
      </c>
      <c r="M17" s="46" t="str">
        <f ca="1">IFERROR(__xludf.DUMMYFUNCTION("""COMPUTED_VALUE"""),"Leave")</f>
        <v>Leave</v>
      </c>
      <c r="N17" s="46" t="str">
        <f ca="1">IFERROR(__xludf.DUMMYFUNCTION("""COMPUTED_VALUE"""),"x")</f>
        <v>x</v>
      </c>
    </row>
    <row r="18" spans="1:14">
      <c r="A18" s="45"/>
      <c r="B18" s="45" t="str">
        <f ca="1">IFERROR(__xludf.DUMMYFUNCTION("""COMPUTED_VALUE"""),"Đã nghỉ")</f>
        <v>Đã nghỉ</v>
      </c>
      <c r="C18" s="46">
        <f ca="1">IFERROR(__xludf.DUMMYFUNCTION("""COMPUTED_VALUE"""),19)</f>
        <v>19</v>
      </c>
      <c r="D18" s="47" t="str">
        <f ca="1">IFERROR(__xludf.DUMMYFUNCTION("""COMPUTED_VALUE"""),"HN004")</f>
        <v>HN004</v>
      </c>
      <c r="E18" s="46" t="str">
        <f ca="1">IFERROR(__xludf.DUMMYFUNCTION("""COMPUTED_VALUE"""),"NGUYỄN THỊ THANH THẢO")</f>
        <v>NGUYỄN THỊ THANH THẢO</v>
      </c>
      <c r="F18" s="46" t="str">
        <f ca="1">IFERROR(__xludf.DUMMYFUNCTION("""COMPUTED_VALUE"""),"NGUYEN THI THANH THAO")</f>
        <v>NGUYEN THI THANH THAO</v>
      </c>
      <c r="G18" s="45">
        <f ca="1">IFERROR(__xludf.DUMMYFUNCTION("""COMPUTED_VALUE"""),37223.625)</f>
        <v>37223.625</v>
      </c>
      <c r="H18" s="45" t="str">
        <f ca="1">IFERROR(__xludf.DUMMYFUNCTION("""COMPUTED_VALUE"""),"TLC")</f>
        <v>TLC</v>
      </c>
      <c r="I18" s="46" t="str">
        <f ca="1">IFERROR(__xludf.DUMMYFUNCTION("""COMPUTED_VALUE"""),"STORE")</f>
        <v>STORE</v>
      </c>
      <c r="J18" s="46" t="str">
        <f ca="1">IFERROR(__xludf.DUMMYFUNCTION("""COMPUTED_VALUE"""),"BLANK HN")</f>
        <v>BLANK HN</v>
      </c>
      <c r="K18" s="46" t="str">
        <f ca="1">IFERROR(__xludf.DUMMYFUNCTION("""COMPUTED_VALUE"""),"KIT")</f>
        <v>KIT</v>
      </c>
      <c r="L18" s="46" t="str">
        <f ca="1">IFERROR(__xludf.DUMMYFUNCTION("""COMPUTED_VALUE"""),"PTE")</f>
        <v>PTE</v>
      </c>
      <c r="M18" s="46" t="str">
        <f ca="1">IFERROR(__xludf.DUMMYFUNCTION("""COMPUTED_VALUE"""),"Leave")</f>
        <v>Leave</v>
      </c>
      <c r="N18" s="46" t="str">
        <f ca="1">IFERROR(__xludf.DUMMYFUNCTION("""COMPUTED_VALUE"""),"x")</f>
        <v>x</v>
      </c>
    </row>
    <row r="19" spans="1:14">
      <c r="A19" s="45"/>
      <c r="B19" s="45" t="str">
        <f ca="1">IFERROR(__xludf.DUMMYFUNCTION("""COMPUTED_VALUE"""),"Đã nghỉ")</f>
        <v>Đã nghỉ</v>
      </c>
      <c r="C19" s="46">
        <f ca="1">IFERROR(__xludf.DUMMYFUNCTION("""COMPUTED_VALUE"""),20)</f>
        <v>20</v>
      </c>
      <c r="D19" s="47" t="str">
        <f ca="1">IFERROR(__xludf.DUMMYFUNCTION("""COMPUTED_VALUE"""),"HN006")</f>
        <v>HN006</v>
      </c>
      <c r="E19" s="46" t="str">
        <f ca="1">IFERROR(__xludf.DUMMYFUNCTION("""COMPUTED_VALUE"""),"HOÀNG HẢI NAM")</f>
        <v>HOÀNG HẢI NAM</v>
      </c>
      <c r="F19" s="46" t="str">
        <f ca="1">IFERROR(__xludf.DUMMYFUNCTION("""COMPUTED_VALUE"""),"HOANG HAI NAM")</f>
        <v>HOANG HAI NAM</v>
      </c>
      <c r="G19" s="45"/>
      <c r="H19" s="45" t="str">
        <f ca="1">IFERROR(__xludf.DUMMYFUNCTION("""COMPUTED_VALUE"""),"TLC")</f>
        <v>TLC</v>
      </c>
      <c r="I19" s="46" t="str">
        <f ca="1">IFERROR(__xludf.DUMMYFUNCTION("""COMPUTED_VALUE"""),"STORE")</f>
        <v>STORE</v>
      </c>
      <c r="J19" s="46" t="str">
        <f ca="1">IFERROR(__xludf.DUMMYFUNCTION("""COMPUTED_VALUE"""),"BLANK HN")</f>
        <v>BLANK HN</v>
      </c>
      <c r="K19" s="46" t="str">
        <f ca="1">IFERROR(__xludf.DUMMYFUNCTION("""COMPUTED_VALUE"""),"STR")</f>
        <v>STR</v>
      </c>
      <c r="L19" s="46" t="str">
        <f ca="1">IFERROR(__xludf.DUMMYFUNCTION("""COMPUTED_VALUE"""),"PTE")</f>
        <v>PTE</v>
      </c>
      <c r="M19" s="46" t="str">
        <f ca="1">IFERROR(__xludf.DUMMYFUNCTION("""COMPUTED_VALUE"""),"Leave")</f>
        <v>Leave</v>
      </c>
      <c r="N19" s="46" t="str">
        <f ca="1">IFERROR(__xludf.DUMMYFUNCTION("""COMPUTED_VALUE"""),"x")</f>
        <v>x</v>
      </c>
    </row>
    <row r="20" spans="1:14">
      <c r="A20" s="45"/>
      <c r="B20" s="45" t="str">
        <f ca="1">IFERROR(__xludf.DUMMYFUNCTION("""COMPUTED_VALUE"""),"Đã nghỉ")</f>
        <v>Đã nghỉ</v>
      </c>
      <c r="C20" s="46">
        <f ca="1">IFERROR(__xludf.DUMMYFUNCTION("""COMPUTED_VALUE"""),21)</f>
        <v>21</v>
      </c>
      <c r="D20" s="47" t="str">
        <f ca="1">IFERROR(__xludf.DUMMYFUNCTION("""COMPUTED_VALUE"""),"HN007")</f>
        <v>HN007</v>
      </c>
      <c r="E20" s="46" t="str">
        <f ca="1">IFERROR(__xludf.DUMMYFUNCTION("""COMPUTED_VALUE"""),"VŨ VIỆT ANH")</f>
        <v>VŨ VIỆT ANH</v>
      </c>
      <c r="F20" s="46" t="str">
        <f ca="1">IFERROR(__xludf.DUMMYFUNCTION("""COMPUTED_VALUE"""),"VU VIET ANH")</f>
        <v>VU VIET ANH</v>
      </c>
      <c r="G20" s="45">
        <f ca="1">IFERROR(__xludf.DUMMYFUNCTION("""COMPUTED_VALUE"""),37006.5833333333)</f>
        <v>37006.583333333299</v>
      </c>
      <c r="H20" s="45" t="str">
        <f ca="1">IFERROR(__xludf.DUMMYFUNCTION("""COMPUTED_VALUE"""),"TLC")</f>
        <v>TLC</v>
      </c>
      <c r="I20" s="46" t="str">
        <f ca="1">IFERROR(__xludf.DUMMYFUNCTION("""COMPUTED_VALUE"""),"STORE")</f>
        <v>STORE</v>
      </c>
      <c r="J20" s="46" t="str">
        <f ca="1">IFERROR(__xludf.DUMMYFUNCTION("""COMPUTED_VALUE"""),"BLANK HN")</f>
        <v>BLANK HN</v>
      </c>
      <c r="K20" s="46" t="str">
        <f ca="1">IFERROR(__xludf.DUMMYFUNCTION("""COMPUTED_VALUE"""),"STR")</f>
        <v>STR</v>
      </c>
      <c r="L20" s="46" t="str">
        <f ca="1">IFERROR(__xludf.DUMMYFUNCTION("""COMPUTED_VALUE"""),"PTE")</f>
        <v>PTE</v>
      </c>
      <c r="M20" s="46" t="str">
        <f ca="1">IFERROR(__xludf.DUMMYFUNCTION("""COMPUTED_VALUE"""),"Leave")</f>
        <v>Leave</v>
      </c>
      <c r="N20" s="46" t="str">
        <f ca="1">IFERROR(__xludf.DUMMYFUNCTION("""COMPUTED_VALUE"""),"x")</f>
        <v>x</v>
      </c>
    </row>
    <row r="21" spans="1:14">
      <c r="A21" s="45"/>
      <c r="B21" s="45">
        <f ca="1">IFERROR(__xludf.DUMMYFUNCTION("""COMPUTED_VALUE"""),45292.625)</f>
        <v>45292.625</v>
      </c>
      <c r="C21" s="46">
        <f ca="1">IFERROR(__xludf.DUMMYFUNCTION("""COMPUTED_VALUE"""),22)</f>
        <v>22</v>
      </c>
      <c r="D21" s="47" t="str">
        <f ca="1">IFERROR(__xludf.DUMMYFUNCTION("""COMPUTED_VALUE"""),"HN008")</f>
        <v>HN008</v>
      </c>
      <c r="E21" s="46" t="str">
        <f ca="1">IFERROR(__xludf.DUMMYFUNCTION("""COMPUTED_VALUE"""),"CAM MINH TRƯỜNG")</f>
        <v>CAM MINH TRƯỜNG</v>
      </c>
      <c r="F21" s="46" t="str">
        <f ca="1">IFERROR(__xludf.DUMMYFUNCTION("""COMPUTED_VALUE"""),"CAM MINH TRUONG")</f>
        <v>CAM MINH TRUONG</v>
      </c>
      <c r="G21" s="45">
        <f ca="1">IFERROR(__xludf.DUMMYFUNCTION("""COMPUTED_VALUE"""),36789.5833333333)</f>
        <v>36789.583333333299</v>
      </c>
      <c r="H21" s="45" t="str">
        <f ca="1">IFERROR(__xludf.DUMMYFUNCTION("""COMPUTED_VALUE"""),"TLC")</f>
        <v>TLC</v>
      </c>
      <c r="I21" s="46" t="str">
        <f ca="1">IFERROR(__xludf.DUMMYFUNCTION("""COMPUTED_VALUE"""),"STORE")</f>
        <v>STORE</v>
      </c>
      <c r="J21" s="46" t="str">
        <f ca="1">IFERROR(__xludf.DUMMYFUNCTION("""COMPUTED_VALUE"""),"BLANK HN")</f>
        <v>BLANK HN</v>
      </c>
      <c r="K21" s="46" t="str">
        <f ca="1">IFERROR(__xludf.DUMMYFUNCTION("""COMPUTED_VALUE"""),"STR")</f>
        <v>STR</v>
      </c>
      <c r="L21" s="46" t="str">
        <f ca="1">IFERROR(__xludf.DUMMYFUNCTION("""COMPUTED_VALUE"""),"PTE")</f>
        <v>PTE</v>
      </c>
      <c r="M21" s="46" t="str">
        <f ca="1">IFERROR(__xludf.DUMMYFUNCTION("""COMPUTED_VALUE"""),"Leave")</f>
        <v>Leave</v>
      </c>
      <c r="N21" s="46" t="str">
        <f ca="1">IFERROR(__xludf.DUMMYFUNCTION("""COMPUTED_VALUE"""),"x")</f>
        <v>x</v>
      </c>
    </row>
    <row r="22" spans="1:14">
      <c r="A22" s="45"/>
      <c r="B22" s="45" t="str">
        <f ca="1">IFERROR(__xludf.DUMMYFUNCTION("""COMPUTED_VALUE"""),"Đã nghỉ")</f>
        <v>Đã nghỉ</v>
      </c>
      <c r="C22" s="46">
        <f ca="1">IFERROR(__xludf.DUMMYFUNCTION("""COMPUTED_VALUE"""),23)</f>
        <v>23</v>
      </c>
      <c r="D22" s="47" t="str">
        <f ca="1">IFERROR(__xludf.DUMMYFUNCTION("""COMPUTED_VALUE"""),"HN009")</f>
        <v>HN009</v>
      </c>
      <c r="E22" s="46" t="str">
        <f ca="1">IFERROR(__xludf.DUMMYFUNCTION("""COMPUTED_VALUE"""),"PHẠM TRÀ MY")</f>
        <v>PHẠM TRÀ MY</v>
      </c>
      <c r="F22" s="46" t="str">
        <f ca="1">IFERROR(__xludf.DUMMYFUNCTION("""COMPUTED_VALUE"""),"PHAM TRA MY")</f>
        <v>PHAM TRA MY</v>
      </c>
      <c r="G22" s="45">
        <f ca="1">IFERROR(__xludf.DUMMYFUNCTION("""COMPUTED_VALUE"""),37874.5833333333)</f>
        <v>37874.583333333299</v>
      </c>
      <c r="H22" s="45" t="str">
        <f ca="1">IFERROR(__xludf.DUMMYFUNCTION("""COMPUTED_VALUE"""),"TLC")</f>
        <v>TLC</v>
      </c>
      <c r="I22" s="46" t="str">
        <f ca="1">IFERROR(__xludf.DUMMYFUNCTION("""COMPUTED_VALUE"""),"STORE")</f>
        <v>STORE</v>
      </c>
      <c r="J22" s="46" t="str">
        <f ca="1">IFERROR(__xludf.DUMMYFUNCTION("""COMPUTED_VALUE"""),"BLANK HN")</f>
        <v>BLANK HN</v>
      </c>
      <c r="K22" s="46" t="str">
        <f ca="1">IFERROR(__xludf.DUMMYFUNCTION("""COMPUTED_VALUE"""),"STR")</f>
        <v>STR</v>
      </c>
      <c r="L22" s="46" t="str">
        <f ca="1">IFERROR(__xludf.DUMMYFUNCTION("""COMPUTED_VALUE"""),"PTE")</f>
        <v>PTE</v>
      </c>
      <c r="M22" s="46" t="str">
        <f ca="1">IFERROR(__xludf.DUMMYFUNCTION("""COMPUTED_VALUE"""),"Leave")</f>
        <v>Leave</v>
      </c>
      <c r="N22" s="46" t="str">
        <f ca="1">IFERROR(__xludf.DUMMYFUNCTION("""COMPUTED_VALUE"""),"x")</f>
        <v>x</v>
      </c>
    </row>
    <row r="23" spans="1:14">
      <c r="A23" s="45"/>
      <c r="B23" s="45" t="str">
        <f ca="1">IFERROR(__xludf.DUMMYFUNCTION("""COMPUTED_VALUE"""),"Đã nghỉ")</f>
        <v>Đã nghỉ</v>
      </c>
      <c r="C23" s="46">
        <f ca="1">IFERROR(__xludf.DUMMYFUNCTION("""COMPUTED_VALUE"""),24)</f>
        <v>24</v>
      </c>
      <c r="D23" s="47" t="str">
        <f ca="1">IFERROR(__xludf.DUMMYFUNCTION("""COMPUTED_VALUE"""),"HN010")</f>
        <v>HN010</v>
      </c>
      <c r="E23" s="46" t="str">
        <f ca="1">IFERROR(__xludf.DUMMYFUNCTION("""COMPUTED_VALUE"""),"KHOA THỊ BÍCH VÂN")</f>
        <v>KHOA THỊ BÍCH VÂN</v>
      </c>
      <c r="F23" s="46" t="str">
        <f ca="1">IFERROR(__xludf.DUMMYFUNCTION("""COMPUTED_VALUE"""),"KHOA THI BICH VAN")</f>
        <v>KHOA THI BICH VAN</v>
      </c>
      <c r="G23" s="45"/>
      <c r="H23" s="45" t="str">
        <f ca="1">IFERROR(__xludf.DUMMYFUNCTION("""COMPUTED_VALUE"""),"TLC")</f>
        <v>TLC</v>
      </c>
      <c r="I23" s="46" t="str">
        <f ca="1">IFERROR(__xludf.DUMMYFUNCTION("""COMPUTED_VALUE"""),"STORE")</f>
        <v>STORE</v>
      </c>
      <c r="J23" s="46" t="str">
        <f ca="1">IFERROR(__xludf.DUMMYFUNCTION("""COMPUTED_VALUE"""),"BLANK HN")</f>
        <v>BLANK HN</v>
      </c>
      <c r="K23" s="46" t="str">
        <f ca="1">IFERROR(__xludf.DUMMYFUNCTION("""COMPUTED_VALUE"""),"STR")</f>
        <v>STR</v>
      </c>
      <c r="L23" s="46" t="str">
        <f ca="1">IFERROR(__xludf.DUMMYFUNCTION("""COMPUTED_VALUE"""),"PTE")</f>
        <v>PTE</v>
      </c>
      <c r="M23" s="46" t="str">
        <f ca="1">IFERROR(__xludf.DUMMYFUNCTION("""COMPUTED_VALUE"""),"Leave")</f>
        <v>Leave</v>
      </c>
      <c r="N23" s="46" t="str">
        <f ca="1">IFERROR(__xludf.DUMMYFUNCTION("""COMPUTED_VALUE"""),"x")</f>
        <v>x</v>
      </c>
    </row>
    <row r="24" spans="1:14">
      <c r="A24" s="45"/>
      <c r="B24" s="45" t="str">
        <f ca="1">IFERROR(__xludf.DUMMYFUNCTION("""COMPUTED_VALUE"""),"Đã nghỉ")</f>
        <v>Đã nghỉ</v>
      </c>
      <c r="C24" s="46">
        <f ca="1">IFERROR(__xludf.DUMMYFUNCTION("""COMPUTED_VALUE"""),25)</f>
        <v>25</v>
      </c>
      <c r="D24" s="47" t="str">
        <f ca="1">IFERROR(__xludf.DUMMYFUNCTION("""COMPUTED_VALUE"""),"HN011")</f>
        <v>HN011</v>
      </c>
      <c r="E24" s="46" t="str">
        <f ca="1">IFERROR(__xludf.DUMMYFUNCTION("""COMPUTED_VALUE"""),"NGUYỄN TRÍ DŨNG")</f>
        <v>NGUYỄN TRÍ DŨNG</v>
      </c>
      <c r="F24" s="46" t="str">
        <f ca="1">IFERROR(__xludf.DUMMYFUNCTION("""COMPUTED_VALUE"""),"NGUYEN TRI DUNG")</f>
        <v>NGUYEN TRI DUNG</v>
      </c>
      <c r="G24" s="45">
        <f ca="1">IFERROR(__xludf.DUMMYFUNCTION("""COMPUTED_VALUE"""),38301.625)</f>
        <v>38301.625</v>
      </c>
      <c r="H24" s="45" t="str">
        <f ca="1">IFERROR(__xludf.DUMMYFUNCTION("""COMPUTED_VALUE"""),"TLC")</f>
        <v>TLC</v>
      </c>
      <c r="I24" s="46" t="str">
        <f ca="1">IFERROR(__xludf.DUMMYFUNCTION("""COMPUTED_VALUE"""),"STORE")</f>
        <v>STORE</v>
      </c>
      <c r="J24" s="46" t="str">
        <f ca="1">IFERROR(__xludf.DUMMYFUNCTION("""COMPUTED_VALUE"""),"BLANK HN")</f>
        <v>BLANK HN</v>
      </c>
      <c r="K24" s="46" t="str">
        <f ca="1">IFERROR(__xludf.DUMMYFUNCTION("""COMPUTED_VALUE"""),"STR")</f>
        <v>STR</v>
      </c>
      <c r="L24" s="46" t="str">
        <f ca="1">IFERROR(__xludf.DUMMYFUNCTION("""COMPUTED_VALUE"""),"PTE")</f>
        <v>PTE</v>
      </c>
      <c r="M24" s="46" t="str">
        <f ca="1">IFERROR(__xludf.DUMMYFUNCTION("""COMPUTED_VALUE"""),"Leave")</f>
        <v>Leave</v>
      </c>
      <c r="N24" s="46" t="str">
        <f ca="1">IFERROR(__xludf.DUMMYFUNCTION("""COMPUTED_VALUE"""),"x")</f>
        <v>x</v>
      </c>
    </row>
    <row r="25" spans="1:14">
      <c r="A25" s="45"/>
      <c r="B25" s="45">
        <f ca="1">IFERROR(__xludf.DUMMYFUNCTION("""COMPUTED_VALUE"""),45292.625)</f>
        <v>45292.625</v>
      </c>
      <c r="C25" s="46">
        <f ca="1">IFERROR(__xludf.DUMMYFUNCTION("""COMPUTED_VALUE"""),26)</f>
        <v>26</v>
      </c>
      <c r="D25" s="47" t="str">
        <f ca="1">IFERROR(__xludf.DUMMYFUNCTION("""COMPUTED_VALUE"""),"HN012")</f>
        <v>HN012</v>
      </c>
      <c r="E25" s="46" t="str">
        <f ca="1">IFERROR(__xludf.DUMMYFUNCTION("""COMPUTED_VALUE"""),"THÁI TRẦN BẢO HOÀNG")</f>
        <v>THÁI TRẦN BẢO HOÀNG</v>
      </c>
      <c r="F25" s="46" t="str">
        <f ca="1">IFERROR(__xludf.DUMMYFUNCTION("""COMPUTED_VALUE"""),"THAI TRAN BAO HOANG")</f>
        <v>THAI TRAN BAO HOANG</v>
      </c>
      <c r="G25" s="45">
        <f ca="1">IFERROR(__xludf.DUMMYFUNCTION("""COMPUTED_VALUE"""),38205.5833333333)</f>
        <v>38205.583333333299</v>
      </c>
      <c r="H25" s="45" t="str">
        <f ca="1">IFERROR(__xludf.DUMMYFUNCTION("""COMPUTED_VALUE"""),"TLC")</f>
        <v>TLC</v>
      </c>
      <c r="I25" s="46" t="str">
        <f ca="1">IFERROR(__xludf.DUMMYFUNCTION("""COMPUTED_VALUE"""),"STORE")</f>
        <v>STORE</v>
      </c>
      <c r="J25" s="46" t="str">
        <f ca="1">IFERROR(__xludf.DUMMYFUNCTION("""COMPUTED_VALUE"""),"BLANK HN")</f>
        <v>BLANK HN</v>
      </c>
      <c r="K25" s="46" t="str">
        <f ca="1">IFERROR(__xludf.DUMMYFUNCTION("""COMPUTED_VALUE"""),"STR")</f>
        <v>STR</v>
      </c>
      <c r="L25" s="46" t="str">
        <f ca="1">IFERROR(__xludf.DUMMYFUNCTION("""COMPUTED_VALUE"""),"PTE")</f>
        <v>PTE</v>
      </c>
      <c r="M25" s="46" t="str">
        <f ca="1">IFERROR(__xludf.DUMMYFUNCTION("""COMPUTED_VALUE"""),"Leave")</f>
        <v>Leave</v>
      </c>
      <c r="N25" s="46" t="str">
        <f ca="1">IFERROR(__xludf.DUMMYFUNCTION("""COMPUTED_VALUE"""),"x")</f>
        <v>x</v>
      </c>
    </row>
    <row r="26" spans="1:14">
      <c r="A26" s="45"/>
      <c r="B26" s="45">
        <f ca="1">IFERROR(__xludf.DUMMYFUNCTION("""COMPUTED_VALUE"""),45292.625)</f>
        <v>45292.625</v>
      </c>
      <c r="C26" s="46">
        <f ca="1">IFERROR(__xludf.DUMMYFUNCTION("""COMPUTED_VALUE"""),27)</f>
        <v>27</v>
      </c>
      <c r="D26" s="47" t="str">
        <f ca="1">IFERROR(__xludf.DUMMYFUNCTION("""COMPUTED_VALUE"""),"HN013")</f>
        <v>HN013</v>
      </c>
      <c r="E26" s="46" t="str">
        <f ca="1">IFERROR(__xludf.DUMMYFUNCTION("""COMPUTED_VALUE"""),"ĐOÀN HÀ MY")</f>
        <v>ĐOÀN HÀ MY</v>
      </c>
      <c r="F26" s="46" t="str">
        <f ca="1">IFERROR(__xludf.DUMMYFUNCTION("""COMPUTED_VALUE"""),"DOAN HA MY")</f>
        <v>DOAN HA MY</v>
      </c>
      <c r="G26" s="45">
        <f ca="1">IFERROR(__xludf.DUMMYFUNCTION("""COMPUTED_VALUE"""),37477.5833333333)</f>
        <v>37477.583333333299</v>
      </c>
      <c r="H26" s="45" t="str">
        <f ca="1">IFERROR(__xludf.DUMMYFUNCTION("""COMPUTED_VALUE"""),"TLC")</f>
        <v>TLC</v>
      </c>
      <c r="I26" s="46" t="str">
        <f ca="1">IFERROR(__xludf.DUMMYFUNCTION("""COMPUTED_VALUE"""),"STORE")</f>
        <v>STORE</v>
      </c>
      <c r="J26" s="46" t="str">
        <f ca="1">IFERROR(__xludf.DUMMYFUNCTION("""COMPUTED_VALUE"""),"BLANK HN")</f>
        <v>BLANK HN</v>
      </c>
      <c r="K26" s="46" t="str">
        <f ca="1">IFERROR(__xludf.DUMMYFUNCTION("""COMPUTED_VALUE"""),"STR")</f>
        <v>STR</v>
      </c>
      <c r="L26" s="46" t="str">
        <f ca="1">IFERROR(__xludf.DUMMYFUNCTION("""COMPUTED_VALUE"""),"PTE")</f>
        <v>PTE</v>
      </c>
      <c r="M26" s="46" t="str">
        <f ca="1">IFERROR(__xludf.DUMMYFUNCTION("""COMPUTED_VALUE"""),"Leave")</f>
        <v>Leave</v>
      </c>
      <c r="N26" s="46" t="str">
        <f ca="1">IFERROR(__xludf.DUMMYFUNCTION("""COMPUTED_VALUE"""),"x")</f>
        <v>x</v>
      </c>
    </row>
    <row r="27" spans="1:14">
      <c r="A27" s="45"/>
      <c r="B27" s="45" t="str">
        <f ca="1">IFERROR(__xludf.DUMMYFUNCTION("""COMPUTED_VALUE"""),"Đã nghỉ")</f>
        <v>Đã nghỉ</v>
      </c>
      <c r="C27" s="46">
        <f ca="1">IFERROR(__xludf.DUMMYFUNCTION("""COMPUTED_VALUE"""),28)</f>
        <v>28</v>
      </c>
      <c r="D27" s="47" t="str">
        <f ca="1">IFERROR(__xludf.DUMMYFUNCTION("""COMPUTED_VALUE"""),"KPA")</f>
        <v>KPA</v>
      </c>
      <c r="E27" s="46" t="str">
        <f ca="1">IFERROR(__xludf.DUMMYFUNCTION("""COMPUTED_VALUE"""),"KPĂH'NA")</f>
        <v>KPĂH'NA</v>
      </c>
      <c r="F27" s="46" t="str">
        <f ca="1">IFERROR(__xludf.DUMMYFUNCTION("""COMPUTED_VALUE"""),"KPAHNA")</f>
        <v>KPAHNA</v>
      </c>
      <c r="G27" s="45">
        <f ca="1">IFERROR(__xludf.DUMMYFUNCTION("""COMPUTED_VALUE"""),35463.625)</f>
        <v>35463.625</v>
      </c>
      <c r="H27" s="45" t="str">
        <f ca="1">IFERROR(__xludf.DUMMYFUNCTION("""COMPUTED_VALUE"""),"TLC")</f>
        <v>TLC</v>
      </c>
      <c r="I27" s="46" t="str">
        <f ca="1">IFERROR(__xludf.DUMMYFUNCTION("""COMPUTED_VALUE"""),"STORE")</f>
        <v>STORE</v>
      </c>
      <c r="J27" s="46" t="str">
        <f ca="1">IFERROR(__xludf.DUMMYFUNCTION("""COMPUTED_VALUE"""),"BAKES")</f>
        <v>BAKES</v>
      </c>
      <c r="K27" s="46" t="str">
        <f ca="1">IFERROR(__xludf.DUMMYFUNCTION("""COMPUTED_VALUE"""),"KIT")</f>
        <v>KIT</v>
      </c>
      <c r="L27" s="46" t="str">
        <f ca="1">IFERROR(__xludf.DUMMYFUNCTION("""COMPUTED_VALUE"""),"PTE")</f>
        <v>PTE</v>
      </c>
      <c r="M27" s="46" t="str">
        <f ca="1">IFERROR(__xludf.DUMMYFUNCTION("""COMPUTED_VALUE"""),"Leave")</f>
        <v>Leave</v>
      </c>
      <c r="N27" s="46" t="str">
        <f ca="1">IFERROR(__xludf.DUMMYFUNCTION("""COMPUTED_VALUE"""),"x")</f>
        <v>x</v>
      </c>
    </row>
    <row r="28" spans="1:14">
      <c r="A28" s="45">
        <f ca="1">IFERROR(__xludf.DUMMYFUNCTION("""COMPUTED_VALUE"""),43735.5833333333)</f>
        <v>43735.583333333299</v>
      </c>
      <c r="B28" s="45"/>
      <c r="C28" s="46">
        <f ca="1">IFERROR(__xludf.DUMMYFUNCTION("""COMPUTED_VALUE"""),29)</f>
        <v>29</v>
      </c>
      <c r="D28" s="47" t="str">
        <f ca="1">IFERROR(__xludf.DUMMYFUNCTION("""COMPUTED_VALUE"""),"LM001")</f>
        <v>LM001</v>
      </c>
      <c r="E28" s="46" t="str">
        <f ca="1">IFERROR(__xludf.DUMMYFUNCTION("""COMPUTED_VALUE"""),"PHẠM NGUYỄN GIA VĨ")</f>
        <v>PHẠM NGUYỄN GIA VĨ</v>
      </c>
      <c r="F28" s="46" t="str">
        <f ca="1">IFERROR(__xludf.DUMMYFUNCTION("""COMPUTED_VALUE"""),"PHAM NGUYEN GIA VI")</f>
        <v>PHAM NGUYEN GIA VI</v>
      </c>
      <c r="G28" s="45">
        <f ca="1">IFERROR(__xludf.DUMMYFUNCTION("""COMPUTED_VALUE"""),35941.5833333333)</f>
        <v>35941.583333333299</v>
      </c>
      <c r="H28" s="45" t="str">
        <f ca="1">IFERROR(__xludf.DUMMYFUNCTION("""COMPUTED_VALUE"""),"TLC")</f>
        <v>TLC</v>
      </c>
      <c r="I28" s="46" t="str">
        <f ca="1">IFERROR(__xludf.DUMMYFUNCTION("""COMPUTED_VALUE"""),"STORE")</f>
        <v>STORE</v>
      </c>
      <c r="J28" s="46" t="str">
        <f ca="1">IFERROR(__xludf.DUMMYFUNCTION("""COMPUTED_VALUE"""),"BLANK LOUNGE")</f>
        <v>BLANK LOUNGE</v>
      </c>
      <c r="K28" s="46" t="str">
        <f ca="1">IFERROR(__xludf.DUMMYFUNCTION("""COMPUTED_VALUE"""),"KIT")</f>
        <v>KIT</v>
      </c>
      <c r="L28" s="46" t="str">
        <f ca="1">IFERROR(__xludf.DUMMYFUNCTION("""COMPUTED_VALUE"""),"FTE")</f>
        <v>FTE</v>
      </c>
      <c r="M28" s="46" t="str">
        <f ca="1">IFERROR(__xludf.DUMMYFUNCTION("""COMPUTED_VALUE"""),"On")</f>
        <v>On</v>
      </c>
      <c r="N28" s="46" t="str">
        <f ca="1">IFERROR(__xludf.DUMMYFUNCTION("""COMPUTED_VALUE"""),"đủ")</f>
        <v>đủ</v>
      </c>
    </row>
    <row r="29" spans="1:14">
      <c r="A29" s="45">
        <f ca="1">IFERROR(__xludf.DUMMYFUNCTION("""COMPUTED_VALUE"""),44326.5833333333)</f>
        <v>44326.583333333299</v>
      </c>
      <c r="B29" s="45">
        <f ca="1">IFERROR(__xludf.DUMMYFUNCTION("""COMPUTED_VALUE"""),46174.5833333333)</f>
        <v>46174.583333333299</v>
      </c>
      <c r="C29" s="46">
        <f ca="1">IFERROR(__xludf.DUMMYFUNCTION("""COMPUTED_VALUE"""),30)</f>
        <v>30</v>
      </c>
      <c r="D29" s="47" t="str">
        <f ca="1">IFERROR(__xludf.DUMMYFUNCTION("""COMPUTED_VALUE"""),"LM002")</f>
        <v>LM002</v>
      </c>
      <c r="E29" s="46" t="str">
        <f ca="1">IFERROR(__xludf.DUMMYFUNCTION("""COMPUTED_VALUE"""),"NGUYỄN NGỌC HUYỀN")</f>
        <v>NGUYỄN NGỌC HUYỀN</v>
      </c>
      <c r="F29" s="46" t="str">
        <f ca="1">IFERROR(__xludf.DUMMYFUNCTION("""COMPUTED_VALUE"""),"NGUYEN NGOC HUYEN")</f>
        <v>NGUYEN NGOC HUYEN</v>
      </c>
      <c r="G29" s="45">
        <f ca="1">IFERROR(__xludf.DUMMYFUNCTION("""COMPUTED_VALUE"""),35013.625)</f>
        <v>35013.625</v>
      </c>
      <c r="H29" s="45" t="str">
        <f ca="1">IFERROR(__xludf.DUMMYFUNCTION("""COMPUTED_VALUE"""),"TLC")</f>
        <v>TLC</v>
      </c>
      <c r="I29" s="46" t="str">
        <f ca="1">IFERROR(__xludf.DUMMYFUNCTION("""COMPUTED_VALUE"""),"STORE")</f>
        <v>STORE</v>
      </c>
      <c r="J29" s="46" t="str">
        <f ca="1">IFERROR(__xludf.DUMMYFUNCTION("""COMPUTED_VALUE"""),"BLANK LOUNGE")</f>
        <v>BLANK LOUNGE</v>
      </c>
      <c r="K29" s="46" t="str">
        <f ca="1">IFERROR(__xludf.DUMMYFUNCTION("""COMPUTED_VALUE"""),"WAITSTAFF")</f>
        <v>WAITSTAFF</v>
      </c>
      <c r="L29" s="46" t="str">
        <f ca="1">IFERROR(__xludf.DUMMYFUNCTION("""COMPUTED_VALUE"""),"PTE")</f>
        <v>PTE</v>
      </c>
      <c r="M29" s="46" t="str">
        <f ca="1">IFERROR(__xludf.DUMMYFUNCTION("""COMPUTED_VALUE"""),"Leave")</f>
        <v>Leave</v>
      </c>
      <c r="N29" s="46" t="str">
        <f ca="1">IFERROR(__xludf.DUMMYFUNCTION("""COMPUTED_VALUE"""),"đủ")</f>
        <v>đủ</v>
      </c>
    </row>
    <row r="30" spans="1:14">
      <c r="A30" s="45">
        <f ca="1">IFERROR(__xludf.DUMMYFUNCTION("""COMPUTED_VALUE"""),43631.5833333333)</f>
        <v>43631.583333333299</v>
      </c>
      <c r="B30" s="45"/>
      <c r="C30" s="46">
        <f ca="1">IFERROR(__xludf.DUMMYFUNCTION("""COMPUTED_VALUE"""),31)</f>
        <v>31</v>
      </c>
      <c r="D30" s="47" t="str">
        <f ca="1">IFERROR(__xludf.DUMMYFUNCTION("""COMPUTED_VALUE"""),"LM003")</f>
        <v>LM003</v>
      </c>
      <c r="E30" s="46" t="str">
        <f ca="1">IFERROR(__xludf.DUMMYFUNCTION("""COMPUTED_VALUE"""),"NGÔ THỊ THANH THÚY")</f>
        <v>NGÔ THỊ THANH THÚY</v>
      </c>
      <c r="F30" s="46" t="str">
        <f ca="1">IFERROR(__xludf.DUMMYFUNCTION("""COMPUTED_VALUE"""),"NGO THI THANH THUY")</f>
        <v>NGO THI THANH THUY</v>
      </c>
      <c r="G30" s="45">
        <f ca="1">IFERROR(__xludf.DUMMYFUNCTION("""COMPUTED_VALUE"""),23120.6666666666)</f>
        <v>23120.666666666599</v>
      </c>
      <c r="H30" s="45" t="str">
        <f ca="1">IFERROR(__xludf.DUMMYFUNCTION("""COMPUTED_VALUE"""),"TLC")</f>
        <v>TLC</v>
      </c>
      <c r="I30" s="46" t="str">
        <f ca="1">IFERROR(__xludf.DUMMYFUNCTION("""COMPUTED_VALUE"""),"STORE")</f>
        <v>STORE</v>
      </c>
      <c r="J30" s="46" t="str">
        <f ca="1">IFERROR(__xludf.DUMMYFUNCTION("""COMPUTED_VALUE"""),"BLANK LOUNGE")</f>
        <v>BLANK LOUNGE</v>
      </c>
      <c r="K30" s="46" t="str">
        <f ca="1">IFERROR(__xludf.DUMMYFUNCTION("""COMPUTED_VALUE"""),"CLEANER")</f>
        <v>CLEANER</v>
      </c>
      <c r="L30" s="46" t="str">
        <f ca="1">IFERROR(__xludf.DUMMYFUNCTION("""COMPUTED_VALUE"""),"FTE")</f>
        <v>FTE</v>
      </c>
      <c r="M30" s="46" t="str">
        <f ca="1">IFERROR(__xludf.DUMMYFUNCTION("""COMPUTED_VALUE"""),"On")</f>
        <v>On</v>
      </c>
      <c r="N30" s="46" t="str">
        <f ca="1">IFERROR(__xludf.DUMMYFUNCTION("""COMPUTED_VALUE"""),"đủ")</f>
        <v>đủ</v>
      </c>
    </row>
    <row r="31" spans="1:14">
      <c r="A31" s="45">
        <f ca="1">IFERROR(__xludf.DUMMYFUNCTION("""COMPUTED_VALUE"""),43667.5833333333)</f>
        <v>43667.583333333299</v>
      </c>
      <c r="B31" s="45"/>
      <c r="C31" s="46">
        <f ca="1">IFERROR(__xludf.DUMMYFUNCTION("""COMPUTED_VALUE"""),32)</f>
        <v>32</v>
      </c>
      <c r="D31" s="47" t="str">
        <f ca="1">IFERROR(__xludf.DUMMYFUNCTION("""COMPUTED_VALUE"""),"LM004")</f>
        <v>LM004</v>
      </c>
      <c r="E31" s="46" t="str">
        <f ca="1">IFERROR(__xludf.DUMMYFUNCTION("""COMPUTED_VALUE"""),"NGUYỄN THỊ THANH THẢO")</f>
        <v>NGUYỄN THỊ THANH THẢO</v>
      </c>
      <c r="F31" s="46" t="str">
        <f ca="1">IFERROR(__xludf.DUMMYFUNCTION("""COMPUTED_VALUE"""),"NGUYEN THI THANH THAO")</f>
        <v>NGUYEN THI THANH THAO</v>
      </c>
      <c r="G31" s="45">
        <f ca="1">IFERROR(__xludf.DUMMYFUNCTION("""COMPUTED_VALUE"""),25572.6666666666)</f>
        <v>25572.666666666599</v>
      </c>
      <c r="H31" s="45" t="str">
        <f ca="1">IFERROR(__xludf.DUMMYFUNCTION("""COMPUTED_VALUE"""),"TLC")</f>
        <v>TLC</v>
      </c>
      <c r="I31" s="46" t="str">
        <f ca="1">IFERROR(__xludf.DUMMYFUNCTION("""COMPUTED_VALUE"""),"STORE")</f>
        <v>STORE</v>
      </c>
      <c r="J31" s="46" t="str">
        <f ca="1">IFERROR(__xludf.DUMMYFUNCTION("""COMPUTED_VALUE"""),"BLANK LOUNGE")</f>
        <v>BLANK LOUNGE</v>
      </c>
      <c r="K31" s="46" t="str">
        <f ca="1">IFERROR(__xludf.DUMMYFUNCTION("""COMPUTED_VALUE"""),"CLEANER")</f>
        <v>CLEANER</v>
      </c>
      <c r="L31" s="46" t="str">
        <f ca="1">IFERROR(__xludf.DUMMYFUNCTION("""COMPUTED_VALUE"""),"FTE")</f>
        <v>FTE</v>
      </c>
      <c r="M31" s="46" t="str">
        <f ca="1">IFERROR(__xludf.DUMMYFUNCTION("""COMPUTED_VALUE"""),"On")</f>
        <v>On</v>
      </c>
      <c r="N31" s="46" t="str">
        <f ca="1">IFERROR(__xludf.DUMMYFUNCTION("""COMPUTED_VALUE"""),"đủ")</f>
        <v>đủ</v>
      </c>
    </row>
    <row r="32" spans="1:14">
      <c r="A32" s="45">
        <f ca="1">IFERROR(__xludf.DUMMYFUNCTION("""COMPUTED_VALUE"""),43780.625)</f>
        <v>43780.625</v>
      </c>
      <c r="B32" s="45"/>
      <c r="C32" s="46">
        <f ca="1">IFERROR(__xludf.DUMMYFUNCTION("""COMPUTED_VALUE"""),33)</f>
        <v>33</v>
      </c>
      <c r="D32" s="47" t="str">
        <f ca="1">IFERROR(__xludf.DUMMYFUNCTION("""COMPUTED_VALUE"""),"LM005")</f>
        <v>LM005</v>
      </c>
      <c r="E32" s="46" t="str">
        <f ca="1">IFERROR(__xludf.DUMMYFUNCTION("""COMPUTED_VALUE"""),"PHAN THỊ THANH")</f>
        <v>PHAN THỊ THANH</v>
      </c>
      <c r="F32" s="46" t="str">
        <f ca="1">IFERROR(__xludf.DUMMYFUNCTION("""COMPUTED_VALUE"""),"PHAN THI THANH")</f>
        <v>PHAN THI THANH</v>
      </c>
      <c r="G32" s="45">
        <f ca="1">IFERROR(__xludf.DUMMYFUNCTION("""COMPUTED_VALUE"""),28774.5833333333)</f>
        <v>28774.583333333299</v>
      </c>
      <c r="H32" s="45" t="str">
        <f ca="1">IFERROR(__xludf.DUMMYFUNCTION("""COMPUTED_VALUE"""),"TLC")</f>
        <v>TLC</v>
      </c>
      <c r="I32" s="46" t="str">
        <f ca="1">IFERROR(__xludf.DUMMYFUNCTION("""COMPUTED_VALUE"""),"STORE")</f>
        <v>STORE</v>
      </c>
      <c r="J32" s="46" t="str">
        <f ca="1">IFERROR(__xludf.DUMMYFUNCTION("""COMPUTED_VALUE"""),"BLANK LOUNGE")</f>
        <v>BLANK LOUNGE</v>
      </c>
      <c r="K32" s="46" t="str">
        <f ca="1">IFERROR(__xludf.DUMMYFUNCTION("""COMPUTED_VALUE"""),"CLEANER")</f>
        <v>CLEANER</v>
      </c>
      <c r="L32" s="46" t="str">
        <f ca="1">IFERROR(__xludf.DUMMYFUNCTION("""COMPUTED_VALUE"""),"FTE")</f>
        <v>FTE</v>
      </c>
      <c r="M32" s="46" t="str">
        <f ca="1">IFERROR(__xludf.DUMMYFUNCTION("""COMPUTED_VALUE"""),"On")</f>
        <v>On</v>
      </c>
      <c r="N32" s="46" t="str">
        <f ca="1">IFERROR(__xludf.DUMMYFUNCTION("""COMPUTED_VALUE"""),"đủ")</f>
        <v>đủ</v>
      </c>
    </row>
    <row r="33" spans="1:14">
      <c r="A33" s="45">
        <f ca="1">IFERROR(__xludf.DUMMYFUNCTION("""COMPUTED_VALUE"""),44549.625)</f>
        <v>44549.625</v>
      </c>
      <c r="B33" s="45"/>
      <c r="C33" s="46">
        <f ca="1">IFERROR(__xludf.DUMMYFUNCTION("""COMPUTED_VALUE"""),34)</f>
        <v>34</v>
      </c>
      <c r="D33" s="47" t="str">
        <f ca="1">IFERROR(__xludf.DUMMYFUNCTION("""COMPUTED_VALUE"""),"LM007")</f>
        <v>LM007</v>
      </c>
      <c r="E33" s="46" t="str">
        <f ca="1">IFERROR(__xludf.DUMMYFUNCTION("""COMPUTED_VALUE"""),"VÕ THỊ PHẤN")</f>
        <v>VÕ THỊ PHẤN</v>
      </c>
      <c r="F33" s="46" t="str">
        <f ca="1">IFERROR(__xludf.DUMMYFUNCTION("""COMPUTED_VALUE"""),"VO THI PHAN")</f>
        <v>VO THI PHAN</v>
      </c>
      <c r="G33" s="45">
        <f ca="1">IFERROR(__xludf.DUMMYFUNCTION("""COMPUTED_VALUE"""),35872.625)</f>
        <v>35872.625</v>
      </c>
      <c r="H33" s="45" t="str">
        <f ca="1">IFERROR(__xludf.DUMMYFUNCTION("""COMPUTED_VALUE"""),"TLC")</f>
        <v>TLC</v>
      </c>
      <c r="I33" s="46" t="str">
        <f ca="1">IFERROR(__xludf.DUMMYFUNCTION("""COMPUTED_VALUE"""),"STORE")</f>
        <v>STORE</v>
      </c>
      <c r="J33" s="46" t="str">
        <f ca="1">IFERROR(__xludf.DUMMYFUNCTION("""COMPUTED_VALUE"""),"BLANK LOUNGE")</f>
        <v>BLANK LOUNGE</v>
      </c>
      <c r="K33" s="46" t="str">
        <f ca="1">IFERROR(__xludf.DUMMYFUNCTION("""COMPUTED_VALUE"""),"CASHIER")</f>
        <v>CASHIER</v>
      </c>
      <c r="L33" s="46" t="str">
        <f ca="1">IFERROR(__xludf.DUMMYFUNCTION("""COMPUTED_VALUE"""),"FTE")</f>
        <v>FTE</v>
      </c>
      <c r="M33" s="46" t="str">
        <f ca="1">IFERROR(__xludf.DUMMYFUNCTION("""COMPUTED_VALUE"""),"On")</f>
        <v>On</v>
      </c>
      <c r="N33" s="46" t="str">
        <f ca="1">IFERROR(__xludf.DUMMYFUNCTION("""COMPUTED_VALUE"""),"đủ")</f>
        <v>đủ</v>
      </c>
    </row>
    <row r="34" spans="1:14">
      <c r="A34" s="45">
        <f ca="1">IFERROR(__xludf.DUMMYFUNCTION("""COMPUTED_VALUE"""),44655.5833333333)</f>
        <v>44655.583333333299</v>
      </c>
      <c r="B34" s="45"/>
      <c r="C34" s="46">
        <f ca="1">IFERROR(__xludf.DUMMYFUNCTION("""COMPUTED_VALUE"""),35)</f>
        <v>35</v>
      </c>
      <c r="D34" s="47" t="str">
        <f ca="1">IFERROR(__xludf.DUMMYFUNCTION("""COMPUTED_VALUE"""),"LM008")</f>
        <v>LM008</v>
      </c>
      <c r="E34" s="46" t="str">
        <f ca="1">IFERROR(__xludf.DUMMYFUNCTION("""COMPUTED_VALUE"""),"NGUYỄN THỊ CẨM TÚ")</f>
        <v>NGUYỄN THỊ CẨM TÚ</v>
      </c>
      <c r="F34" s="46" t="str">
        <f ca="1">IFERROR(__xludf.DUMMYFUNCTION("""COMPUTED_VALUE"""),"NGUYEN THI CAM TU")</f>
        <v>NGUYEN THI CAM TU</v>
      </c>
      <c r="G34" s="45">
        <f ca="1">IFERROR(__xludf.DUMMYFUNCTION("""COMPUTED_VALUE"""),36731.5833333333)</f>
        <v>36731.583333333299</v>
      </c>
      <c r="H34" s="45" t="str">
        <f ca="1">IFERROR(__xludf.DUMMYFUNCTION("""COMPUTED_VALUE"""),"TLC")</f>
        <v>TLC</v>
      </c>
      <c r="I34" s="46" t="str">
        <f ca="1">IFERROR(__xludf.DUMMYFUNCTION("""COMPUTED_VALUE"""),"STORE")</f>
        <v>STORE</v>
      </c>
      <c r="J34" s="46" t="str">
        <f ca="1">IFERROR(__xludf.DUMMYFUNCTION("""COMPUTED_VALUE"""),"BLANK LOUNGE")</f>
        <v>BLANK LOUNGE</v>
      </c>
      <c r="K34" s="46" t="str">
        <f ca="1">IFERROR(__xludf.DUMMYFUNCTION("""COMPUTED_VALUE"""),"CASHIER")</f>
        <v>CASHIER</v>
      </c>
      <c r="L34" s="46" t="str">
        <f ca="1">IFERROR(__xludf.DUMMYFUNCTION("""COMPUTED_VALUE"""),"FTE")</f>
        <v>FTE</v>
      </c>
      <c r="M34" s="46" t="str">
        <f ca="1">IFERROR(__xludf.DUMMYFUNCTION("""COMPUTED_VALUE"""),"On")</f>
        <v>On</v>
      </c>
      <c r="N34" s="46" t="str">
        <f ca="1">IFERROR(__xludf.DUMMYFUNCTION("""COMPUTED_VALUE"""),"đủ")</f>
        <v>đủ</v>
      </c>
    </row>
    <row r="35" spans="1:14">
      <c r="A35" s="45">
        <f ca="1">IFERROR(__xludf.DUMMYFUNCTION("""COMPUTED_VALUE"""),44664.5833333333)</f>
        <v>44664.583333333299</v>
      </c>
      <c r="B35" s="45">
        <f ca="1">IFERROR(__xludf.DUMMYFUNCTION("""COMPUTED_VALUE"""),45518.5833333333)</f>
        <v>45518.583333333299</v>
      </c>
      <c r="C35" s="46">
        <f ca="1">IFERROR(__xludf.DUMMYFUNCTION("""COMPUTED_VALUE"""),36)</f>
        <v>36</v>
      </c>
      <c r="D35" s="47" t="str">
        <f ca="1">IFERROR(__xludf.DUMMYFUNCTION("""COMPUTED_VALUE"""),"LM009")</f>
        <v>LM009</v>
      </c>
      <c r="E35" s="46" t="str">
        <f ca="1">IFERROR(__xludf.DUMMYFUNCTION("""COMPUTED_VALUE"""),"PHẠM LÊ HOÀNG HÀO")</f>
        <v>PHẠM LÊ HOÀNG HÀO</v>
      </c>
      <c r="F35" s="46" t="str">
        <f ca="1">IFERROR(__xludf.DUMMYFUNCTION("""COMPUTED_VALUE"""),"PHAM LE HOANG HAO")</f>
        <v>PHAM LE HOANG HAO</v>
      </c>
      <c r="G35" s="45">
        <f ca="1">IFERROR(__xludf.DUMMYFUNCTION("""COMPUTED_VALUE"""),37376.5833333333)</f>
        <v>37376.583333333299</v>
      </c>
      <c r="H35" s="45" t="str">
        <f ca="1">IFERROR(__xludf.DUMMYFUNCTION("""COMPUTED_VALUE"""),"TLC")</f>
        <v>TLC</v>
      </c>
      <c r="I35" s="46" t="str">
        <f ca="1">IFERROR(__xludf.DUMMYFUNCTION("""COMPUTED_VALUE"""),"STORE")</f>
        <v>STORE</v>
      </c>
      <c r="J35" s="46" t="str">
        <f ca="1">IFERROR(__xludf.DUMMYFUNCTION("""COMPUTED_VALUE"""),"BLANK LOUNGE")</f>
        <v>BLANK LOUNGE</v>
      </c>
      <c r="K35" s="46" t="str">
        <f ca="1">IFERROR(__xludf.DUMMYFUNCTION("""COMPUTED_VALUE"""),"WAITSTAFF")</f>
        <v>WAITSTAFF</v>
      </c>
      <c r="L35" s="46" t="str">
        <f ca="1">IFERROR(__xludf.DUMMYFUNCTION("""COMPUTED_VALUE"""),"PTE")</f>
        <v>PTE</v>
      </c>
      <c r="M35" s="46" t="str">
        <f ca="1">IFERROR(__xludf.DUMMYFUNCTION("""COMPUTED_VALUE"""),"Leave")</f>
        <v>Leave</v>
      </c>
      <c r="N35" s="46" t="str">
        <f ca="1">IFERROR(__xludf.DUMMYFUNCTION("""COMPUTED_VALUE"""),"x")</f>
        <v>x</v>
      </c>
    </row>
    <row r="36" spans="1:14">
      <c r="A36" s="45"/>
      <c r="B36" s="45" t="str">
        <f ca="1">IFERROR(__xludf.DUMMYFUNCTION("""COMPUTED_VALUE"""),"Đã nghỉ")</f>
        <v>Đã nghỉ</v>
      </c>
      <c r="C36" s="46">
        <f ca="1">IFERROR(__xludf.DUMMYFUNCTION("""COMPUTED_VALUE"""),37)</f>
        <v>37</v>
      </c>
      <c r="D36" s="47" t="str">
        <f ca="1">IFERROR(__xludf.DUMMYFUNCTION("""COMPUTED_VALUE"""),"LM010")</f>
        <v>LM010</v>
      </c>
      <c r="E36" s="46" t="str">
        <f ca="1">IFERROR(__xludf.DUMMYFUNCTION("""COMPUTED_VALUE"""),"PHẠM THÀNH ĐĂNG")</f>
        <v>PHẠM THÀNH ĐĂNG</v>
      </c>
      <c r="F36" s="46" t="str">
        <f ca="1">IFERROR(__xludf.DUMMYFUNCTION("""COMPUTED_VALUE"""),"PHAM THANH DANG")</f>
        <v>PHAM THANH DANG</v>
      </c>
      <c r="G36" s="45">
        <f ca="1">IFERROR(__xludf.DUMMYFUNCTION("""COMPUTED_VALUE"""),37695.625)</f>
        <v>37695.625</v>
      </c>
      <c r="H36" s="45" t="str">
        <f ca="1">IFERROR(__xludf.DUMMYFUNCTION("""COMPUTED_VALUE"""),"TLC")</f>
        <v>TLC</v>
      </c>
      <c r="I36" s="46" t="str">
        <f ca="1">IFERROR(__xludf.DUMMYFUNCTION("""COMPUTED_VALUE"""),"STORE")</f>
        <v>STORE</v>
      </c>
      <c r="J36" s="46" t="str">
        <f ca="1">IFERROR(__xludf.DUMMYFUNCTION("""COMPUTED_VALUE"""),"BLANK LOUNGE")</f>
        <v>BLANK LOUNGE</v>
      </c>
      <c r="K36" s="46" t="str">
        <f ca="1">IFERROR(__xludf.DUMMYFUNCTION("""COMPUTED_VALUE"""),"STR")</f>
        <v>STR</v>
      </c>
      <c r="L36" s="46" t="str">
        <f ca="1">IFERROR(__xludf.DUMMYFUNCTION("""COMPUTED_VALUE"""),"PTE")</f>
        <v>PTE</v>
      </c>
      <c r="M36" s="46" t="str">
        <f ca="1">IFERROR(__xludf.DUMMYFUNCTION("""COMPUTED_VALUE"""),"Leave")</f>
        <v>Leave</v>
      </c>
      <c r="N36" s="46" t="str">
        <f ca="1">IFERROR(__xludf.DUMMYFUNCTION("""COMPUTED_VALUE"""),"x")</f>
        <v>x</v>
      </c>
    </row>
    <row r="37" spans="1:14">
      <c r="A37" s="45">
        <f ca="1">IFERROR(__xludf.DUMMYFUNCTION("""COMPUTED_VALUE"""),44767.5833333333)</f>
        <v>44767.583333333299</v>
      </c>
      <c r="B37" s="45"/>
      <c r="C37" s="46">
        <f ca="1">IFERROR(__xludf.DUMMYFUNCTION("""COMPUTED_VALUE"""),38)</f>
        <v>38</v>
      </c>
      <c r="D37" s="47" t="str">
        <f ca="1">IFERROR(__xludf.DUMMYFUNCTION("""COMPUTED_VALUE"""),"LM011")</f>
        <v>LM011</v>
      </c>
      <c r="E37" s="46" t="str">
        <f ca="1">IFERROR(__xludf.DUMMYFUNCTION("""COMPUTED_VALUE"""),"NGUYỄN NGỌC ANH MINH")</f>
        <v>NGUYỄN NGỌC ANH MINH</v>
      </c>
      <c r="F37" s="46" t="str">
        <f ca="1">IFERROR(__xludf.DUMMYFUNCTION("""COMPUTED_VALUE"""),"NGUYEN NGOC ANH MINH")</f>
        <v>NGUYEN NGOC ANH MINH</v>
      </c>
      <c r="G37" s="45">
        <f ca="1">IFERROR(__xludf.DUMMYFUNCTION("""COMPUTED_VALUE"""),36572.625)</f>
        <v>36572.625</v>
      </c>
      <c r="H37" s="45" t="str">
        <f ca="1">IFERROR(__xludf.DUMMYFUNCTION("""COMPUTED_VALUE"""),"TLC")</f>
        <v>TLC</v>
      </c>
      <c r="I37" s="46" t="str">
        <f ca="1">IFERROR(__xludf.DUMMYFUNCTION("""COMPUTED_VALUE"""),"STORE")</f>
        <v>STORE</v>
      </c>
      <c r="J37" s="46" t="str">
        <f ca="1">IFERROR(__xludf.DUMMYFUNCTION("""COMPUTED_VALUE"""),"BLANK LOUNGE")</f>
        <v>BLANK LOUNGE</v>
      </c>
      <c r="K37" s="46" t="str">
        <f ca="1">IFERROR(__xludf.DUMMYFUNCTION("""COMPUTED_VALUE"""),"WAITSTAFF")</f>
        <v>WAITSTAFF</v>
      </c>
      <c r="L37" s="46" t="str">
        <f ca="1">IFERROR(__xludf.DUMMYFUNCTION("""COMPUTED_VALUE"""),"FTE")</f>
        <v>FTE</v>
      </c>
      <c r="M37" s="46" t="str">
        <f ca="1">IFERROR(__xludf.DUMMYFUNCTION("""COMPUTED_VALUE"""),"On")</f>
        <v>On</v>
      </c>
      <c r="N37" s="46" t="str">
        <f ca="1">IFERROR(__xludf.DUMMYFUNCTION("""COMPUTED_VALUE"""),"đủ")</f>
        <v>đủ</v>
      </c>
    </row>
    <row r="38" spans="1:14">
      <c r="A38" s="45">
        <f ca="1">IFERROR(__xludf.DUMMYFUNCTION("""COMPUTED_VALUE"""),44859.5833333333)</f>
        <v>44859.583333333299</v>
      </c>
      <c r="B38" s="45">
        <f ca="1">IFERROR(__xludf.DUMMYFUNCTION("""COMPUTED_VALUE"""),45673.625)</f>
        <v>45673.625</v>
      </c>
      <c r="C38" s="46">
        <f ca="1">IFERROR(__xludf.DUMMYFUNCTION("""COMPUTED_VALUE"""),39)</f>
        <v>39</v>
      </c>
      <c r="D38" s="47" t="str">
        <f ca="1">IFERROR(__xludf.DUMMYFUNCTION("""COMPUTED_VALUE"""),"LM012")</f>
        <v>LM012</v>
      </c>
      <c r="E38" s="46" t="str">
        <f ca="1">IFERROR(__xludf.DUMMYFUNCTION("""COMPUTED_VALUE"""),"NGUYỄN TUẤN LĨNH")</f>
        <v>NGUYỄN TUẤN LĨNH</v>
      </c>
      <c r="F38" s="46" t="str">
        <f ca="1">IFERROR(__xludf.DUMMYFUNCTION("""COMPUTED_VALUE"""),"NGUYEN TUAN LINH")</f>
        <v>NGUYEN TUAN LINH</v>
      </c>
      <c r="G38" s="45">
        <f ca="1">IFERROR(__xludf.DUMMYFUNCTION("""COMPUTED_VALUE"""),37908.5833333333)</f>
        <v>37908.583333333299</v>
      </c>
      <c r="H38" s="45" t="str">
        <f ca="1">IFERROR(__xludf.DUMMYFUNCTION("""COMPUTED_VALUE"""),"TLC")</f>
        <v>TLC</v>
      </c>
      <c r="I38" s="46" t="str">
        <f ca="1">IFERROR(__xludf.DUMMYFUNCTION("""COMPUTED_VALUE"""),"STORE")</f>
        <v>STORE</v>
      </c>
      <c r="J38" s="46" t="str">
        <f ca="1">IFERROR(__xludf.DUMMYFUNCTION("""COMPUTED_VALUE"""),"BLANK LOUNGE")</f>
        <v>BLANK LOUNGE</v>
      </c>
      <c r="K38" s="46" t="str">
        <f ca="1">IFERROR(__xludf.DUMMYFUNCTION("""COMPUTED_VALUE"""),"WAITSTAFF")</f>
        <v>WAITSTAFF</v>
      </c>
      <c r="L38" s="46" t="str">
        <f ca="1">IFERROR(__xludf.DUMMYFUNCTION("""COMPUTED_VALUE"""),"PTE")</f>
        <v>PTE</v>
      </c>
      <c r="M38" s="46" t="str">
        <f ca="1">IFERROR(__xludf.DUMMYFUNCTION("""COMPUTED_VALUE"""),"Leave")</f>
        <v>Leave</v>
      </c>
      <c r="N38" s="46" t="str">
        <f ca="1">IFERROR(__xludf.DUMMYFUNCTION("""COMPUTED_VALUE"""),"x")</f>
        <v>x</v>
      </c>
    </row>
    <row r="39" spans="1:14">
      <c r="A39" s="45">
        <f ca="1">IFERROR(__xludf.DUMMYFUNCTION("""COMPUTED_VALUE"""),44776.5833333333)</f>
        <v>44776.583333333299</v>
      </c>
      <c r="B39" s="45"/>
      <c r="C39" s="46">
        <f ca="1">IFERROR(__xludf.DUMMYFUNCTION("""COMPUTED_VALUE"""),40)</f>
        <v>40</v>
      </c>
      <c r="D39" s="47" t="str">
        <f ca="1">IFERROR(__xludf.DUMMYFUNCTION("""COMPUTED_VALUE"""),"LM013")</f>
        <v>LM013</v>
      </c>
      <c r="E39" s="46" t="str">
        <f ca="1">IFERROR(__xludf.DUMMYFUNCTION("""COMPUTED_VALUE"""),"ĐÀO DUY THÀNH")</f>
        <v>ĐÀO DUY THÀNH</v>
      </c>
      <c r="F39" s="46" t="str">
        <f ca="1">IFERROR(__xludf.DUMMYFUNCTION("""COMPUTED_VALUE"""),"DAO DUY THANH")</f>
        <v>DAO DUY THANH</v>
      </c>
      <c r="G39" s="45">
        <f ca="1">IFERROR(__xludf.DUMMYFUNCTION("""COMPUTED_VALUE"""),36572.625)</f>
        <v>36572.625</v>
      </c>
      <c r="H39" s="45" t="str">
        <f ca="1">IFERROR(__xludf.DUMMYFUNCTION("""COMPUTED_VALUE"""),"TLC")</f>
        <v>TLC</v>
      </c>
      <c r="I39" s="46" t="str">
        <f ca="1">IFERROR(__xludf.DUMMYFUNCTION("""COMPUTED_VALUE"""),"STORE")</f>
        <v>STORE</v>
      </c>
      <c r="J39" s="46" t="str">
        <f ca="1">IFERROR(__xludf.DUMMYFUNCTION("""COMPUTED_VALUE"""),"BLANK LOUNGE")</f>
        <v>BLANK LOUNGE</v>
      </c>
      <c r="K39" s="46" t="str">
        <f ca="1">IFERROR(__xludf.DUMMYFUNCTION("""COMPUTED_VALUE"""),"BAR")</f>
        <v>BAR</v>
      </c>
      <c r="L39" s="46" t="str">
        <f ca="1">IFERROR(__xludf.DUMMYFUNCTION("""COMPUTED_VALUE"""),"FTE")</f>
        <v>FTE</v>
      </c>
      <c r="M39" s="46" t="str">
        <f ca="1">IFERROR(__xludf.DUMMYFUNCTION("""COMPUTED_VALUE"""),"On")</f>
        <v>On</v>
      </c>
      <c r="N39" s="46" t="str">
        <f ca="1">IFERROR(__xludf.DUMMYFUNCTION("""COMPUTED_VALUE"""),"đủ")</f>
        <v>đủ</v>
      </c>
    </row>
    <row r="40" spans="1:14">
      <c r="A40" s="45">
        <f ca="1">IFERROR(__xludf.DUMMYFUNCTION("""COMPUTED_VALUE"""),44919.625)</f>
        <v>44919.625</v>
      </c>
      <c r="B40" s="45">
        <f ca="1">IFERROR(__xludf.DUMMYFUNCTION("""COMPUTED_VALUE"""),45413.5833333333)</f>
        <v>45413.583333333299</v>
      </c>
      <c r="C40" s="46">
        <f ca="1">IFERROR(__xludf.DUMMYFUNCTION("""COMPUTED_VALUE"""),41)</f>
        <v>41</v>
      </c>
      <c r="D40" s="47" t="str">
        <f ca="1">IFERROR(__xludf.DUMMYFUNCTION("""COMPUTED_VALUE"""),"LM014")</f>
        <v>LM014</v>
      </c>
      <c r="E40" s="46" t="str">
        <f ca="1">IFERROR(__xludf.DUMMYFUNCTION("""COMPUTED_VALUE"""),"NGUYỄN PHƯƠNG NAM")</f>
        <v>NGUYỄN PHƯƠNG NAM</v>
      </c>
      <c r="F40" s="46" t="str">
        <f ca="1">IFERROR(__xludf.DUMMYFUNCTION("""COMPUTED_VALUE"""),"NGUYEN PHUONG NAM")</f>
        <v>NGUYEN PHUONG NAM</v>
      </c>
      <c r="G40" s="45">
        <f ca="1">IFERROR(__xludf.DUMMYFUNCTION("""COMPUTED_VALUE"""),36773.5833333333)</f>
        <v>36773.583333333299</v>
      </c>
      <c r="H40" s="45" t="str">
        <f ca="1">IFERROR(__xludf.DUMMYFUNCTION("""COMPUTED_VALUE"""),"TLC")</f>
        <v>TLC</v>
      </c>
      <c r="I40" s="46" t="str">
        <f ca="1">IFERROR(__xludf.DUMMYFUNCTION("""COMPUTED_VALUE"""),"STORE")</f>
        <v>STORE</v>
      </c>
      <c r="J40" s="46" t="str">
        <f ca="1">IFERROR(__xludf.DUMMYFUNCTION("""COMPUTED_VALUE"""),"BLANK LOUNGE")</f>
        <v>BLANK LOUNGE</v>
      </c>
      <c r="K40" s="46" t="str">
        <f ca="1">IFERROR(__xludf.DUMMYFUNCTION("""COMPUTED_VALUE"""),"STR")</f>
        <v>STR</v>
      </c>
      <c r="L40" s="46" t="str">
        <f ca="1">IFERROR(__xludf.DUMMYFUNCTION("""COMPUTED_VALUE"""),"PTE")</f>
        <v>PTE</v>
      </c>
      <c r="M40" s="46" t="str">
        <f ca="1">IFERROR(__xludf.DUMMYFUNCTION("""COMPUTED_VALUE"""),"Leave")</f>
        <v>Leave</v>
      </c>
      <c r="N40" s="46" t="str">
        <f ca="1">IFERROR(__xludf.DUMMYFUNCTION("""COMPUTED_VALUE"""),"đủ")</f>
        <v>đủ</v>
      </c>
    </row>
    <row r="41" spans="1:14">
      <c r="A41" s="45">
        <f ca="1">IFERROR(__xludf.DUMMYFUNCTION("""COMPUTED_VALUE"""),44937.625)</f>
        <v>44937.625</v>
      </c>
      <c r="B41" s="45"/>
      <c r="C41" s="46">
        <f ca="1">IFERROR(__xludf.DUMMYFUNCTION("""COMPUTED_VALUE"""),42)</f>
        <v>42</v>
      </c>
      <c r="D41" s="47" t="str">
        <f ca="1">IFERROR(__xludf.DUMMYFUNCTION("""COMPUTED_VALUE"""),"LM015")</f>
        <v>LM015</v>
      </c>
      <c r="E41" s="46" t="str">
        <f ca="1">IFERROR(__xludf.DUMMYFUNCTION("""COMPUTED_VALUE"""),"TRẦN DUY BẢO")</f>
        <v>TRẦN DUY BẢO</v>
      </c>
      <c r="F41" s="46" t="str">
        <f ca="1">IFERROR(__xludf.DUMMYFUNCTION("""COMPUTED_VALUE"""),"TRAN DUY BAO")</f>
        <v>TRAN DUY BAO</v>
      </c>
      <c r="G41" s="45">
        <f ca="1">IFERROR(__xludf.DUMMYFUNCTION("""COMPUTED_VALUE"""),35814.625)</f>
        <v>35814.625</v>
      </c>
      <c r="H41" s="45" t="str">
        <f ca="1">IFERROR(__xludf.DUMMYFUNCTION("""COMPUTED_VALUE"""),"TLC")</f>
        <v>TLC</v>
      </c>
      <c r="I41" s="46" t="str">
        <f ca="1">IFERROR(__xludf.DUMMYFUNCTION("""COMPUTED_VALUE"""),"STORE")</f>
        <v>STORE</v>
      </c>
      <c r="J41" s="46" t="str">
        <f ca="1">IFERROR(__xludf.DUMMYFUNCTION("""COMPUTED_VALUE"""),"BLANK LOUNGE")</f>
        <v>BLANK LOUNGE</v>
      </c>
      <c r="K41" s="46" t="str">
        <f ca="1">IFERROR(__xludf.DUMMYFUNCTION("""COMPUTED_VALUE"""),"BAR")</f>
        <v>BAR</v>
      </c>
      <c r="L41" s="46" t="str">
        <f ca="1">IFERROR(__xludf.DUMMYFUNCTION("""COMPUTED_VALUE"""),"FTE")</f>
        <v>FTE</v>
      </c>
      <c r="M41" s="46" t="str">
        <f ca="1">IFERROR(__xludf.DUMMYFUNCTION("""COMPUTED_VALUE"""),"On")</f>
        <v>On</v>
      </c>
      <c r="N41" s="46" t="str">
        <f ca="1">IFERROR(__xludf.DUMMYFUNCTION("""COMPUTED_VALUE"""),"đủ")</f>
        <v>đủ</v>
      </c>
    </row>
    <row r="42" spans="1:14">
      <c r="A42" s="45"/>
      <c r="B42" s="45" t="str">
        <f ca="1">IFERROR(__xludf.DUMMYFUNCTION("""COMPUTED_VALUE"""),"Đã nghỉ")</f>
        <v>Đã nghỉ</v>
      </c>
      <c r="C42" s="46">
        <f ca="1">IFERROR(__xludf.DUMMYFUNCTION("""COMPUTED_VALUE"""),43)</f>
        <v>43</v>
      </c>
      <c r="D42" s="47" t="str">
        <f ca="1">IFERROR(__xludf.DUMMYFUNCTION("""COMPUTED_VALUE"""),"LM016")</f>
        <v>LM016</v>
      </c>
      <c r="E42" s="46" t="str">
        <f ca="1">IFERROR(__xludf.DUMMYFUNCTION("""COMPUTED_VALUE"""),"LÊ NGUYÊN KHANG")</f>
        <v>LÊ NGUYÊN KHANG</v>
      </c>
      <c r="F42" s="46" t="str">
        <f ca="1">IFERROR(__xludf.DUMMYFUNCTION("""COMPUTED_VALUE"""),"LE HUYNH THUONG")</f>
        <v>LE HUYNH THUONG</v>
      </c>
      <c r="G42" s="45">
        <f ca="1">IFERROR(__xludf.DUMMYFUNCTION("""COMPUTED_VALUE"""),37362.5833333333)</f>
        <v>37362.583333333299</v>
      </c>
      <c r="H42" s="45" t="str">
        <f ca="1">IFERROR(__xludf.DUMMYFUNCTION("""COMPUTED_VALUE"""),"TLC")</f>
        <v>TLC</v>
      </c>
      <c r="I42" s="46" t="str">
        <f ca="1">IFERROR(__xludf.DUMMYFUNCTION("""COMPUTED_VALUE"""),"STORE")</f>
        <v>STORE</v>
      </c>
      <c r="J42" s="46" t="str">
        <f ca="1">IFERROR(__xludf.DUMMYFUNCTION("""COMPUTED_VALUE"""),"SHADOW SG")</f>
        <v>SHADOW SG</v>
      </c>
      <c r="K42" s="46" t="str">
        <f ca="1">IFERROR(__xludf.DUMMYFUNCTION("""COMPUTED_VALUE"""),"STR")</f>
        <v>STR</v>
      </c>
      <c r="L42" s="46" t="str">
        <f ca="1">IFERROR(__xludf.DUMMYFUNCTION("""COMPUTED_VALUE"""),"PTE")</f>
        <v>PTE</v>
      </c>
      <c r="M42" s="46" t="str">
        <f ca="1">IFERROR(__xludf.DUMMYFUNCTION("""COMPUTED_VALUE"""),"Leave")</f>
        <v>Leave</v>
      </c>
      <c r="N42" s="46" t="str">
        <f ca="1">IFERROR(__xludf.DUMMYFUNCTION("""COMPUTED_VALUE"""),"x")</f>
        <v>x</v>
      </c>
    </row>
    <row r="43" spans="1:14">
      <c r="A43" s="45">
        <f ca="1">IFERROR(__xludf.DUMMYFUNCTION("""COMPUTED_VALUE"""),44970.625)</f>
        <v>44970.625</v>
      </c>
      <c r="B43" s="45">
        <f ca="1">IFERROR(__xludf.DUMMYFUNCTION("""COMPUTED_VALUE"""),46146.5833333333)</f>
        <v>46146.583333333299</v>
      </c>
      <c r="C43" s="46">
        <f ca="1">IFERROR(__xludf.DUMMYFUNCTION("""COMPUTED_VALUE"""),44)</f>
        <v>44</v>
      </c>
      <c r="D43" s="47" t="str">
        <f ca="1">IFERROR(__xludf.DUMMYFUNCTION("""COMPUTED_VALUE"""),"LM017")</f>
        <v>LM017</v>
      </c>
      <c r="E43" s="46" t="str">
        <f ca="1">IFERROR(__xludf.DUMMYFUNCTION("""COMPUTED_VALUE"""),"LÊ THỊ MAI ANH")</f>
        <v>LÊ THỊ MAI ANH</v>
      </c>
      <c r="F43" s="46" t="str">
        <f ca="1">IFERROR(__xludf.DUMMYFUNCTION("""COMPUTED_VALUE"""),"LE THI MAI ANH")</f>
        <v>LE THI MAI ANH</v>
      </c>
      <c r="G43" s="45">
        <f ca="1">IFERROR(__xludf.DUMMYFUNCTION("""COMPUTED_VALUE"""),36695.5833333333)</f>
        <v>36695.583333333299</v>
      </c>
      <c r="H43" s="45" t="str">
        <f ca="1">IFERROR(__xludf.DUMMYFUNCTION("""COMPUTED_VALUE"""),"TLC")</f>
        <v>TLC</v>
      </c>
      <c r="I43" s="46" t="str">
        <f ca="1">IFERROR(__xludf.DUMMYFUNCTION("""COMPUTED_VALUE"""),"STORE")</f>
        <v>STORE</v>
      </c>
      <c r="J43" s="46" t="str">
        <f ca="1">IFERROR(__xludf.DUMMYFUNCTION("""COMPUTED_VALUE"""),"BLANK LOUNGE")</f>
        <v>BLANK LOUNGE</v>
      </c>
      <c r="K43" s="46" t="str">
        <f ca="1">IFERROR(__xludf.DUMMYFUNCTION("""COMPUTED_VALUE"""),"BAR")</f>
        <v>BAR</v>
      </c>
      <c r="L43" s="46" t="str">
        <f ca="1">IFERROR(__xludf.DUMMYFUNCTION("""COMPUTED_VALUE"""),"PTE")</f>
        <v>PTE</v>
      </c>
      <c r="M43" s="46" t="str">
        <f ca="1">IFERROR(__xludf.DUMMYFUNCTION("""COMPUTED_VALUE"""),"Leave")</f>
        <v>Leave</v>
      </c>
      <c r="N43" s="46" t="str">
        <f ca="1">IFERROR(__xludf.DUMMYFUNCTION("""COMPUTED_VALUE"""),"đủ")</f>
        <v>đủ</v>
      </c>
    </row>
    <row r="44" spans="1:14">
      <c r="A44" s="45"/>
      <c r="B44" s="45" t="str">
        <f ca="1">IFERROR(__xludf.DUMMYFUNCTION("""COMPUTED_VALUE"""),"Đã nghỉ")</f>
        <v>Đã nghỉ</v>
      </c>
      <c r="C44" s="46">
        <f ca="1">IFERROR(__xludf.DUMMYFUNCTION("""COMPUTED_VALUE"""),45)</f>
        <v>45</v>
      </c>
      <c r="D44" s="47" t="str">
        <f ca="1">IFERROR(__xludf.DUMMYFUNCTION("""COMPUTED_VALUE"""),"LM018")</f>
        <v>LM018</v>
      </c>
      <c r="E44" s="46" t="str">
        <f ca="1">IFERROR(__xludf.DUMMYFUNCTION("""COMPUTED_VALUE"""),"HỒ BỘI TIÊN")</f>
        <v>HỒ BỘI TIÊN</v>
      </c>
      <c r="F44" s="46" t="str">
        <f ca="1">IFERROR(__xludf.DUMMYFUNCTION("""COMPUTED_VALUE"""),"HO BOI TIEN")</f>
        <v>HO BOI TIEN</v>
      </c>
      <c r="G44" s="45"/>
      <c r="H44" s="45" t="str">
        <f ca="1">IFERROR(__xludf.DUMMYFUNCTION("""COMPUTED_VALUE"""),"TLC")</f>
        <v>TLC</v>
      </c>
      <c r="I44" s="46" t="str">
        <f ca="1">IFERROR(__xludf.DUMMYFUNCTION("""COMPUTED_VALUE"""),"STORE")</f>
        <v>STORE</v>
      </c>
      <c r="J44" s="46" t="str">
        <f ca="1">IFERROR(__xludf.DUMMYFUNCTION("""COMPUTED_VALUE"""),"SHADOW SG")</f>
        <v>SHADOW SG</v>
      </c>
      <c r="K44" s="46" t="str">
        <f ca="1">IFERROR(__xludf.DUMMYFUNCTION("""COMPUTED_VALUE"""),"STR")</f>
        <v>STR</v>
      </c>
      <c r="L44" s="46" t="str">
        <f ca="1">IFERROR(__xludf.DUMMYFUNCTION("""COMPUTED_VALUE"""),"PTE")</f>
        <v>PTE</v>
      </c>
      <c r="M44" s="46" t="str">
        <f ca="1">IFERROR(__xludf.DUMMYFUNCTION("""COMPUTED_VALUE"""),"Leave")</f>
        <v>Leave</v>
      </c>
      <c r="N44" s="46" t="str">
        <f ca="1">IFERROR(__xludf.DUMMYFUNCTION("""COMPUTED_VALUE"""),"x")</f>
        <v>x</v>
      </c>
    </row>
    <row r="45" spans="1:14">
      <c r="A45" s="45"/>
      <c r="B45" s="45" t="str">
        <f ca="1">IFERROR(__xludf.DUMMYFUNCTION("""COMPUTED_VALUE"""),"Đã nghỉ")</f>
        <v>Đã nghỉ</v>
      </c>
      <c r="C45" s="46">
        <f ca="1">IFERROR(__xludf.DUMMYFUNCTION("""COMPUTED_VALUE"""),46)</f>
        <v>46</v>
      </c>
      <c r="D45" s="47" t="str">
        <f ca="1">IFERROR(__xludf.DUMMYFUNCTION("""COMPUTED_VALUE"""),"LM019")</f>
        <v>LM019</v>
      </c>
      <c r="E45" s="46" t="str">
        <f ca="1">IFERROR(__xludf.DUMMYFUNCTION("""COMPUTED_VALUE"""),"VÕ THỊ SEN HÀ")</f>
        <v>VÕ THỊ SEN HÀ</v>
      </c>
      <c r="F45" s="46" t="str">
        <f ca="1">IFERROR(__xludf.DUMMYFUNCTION("""COMPUTED_VALUE"""),"VO THI SEN HA")</f>
        <v>VO THI SEN HA</v>
      </c>
      <c r="G45" s="45"/>
      <c r="H45" s="45" t="str">
        <f ca="1">IFERROR(__xludf.DUMMYFUNCTION("""COMPUTED_VALUE"""),"TLC")</f>
        <v>TLC</v>
      </c>
      <c r="I45" s="46" t="str">
        <f ca="1">IFERROR(__xludf.DUMMYFUNCTION("""COMPUTED_VALUE"""),"STORE")</f>
        <v>STORE</v>
      </c>
      <c r="J45" s="46" t="str">
        <f ca="1">IFERROR(__xludf.DUMMYFUNCTION("""COMPUTED_VALUE"""),"BLANK LOUNGE")</f>
        <v>BLANK LOUNGE</v>
      </c>
      <c r="K45" s="46" t="str">
        <f ca="1">IFERROR(__xludf.DUMMYFUNCTION("""COMPUTED_VALUE"""),"STR")</f>
        <v>STR</v>
      </c>
      <c r="L45" s="46" t="str">
        <f ca="1">IFERROR(__xludf.DUMMYFUNCTION("""COMPUTED_VALUE"""),"PTE")</f>
        <v>PTE</v>
      </c>
      <c r="M45" s="46" t="str">
        <f ca="1">IFERROR(__xludf.DUMMYFUNCTION("""COMPUTED_VALUE"""),"Leave")</f>
        <v>Leave</v>
      </c>
      <c r="N45" s="46" t="str">
        <f ca="1">IFERROR(__xludf.DUMMYFUNCTION("""COMPUTED_VALUE"""),"x")</f>
        <v>x</v>
      </c>
    </row>
    <row r="46" spans="1:14">
      <c r="A46" s="45">
        <f ca="1">IFERROR(__xludf.DUMMYFUNCTION("""COMPUTED_VALUE"""),44981.625)</f>
        <v>44981.625</v>
      </c>
      <c r="B46" s="45"/>
      <c r="C46" s="46">
        <f ca="1">IFERROR(__xludf.DUMMYFUNCTION("""COMPUTED_VALUE"""),47)</f>
        <v>47</v>
      </c>
      <c r="D46" s="47" t="str">
        <f ca="1">IFERROR(__xludf.DUMMYFUNCTION("""COMPUTED_VALUE"""),"LM020")</f>
        <v>LM020</v>
      </c>
      <c r="E46" s="46" t="str">
        <f ca="1">IFERROR(__xludf.DUMMYFUNCTION("""COMPUTED_VALUE"""),"NGUYỄN THỊ LỘC")</f>
        <v>NGUYỄN THỊ LỘC</v>
      </c>
      <c r="F46" s="46" t="str">
        <f ca="1">IFERROR(__xludf.DUMMYFUNCTION("""COMPUTED_VALUE"""),"NGUYEN THI LOC")</f>
        <v>NGUYEN THI LOC</v>
      </c>
      <c r="G46" s="45">
        <f ca="1">IFERROR(__xludf.DUMMYFUNCTION("""COMPUTED_VALUE"""),22811.625)</f>
        <v>22811.625</v>
      </c>
      <c r="H46" s="45" t="str">
        <f ca="1">IFERROR(__xludf.DUMMYFUNCTION("""COMPUTED_VALUE"""),"TLC")</f>
        <v>TLC</v>
      </c>
      <c r="I46" s="46" t="str">
        <f ca="1">IFERROR(__xludf.DUMMYFUNCTION("""COMPUTED_VALUE"""),"STORE")</f>
        <v>STORE</v>
      </c>
      <c r="J46" s="46" t="str">
        <f ca="1">IFERROR(__xludf.DUMMYFUNCTION("""COMPUTED_VALUE"""),"BLANK LOUNGE")</f>
        <v>BLANK LOUNGE</v>
      </c>
      <c r="K46" s="46" t="str">
        <f ca="1">IFERROR(__xludf.DUMMYFUNCTION("""COMPUTED_VALUE"""),"CLEANER")</f>
        <v>CLEANER</v>
      </c>
      <c r="L46" s="46" t="str">
        <f ca="1">IFERROR(__xludf.DUMMYFUNCTION("""COMPUTED_VALUE"""),"PTE")</f>
        <v>PTE</v>
      </c>
      <c r="M46" s="46" t="str">
        <f ca="1">IFERROR(__xludf.DUMMYFUNCTION("""COMPUTED_VALUE"""),"On")</f>
        <v>On</v>
      </c>
      <c r="N46" s="46" t="str">
        <f ca="1">IFERROR(__xludf.DUMMYFUNCTION("""COMPUTED_VALUE"""),"đủ")</f>
        <v>đủ</v>
      </c>
    </row>
    <row r="47" spans="1:14">
      <c r="A47" s="45">
        <f ca="1">IFERROR(__xludf.DUMMYFUNCTION("""COMPUTED_VALUE"""),44982.625)</f>
        <v>44982.625</v>
      </c>
      <c r="B47" s="45"/>
      <c r="C47" s="46">
        <f ca="1">IFERROR(__xludf.DUMMYFUNCTION("""COMPUTED_VALUE"""),48)</f>
        <v>48</v>
      </c>
      <c r="D47" s="47" t="str">
        <f ca="1">IFERROR(__xludf.DUMMYFUNCTION("""COMPUTED_VALUE"""),"LM021")</f>
        <v>LM021</v>
      </c>
      <c r="E47" s="46" t="str">
        <f ca="1">IFERROR(__xludf.DUMMYFUNCTION("""COMPUTED_VALUE"""),"TRẦN NGỌC PHƯƠNG LAN")</f>
        <v>TRẦN NGỌC PHƯƠNG LAN</v>
      </c>
      <c r="F47" s="46" t="str">
        <f ca="1">IFERROR(__xludf.DUMMYFUNCTION("""COMPUTED_VALUE"""),"TRAN NGOC PHUONG LAN")</f>
        <v>TRAN NGOC PHUONG LAN</v>
      </c>
      <c r="G47" s="45">
        <f ca="1">IFERROR(__xludf.DUMMYFUNCTION("""COMPUTED_VALUE"""),36077.5833333333)</f>
        <v>36077.583333333299</v>
      </c>
      <c r="H47" s="45" t="str">
        <f ca="1">IFERROR(__xludf.DUMMYFUNCTION("""COMPUTED_VALUE"""),"TLC")</f>
        <v>TLC</v>
      </c>
      <c r="I47" s="46" t="str">
        <f ca="1">IFERROR(__xludf.DUMMYFUNCTION("""COMPUTED_VALUE"""),"STORE")</f>
        <v>STORE</v>
      </c>
      <c r="J47" s="46" t="str">
        <f ca="1">IFERROR(__xludf.DUMMYFUNCTION("""COMPUTED_VALUE"""),"BLANK LOUNGE")</f>
        <v>BLANK LOUNGE</v>
      </c>
      <c r="K47" s="46" t="str">
        <f ca="1">IFERROR(__xludf.DUMMYFUNCTION("""COMPUTED_VALUE"""),"BAR")</f>
        <v>BAR</v>
      </c>
      <c r="L47" s="46" t="str">
        <f ca="1">IFERROR(__xludf.DUMMYFUNCTION("""COMPUTED_VALUE"""),"FTE")</f>
        <v>FTE</v>
      </c>
      <c r="M47" s="46" t="str">
        <f ca="1">IFERROR(__xludf.DUMMYFUNCTION("""COMPUTED_VALUE"""),"On")</f>
        <v>On</v>
      </c>
      <c r="N47" s="46" t="str">
        <f ca="1">IFERROR(__xludf.DUMMYFUNCTION("""COMPUTED_VALUE"""),"đủ")</f>
        <v>đủ</v>
      </c>
    </row>
    <row r="48" spans="1:14">
      <c r="A48" s="45">
        <f ca="1">IFERROR(__xludf.DUMMYFUNCTION("""COMPUTED_VALUE"""),45003.5833333333)</f>
        <v>45003.583333333299</v>
      </c>
      <c r="B48" s="45">
        <f ca="1">IFERROR(__xludf.DUMMYFUNCTION("""COMPUTED_VALUE"""),45705.625)</f>
        <v>45705.625</v>
      </c>
      <c r="C48" s="46">
        <f ca="1">IFERROR(__xludf.DUMMYFUNCTION("""COMPUTED_VALUE"""),49)</f>
        <v>49</v>
      </c>
      <c r="D48" s="47" t="str">
        <f ca="1">IFERROR(__xludf.DUMMYFUNCTION("""COMPUTED_VALUE"""),"LM022")</f>
        <v>LM022</v>
      </c>
      <c r="E48" s="46" t="str">
        <f ca="1">IFERROR(__xludf.DUMMYFUNCTION("""COMPUTED_VALUE"""),"PHẠM MINH ANH")</f>
        <v>PHẠM MINH ANH</v>
      </c>
      <c r="F48" s="46" t="str">
        <f ca="1">IFERROR(__xludf.DUMMYFUNCTION("""COMPUTED_VALUE"""),"PHAM MINH ANH")</f>
        <v>PHAM MINH ANH</v>
      </c>
      <c r="G48" s="45">
        <f ca="1">IFERROR(__xludf.DUMMYFUNCTION("""COMPUTED_VALUE"""),36610.625)</f>
        <v>36610.625</v>
      </c>
      <c r="H48" s="45" t="str">
        <f ca="1">IFERROR(__xludf.DUMMYFUNCTION("""COMPUTED_VALUE"""),"TLC")</f>
        <v>TLC</v>
      </c>
      <c r="I48" s="46" t="str">
        <f ca="1">IFERROR(__xludf.DUMMYFUNCTION("""COMPUTED_VALUE"""),"STORE")</f>
        <v>STORE</v>
      </c>
      <c r="J48" s="46" t="str">
        <f ca="1">IFERROR(__xludf.DUMMYFUNCTION("""COMPUTED_VALUE"""),"BLANK LOUNGE")</f>
        <v>BLANK LOUNGE</v>
      </c>
      <c r="K48" s="46" t="str">
        <f ca="1">IFERROR(__xludf.DUMMYFUNCTION("""COMPUTED_VALUE"""),"WAITSTAFF")</f>
        <v>WAITSTAFF</v>
      </c>
      <c r="L48" s="46" t="str">
        <f ca="1">IFERROR(__xludf.DUMMYFUNCTION("""COMPUTED_VALUE"""),"PTE")</f>
        <v>PTE</v>
      </c>
      <c r="M48" s="46" t="str">
        <f ca="1">IFERROR(__xludf.DUMMYFUNCTION("""COMPUTED_VALUE"""),"Leave")</f>
        <v>Leave</v>
      </c>
      <c r="N48" s="46" t="str">
        <f ca="1">IFERROR(__xludf.DUMMYFUNCTION("""COMPUTED_VALUE"""),"x")</f>
        <v>x</v>
      </c>
    </row>
    <row r="49" spans="1:14">
      <c r="A49" s="45">
        <f ca="1">IFERROR(__xludf.DUMMYFUNCTION("""COMPUTED_VALUE"""),45012.5833333333)</f>
        <v>45012.583333333299</v>
      </c>
      <c r="B49" s="45">
        <f ca="1">IFERROR(__xludf.DUMMYFUNCTION("""COMPUTED_VALUE"""),45900.5833333333)</f>
        <v>45900.583333333299</v>
      </c>
      <c r="C49" s="46">
        <f ca="1">IFERROR(__xludf.DUMMYFUNCTION("""COMPUTED_VALUE"""),50)</f>
        <v>50</v>
      </c>
      <c r="D49" s="47" t="str">
        <f ca="1">IFERROR(__xludf.DUMMYFUNCTION("""COMPUTED_VALUE"""),"LM023")</f>
        <v>LM023</v>
      </c>
      <c r="E49" s="46" t="str">
        <f ca="1">IFERROR(__xludf.DUMMYFUNCTION("""COMPUTED_VALUE"""),"VŨ NHÂN TRÍ")</f>
        <v>VŨ NHÂN TRÍ</v>
      </c>
      <c r="F49" s="46" t="str">
        <f ca="1">IFERROR(__xludf.DUMMYFUNCTION("""COMPUTED_VALUE"""),"VU NHAN TRI")</f>
        <v>VU NHAN TRI</v>
      </c>
      <c r="G49" s="45">
        <f ca="1">IFERROR(__xludf.DUMMYFUNCTION("""COMPUTED_VALUE"""),33395.5833333333)</f>
        <v>33395.583333333299</v>
      </c>
      <c r="H49" s="45" t="str">
        <f ca="1">IFERROR(__xludf.DUMMYFUNCTION("""COMPUTED_VALUE"""),"TLC")</f>
        <v>TLC</v>
      </c>
      <c r="I49" s="46" t="str">
        <f ca="1">IFERROR(__xludf.DUMMYFUNCTION("""COMPUTED_VALUE"""),"STORE")</f>
        <v>STORE</v>
      </c>
      <c r="J49" s="46" t="str">
        <f ca="1">IFERROR(__xludf.DUMMYFUNCTION("""COMPUTED_VALUE"""),"BLANK LOUNGE")</f>
        <v>BLANK LOUNGE</v>
      </c>
      <c r="K49" s="46" t="str">
        <f ca="1">IFERROR(__xludf.DUMMYFUNCTION("""COMPUTED_VALUE"""),"KIT")</f>
        <v>KIT</v>
      </c>
      <c r="L49" s="46" t="str">
        <f ca="1">IFERROR(__xludf.DUMMYFUNCTION("""COMPUTED_VALUE"""),"PTE")</f>
        <v>PTE</v>
      </c>
      <c r="M49" s="46" t="str">
        <f ca="1">IFERROR(__xludf.DUMMYFUNCTION("""COMPUTED_VALUE"""),"Leave")</f>
        <v>Leave</v>
      </c>
      <c r="N49" s="46" t="str">
        <f ca="1">IFERROR(__xludf.DUMMYFUNCTION("""COMPUTED_VALUE"""),"đủ")</f>
        <v>đủ</v>
      </c>
    </row>
    <row r="50" spans="1:14">
      <c r="A50" s="45"/>
      <c r="B50" s="45">
        <f ca="1">IFERROR(__xludf.DUMMYFUNCTION("""COMPUTED_VALUE"""),45324.625)</f>
        <v>45324.625</v>
      </c>
      <c r="C50" s="46">
        <f ca="1">IFERROR(__xludf.DUMMYFUNCTION("""COMPUTED_VALUE"""),51)</f>
        <v>51</v>
      </c>
      <c r="D50" s="47" t="str">
        <f ca="1">IFERROR(__xludf.DUMMYFUNCTION("""COMPUTED_VALUE"""),"LM024")</f>
        <v>LM024</v>
      </c>
      <c r="E50" s="46" t="str">
        <f ca="1">IFERROR(__xludf.DUMMYFUNCTION("""COMPUTED_VALUE"""),"LÊ VĂN HÒA")</f>
        <v>LÊ VĂN HÒA</v>
      </c>
      <c r="F50" s="46" t="str">
        <f ca="1">IFERROR(__xludf.DUMMYFUNCTION("""COMPUTED_VALUE"""),"LE VAN HOA")</f>
        <v>LE VAN HOA</v>
      </c>
      <c r="G50" s="45">
        <f ca="1">IFERROR(__xludf.DUMMYFUNCTION("""COMPUTED_VALUE"""),37688.625)</f>
        <v>37688.625</v>
      </c>
      <c r="H50" s="45" t="str">
        <f ca="1">IFERROR(__xludf.DUMMYFUNCTION("""COMPUTED_VALUE"""),"TLC")</f>
        <v>TLC</v>
      </c>
      <c r="I50" s="46" t="str">
        <f ca="1">IFERROR(__xludf.DUMMYFUNCTION("""COMPUTED_VALUE"""),"STORE")</f>
        <v>STORE</v>
      </c>
      <c r="J50" s="46" t="str">
        <f ca="1">IFERROR(__xludf.DUMMYFUNCTION("""COMPUTED_VALUE"""),"BLANK LOUNGE")</f>
        <v>BLANK LOUNGE</v>
      </c>
      <c r="K50" s="46" t="str">
        <f ca="1">IFERROR(__xludf.DUMMYFUNCTION("""COMPUTED_VALUE"""),"STR")</f>
        <v>STR</v>
      </c>
      <c r="L50" s="46" t="str">
        <f ca="1">IFERROR(__xludf.DUMMYFUNCTION("""COMPUTED_VALUE"""),"PTE")</f>
        <v>PTE</v>
      </c>
      <c r="M50" s="46" t="str">
        <f ca="1">IFERROR(__xludf.DUMMYFUNCTION("""COMPUTED_VALUE"""),"Leave")</f>
        <v>Leave</v>
      </c>
      <c r="N50" s="46" t="str">
        <f ca="1">IFERROR(__xludf.DUMMYFUNCTION("""COMPUTED_VALUE"""),"x")</f>
        <v>x</v>
      </c>
    </row>
    <row r="51" spans="1:14">
      <c r="A51" s="45">
        <f ca="1">IFERROR(__xludf.DUMMYFUNCTION("""COMPUTED_VALUE"""),45007.5833333333)</f>
        <v>45007.583333333299</v>
      </c>
      <c r="B51" s="45">
        <f ca="1">IFERROR(__xludf.DUMMYFUNCTION("""COMPUTED_VALUE"""),45984.625)</f>
        <v>45984.625</v>
      </c>
      <c r="C51" s="46">
        <f ca="1">IFERROR(__xludf.DUMMYFUNCTION("""COMPUTED_VALUE"""),52)</f>
        <v>52</v>
      </c>
      <c r="D51" s="47" t="str">
        <f ca="1">IFERROR(__xludf.DUMMYFUNCTION("""COMPUTED_VALUE"""),"LM025")</f>
        <v>LM025</v>
      </c>
      <c r="E51" s="46" t="str">
        <f ca="1">IFERROR(__xludf.DUMMYFUNCTION("""COMPUTED_VALUE"""),"NGUYỄN ĐĂNG GIA HUY")</f>
        <v>NGUYỄN ĐĂNG GIA HUY</v>
      </c>
      <c r="F51" s="46" t="str">
        <f ca="1">IFERROR(__xludf.DUMMYFUNCTION("""COMPUTED_VALUE"""),"NGUYEN DANG GIA HUY")</f>
        <v>NGUYEN DANG GIA HUY</v>
      </c>
      <c r="G51" s="45">
        <f ca="1">IFERROR(__xludf.DUMMYFUNCTION("""COMPUTED_VALUE"""),35923.5833333333)</f>
        <v>35923.583333333299</v>
      </c>
      <c r="H51" s="45" t="str">
        <f ca="1">IFERROR(__xludf.DUMMYFUNCTION("""COMPUTED_VALUE"""),"TLC")</f>
        <v>TLC</v>
      </c>
      <c r="I51" s="46" t="str">
        <f ca="1">IFERROR(__xludf.DUMMYFUNCTION("""COMPUTED_VALUE"""),"STORE")</f>
        <v>STORE</v>
      </c>
      <c r="J51" s="46" t="str">
        <f ca="1">IFERROR(__xludf.DUMMYFUNCTION("""COMPUTED_VALUE"""),"BLANK LOUNGE")</f>
        <v>BLANK LOUNGE</v>
      </c>
      <c r="K51" s="46" t="str">
        <f ca="1">IFERROR(__xludf.DUMMYFUNCTION("""COMPUTED_VALUE"""),"BAR")</f>
        <v>BAR</v>
      </c>
      <c r="L51" s="46" t="str">
        <f ca="1">IFERROR(__xludf.DUMMYFUNCTION("""COMPUTED_VALUE"""),"FTE")</f>
        <v>FTE</v>
      </c>
      <c r="M51" s="46" t="str">
        <f ca="1">IFERROR(__xludf.DUMMYFUNCTION("""COMPUTED_VALUE"""),"Leave")</f>
        <v>Leave</v>
      </c>
      <c r="N51" s="46" t="str">
        <f ca="1">IFERROR(__xludf.DUMMYFUNCTION("""COMPUTED_VALUE"""),"đủ")</f>
        <v>đủ</v>
      </c>
    </row>
    <row r="52" spans="1:14">
      <c r="A52" s="45">
        <f ca="1">IFERROR(__xludf.DUMMYFUNCTION("""COMPUTED_VALUE"""),45803.5833333333)</f>
        <v>45803.583333333299</v>
      </c>
      <c r="B52" s="45"/>
      <c r="C52" s="46">
        <f ca="1">IFERROR(__xludf.DUMMYFUNCTION("""COMPUTED_VALUE"""),53)</f>
        <v>53</v>
      </c>
      <c r="D52" s="47" t="str">
        <f ca="1">IFERROR(__xludf.DUMMYFUNCTION("""COMPUTED_VALUE"""),"LM026")</f>
        <v>LM026</v>
      </c>
      <c r="E52" s="46" t="str">
        <f ca="1">IFERROR(__xludf.DUMMYFUNCTION("""COMPUTED_VALUE"""),"PHẠM NGUYỄN MINH THY")</f>
        <v>PHẠM NGUYỄN MINH THY</v>
      </c>
      <c r="F52" s="46" t="str">
        <f ca="1">IFERROR(__xludf.DUMMYFUNCTION("""COMPUTED_VALUE"""),"PHAM NGUYEN MINH THY")</f>
        <v>PHAM NGUYEN MINH THY</v>
      </c>
      <c r="G52" s="45">
        <f ca="1">IFERROR(__xludf.DUMMYFUNCTION("""COMPUTED_VALUE"""),37784.5833333333)</f>
        <v>37784.583333333299</v>
      </c>
      <c r="H52" s="45" t="str">
        <f ca="1">IFERROR(__xludf.DUMMYFUNCTION("""COMPUTED_VALUE"""),"BAKES")</f>
        <v>BAKES</v>
      </c>
      <c r="I52" s="46" t="str">
        <f ca="1">IFERROR(__xludf.DUMMYFUNCTION("""COMPUTED_VALUE"""),"HO")</f>
        <v>HO</v>
      </c>
      <c r="J52" s="46" t="str">
        <f ca="1">IFERROR(__xludf.DUMMYFUNCTION("""COMPUTED_VALUE"""),"CUS")</f>
        <v>CUS</v>
      </c>
      <c r="K52" s="46" t="str">
        <f ca="1">IFERROR(__xludf.DUMMYFUNCTION("""COMPUTED_VALUE"""),"CUS")</f>
        <v>CUS</v>
      </c>
      <c r="L52" s="46" t="str">
        <f ca="1">IFERROR(__xludf.DUMMYFUNCTION("""COMPUTED_VALUE"""),"PTE")</f>
        <v>PTE</v>
      </c>
      <c r="M52" s="46" t="str">
        <f ca="1">IFERROR(__xludf.DUMMYFUNCTION("""COMPUTED_VALUE"""),"On")</f>
        <v>On</v>
      </c>
      <c r="N52" s="46" t="str">
        <f ca="1">IFERROR(__xludf.DUMMYFUNCTION("""COMPUTED_VALUE"""),"đủ")</f>
        <v>đủ</v>
      </c>
    </row>
    <row r="53" spans="1:14">
      <c r="A53" s="45"/>
      <c r="B53" s="45" t="str">
        <f ca="1">IFERROR(__xludf.DUMMYFUNCTION("""COMPUTED_VALUE"""),"Đã nghỉ")</f>
        <v>Đã nghỉ</v>
      </c>
      <c r="C53" s="46">
        <f ca="1">IFERROR(__xludf.DUMMYFUNCTION("""COMPUTED_VALUE"""),54)</f>
        <v>54</v>
      </c>
      <c r="D53" s="47" t="str">
        <f ca="1">IFERROR(__xludf.DUMMYFUNCTION("""COMPUTED_VALUE"""),"LM027")</f>
        <v>LM027</v>
      </c>
      <c r="E53" s="46" t="str">
        <f ca="1">IFERROR(__xludf.DUMMYFUNCTION("""COMPUTED_VALUE"""),"TRẦN ANH THƯ")</f>
        <v>TRẦN ANH THƯ</v>
      </c>
      <c r="F53" s="46" t="str">
        <f ca="1">IFERROR(__xludf.DUMMYFUNCTION("""COMPUTED_VALUE"""),"TRAN ANH THU")</f>
        <v>TRAN ANH THU</v>
      </c>
      <c r="G53" s="45">
        <f ca="1">IFERROR(__xludf.DUMMYFUNCTION("""COMPUTED_VALUE"""),37851.5833333333)</f>
        <v>37851.583333333299</v>
      </c>
      <c r="H53" s="45" t="str">
        <f ca="1">IFERROR(__xludf.DUMMYFUNCTION("""COMPUTED_VALUE"""),"TLC")</f>
        <v>TLC</v>
      </c>
      <c r="I53" s="46" t="str">
        <f ca="1">IFERROR(__xludf.DUMMYFUNCTION("""COMPUTED_VALUE"""),"STORE")</f>
        <v>STORE</v>
      </c>
      <c r="J53" s="46" t="str">
        <f ca="1">IFERROR(__xludf.DUMMYFUNCTION("""COMPUTED_VALUE"""),"SHADOW SG")</f>
        <v>SHADOW SG</v>
      </c>
      <c r="K53" s="46" t="str">
        <f ca="1">IFERROR(__xludf.DUMMYFUNCTION("""COMPUTED_VALUE"""),"STR")</f>
        <v>STR</v>
      </c>
      <c r="L53" s="46" t="str">
        <f ca="1">IFERROR(__xludf.DUMMYFUNCTION("""COMPUTED_VALUE"""),"PTE")</f>
        <v>PTE</v>
      </c>
      <c r="M53" s="46" t="str">
        <f ca="1">IFERROR(__xludf.DUMMYFUNCTION("""COMPUTED_VALUE"""),"Leave")</f>
        <v>Leave</v>
      </c>
      <c r="N53" s="46" t="str">
        <f ca="1">IFERROR(__xludf.DUMMYFUNCTION("""COMPUTED_VALUE"""),"x")</f>
        <v>x</v>
      </c>
    </row>
    <row r="54" spans="1:14">
      <c r="A54" s="45">
        <f ca="1">IFERROR(__xludf.DUMMYFUNCTION("""COMPUTED_VALUE"""),45012.5833333333)</f>
        <v>45012.583333333299</v>
      </c>
      <c r="B54" s="45">
        <f ca="1">IFERROR(__xludf.DUMMYFUNCTION("""COMPUTED_VALUE"""),46143.5833333333)</f>
        <v>46143.583333333299</v>
      </c>
      <c r="C54" s="46">
        <f ca="1">IFERROR(__xludf.DUMMYFUNCTION("""COMPUTED_VALUE"""),55)</f>
        <v>55</v>
      </c>
      <c r="D54" s="47" t="str">
        <f ca="1">IFERROR(__xludf.DUMMYFUNCTION("""COMPUTED_VALUE"""),"LM028")</f>
        <v>LM028</v>
      </c>
      <c r="E54" s="46" t="str">
        <f ca="1">IFERROR(__xludf.DUMMYFUNCTION("""COMPUTED_VALUE"""),"NGUYỄN MINH NHỰT")</f>
        <v>NGUYỄN MINH NHỰT</v>
      </c>
      <c r="F54" s="46" t="str">
        <f ca="1">IFERROR(__xludf.DUMMYFUNCTION("""COMPUTED_VALUE"""),"NGUYEN MINH NHUT")</f>
        <v>NGUYEN MINH NHUT</v>
      </c>
      <c r="G54" s="45">
        <f ca="1">IFERROR(__xludf.DUMMYFUNCTION("""COMPUTED_VALUE"""),37634.625)</f>
        <v>37634.625</v>
      </c>
      <c r="H54" s="45" t="str">
        <f ca="1">IFERROR(__xludf.DUMMYFUNCTION("""COMPUTED_VALUE"""),"TLC")</f>
        <v>TLC</v>
      </c>
      <c r="I54" s="46" t="str">
        <f ca="1">IFERROR(__xludf.DUMMYFUNCTION("""COMPUTED_VALUE"""),"STORE")</f>
        <v>STORE</v>
      </c>
      <c r="J54" s="46" t="str">
        <f ca="1">IFERROR(__xludf.DUMMYFUNCTION("""COMPUTED_VALUE"""),"BLANK LOUNGE")</f>
        <v>BLANK LOUNGE</v>
      </c>
      <c r="K54" s="46" t="str">
        <f ca="1">IFERROR(__xludf.DUMMYFUNCTION("""COMPUTED_VALUE"""),"BAR")</f>
        <v>BAR</v>
      </c>
      <c r="L54" s="46" t="str">
        <f ca="1">IFERROR(__xludf.DUMMYFUNCTION("""COMPUTED_VALUE"""),"PTE")</f>
        <v>PTE</v>
      </c>
      <c r="M54" s="46" t="str">
        <f ca="1">IFERROR(__xludf.DUMMYFUNCTION("""COMPUTED_VALUE"""),"Leave")</f>
        <v>Leave</v>
      </c>
      <c r="N54" s="46" t="str">
        <f ca="1">IFERROR(__xludf.DUMMYFUNCTION("""COMPUTED_VALUE"""),"đủ")</f>
        <v>đủ</v>
      </c>
    </row>
    <row r="55" spans="1:14">
      <c r="A55" s="45"/>
      <c r="B55" s="45" t="str">
        <f ca="1">IFERROR(__xludf.DUMMYFUNCTION("""COMPUTED_VALUE"""),"Đã nghỉ")</f>
        <v>Đã nghỉ</v>
      </c>
      <c r="C55" s="46">
        <f ca="1">IFERROR(__xludf.DUMMYFUNCTION("""COMPUTED_VALUE"""),56)</f>
        <v>56</v>
      </c>
      <c r="D55" s="47" t="str">
        <f ca="1">IFERROR(__xludf.DUMMYFUNCTION("""COMPUTED_VALUE"""),"LM029")</f>
        <v>LM029</v>
      </c>
      <c r="E55" s="46" t="str">
        <f ca="1">IFERROR(__xludf.DUMMYFUNCTION("""COMPUTED_VALUE"""),"ĐẶNG VIỆT THÀNH")</f>
        <v>ĐẶNG VIỆT THÀNH</v>
      </c>
      <c r="F55" s="46" t="str">
        <f ca="1">IFERROR(__xludf.DUMMYFUNCTION("""COMPUTED_VALUE"""),"DANG VIET THANH")</f>
        <v>DANG VIET THANH</v>
      </c>
      <c r="G55" s="45">
        <f ca="1">IFERROR(__xludf.DUMMYFUNCTION("""COMPUTED_VALUE"""),37937.625)</f>
        <v>37937.625</v>
      </c>
      <c r="H55" s="45" t="str">
        <f ca="1">IFERROR(__xludf.DUMMYFUNCTION("""COMPUTED_VALUE"""),"TLC")</f>
        <v>TLC</v>
      </c>
      <c r="I55" s="46" t="str">
        <f ca="1">IFERROR(__xludf.DUMMYFUNCTION("""COMPUTED_VALUE"""),"STORE")</f>
        <v>STORE</v>
      </c>
      <c r="J55" s="46" t="str">
        <f ca="1">IFERROR(__xludf.DUMMYFUNCTION("""COMPUTED_VALUE"""),"BLANK LOUNGE")</f>
        <v>BLANK LOUNGE</v>
      </c>
      <c r="K55" s="46" t="str">
        <f ca="1">IFERROR(__xludf.DUMMYFUNCTION("""COMPUTED_VALUE"""),"STR")</f>
        <v>STR</v>
      </c>
      <c r="L55" s="46" t="str">
        <f ca="1">IFERROR(__xludf.DUMMYFUNCTION("""COMPUTED_VALUE"""),"PTE")</f>
        <v>PTE</v>
      </c>
      <c r="M55" s="46" t="str">
        <f ca="1">IFERROR(__xludf.DUMMYFUNCTION("""COMPUTED_VALUE"""),"Leave")</f>
        <v>Leave</v>
      </c>
      <c r="N55" s="46" t="str">
        <f ca="1">IFERROR(__xludf.DUMMYFUNCTION("""COMPUTED_VALUE"""),"x")</f>
        <v>x</v>
      </c>
    </row>
    <row r="56" spans="1:14">
      <c r="A56" s="45"/>
      <c r="B56" s="45">
        <f ca="1">IFERROR(__xludf.DUMMYFUNCTION("""COMPUTED_VALUE"""),45292.625)</f>
        <v>45292.625</v>
      </c>
      <c r="C56" s="46">
        <f ca="1">IFERROR(__xludf.DUMMYFUNCTION("""COMPUTED_VALUE"""),57)</f>
        <v>57</v>
      </c>
      <c r="D56" s="47" t="str">
        <f ca="1">IFERROR(__xludf.DUMMYFUNCTION("""COMPUTED_VALUE"""),"LM030")</f>
        <v>LM030</v>
      </c>
      <c r="E56" s="46" t="str">
        <f ca="1">IFERROR(__xludf.DUMMYFUNCTION("""COMPUTED_VALUE"""),"TRẦN KHÁNH HUÂN")</f>
        <v>TRẦN KHÁNH HUÂN</v>
      </c>
      <c r="F56" s="46" t="str">
        <f ca="1">IFERROR(__xludf.DUMMYFUNCTION("""COMPUTED_VALUE"""),"TRAN KHANH HUAN")</f>
        <v>TRAN KHANH HUAN</v>
      </c>
      <c r="G56" s="45">
        <f ca="1">IFERROR(__xludf.DUMMYFUNCTION("""COMPUTED_VALUE"""),37245.625)</f>
        <v>37245.625</v>
      </c>
      <c r="H56" s="45" t="str">
        <f ca="1">IFERROR(__xludf.DUMMYFUNCTION("""COMPUTED_VALUE"""),"TLC")</f>
        <v>TLC</v>
      </c>
      <c r="I56" s="46" t="str">
        <f ca="1">IFERROR(__xludf.DUMMYFUNCTION("""COMPUTED_VALUE"""),"STORE")</f>
        <v>STORE</v>
      </c>
      <c r="J56" s="46" t="str">
        <f ca="1">IFERROR(__xludf.DUMMYFUNCTION("""COMPUTED_VALUE"""),"BLANK LOUNGE")</f>
        <v>BLANK LOUNGE</v>
      </c>
      <c r="K56" s="46" t="str">
        <f ca="1">IFERROR(__xludf.DUMMYFUNCTION("""COMPUTED_VALUE"""),"STR")</f>
        <v>STR</v>
      </c>
      <c r="L56" s="46" t="str">
        <f ca="1">IFERROR(__xludf.DUMMYFUNCTION("""COMPUTED_VALUE"""),"PTE")</f>
        <v>PTE</v>
      </c>
      <c r="M56" s="46" t="str">
        <f ca="1">IFERROR(__xludf.DUMMYFUNCTION("""COMPUTED_VALUE"""),"Leave")</f>
        <v>Leave</v>
      </c>
      <c r="N56" s="46" t="str">
        <f ca="1">IFERROR(__xludf.DUMMYFUNCTION("""COMPUTED_VALUE"""),"x")</f>
        <v>x</v>
      </c>
    </row>
    <row r="57" spans="1:14">
      <c r="A57" s="45"/>
      <c r="B57" s="45">
        <f ca="1">IFERROR(__xludf.DUMMYFUNCTION("""COMPUTED_VALUE"""),45324.625)</f>
        <v>45324.625</v>
      </c>
      <c r="C57" s="46">
        <f ca="1">IFERROR(__xludf.DUMMYFUNCTION("""COMPUTED_VALUE"""),58)</f>
        <v>58</v>
      </c>
      <c r="D57" s="47" t="str">
        <f ca="1">IFERROR(__xludf.DUMMYFUNCTION("""COMPUTED_VALUE"""),"LM031")</f>
        <v>LM031</v>
      </c>
      <c r="E57" s="46" t="str">
        <f ca="1">IFERROR(__xludf.DUMMYFUNCTION("""COMPUTED_VALUE"""),"NGUYỄN HUỲNH KHÁNH THY")</f>
        <v>NGUYỄN HUỲNH KHÁNH THY</v>
      </c>
      <c r="F57" s="46" t="str">
        <f ca="1">IFERROR(__xludf.DUMMYFUNCTION("""COMPUTED_VALUE"""),"NGUYEN HUYNH KHANH THY")</f>
        <v>NGUYEN HUYNH KHANH THY</v>
      </c>
      <c r="G57" s="45">
        <f ca="1">IFERROR(__xludf.DUMMYFUNCTION("""COMPUTED_VALUE"""),36968.625)</f>
        <v>36968.625</v>
      </c>
      <c r="H57" s="45" t="str">
        <f ca="1">IFERROR(__xludf.DUMMYFUNCTION("""COMPUTED_VALUE"""),"TLC")</f>
        <v>TLC</v>
      </c>
      <c r="I57" s="46" t="str">
        <f ca="1">IFERROR(__xludf.DUMMYFUNCTION("""COMPUTED_VALUE"""),"STORE")</f>
        <v>STORE</v>
      </c>
      <c r="J57" s="46" t="str">
        <f ca="1">IFERROR(__xludf.DUMMYFUNCTION("""COMPUTED_VALUE"""),"BLANK LOUNGE")</f>
        <v>BLANK LOUNGE</v>
      </c>
      <c r="K57" s="46" t="str">
        <f ca="1">IFERROR(__xludf.DUMMYFUNCTION("""COMPUTED_VALUE"""),"STR")</f>
        <v>STR</v>
      </c>
      <c r="L57" s="46" t="str">
        <f ca="1">IFERROR(__xludf.DUMMYFUNCTION("""COMPUTED_VALUE"""),"PTE")</f>
        <v>PTE</v>
      </c>
      <c r="M57" s="46" t="str">
        <f ca="1">IFERROR(__xludf.DUMMYFUNCTION("""COMPUTED_VALUE"""),"Leave")</f>
        <v>Leave</v>
      </c>
      <c r="N57" s="46" t="str">
        <f ca="1">IFERROR(__xludf.DUMMYFUNCTION("""COMPUTED_VALUE"""),"x")</f>
        <v>x</v>
      </c>
    </row>
    <row r="58" spans="1:14">
      <c r="A58" s="45"/>
      <c r="B58" s="45" t="str">
        <f ca="1">IFERROR(__xludf.DUMMYFUNCTION("""COMPUTED_VALUE"""),"Đã nghỉ")</f>
        <v>Đã nghỉ</v>
      </c>
      <c r="C58" s="46">
        <f ca="1">IFERROR(__xludf.DUMMYFUNCTION("""COMPUTED_VALUE"""),59)</f>
        <v>59</v>
      </c>
      <c r="D58" s="47" t="str">
        <f ca="1">IFERROR(__xludf.DUMMYFUNCTION("""COMPUTED_VALUE"""),"LM032")</f>
        <v>LM032</v>
      </c>
      <c r="E58" s="46" t="str">
        <f ca="1">IFERROR(__xludf.DUMMYFUNCTION("""COMPUTED_VALUE"""),"NGUYỄN VÕ MỸ HÀ")</f>
        <v>NGUYỄN VÕ MỸ HÀ</v>
      </c>
      <c r="F58" s="46" t="str">
        <f ca="1">IFERROR(__xludf.DUMMYFUNCTION("""COMPUTED_VALUE"""),"NGUYEN VO MY HA")</f>
        <v>NGUYEN VO MY HA</v>
      </c>
      <c r="G58" s="45">
        <f ca="1">IFERROR(__xludf.DUMMYFUNCTION("""COMPUTED_VALUE"""),37580.625)</f>
        <v>37580.625</v>
      </c>
      <c r="H58" s="45" t="str">
        <f ca="1">IFERROR(__xludf.DUMMYFUNCTION("""COMPUTED_VALUE"""),"TLC")</f>
        <v>TLC</v>
      </c>
      <c r="I58" s="46" t="str">
        <f ca="1">IFERROR(__xludf.DUMMYFUNCTION("""COMPUTED_VALUE"""),"STORE")</f>
        <v>STORE</v>
      </c>
      <c r="J58" s="46" t="str">
        <f ca="1">IFERROR(__xludf.DUMMYFUNCTION("""COMPUTED_VALUE"""),"BLANK LOUNGE")</f>
        <v>BLANK LOUNGE</v>
      </c>
      <c r="K58" s="46" t="str">
        <f ca="1">IFERROR(__xludf.DUMMYFUNCTION("""COMPUTED_VALUE"""),"STR")</f>
        <v>STR</v>
      </c>
      <c r="L58" s="46" t="str">
        <f ca="1">IFERROR(__xludf.DUMMYFUNCTION("""COMPUTED_VALUE"""),"PTE")</f>
        <v>PTE</v>
      </c>
      <c r="M58" s="46" t="str">
        <f ca="1">IFERROR(__xludf.DUMMYFUNCTION("""COMPUTED_VALUE"""),"Leave")</f>
        <v>Leave</v>
      </c>
      <c r="N58" s="46" t="str">
        <f ca="1">IFERROR(__xludf.DUMMYFUNCTION("""COMPUTED_VALUE"""),"x")</f>
        <v>x</v>
      </c>
    </row>
    <row r="59" spans="1:14">
      <c r="A59" s="45">
        <f ca="1">IFERROR(__xludf.DUMMYFUNCTION("""COMPUTED_VALUE"""),45558.5833333333)</f>
        <v>45558.583333333299</v>
      </c>
      <c r="B59" s="45">
        <f ca="1">IFERROR(__xludf.DUMMYFUNCTION("""COMPUTED_VALUE"""),45782.5833333333)</f>
        <v>45782.583333333299</v>
      </c>
      <c r="C59" s="46">
        <f ca="1">IFERROR(__xludf.DUMMYFUNCTION("""COMPUTED_VALUE"""),60)</f>
        <v>60</v>
      </c>
      <c r="D59" s="47" t="str">
        <f ca="1">IFERROR(__xludf.DUMMYFUNCTION("""COMPUTED_VALUE"""),"LM033")</f>
        <v>LM033</v>
      </c>
      <c r="E59" s="46" t="str">
        <f ca="1">IFERROR(__xludf.DUMMYFUNCTION("""COMPUTED_VALUE"""),"ĐẶNG THỊ MINH NGUYỆT")</f>
        <v>ĐẶNG THỊ MINH NGUYỆT</v>
      </c>
      <c r="F59" s="46" t="str">
        <f ca="1">IFERROR(__xludf.DUMMYFUNCTION("""COMPUTED_VALUE"""),"DANG THI MINH NGUYET")</f>
        <v>DANG THI MINH NGUYET</v>
      </c>
      <c r="G59" s="45">
        <f ca="1">IFERROR(__xludf.DUMMYFUNCTION("""COMPUTED_VALUE"""),35905.5833333333)</f>
        <v>35905.583333333299</v>
      </c>
      <c r="H59" s="45" t="str">
        <f ca="1">IFERROR(__xludf.DUMMYFUNCTION("""COMPUTED_VALUE"""),"TLC")</f>
        <v>TLC</v>
      </c>
      <c r="I59" s="46" t="str">
        <f ca="1">IFERROR(__xludf.DUMMYFUNCTION("""COMPUTED_VALUE"""),"STORE")</f>
        <v>STORE</v>
      </c>
      <c r="J59" s="46" t="str">
        <f ca="1">IFERROR(__xludf.DUMMYFUNCTION("""COMPUTED_VALUE"""),"BLANK LOUNGE")</f>
        <v>BLANK LOUNGE</v>
      </c>
      <c r="K59" s="46" t="str">
        <f ca="1">IFERROR(__xludf.DUMMYFUNCTION("""COMPUTED_VALUE"""),"WAITSTAFF")</f>
        <v>WAITSTAFF</v>
      </c>
      <c r="L59" s="46" t="str">
        <f ca="1">IFERROR(__xludf.DUMMYFUNCTION("""COMPUTED_VALUE"""),"PTE")</f>
        <v>PTE</v>
      </c>
      <c r="M59" s="46" t="str">
        <f ca="1">IFERROR(__xludf.DUMMYFUNCTION("""COMPUTED_VALUE"""),"Leave")</f>
        <v>Leave</v>
      </c>
      <c r="N59" s="46" t="str">
        <f ca="1">IFERROR(__xludf.DUMMYFUNCTION("""COMPUTED_VALUE"""),"x")</f>
        <v>x</v>
      </c>
    </row>
    <row r="60" spans="1:14">
      <c r="A60" s="45">
        <f ca="1">IFERROR(__xludf.DUMMYFUNCTION("""COMPUTED_VALUE"""),45017.5833333333)</f>
        <v>45017.583333333299</v>
      </c>
      <c r="B60" s="45">
        <f ca="1">IFERROR(__xludf.DUMMYFUNCTION("""COMPUTED_VALUE"""),45376.5833333333)</f>
        <v>45376.583333333299</v>
      </c>
      <c r="C60" s="46">
        <f ca="1">IFERROR(__xludf.DUMMYFUNCTION("""COMPUTED_VALUE"""),61)</f>
        <v>61</v>
      </c>
      <c r="D60" s="47" t="str">
        <f ca="1">IFERROR(__xludf.DUMMYFUNCTION("""COMPUTED_VALUE"""),"LM034")</f>
        <v>LM034</v>
      </c>
      <c r="E60" s="46" t="str">
        <f ca="1">IFERROR(__xludf.DUMMYFUNCTION("""COMPUTED_VALUE"""),"LÊ XUÂN NGHI")</f>
        <v>LÊ XUÂN NGHI</v>
      </c>
      <c r="F60" s="46" t="str">
        <f ca="1">IFERROR(__xludf.DUMMYFUNCTION("""COMPUTED_VALUE"""),"LE XUAN NGHI")</f>
        <v>LE XUAN NGHI</v>
      </c>
      <c r="G60" s="45">
        <f ca="1">IFERROR(__xludf.DUMMYFUNCTION("""COMPUTED_VALUE"""),37942.625)</f>
        <v>37942.625</v>
      </c>
      <c r="H60" s="45" t="str">
        <f ca="1">IFERROR(__xludf.DUMMYFUNCTION("""COMPUTED_VALUE"""),"TLC")</f>
        <v>TLC</v>
      </c>
      <c r="I60" s="46" t="str">
        <f ca="1">IFERROR(__xludf.DUMMYFUNCTION("""COMPUTED_VALUE"""),"STORE")</f>
        <v>STORE</v>
      </c>
      <c r="J60" s="46" t="str">
        <f ca="1">IFERROR(__xludf.DUMMYFUNCTION("""COMPUTED_VALUE"""),"BLANK LOUNGE")</f>
        <v>BLANK LOUNGE</v>
      </c>
      <c r="K60" s="46" t="str">
        <f ca="1">IFERROR(__xludf.DUMMYFUNCTION("""COMPUTED_VALUE"""),"STR")</f>
        <v>STR</v>
      </c>
      <c r="L60" s="46" t="str">
        <f ca="1">IFERROR(__xludf.DUMMYFUNCTION("""COMPUTED_VALUE"""),"PTE")</f>
        <v>PTE</v>
      </c>
      <c r="M60" s="46" t="str">
        <f ca="1">IFERROR(__xludf.DUMMYFUNCTION("""COMPUTED_VALUE"""),"Leave")</f>
        <v>Leave</v>
      </c>
      <c r="N60" s="46" t="str">
        <f ca="1">IFERROR(__xludf.DUMMYFUNCTION("""COMPUTED_VALUE"""),"x")</f>
        <v>x</v>
      </c>
    </row>
    <row r="61" spans="1:14">
      <c r="A61" s="45"/>
      <c r="B61" s="45" t="str">
        <f ca="1">IFERROR(__xludf.DUMMYFUNCTION("""COMPUTED_VALUE"""),"Đã nghỉ")</f>
        <v>Đã nghỉ</v>
      </c>
      <c r="C61" s="46">
        <f ca="1">IFERROR(__xludf.DUMMYFUNCTION("""COMPUTED_VALUE"""),62)</f>
        <v>62</v>
      </c>
      <c r="D61" s="47" t="str">
        <f ca="1">IFERROR(__xludf.DUMMYFUNCTION("""COMPUTED_VALUE"""),"LM035")</f>
        <v>LM035</v>
      </c>
      <c r="E61" s="46" t="str">
        <f ca="1">IFERROR(__xludf.DUMMYFUNCTION("""COMPUTED_VALUE"""),"HUỲNH ĐĂNG KHOA")</f>
        <v>HUỲNH ĐĂNG KHOA</v>
      </c>
      <c r="F61" s="46" t="str">
        <f ca="1">IFERROR(__xludf.DUMMYFUNCTION("""COMPUTED_VALUE"""),"HUYNH DANG KHOA")</f>
        <v>HUYNH DANG KHOA</v>
      </c>
      <c r="G61" s="45"/>
      <c r="H61" s="45" t="str">
        <f ca="1">IFERROR(__xludf.DUMMYFUNCTION("""COMPUTED_VALUE"""),"TLC")</f>
        <v>TLC</v>
      </c>
      <c r="I61" s="46" t="str">
        <f ca="1">IFERROR(__xludf.DUMMYFUNCTION("""COMPUTED_VALUE"""),"STORE")</f>
        <v>STORE</v>
      </c>
      <c r="J61" s="46" t="str">
        <f ca="1">IFERROR(__xludf.DUMMYFUNCTION("""COMPUTED_VALUE"""),"BLANK LOUNGE")</f>
        <v>BLANK LOUNGE</v>
      </c>
      <c r="K61" s="46" t="str">
        <f ca="1">IFERROR(__xludf.DUMMYFUNCTION("""COMPUTED_VALUE"""),"STR")</f>
        <v>STR</v>
      </c>
      <c r="L61" s="46" t="str">
        <f ca="1">IFERROR(__xludf.DUMMYFUNCTION("""COMPUTED_VALUE"""),"PTE")</f>
        <v>PTE</v>
      </c>
      <c r="M61" s="46" t="str">
        <f ca="1">IFERROR(__xludf.DUMMYFUNCTION("""COMPUTED_VALUE"""),"Leave")</f>
        <v>Leave</v>
      </c>
      <c r="N61" s="46" t="str">
        <f ca="1">IFERROR(__xludf.DUMMYFUNCTION("""COMPUTED_VALUE"""),"x")</f>
        <v>x</v>
      </c>
    </row>
    <row r="62" spans="1:14">
      <c r="A62" s="45"/>
      <c r="B62" s="45">
        <f ca="1">IFERROR(__xludf.DUMMYFUNCTION("""COMPUTED_VALUE"""),45292.625)</f>
        <v>45292.625</v>
      </c>
      <c r="C62" s="46">
        <f ca="1">IFERROR(__xludf.DUMMYFUNCTION("""COMPUTED_VALUE"""),63)</f>
        <v>63</v>
      </c>
      <c r="D62" s="47" t="str">
        <f ca="1">IFERROR(__xludf.DUMMYFUNCTION("""COMPUTED_VALUE"""),"LM036")</f>
        <v>LM036</v>
      </c>
      <c r="E62" s="46" t="str">
        <f ca="1">IFERROR(__xludf.DUMMYFUNCTION("""COMPUTED_VALUE"""),"NGUYỄN HOÀNG THẢO NGUYÊN")</f>
        <v>NGUYỄN HOÀNG THẢO NGUYÊN</v>
      </c>
      <c r="F62" s="46" t="str">
        <f ca="1">IFERROR(__xludf.DUMMYFUNCTION("""COMPUTED_VALUE"""),"NGUYEN HOANG THAO NGUYEN")</f>
        <v>NGUYEN HOANG THAO NGUYEN</v>
      </c>
      <c r="G62" s="45">
        <f ca="1">IFERROR(__xludf.DUMMYFUNCTION("""COMPUTED_VALUE"""),37126.5833333333)</f>
        <v>37126.583333333299</v>
      </c>
      <c r="H62" s="45" t="str">
        <f ca="1">IFERROR(__xludf.DUMMYFUNCTION("""COMPUTED_VALUE"""),"TLC")</f>
        <v>TLC</v>
      </c>
      <c r="I62" s="46" t="str">
        <f ca="1">IFERROR(__xludf.DUMMYFUNCTION("""COMPUTED_VALUE"""),"STORE")</f>
        <v>STORE</v>
      </c>
      <c r="J62" s="46" t="str">
        <f ca="1">IFERROR(__xludf.DUMMYFUNCTION("""COMPUTED_VALUE"""),"BLANK LOUNGE")</f>
        <v>BLANK LOUNGE</v>
      </c>
      <c r="K62" s="46" t="str">
        <f ca="1">IFERROR(__xludf.DUMMYFUNCTION("""COMPUTED_VALUE"""),"STR")</f>
        <v>STR</v>
      </c>
      <c r="L62" s="46" t="str">
        <f ca="1">IFERROR(__xludf.DUMMYFUNCTION("""COMPUTED_VALUE"""),"PTE")</f>
        <v>PTE</v>
      </c>
      <c r="M62" s="46" t="str">
        <f ca="1">IFERROR(__xludf.DUMMYFUNCTION("""COMPUTED_VALUE"""),"Leave")</f>
        <v>Leave</v>
      </c>
      <c r="N62" s="46" t="str">
        <f ca="1">IFERROR(__xludf.DUMMYFUNCTION("""COMPUTED_VALUE"""),"x")</f>
        <v>x</v>
      </c>
    </row>
    <row r="63" spans="1:14">
      <c r="A63" s="45"/>
      <c r="B63" s="45">
        <f ca="1">IFERROR(__xludf.DUMMYFUNCTION("""COMPUTED_VALUE"""),45292.625)</f>
        <v>45292.625</v>
      </c>
      <c r="C63" s="46">
        <f ca="1">IFERROR(__xludf.DUMMYFUNCTION("""COMPUTED_VALUE"""),64)</f>
        <v>64</v>
      </c>
      <c r="D63" s="47" t="str">
        <f ca="1">IFERROR(__xludf.DUMMYFUNCTION("""COMPUTED_VALUE"""),"LM037")</f>
        <v>LM037</v>
      </c>
      <c r="E63" s="46" t="str">
        <f ca="1">IFERROR(__xludf.DUMMYFUNCTION("""COMPUTED_VALUE"""),"NGUYỄN HỮU HÙNG")</f>
        <v>NGUYỄN HỮU HÙNG</v>
      </c>
      <c r="F63" s="46" t="str">
        <f ca="1">IFERROR(__xludf.DUMMYFUNCTION("""COMPUTED_VALUE"""),"NGUYEN HUU HUNG")</f>
        <v>NGUYEN HUU HUNG</v>
      </c>
      <c r="G63" s="45">
        <f ca="1">IFERROR(__xludf.DUMMYFUNCTION("""COMPUTED_VALUE"""),36147.625)</f>
        <v>36147.625</v>
      </c>
      <c r="H63" s="45" t="str">
        <f ca="1">IFERROR(__xludf.DUMMYFUNCTION("""COMPUTED_VALUE"""),"TLC")</f>
        <v>TLC</v>
      </c>
      <c r="I63" s="46" t="str">
        <f ca="1">IFERROR(__xludf.DUMMYFUNCTION("""COMPUTED_VALUE"""),"STORE")</f>
        <v>STORE</v>
      </c>
      <c r="J63" s="46" t="str">
        <f ca="1">IFERROR(__xludf.DUMMYFUNCTION("""COMPUTED_VALUE"""),"BLANK LOUNGE")</f>
        <v>BLANK LOUNGE</v>
      </c>
      <c r="K63" s="46" t="str">
        <f ca="1">IFERROR(__xludf.DUMMYFUNCTION("""COMPUTED_VALUE"""),"STR")</f>
        <v>STR</v>
      </c>
      <c r="L63" s="46" t="str">
        <f ca="1">IFERROR(__xludf.DUMMYFUNCTION("""COMPUTED_VALUE"""),"PTE")</f>
        <v>PTE</v>
      </c>
      <c r="M63" s="46" t="str">
        <f ca="1">IFERROR(__xludf.DUMMYFUNCTION("""COMPUTED_VALUE"""),"Leave")</f>
        <v>Leave</v>
      </c>
      <c r="N63" s="46" t="str">
        <f ca="1">IFERROR(__xludf.DUMMYFUNCTION("""COMPUTED_VALUE"""),"x")</f>
        <v>x</v>
      </c>
    </row>
    <row r="64" spans="1:14">
      <c r="A64" s="45"/>
      <c r="B64" s="45" t="str">
        <f ca="1">IFERROR(__xludf.DUMMYFUNCTION("""COMPUTED_VALUE"""),"Đã nghỉ")</f>
        <v>Đã nghỉ</v>
      </c>
      <c r="C64" s="46">
        <f ca="1">IFERROR(__xludf.DUMMYFUNCTION("""COMPUTED_VALUE"""),65)</f>
        <v>65</v>
      </c>
      <c r="D64" s="47" t="str">
        <f ca="1">IFERROR(__xludf.DUMMYFUNCTION("""COMPUTED_VALUE"""),"LTD")</f>
        <v>LTD</v>
      </c>
      <c r="E64" s="46" t="str">
        <f ca="1">IFERROR(__xludf.DUMMYFUNCTION("""COMPUTED_VALUE"""),"LÊ THÀNH ĐẠI")</f>
        <v>LÊ THÀNH ĐẠI</v>
      </c>
      <c r="F64" s="46" t="str">
        <f ca="1">IFERROR(__xludf.DUMMYFUNCTION("""COMPUTED_VALUE"""),"LE THANH DAI")</f>
        <v>LE THANH DAI</v>
      </c>
      <c r="G64" s="45">
        <f ca="1">IFERROR(__xludf.DUMMYFUNCTION("""COMPUTED_VALUE"""),36462.5833333333)</f>
        <v>36462.583333333299</v>
      </c>
      <c r="H64" s="45" t="str">
        <f ca="1">IFERROR(__xludf.DUMMYFUNCTION("""COMPUTED_VALUE"""),"BAKES")</f>
        <v>BAKES</v>
      </c>
      <c r="I64" s="46" t="str">
        <f ca="1">IFERROR(__xludf.DUMMYFUNCTION("""COMPUTED_VALUE"""),"STORE")</f>
        <v>STORE</v>
      </c>
      <c r="J64" s="46" t="str">
        <f ca="1">IFERROR(__xludf.DUMMYFUNCTION("""COMPUTED_VALUE"""),"BAKES D2")</f>
        <v>BAKES D2</v>
      </c>
      <c r="K64" s="46" t="str">
        <f ca="1">IFERROR(__xludf.DUMMYFUNCTION("""COMPUTED_VALUE"""),"STR")</f>
        <v>STR</v>
      </c>
      <c r="L64" s="46" t="str">
        <f ca="1">IFERROR(__xludf.DUMMYFUNCTION("""COMPUTED_VALUE"""),"PTE")</f>
        <v>PTE</v>
      </c>
      <c r="M64" s="46" t="str">
        <f ca="1">IFERROR(__xludf.DUMMYFUNCTION("""COMPUTED_VALUE"""),"Leave")</f>
        <v>Leave</v>
      </c>
      <c r="N64" s="46" t="str">
        <f ca="1">IFERROR(__xludf.DUMMYFUNCTION("""COMPUTED_VALUE"""),"x")</f>
        <v>x</v>
      </c>
    </row>
    <row r="65" spans="1:14">
      <c r="A65" s="45"/>
      <c r="B65" s="45" t="str">
        <f ca="1">IFERROR(__xludf.DUMMYFUNCTION("""COMPUTED_VALUE"""),"Đã nghỉ")</f>
        <v>Đã nghỉ</v>
      </c>
      <c r="C65" s="46">
        <f ca="1">IFERROR(__xludf.DUMMYFUNCTION("""COMPUTED_VALUE"""),66)</f>
        <v>66</v>
      </c>
      <c r="D65" s="47" t="str">
        <f ca="1">IFERROR(__xludf.DUMMYFUNCTION("""COMPUTED_VALUE"""),"NCNL")</f>
        <v>NCNL</v>
      </c>
      <c r="E65" s="46" t="str">
        <f ca="1">IFERROR(__xludf.DUMMYFUNCTION("""COMPUTED_VALUE"""),"NGUYỄN CÔNG NHẬT LINH")</f>
        <v>NGUYỄN CÔNG NHẬT LINH</v>
      </c>
      <c r="F65" s="46" t="str">
        <f ca="1">IFERROR(__xludf.DUMMYFUNCTION("""COMPUTED_VALUE"""),"NGUYEN CONG NHAT LINH")</f>
        <v>NGUYEN CONG NHAT LINH</v>
      </c>
      <c r="G65" s="45"/>
      <c r="H65" s="45" t="str">
        <f ca="1">IFERROR(__xludf.DUMMYFUNCTION("""COMPUTED_VALUE"""),"SHADOW")</f>
        <v>SHADOW</v>
      </c>
      <c r="I65" s="46" t="str">
        <f ca="1">IFERROR(__xludf.DUMMYFUNCTION("""COMPUTED_VALUE"""),"STORE")</f>
        <v>STORE</v>
      </c>
      <c r="J65" s="46" t="str">
        <f ca="1">IFERROR(__xludf.DUMMYFUNCTION("""COMPUTED_VALUE"""),"BAKES PASTEUR")</f>
        <v>BAKES PASTEUR</v>
      </c>
      <c r="K65" s="46" t="str">
        <f ca="1">IFERROR(__xludf.DUMMYFUNCTION("""COMPUTED_VALUE"""),"STR")</f>
        <v>STR</v>
      </c>
      <c r="L65" s="46" t="str">
        <f ca="1">IFERROR(__xludf.DUMMYFUNCTION("""COMPUTED_VALUE"""),"PTE")</f>
        <v>PTE</v>
      </c>
      <c r="M65" s="46" t="str">
        <f ca="1">IFERROR(__xludf.DUMMYFUNCTION("""COMPUTED_VALUE"""),"Leave")</f>
        <v>Leave</v>
      </c>
      <c r="N65" s="46" t="str">
        <f ca="1">IFERROR(__xludf.DUMMYFUNCTION("""COMPUTED_VALUE"""),"x")</f>
        <v>x</v>
      </c>
    </row>
    <row r="66" spans="1:14">
      <c r="A66" s="45"/>
      <c r="B66" s="45" t="str">
        <f ca="1">IFERROR(__xludf.DUMMYFUNCTION("""COMPUTED_VALUE"""),"Đã nghỉ")</f>
        <v>Đã nghỉ</v>
      </c>
      <c r="C66" s="46">
        <f ca="1">IFERROR(__xludf.DUMMYFUNCTION("""COMPUTED_VALUE"""),67)</f>
        <v>67</v>
      </c>
      <c r="D66" s="47" t="str">
        <f ca="1">IFERROR(__xludf.DUMMYFUNCTION("""COMPUTED_VALUE"""),"NHNQ")</f>
        <v>NHNQ</v>
      </c>
      <c r="E66" s="46" t="str">
        <f ca="1">IFERROR(__xludf.DUMMYFUNCTION("""COMPUTED_VALUE"""),"NGUYỄN HUỲNH NGỌC QUYÊN")</f>
        <v>NGUYỄN HUỲNH NGỌC QUYÊN</v>
      </c>
      <c r="F66" s="46" t="str">
        <f ca="1">IFERROR(__xludf.DUMMYFUNCTION("""COMPUTED_VALUE"""),"NGUYEN HUYNH NGOC QUYEN")</f>
        <v>NGUYEN HUYNH NGOC QUYEN</v>
      </c>
      <c r="G66" s="45">
        <f ca="1">IFERROR(__xludf.DUMMYFUNCTION("""COMPUTED_VALUE"""),37011.5833333333)</f>
        <v>37011.583333333299</v>
      </c>
      <c r="H66" s="45" t="str">
        <f ca="1">IFERROR(__xludf.DUMMYFUNCTION("""COMPUTED_VALUE"""),"BAKES")</f>
        <v>BAKES</v>
      </c>
      <c r="I66" s="46" t="str">
        <f ca="1">IFERROR(__xludf.DUMMYFUNCTION("""COMPUTED_VALUE"""),"STORE")</f>
        <v>STORE</v>
      </c>
      <c r="J66" s="46" t="str">
        <f ca="1">IFERROR(__xludf.DUMMYFUNCTION("""COMPUTED_VALUE"""),"BAKES D2")</f>
        <v>BAKES D2</v>
      </c>
      <c r="K66" s="46" t="str">
        <f ca="1">IFERROR(__xludf.DUMMYFUNCTION("""COMPUTED_VALUE"""),"STR")</f>
        <v>STR</v>
      </c>
      <c r="L66" s="46" t="str">
        <f ca="1">IFERROR(__xludf.DUMMYFUNCTION("""COMPUTED_VALUE"""),"PTE")</f>
        <v>PTE</v>
      </c>
      <c r="M66" s="46" t="str">
        <f ca="1">IFERROR(__xludf.DUMMYFUNCTION("""COMPUTED_VALUE"""),"Leave")</f>
        <v>Leave</v>
      </c>
      <c r="N66" s="46" t="str">
        <f ca="1">IFERROR(__xludf.DUMMYFUNCTION("""COMPUTED_VALUE"""),"x")</f>
        <v>x</v>
      </c>
    </row>
    <row r="67" spans="1:14">
      <c r="A67" s="45"/>
      <c r="B67" s="45" t="str">
        <f ca="1">IFERROR(__xludf.DUMMYFUNCTION("""COMPUTED_VALUE"""),"Đã nghỉ")</f>
        <v>Đã nghỉ</v>
      </c>
      <c r="C67" s="46">
        <f ca="1">IFERROR(__xludf.DUMMYFUNCTION("""COMPUTED_VALUE"""),68)</f>
        <v>68</v>
      </c>
      <c r="D67" s="47" t="str">
        <f ca="1">IFERROR(__xludf.DUMMYFUNCTION("""COMPUTED_VALUE"""),"NHPT")</f>
        <v>NHPT</v>
      </c>
      <c r="E67" s="46" t="str">
        <f ca="1">IFERROR(__xludf.DUMMYFUNCTION("""COMPUTED_VALUE"""),"NGUYỄN HOÀNG PHƯƠNG TRINH")</f>
        <v>NGUYỄN HOÀNG PHƯƠNG TRINH</v>
      </c>
      <c r="F67" s="46" t="str">
        <f ca="1">IFERROR(__xludf.DUMMYFUNCTION("""COMPUTED_VALUE"""),"NGUYEN HOANG PHUONG TRINH")</f>
        <v>NGUYEN HOANG PHUONG TRINH</v>
      </c>
      <c r="G67" s="45">
        <f ca="1">IFERROR(__xludf.DUMMYFUNCTION("""COMPUTED_VALUE"""),35445.625)</f>
        <v>35445.625</v>
      </c>
      <c r="H67" s="45" t="str">
        <f ca="1">IFERROR(__xludf.DUMMYFUNCTION("""COMPUTED_VALUE"""),"SHADOW")</f>
        <v>SHADOW</v>
      </c>
      <c r="I67" s="46" t="str">
        <f ca="1">IFERROR(__xludf.DUMMYFUNCTION("""COMPUTED_VALUE"""),"STORE")</f>
        <v>STORE</v>
      </c>
      <c r="J67" s="46" t="str">
        <f ca="1">IFERROR(__xludf.DUMMYFUNCTION("""COMPUTED_VALUE"""),"BAKES PASTEUR")</f>
        <v>BAKES PASTEUR</v>
      </c>
      <c r="K67" s="46" t="str">
        <f ca="1">IFERROR(__xludf.DUMMYFUNCTION("""COMPUTED_VALUE"""),"STR")</f>
        <v>STR</v>
      </c>
      <c r="L67" s="46" t="str">
        <f ca="1">IFERROR(__xludf.DUMMYFUNCTION("""COMPUTED_VALUE"""),"PTE")</f>
        <v>PTE</v>
      </c>
      <c r="M67" s="46" t="str">
        <f ca="1">IFERROR(__xludf.DUMMYFUNCTION("""COMPUTED_VALUE"""),"Leave")</f>
        <v>Leave</v>
      </c>
      <c r="N67" s="46" t="str">
        <f ca="1">IFERROR(__xludf.DUMMYFUNCTION("""COMPUTED_VALUE"""),"x")</f>
        <v>x</v>
      </c>
    </row>
    <row r="68" spans="1:14">
      <c r="A68" s="45"/>
      <c r="B68" s="45" t="str">
        <f ca="1">IFERROR(__xludf.DUMMYFUNCTION("""COMPUTED_VALUE"""),"Đã nghỉ")</f>
        <v>Đã nghỉ</v>
      </c>
      <c r="C68" s="46">
        <f ca="1">IFERROR(__xludf.DUMMYFUNCTION("""COMPUTED_VALUE"""),69)</f>
        <v>69</v>
      </c>
      <c r="D68" s="47" t="str">
        <f ca="1">IFERROR(__xludf.DUMMYFUNCTION("""COMPUTED_VALUE"""),"SNTB")</f>
        <v>SNTB</v>
      </c>
      <c r="E68" s="46" t="str">
        <f ca="1">IFERROR(__xludf.DUMMYFUNCTION("""COMPUTED_VALUE"""),"SẦM NGUYỄN THANH BÌNH")</f>
        <v>SẦM NGUYỄN THANH BÌNH</v>
      </c>
      <c r="F68" s="46" t="str">
        <f ca="1">IFERROR(__xludf.DUMMYFUNCTION("""COMPUTED_VALUE"""),"SAM NGUYEN THANH BINH")</f>
        <v>SAM NGUYEN THANH BINH</v>
      </c>
      <c r="G68" s="45">
        <f ca="1">IFERROR(__xludf.DUMMYFUNCTION("""COMPUTED_VALUE"""),35813.625)</f>
        <v>35813.625</v>
      </c>
      <c r="H68" s="45" t="str">
        <f ca="1">IFERROR(__xludf.DUMMYFUNCTION("""COMPUTED_VALUE"""),"BAKES")</f>
        <v>BAKES</v>
      </c>
      <c r="I68" s="46" t="str">
        <f ca="1">IFERROR(__xludf.DUMMYFUNCTION("""COMPUTED_VALUE"""),"STORE")</f>
        <v>STORE</v>
      </c>
      <c r="J68" s="46" t="str">
        <f ca="1">IFERROR(__xludf.DUMMYFUNCTION("""COMPUTED_VALUE"""),"BAKES D2")</f>
        <v>BAKES D2</v>
      </c>
      <c r="K68" s="46" t="str">
        <f ca="1">IFERROR(__xludf.DUMMYFUNCTION("""COMPUTED_VALUE"""),"STR")</f>
        <v>STR</v>
      </c>
      <c r="L68" s="46" t="str">
        <f ca="1">IFERROR(__xludf.DUMMYFUNCTION("""COMPUTED_VALUE"""),"PTE")</f>
        <v>PTE</v>
      </c>
      <c r="M68" s="46" t="str">
        <f ca="1">IFERROR(__xludf.DUMMYFUNCTION("""COMPUTED_VALUE"""),"Leave")</f>
        <v>Leave</v>
      </c>
      <c r="N68" s="46" t="str">
        <f ca="1">IFERROR(__xludf.DUMMYFUNCTION("""COMPUTED_VALUE"""),"x")</f>
        <v>x</v>
      </c>
    </row>
    <row r="69" spans="1:14">
      <c r="A69" s="45">
        <f ca="1">IFERROR(__xludf.DUMMYFUNCTION("""COMPUTED_VALUE"""),44788.5833333333)</f>
        <v>44788.583333333299</v>
      </c>
      <c r="B69" s="45"/>
      <c r="C69" s="46">
        <f ca="1">IFERROR(__xludf.DUMMYFUNCTION("""COMPUTED_VALUE"""),70)</f>
        <v>70</v>
      </c>
      <c r="D69" s="47" t="str">
        <f ca="1">IFERROR(__xludf.DUMMYFUNCTION("""COMPUTED_VALUE"""),"SP0002")</f>
        <v>SP0002</v>
      </c>
      <c r="E69" s="46" t="str">
        <f ca="1">IFERROR(__xludf.DUMMYFUNCTION("""COMPUTED_VALUE"""),"NGUYỄN TRẦN MINH THƯ")</f>
        <v>NGUYỄN TRẦN MINH THƯ</v>
      </c>
      <c r="F69" s="46" t="str">
        <f ca="1">IFERROR(__xludf.DUMMYFUNCTION("""COMPUTED_VALUE"""),"NGUYEN TRAN MINH THU")</f>
        <v>NGUYEN TRAN MINH THU</v>
      </c>
      <c r="G69" s="45">
        <f ca="1">IFERROR(__xludf.DUMMYFUNCTION("""COMPUTED_VALUE"""),35436.625)</f>
        <v>35436.625</v>
      </c>
      <c r="H69" s="45" t="str">
        <f ca="1">IFERROR(__xludf.DUMMYFUNCTION("""COMPUTED_VALUE"""),"KITCHEN PASTRY")</f>
        <v>KITCHEN PASTRY</v>
      </c>
      <c r="I69" s="46" t="str">
        <f ca="1">IFERROR(__xludf.DUMMYFUNCTION("""COMPUTED_VALUE"""),"KITCHEN PASTRY")</f>
        <v>KITCHEN PASTRY</v>
      </c>
      <c r="J69" s="46" t="str">
        <f ca="1">IFERROR(__xludf.DUMMYFUNCTION("""COMPUTED_VALUE"""),"KITCHEN PASTRY")</f>
        <v>KITCHEN PASTRY</v>
      </c>
      <c r="K69" s="46" t="str">
        <f ca="1">IFERROR(__xludf.DUMMYFUNCTION("""COMPUTED_VALUE"""),"Management team")</f>
        <v>Management team</v>
      </c>
      <c r="L69" s="46" t="str">
        <f ca="1">IFERROR(__xludf.DUMMYFUNCTION("""COMPUTED_VALUE"""),"FTE")</f>
        <v>FTE</v>
      </c>
      <c r="M69" s="46" t="str">
        <f ca="1">IFERROR(__xludf.DUMMYFUNCTION("""COMPUTED_VALUE"""),"On")</f>
        <v>On</v>
      </c>
      <c r="N69" s="46" t="str">
        <f ca="1">IFERROR(__xludf.DUMMYFUNCTION("""COMPUTED_VALUE"""),"đủ")</f>
        <v>đủ</v>
      </c>
    </row>
    <row r="70" spans="1:14">
      <c r="A70" s="45"/>
      <c r="B70" s="45" t="str">
        <f ca="1">IFERROR(__xludf.DUMMYFUNCTION("""COMPUTED_VALUE"""),"Đã nghỉ")</f>
        <v>Đã nghỉ</v>
      </c>
      <c r="C70" s="46">
        <f ca="1">IFERROR(__xludf.DUMMYFUNCTION("""COMPUTED_VALUE"""),71)</f>
        <v>71</v>
      </c>
      <c r="D70" s="47" t="str">
        <f ca="1">IFERROR(__xludf.DUMMYFUNCTION("""COMPUTED_VALUE"""),"SP0007")</f>
        <v>SP0007</v>
      </c>
      <c r="E70" s="46" t="str">
        <f ca="1">IFERROR(__xludf.DUMMYFUNCTION("""COMPUTED_VALUE"""),"HOÀNG THỊ THU SƯƠNG")</f>
        <v>HOÀNG THỊ THU SƯƠNG</v>
      </c>
      <c r="F70" s="46" t="str">
        <f ca="1">IFERROR(__xludf.DUMMYFUNCTION("""COMPUTED_VALUE"""),"HOANG THI THU SUONG")</f>
        <v>HOANG THI THU SUONG</v>
      </c>
      <c r="G70" s="45">
        <f ca="1">IFERROR(__xludf.DUMMYFUNCTION("""COMPUTED_VALUE"""),36511.625)</f>
        <v>36511.625</v>
      </c>
      <c r="H70" s="45" t="str">
        <f ca="1">IFERROR(__xludf.DUMMYFUNCTION("""COMPUTED_VALUE"""),"SHADOW")</f>
        <v>SHADOW</v>
      </c>
      <c r="I70" s="46" t="str">
        <f ca="1">IFERROR(__xludf.DUMMYFUNCTION("""COMPUTED_VALUE"""),"STORE")</f>
        <v>STORE</v>
      </c>
      <c r="J70" s="46" t="str">
        <f ca="1">IFERROR(__xludf.DUMMYFUNCTION("""COMPUTED_VALUE"""),"BAKES PASTEUR")</f>
        <v>BAKES PASTEUR</v>
      </c>
      <c r="K70" s="46" t="str">
        <f ca="1">IFERROR(__xludf.DUMMYFUNCTION("""COMPUTED_VALUE"""),"STR")</f>
        <v>STR</v>
      </c>
      <c r="L70" s="46" t="str">
        <f ca="1">IFERROR(__xludf.DUMMYFUNCTION("""COMPUTED_VALUE"""),"PTE")</f>
        <v>PTE</v>
      </c>
      <c r="M70" s="46" t="str">
        <f ca="1">IFERROR(__xludf.DUMMYFUNCTION("""COMPUTED_VALUE"""),"Leave")</f>
        <v>Leave</v>
      </c>
      <c r="N70" s="46" t="str">
        <f ca="1">IFERROR(__xludf.DUMMYFUNCTION("""COMPUTED_VALUE"""),"x")</f>
        <v>x</v>
      </c>
    </row>
    <row r="71" spans="1:14">
      <c r="A71" s="45">
        <f ca="1">IFERROR(__xludf.DUMMYFUNCTION("""COMPUTED_VALUE"""),44932.625)</f>
        <v>44932.625</v>
      </c>
      <c r="B71" s="45">
        <f ca="1">IFERROR(__xludf.DUMMYFUNCTION("""COMPUTED_VALUE"""),45352.625)</f>
        <v>45352.625</v>
      </c>
      <c r="C71" s="46">
        <f ca="1">IFERROR(__xludf.DUMMYFUNCTION("""COMPUTED_VALUE"""),72)</f>
        <v>72</v>
      </c>
      <c r="D71" s="47" t="str">
        <f ca="1">IFERROR(__xludf.DUMMYFUNCTION("""COMPUTED_VALUE"""),"SP0008")</f>
        <v>SP0008</v>
      </c>
      <c r="E71" s="46" t="str">
        <f ca="1">IFERROR(__xludf.DUMMYFUNCTION("""COMPUTED_VALUE"""),"LẠI NGỌC UYÊN")</f>
        <v>LẠI NGỌC UYÊN</v>
      </c>
      <c r="F71" s="46" t="str">
        <f ca="1">IFERROR(__xludf.DUMMYFUNCTION("""COMPUTED_VALUE"""),"LAI NGOC UYEN")</f>
        <v>LAI NGOC UYEN</v>
      </c>
      <c r="G71" s="45">
        <f ca="1">IFERROR(__xludf.DUMMYFUNCTION("""COMPUTED_VALUE"""),35531.5833333333)</f>
        <v>35531.583333333299</v>
      </c>
      <c r="H71" s="45" t="str">
        <f ca="1">IFERROR(__xludf.DUMMYFUNCTION("""COMPUTED_VALUE"""),"SHADOW")</f>
        <v>SHADOW</v>
      </c>
      <c r="I71" s="46" t="str">
        <f ca="1">IFERROR(__xludf.DUMMYFUNCTION("""COMPUTED_VALUE"""),"STORE")</f>
        <v>STORE</v>
      </c>
      <c r="J71" s="46" t="str">
        <f ca="1">IFERROR(__xludf.DUMMYFUNCTION("""COMPUTED_VALUE"""),"BAKES PASTEUR")</f>
        <v>BAKES PASTEUR</v>
      </c>
      <c r="K71" s="46" t="str">
        <f ca="1">IFERROR(__xludf.DUMMYFUNCTION("""COMPUTED_VALUE"""),"STR")</f>
        <v>STR</v>
      </c>
      <c r="L71" s="46" t="str">
        <f ca="1">IFERROR(__xludf.DUMMYFUNCTION("""COMPUTED_VALUE"""),"FTE")</f>
        <v>FTE</v>
      </c>
      <c r="M71" s="46" t="str">
        <f ca="1">IFERROR(__xludf.DUMMYFUNCTION("""COMPUTED_VALUE"""),"Leave")</f>
        <v>Leave</v>
      </c>
      <c r="N71" s="46" t="str">
        <f ca="1">IFERROR(__xludf.DUMMYFUNCTION("""COMPUTED_VALUE"""),"x")</f>
        <v>x</v>
      </c>
    </row>
    <row r="72" spans="1:14">
      <c r="A72" s="45">
        <f ca="1">IFERROR(__xludf.DUMMYFUNCTION("""COMPUTED_VALUE"""),44847.5833333333)</f>
        <v>44847.583333333299</v>
      </c>
      <c r="B72" s="45">
        <f ca="1">IFERROR(__xludf.DUMMYFUNCTION("""COMPUTED_VALUE"""),45597.5833333333)</f>
        <v>45597.583333333299</v>
      </c>
      <c r="C72" s="46">
        <f ca="1">IFERROR(__xludf.DUMMYFUNCTION("""COMPUTED_VALUE"""),73)</f>
        <v>73</v>
      </c>
      <c r="D72" s="47" t="str">
        <f ca="1">IFERROR(__xludf.DUMMYFUNCTION("""COMPUTED_VALUE"""),"SP0012")</f>
        <v>SP0012</v>
      </c>
      <c r="E72" s="46" t="str">
        <f ca="1">IFERROR(__xludf.DUMMYFUNCTION("""COMPUTED_VALUE"""),"HỒ QUỐC HUY")</f>
        <v>HỒ QUỐC HUY</v>
      </c>
      <c r="F72" s="46" t="str">
        <f ca="1">IFERROR(__xludf.DUMMYFUNCTION("""COMPUTED_VALUE"""),"HO QUOC HUY")</f>
        <v>HO QUOC HUY</v>
      </c>
      <c r="G72" s="45">
        <f ca="1">IFERROR(__xludf.DUMMYFUNCTION("""COMPUTED_VALUE"""),37136.5833333333)</f>
        <v>37136.583333333299</v>
      </c>
      <c r="H72" s="45" t="str">
        <f ca="1">IFERROR(__xludf.DUMMYFUNCTION("""COMPUTED_VALUE"""),"SHADOW")</f>
        <v>SHADOW</v>
      </c>
      <c r="I72" s="46" t="str">
        <f ca="1">IFERROR(__xludf.DUMMYFUNCTION("""COMPUTED_VALUE"""),"STORE")</f>
        <v>STORE</v>
      </c>
      <c r="J72" s="46" t="str">
        <f ca="1">IFERROR(__xludf.DUMMYFUNCTION("""COMPUTED_VALUE"""),"BAKES PASTEUR")</f>
        <v>BAKES PASTEUR</v>
      </c>
      <c r="K72" s="46" t="str">
        <f ca="1">IFERROR(__xludf.DUMMYFUNCTION("""COMPUTED_VALUE"""),"BAR")</f>
        <v>BAR</v>
      </c>
      <c r="L72" s="46" t="str">
        <f ca="1">IFERROR(__xludf.DUMMYFUNCTION("""COMPUTED_VALUE"""),"PTE")</f>
        <v>PTE</v>
      </c>
      <c r="M72" s="46" t="str">
        <f ca="1">IFERROR(__xludf.DUMMYFUNCTION("""COMPUTED_VALUE"""),"Leave")</f>
        <v>Leave</v>
      </c>
      <c r="N72" s="46" t="str">
        <f ca="1">IFERROR(__xludf.DUMMYFUNCTION("""COMPUTED_VALUE"""),"x")</f>
        <v>x</v>
      </c>
    </row>
    <row r="73" spans="1:14">
      <c r="A73" s="45">
        <f ca="1">IFERROR(__xludf.DUMMYFUNCTION("""COMPUTED_VALUE"""),44776.5833333333)</f>
        <v>44776.583333333299</v>
      </c>
      <c r="B73" s="45">
        <f ca="1">IFERROR(__xludf.DUMMYFUNCTION("""COMPUTED_VALUE"""),45383.5833333333)</f>
        <v>45383.583333333299</v>
      </c>
      <c r="C73" s="46">
        <f ca="1">IFERROR(__xludf.DUMMYFUNCTION("""COMPUTED_VALUE"""),74)</f>
        <v>74</v>
      </c>
      <c r="D73" s="47" t="str">
        <f ca="1">IFERROR(__xludf.DUMMYFUNCTION("""COMPUTED_VALUE"""),"SP0013")</f>
        <v>SP0013</v>
      </c>
      <c r="E73" s="46" t="str">
        <f ca="1">IFERROR(__xludf.DUMMYFUNCTION("""COMPUTED_VALUE"""),"NGUYỄN NGỌC MINH CHÂU")</f>
        <v>NGUYỄN NGỌC MINH CHÂU</v>
      </c>
      <c r="F73" s="46" t="str">
        <f ca="1">IFERROR(__xludf.DUMMYFUNCTION("""COMPUTED_VALUE"""),"NGUYEN NGOC MINH CHAU")</f>
        <v>NGUYEN NGOC MINH CHAU</v>
      </c>
      <c r="G73" s="45">
        <f ca="1">IFERROR(__xludf.DUMMYFUNCTION("""COMPUTED_VALUE"""),38195.5833333333)</f>
        <v>38195.583333333299</v>
      </c>
      <c r="H73" s="45" t="str">
        <f ca="1">IFERROR(__xludf.DUMMYFUNCTION("""COMPUTED_VALUE"""),"SHADOW")</f>
        <v>SHADOW</v>
      </c>
      <c r="I73" s="46" t="str">
        <f ca="1">IFERROR(__xludf.DUMMYFUNCTION("""COMPUTED_VALUE"""),"STORE")</f>
        <v>STORE</v>
      </c>
      <c r="J73" s="46" t="str">
        <f ca="1">IFERROR(__xludf.DUMMYFUNCTION("""COMPUTED_VALUE"""),"BAKES PASTEUR")</f>
        <v>BAKES PASTEUR</v>
      </c>
      <c r="K73" s="46" t="str">
        <f ca="1">IFERROR(__xludf.DUMMYFUNCTION("""COMPUTED_VALUE"""),"STR")</f>
        <v>STR</v>
      </c>
      <c r="L73" s="46" t="str">
        <f ca="1">IFERROR(__xludf.DUMMYFUNCTION("""COMPUTED_VALUE"""),"PTE")</f>
        <v>PTE</v>
      </c>
      <c r="M73" s="46" t="str">
        <f ca="1">IFERROR(__xludf.DUMMYFUNCTION("""COMPUTED_VALUE"""),"Leave")</f>
        <v>Leave</v>
      </c>
      <c r="N73" s="46" t="str">
        <f ca="1">IFERROR(__xludf.DUMMYFUNCTION("""COMPUTED_VALUE"""),"x")</f>
        <v>x</v>
      </c>
    </row>
    <row r="74" spans="1:14">
      <c r="A74" s="45"/>
      <c r="B74" s="45" t="str">
        <f ca="1">IFERROR(__xludf.DUMMYFUNCTION("""COMPUTED_VALUE"""),"Đã nghỉ")</f>
        <v>Đã nghỉ</v>
      </c>
      <c r="C74" s="46">
        <f ca="1">IFERROR(__xludf.DUMMYFUNCTION("""COMPUTED_VALUE"""),75)</f>
        <v>75</v>
      </c>
      <c r="D74" s="47" t="str">
        <f ca="1">IFERROR(__xludf.DUMMYFUNCTION("""COMPUTED_VALUE"""),"SP0014")</f>
        <v>SP0014</v>
      </c>
      <c r="E74" s="46" t="str">
        <f ca="1">IFERROR(__xludf.DUMMYFUNCTION("""COMPUTED_VALUE"""),"TRẦN PHẠM ĐĂNG KHOA")</f>
        <v>TRẦN PHẠM ĐĂNG KHOA</v>
      </c>
      <c r="F74" s="46" t="str">
        <f ca="1">IFERROR(__xludf.DUMMYFUNCTION("""COMPUTED_VALUE"""),"TRAN PHAM DANG KHOA")</f>
        <v>TRAN PHAM DANG KHOA</v>
      </c>
      <c r="G74" s="45">
        <f ca="1">IFERROR(__xludf.DUMMYFUNCTION("""COMPUTED_VALUE"""),38316.625)</f>
        <v>38316.625</v>
      </c>
      <c r="H74" s="45" t="str">
        <f ca="1">IFERROR(__xludf.DUMMYFUNCTION("""COMPUTED_VALUE"""),"SHADOW")</f>
        <v>SHADOW</v>
      </c>
      <c r="I74" s="46" t="str">
        <f ca="1">IFERROR(__xludf.DUMMYFUNCTION("""COMPUTED_VALUE"""),"STORE")</f>
        <v>STORE</v>
      </c>
      <c r="J74" s="46" t="str">
        <f ca="1">IFERROR(__xludf.DUMMYFUNCTION("""COMPUTED_VALUE"""),"BAKES PASTEUR")</f>
        <v>BAKES PASTEUR</v>
      </c>
      <c r="K74" s="46" t="str">
        <f ca="1">IFERROR(__xludf.DUMMYFUNCTION("""COMPUTED_VALUE"""),"STR")</f>
        <v>STR</v>
      </c>
      <c r="L74" s="46" t="str">
        <f ca="1">IFERROR(__xludf.DUMMYFUNCTION("""COMPUTED_VALUE"""),"PTE")</f>
        <v>PTE</v>
      </c>
      <c r="M74" s="46" t="str">
        <f ca="1">IFERROR(__xludf.DUMMYFUNCTION("""COMPUTED_VALUE"""),"Leave")</f>
        <v>Leave</v>
      </c>
      <c r="N74" s="46" t="str">
        <f ca="1">IFERROR(__xludf.DUMMYFUNCTION("""COMPUTED_VALUE"""),"x")</f>
        <v>x</v>
      </c>
    </row>
    <row r="75" spans="1:14">
      <c r="A75" s="45">
        <f ca="1">IFERROR(__xludf.DUMMYFUNCTION("""COMPUTED_VALUE"""),45383.5833333333)</f>
        <v>45383.583333333299</v>
      </c>
      <c r="B75" s="45">
        <f ca="1">IFERROR(__xludf.DUMMYFUNCTION("""COMPUTED_VALUE"""),45452.5833333333)</f>
        <v>45452.583333333299</v>
      </c>
      <c r="C75" s="46">
        <f ca="1">IFERROR(__xludf.DUMMYFUNCTION("""COMPUTED_VALUE"""),76)</f>
        <v>76</v>
      </c>
      <c r="D75" s="47" t="str">
        <f ca="1">IFERROR(__xludf.DUMMYFUNCTION("""COMPUTED_VALUE"""),"SP0016")</f>
        <v>SP0016</v>
      </c>
      <c r="E75" s="46" t="str">
        <f ca="1">IFERROR(__xludf.DUMMYFUNCTION("""COMPUTED_VALUE"""),"NGUYỄN HỒ BĂNG TÂM")</f>
        <v>NGUYỄN HỒ BĂNG TÂM</v>
      </c>
      <c r="F75" s="46" t="str">
        <f ca="1">IFERROR(__xludf.DUMMYFUNCTION("""COMPUTED_VALUE"""),"NGUYEN HO BANG TAM")</f>
        <v>NGUYEN HO BANG TAM</v>
      </c>
      <c r="G75" s="45">
        <f ca="1">IFERROR(__xludf.DUMMYFUNCTION("""COMPUTED_VALUE"""),36223.625)</f>
        <v>36223.625</v>
      </c>
      <c r="H75" s="45" t="str">
        <f ca="1">IFERROR(__xludf.DUMMYFUNCTION("""COMPUTED_VALUE"""),"SHADOW")</f>
        <v>SHADOW</v>
      </c>
      <c r="I75" s="46" t="str">
        <f ca="1">IFERROR(__xludf.DUMMYFUNCTION("""COMPUTED_VALUE"""),"STORE")</f>
        <v>STORE</v>
      </c>
      <c r="J75" s="46" t="str">
        <f ca="1">IFERROR(__xludf.DUMMYFUNCTION("""COMPUTED_VALUE"""),"BAKES PASTEUR")</f>
        <v>BAKES PASTEUR</v>
      </c>
      <c r="K75" s="46" t="str">
        <f ca="1">IFERROR(__xludf.DUMMYFUNCTION("""COMPUTED_VALUE"""),"STR")</f>
        <v>STR</v>
      </c>
      <c r="L75" s="46" t="str">
        <f ca="1">IFERROR(__xludf.DUMMYFUNCTION("""COMPUTED_VALUE"""),"PRO")</f>
        <v>PRO</v>
      </c>
      <c r="M75" s="46" t="str">
        <f ca="1">IFERROR(__xludf.DUMMYFUNCTION("""COMPUTED_VALUE"""),"Leave")</f>
        <v>Leave</v>
      </c>
      <c r="N75" s="46" t="str">
        <f ca="1">IFERROR(__xludf.DUMMYFUNCTION("""COMPUTED_VALUE"""),"x")</f>
        <v>x</v>
      </c>
    </row>
    <row r="76" spans="1:14">
      <c r="A76" s="45">
        <f ca="1">IFERROR(__xludf.DUMMYFUNCTION("""COMPUTED_VALUE"""),43780.625)</f>
        <v>43780.625</v>
      </c>
      <c r="B76" s="45">
        <f ca="1">IFERROR(__xludf.DUMMYFUNCTION("""COMPUTED_VALUE"""),45837.5833333333)</f>
        <v>45837.583333333299</v>
      </c>
      <c r="C76" s="46">
        <f ca="1">IFERROR(__xludf.DUMMYFUNCTION("""COMPUTED_VALUE"""),77)</f>
        <v>77</v>
      </c>
      <c r="D76" s="47" t="str">
        <f ca="1">IFERROR(__xludf.DUMMYFUNCTION("""COMPUTED_VALUE"""),"SP0018")</f>
        <v>SP0018</v>
      </c>
      <c r="E76" s="46" t="str">
        <f ca="1">IFERROR(__xludf.DUMMYFUNCTION("""COMPUTED_VALUE"""),"PHAN THỊ THANH")</f>
        <v>PHAN THỊ THANH</v>
      </c>
      <c r="F76" s="46" t="str">
        <f ca="1">IFERROR(__xludf.DUMMYFUNCTION("""COMPUTED_VALUE"""),"PHAN THI THANH")</f>
        <v>PHAN THI THANH</v>
      </c>
      <c r="G76" s="45">
        <f ca="1">IFERROR(__xludf.DUMMYFUNCTION("""COMPUTED_VALUE"""),28774.5833333333)</f>
        <v>28774.583333333299</v>
      </c>
      <c r="H76" s="45" t="str">
        <f ca="1">IFERROR(__xludf.DUMMYFUNCTION("""COMPUTED_VALUE"""),"SHADOW")</f>
        <v>SHADOW</v>
      </c>
      <c r="I76" s="46" t="str">
        <f ca="1">IFERROR(__xludf.DUMMYFUNCTION("""COMPUTED_VALUE"""),"STORE")</f>
        <v>STORE</v>
      </c>
      <c r="J76" s="46" t="str">
        <f ca="1">IFERROR(__xludf.DUMMYFUNCTION("""COMPUTED_VALUE"""),"BAKES PASTEUR")</f>
        <v>BAKES PASTEUR</v>
      </c>
      <c r="K76" s="46" t="str">
        <f ca="1">IFERROR(__xludf.DUMMYFUNCTION("""COMPUTED_VALUE"""),"CLEANER")</f>
        <v>CLEANER</v>
      </c>
      <c r="L76" s="46" t="str">
        <f ca="1">IFERROR(__xludf.DUMMYFUNCTION("""COMPUTED_VALUE"""),"PTE")</f>
        <v>PTE</v>
      </c>
      <c r="M76" s="46" t="str">
        <f ca="1">IFERROR(__xludf.DUMMYFUNCTION("""COMPUTED_VALUE"""),"Leave")</f>
        <v>Leave</v>
      </c>
      <c r="N76" s="46" t="str">
        <f ca="1">IFERROR(__xludf.DUMMYFUNCTION("""COMPUTED_VALUE"""),"x")</f>
        <v>x</v>
      </c>
    </row>
    <row r="77" spans="1:14">
      <c r="A77" s="45"/>
      <c r="B77" s="45">
        <f ca="1">IFERROR(__xludf.DUMMYFUNCTION("""COMPUTED_VALUE"""),45338.625)</f>
        <v>45338.625</v>
      </c>
      <c r="C77" s="46">
        <f ca="1">IFERROR(__xludf.DUMMYFUNCTION("""COMPUTED_VALUE"""),78)</f>
        <v>78</v>
      </c>
      <c r="D77" s="47" t="str">
        <f ca="1">IFERROR(__xludf.DUMMYFUNCTION("""COMPUTED_VALUE"""),"SP0019")</f>
        <v>SP0019</v>
      </c>
      <c r="E77" s="46" t="str">
        <f ca="1">IFERROR(__xludf.DUMMYFUNCTION("""COMPUTED_VALUE"""),"NGUYỄN NGỌC PHƯỢNG")</f>
        <v>NGUYỄN NGỌC PHƯỢNG</v>
      </c>
      <c r="F77" s="46" t="str">
        <f ca="1">IFERROR(__xludf.DUMMYFUNCTION("""COMPUTED_VALUE"""),"NGUYEN NGOC PHUONG")</f>
        <v>NGUYEN NGOC PHUONG</v>
      </c>
      <c r="G77" s="45">
        <f ca="1">IFERROR(__xludf.DUMMYFUNCTION("""COMPUTED_VALUE"""),32907.625)</f>
        <v>32907.625</v>
      </c>
      <c r="H77" s="45" t="str">
        <f ca="1">IFERROR(__xludf.DUMMYFUNCTION("""COMPUTED_VALUE"""),"SHADOW")</f>
        <v>SHADOW</v>
      </c>
      <c r="I77" s="46" t="str">
        <f ca="1">IFERROR(__xludf.DUMMYFUNCTION("""COMPUTED_VALUE"""),"STORE")</f>
        <v>STORE</v>
      </c>
      <c r="J77" s="46" t="str">
        <f ca="1">IFERROR(__xludf.DUMMYFUNCTION("""COMPUTED_VALUE"""),"BAKES PASTEUR")</f>
        <v>BAKES PASTEUR</v>
      </c>
      <c r="K77" s="46" t="str">
        <f ca="1">IFERROR(__xludf.DUMMYFUNCTION("""COMPUTED_VALUE"""),"STR")</f>
        <v>STR</v>
      </c>
      <c r="L77" s="46" t="str">
        <f ca="1">IFERROR(__xludf.DUMMYFUNCTION("""COMPUTED_VALUE"""),"PTE")</f>
        <v>PTE</v>
      </c>
      <c r="M77" s="46" t="str">
        <f ca="1">IFERROR(__xludf.DUMMYFUNCTION("""COMPUTED_VALUE"""),"Leave")</f>
        <v>Leave</v>
      </c>
      <c r="N77" s="46" t="str">
        <f ca="1">IFERROR(__xludf.DUMMYFUNCTION("""COMPUTED_VALUE"""),"x")</f>
        <v>x</v>
      </c>
    </row>
    <row r="78" spans="1:14">
      <c r="A78" s="45">
        <f ca="1">IFERROR(__xludf.DUMMYFUNCTION("""COMPUTED_VALUE"""),44980.625)</f>
        <v>44980.625</v>
      </c>
      <c r="B78" s="45">
        <f ca="1">IFERROR(__xludf.DUMMYFUNCTION("""COMPUTED_VALUE"""),45558.5833333333)</f>
        <v>45558.583333333299</v>
      </c>
      <c r="C78" s="46">
        <f ca="1">IFERROR(__xludf.DUMMYFUNCTION("""COMPUTED_VALUE"""),79)</f>
        <v>79</v>
      </c>
      <c r="D78" s="47" t="str">
        <f ca="1">IFERROR(__xludf.DUMMYFUNCTION("""COMPUTED_VALUE"""),"SP0021")</f>
        <v>SP0021</v>
      </c>
      <c r="E78" s="46" t="str">
        <f ca="1">IFERROR(__xludf.DUMMYFUNCTION("""COMPUTED_VALUE"""),"KHƯƠNG THANH KHÁNH HÒA")</f>
        <v>KHƯƠNG THANH KHÁNH HÒA</v>
      </c>
      <c r="F78" s="46" t="str">
        <f ca="1">IFERROR(__xludf.DUMMYFUNCTION("""COMPUTED_VALUE"""),"KHUONG THANH KHANH HOA")</f>
        <v>KHUONG THANH KHANH HOA</v>
      </c>
      <c r="G78" s="45">
        <f ca="1">IFERROR(__xludf.DUMMYFUNCTION("""COMPUTED_VALUE"""),37002.5833333333)</f>
        <v>37002.583333333299</v>
      </c>
      <c r="H78" s="45" t="str">
        <f ca="1">IFERROR(__xludf.DUMMYFUNCTION("""COMPUTED_VALUE"""),"TLC")</f>
        <v>TLC</v>
      </c>
      <c r="I78" s="46" t="str">
        <f ca="1">IFERROR(__xludf.DUMMYFUNCTION("""COMPUTED_VALUE"""),"STORE")</f>
        <v>STORE</v>
      </c>
      <c r="J78" s="46" t="str">
        <f ca="1">IFERROR(__xludf.DUMMYFUNCTION("""COMPUTED_VALUE"""),"BLANK LOUNGE")</f>
        <v>BLANK LOUNGE</v>
      </c>
      <c r="K78" s="46" t="str">
        <f ca="1">IFERROR(__xludf.DUMMYFUNCTION("""COMPUTED_VALUE"""),"BAR")</f>
        <v>BAR</v>
      </c>
      <c r="L78" s="46" t="str">
        <f ca="1">IFERROR(__xludf.DUMMYFUNCTION("""COMPUTED_VALUE"""),"PTE")</f>
        <v>PTE</v>
      </c>
      <c r="M78" s="46" t="str">
        <f ca="1">IFERROR(__xludf.DUMMYFUNCTION("""COMPUTED_VALUE"""),"Leave")</f>
        <v>Leave</v>
      </c>
      <c r="N78" s="46" t="str">
        <f ca="1">IFERROR(__xludf.DUMMYFUNCTION("""COMPUTED_VALUE"""),"đủ")</f>
        <v>đủ</v>
      </c>
    </row>
    <row r="79" spans="1:14">
      <c r="A79" s="45">
        <f ca="1">IFERROR(__xludf.DUMMYFUNCTION("""COMPUTED_VALUE"""),44992.625)</f>
        <v>44992.625</v>
      </c>
      <c r="B79" s="45">
        <f ca="1">IFERROR(__xludf.DUMMYFUNCTION("""COMPUTED_VALUE"""),45658.625)</f>
        <v>45658.625</v>
      </c>
      <c r="C79" s="46">
        <f ca="1">IFERROR(__xludf.DUMMYFUNCTION("""COMPUTED_VALUE"""),80)</f>
        <v>80</v>
      </c>
      <c r="D79" s="47" t="str">
        <f ca="1">IFERROR(__xludf.DUMMYFUNCTION("""COMPUTED_VALUE"""),"SP0022")</f>
        <v>SP0022</v>
      </c>
      <c r="E79" s="46" t="str">
        <f ca="1">IFERROR(__xludf.DUMMYFUNCTION("""COMPUTED_VALUE"""),"NGÔ THỊ BẢO TRÂN")</f>
        <v>NGÔ THỊ BẢO TRÂN</v>
      </c>
      <c r="F79" s="46" t="str">
        <f ca="1">IFERROR(__xludf.DUMMYFUNCTION("""COMPUTED_VALUE"""),"NGO THI BAO TRAN")</f>
        <v>NGO THI BAO TRAN</v>
      </c>
      <c r="G79" s="45">
        <f ca="1">IFERROR(__xludf.DUMMYFUNCTION("""COMPUTED_VALUE"""),36724.5833333333)</f>
        <v>36724.583333333299</v>
      </c>
      <c r="H79" s="45" t="str">
        <f ca="1">IFERROR(__xludf.DUMMYFUNCTION("""COMPUTED_VALUE"""),"SHADOW")</f>
        <v>SHADOW</v>
      </c>
      <c r="I79" s="46" t="str">
        <f ca="1">IFERROR(__xludf.DUMMYFUNCTION("""COMPUTED_VALUE"""),"STORE")</f>
        <v>STORE</v>
      </c>
      <c r="J79" s="46" t="str">
        <f ca="1">IFERROR(__xludf.DUMMYFUNCTION("""COMPUTED_VALUE"""),"BAKES PASTEUR")</f>
        <v>BAKES PASTEUR</v>
      </c>
      <c r="K79" s="46" t="str">
        <f ca="1">IFERROR(__xludf.DUMMYFUNCTION("""COMPUTED_VALUE"""),"BAR")</f>
        <v>BAR</v>
      </c>
      <c r="L79" s="46" t="str">
        <f ca="1">IFERROR(__xludf.DUMMYFUNCTION("""COMPUTED_VALUE"""),"PTE")</f>
        <v>PTE</v>
      </c>
      <c r="M79" s="46" t="str">
        <f ca="1">IFERROR(__xludf.DUMMYFUNCTION("""COMPUTED_VALUE"""),"Leave")</f>
        <v>Leave</v>
      </c>
      <c r="N79" s="46" t="str">
        <f ca="1">IFERROR(__xludf.DUMMYFUNCTION("""COMPUTED_VALUE"""),"x")</f>
        <v>x</v>
      </c>
    </row>
    <row r="80" spans="1:14">
      <c r="A80" s="45"/>
      <c r="B80" s="45" t="str">
        <f ca="1">IFERROR(__xludf.DUMMYFUNCTION("""COMPUTED_VALUE"""),"Đã nghỉ")</f>
        <v>Đã nghỉ</v>
      </c>
      <c r="C80" s="46">
        <f ca="1">IFERROR(__xludf.DUMMYFUNCTION("""COMPUTED_VALUE"""),81)</f>
        <v>81</v>
      </c>
      <c r="D80" s="47" t="str">
        <f ca="1">IFERROR(__xludf.DUMMYFUNCTION("""COMPUTED_VALUE"""),"SP0023")</f>
        <v>SP0023</v>
      </c>
      <c r="E80" s="46" t="str">
        <f ca="1">IFERROR(__xludf.DUMMYFUNCTION("""COMPUTED_VALUE"""),"NGUYỄN CHINH DƯƠNG ĐĂNG")</f>
        <v>NGUYỄN CHINH DƯƠNG ĐĂNG</v>
      </c>
      <c r="F80" s="46" t="str">
        <f ca="1">IFERROR(__xludf.DUMMYFUNCTION("""COMPUTED_VALUE"""),"NGUYEN CHINH DUONG DANG")</f>
        <v>NGUYEN CHINH DUONG DANG</v>
      </c>
      <c r="G80" s="45">
        <f ca="1">IFERROR(__xludf.DUMMYFUNCTION("""COMPUTED_VALUE"""),36574.625)</f>
        <v>36574.625</v>
      </c>
      <c r="H80" s="45" t="str">
        <f ca="1">IFERROR(__xludf.DUMMYFUNCTION("""COMPUTED_VALUE"""),"SHADOW")</f>
        <v>SHADOW</v>
      </c>
      <c r="I80" s="46" t="str">
        <f ca="1">IFERROR(__xludf.DUMMYFUNCTION("""COMPUTED_VALUE"""),"STORE")</f>
        <v>STORE</v>
      </c>
      <c r="J80" s="46" t="str">
        <f ca="1">IFERROR(__xludf.DUMMYFUNCTION("""COMPUTED_VALUE"""),"BAKES PASTEUR")</f>
        <v>BAKES PASTEUR</v>
      </c>
      <c r="K80" s="46" t="str">
        <f ca="1">IFERROR(__xludf.DUMMYFUNCTION("""COMPUTED_VALUE"""),"KIT")</f>
        <v>KIT</v>
      </c>
      <c r="L80" s="46" t="str">
        <f ca="1">IFERROR(__xludf.DUMMYFUNCTION("""COMPUTED_VALUE"""),"PTE")</f>
        <v>PTE</v>
      </c>
      <c r="M80" s="46" t="str">
        <f ca="1">IFERROR(__xludf.DUMMYFUNCTION("""COMPUTED_VALUE"""),"Leave")</f>
        <v>Leave</v>
      </c>
      <c r="N80" s="46" t="str">
        <f ca="1">IFERROR(__xludf.DUMMYFUNCTION("""COMPUTED_VALUE"""),"x")</f>
        <v>x</v>
      </c>
    </row>
    <row r="81" spans="1:14">
      <c r="A81" s="45"/>
      <c r="B81" s="45" t="str">
        <f ca="1">IFERROR(__xludf.DUMMYFUNCTION("""COMPUTED_VALUE"""),"Đã nghỉ")</f>
        <v>Đã nghỉ</v>
      </c>
      <c r="C81" s="46">
        <f ca="1">IFERROR(__xludf.DUMMYFUNCTION("""COMPUTED_VALUE"""),82)</f>
        <v>82</v>
      </c>
      <c r="D81" s="47" t="str">
        <f ca="1">IFERROR(__xludf.DUMMYFUNCTION("""COMPUTED_VALUE"""),"SP0024")</f>
        <v>SP0024</v>
      </c>
      <c r="E81" s="46" t="str">
        <f ca="1">IFERROR(__xludf.DUMMYFUNCTION("""COMPUTED_VALUE"""),"DIỆP THÁI DƯƠNG")</f>
        <v>DIỆP THÁI DƯƠNG</v>
      </c>
      <c r="F81" s="46" t="str">
        <f ca="1">IFERROR(__xludf.DUMMYFUNCTION("""COMPUTED_VALUE"""),"DIEP THAI DUONG")</f>
        <v>DIEP THAI DUONG</v>
      </c>
      <c r="G81" s="45">
        <f ca="1">IFERROR(__xludf.DUMMYFUNCTION("""COMPUTED_VALUE"""),37512.5833333333)</f>
        <v>37512.583333333299</v>
      </c>
      <c r="H81" s="45" t="str">
        <f ca="1">IFERROR(__xludf.DUMMYFUNCTION("""COMPUTED_VALUE"""),"SHADOW")</f>
        <v>SHADOW</v>
      </c>
      <c r="I81" s="46" t="str">
        <f ca="1">IFERROR(__xludf.DUMMYFUNCTION("""COMPUTED_VALUE"""),"STORE")</f>
        <v>STORE</v>
      </c>
      <c r="J81" s="46" t="str">
        <f ca="1">IFERROR(__xludf.DUMMYFUNCTION("""COMPUTED_VALUE"""),"BAKES PASTEUR")</f>
        <v>BAKES PASTEUR</v>
      </c>
      <c r="K81" s="46" t="str">
        <f ca="1">IFERROR(__xludf.DUMMYFUNCTION("""COMPUTED_VALUE"""),"STR")</f>
        <v>STR</v>
      </c>
      <c r="L81" s="46" t="str">
        <f ca="1">IFERROR(__xludf.DUMMYFUNCTION("""COMPUTED_VALUE"""),"PTE")</f>
        <v>PTE</v>
      </c>
      <c r="M81" s="46" t="str">
        <f ca="1">IFERROR(__xludf.DUMMYFUNCTION("""COMPUTED_VALUE"""),"Leave")</f>
        <v>Leave</v>
      </c>
      <c r="N81" s="46" t="str">
        <f ca="1">IFERROR(__xludf.DUMMYFUNCTION("""COMPUTED_VALUE"""),"x")</f>
        <v>x</v>
      </c>
    </row>
    <row r="82" spans="1:14">
      <c r="A82" s="45"/>
      <c r="B82" s="45" t="str">
        <f ca="1">IFERROR(__xludf.DUMMYFUNCTION("""COMPUTED_VALUE"""),"Đã nghỉ")</f>
        <v>Đã nghỉ</v>
      </c>
      <c r="C82" s="46">
        <f ca="1">IFERROR(__xludf.DUMMYFUNCTION("""COMPUTED_VALUE"""),83)</f>
        <v>83</v>
      </c>
      <c r="D82" s="47" t="str">
        <f ca="1">IFERROR(__xludf.DUMMYFUNCTION("""COMPUTED_VALUE"""),"SP0025")</f>
        <v>SP0025</v>
      </c>
      <c r="E82" s="46" t="str">
        <f ca="1">IFERROR(__xludf.DUMMYFUNCTION("""COMPUTED_VALUE"""),"TRẦN DUY ANH")</f>
        <v>TRẦN DUY ANH</v>
      </c>
      <c r="F82" s="46" t="str">
        <f ca="1">IFERROR(__xludf.DUMMYFUNCTION("""COMPUTED_VALUE"""),"TRAN DUY ANH")</f>
        <v>TRAN DUY ANH</v>
      </c>
      <c r="G82" s="45">
        <f ca="1">IFERROR(__xludf.DUMMYFUNCTION("""COMPUTED_VALUE"""),35557.5833333333)</f>
        <v>35557.583333333299</v>
      </c>
      <c r="H82" s="45" t="str">
        <f ca="1">IFERROR(__xludf.DUMMYFUNCTION("""COMPUTED_VALUE"""),"SHADOW")</f>
        <v>SHADOW</v>
      </c>
      <c r="I82" s="46" t="str">
        <f ca="1">IFERROR(__xludf.DUMMYFUNCTION("""COMPUTED_VALUE"""),"STORE")</f>
        <v>STORE</v>
      </c>
      <c r="J82" s="46" t="str">
        <f ca="1">IFERROR(__xludf.DUMMYFUNCTION("""COMPUTED_VALUE"""),"BAKES PASTEUR")</f>
        <v>BAKES PASTEUR</v>
      </c>
      <c r="K82" s="46" t="str">
        <f ca="1">IFERROR(__xludf.DUMMYFUNCTION("""COMPUTED_VALUE"""),"KIT")</f>
        <v>KIT</v>
      </c>
      <c r="L82" s="46" t="str">
        <f ca="1">IFERROR(__xludf.DUMMYFUNCTION("""COMPUTED_VALUE"""),"PTE")</f>
        <v>PTE</v>
      </c>
      <c r="M82" s="46" t="str">
        <f ca="1">IFERROR(__xludf.DUMMYFUNCTION("""COMPUTED_VALUE"""),"Leave")</f>
        <v>Leave</v>
      </c>
      <c r="N82" s="46" t="str">
        <f ca="1">IFERROR(__xludf.DUMMYFUNCTION("""COMPUTED_VALUE"""),"x")</f>
        <v>x</v>
      </c>
    </row>
    <row r="83" spans="1:14">
      <c r="A83" s="45"/>
      <c r="B83" s="45" t="str">
        <f ca="1">IFERROR(__xludf.DUMMYFUNCTION("""COMPUTED_VALUE"""),"Đã nghỉ")</f>
        <v>Đã nghỉ</v>
      </c>
      <c r="C83" s="46">
        <f ca="1">IFERROR(__xludf.DUMMYFUNCTION("""COMPUTED_VALUE"""),84)</f>
        <v>84</v>
      </c>
      <c r="D83" s="47" t="str">
        <f ca="1">IFERROR(__xludf.DUMMYFUNCTION("""COMPUTED_VALUE"""),"SP026")</f>
        <v>SP026</v>
      </c>
      <c r="E83" s="46" t="str">
        <f ca="1">IFERROR(__xludf.DUMMYFUNCTION("""COMPUTED_VALUE"""),"LÊ THỊ MỸ MY")</f>
        <v>LÊ THỊ MỸ MY</v>
      </c>
      <c r="F83" s="46" t="str">
        <f ca="1">IFERROR(__xludf.DUMMYFUNCTION("""COMPUTED_VALUE"""),"LE THI MY MY")</f>
        <v>LE THI MY MY</v>
      </c>
      <c r="G83" s="45">
        <f ca="1">IFERROR(__xludf.DUMMYFUNCTION("""COMPUTED_VALUE"""),36901.625)</f>
        <v>36901.625</v>
      </c>
      <c r="H83" s="45" t="str">
        <f ca="1">IFERROR(__xludf.DUMMYFUNCTION("""COMPUTED_VALUE"""),"SHADOW")</f>
        <v>SHADOW</v>
      </c>
      <c r="I83" s="46" t="str">
        <f ca="1">IFERROR(__xludf.DUMMYFUNCTION("""COMPUTED_VALUE"""),"STORE")</f>
        <v>STORE</v>
      </c>
      <c r="J83" s="46" t="str">
        <f ca="1">IFERROR(__xludf.DUMMYFUNCTION("""COMPUTED_VALUE"""),"BAKES PASTEUR")</f>
        <v>BAKES PASTEUR</v>
      </c>
      <c r="K83" s="46" t="str">
        <f ca="1">IFERROR(__xludf.DUMMYFUNCTION("""COMPUTED_VALUE"""),"KIT")</f>
        <v>KIT</v>
      </c>
      <c r="L83" s="46" t="str">
        <f ca="1">IFERROR(__xludf.DUMMYFUNCTION("""COMPUTED_VALUE"""),"PTE")</f>
        <v>PTE</v>
      </c>
      <c r="M83" s="46" t="str">
        <f ca="1">IFERROR(__xludf.DUMMYFUNCTION("""COMPUTED_VALUE"""),"Leave")</f>
        <v>Leave</v>
      </c>
      <c r="N83" s="46" t="str">
        <f ca="1">IFERROR(__xludf.DUMMYFUNCTION("""COMPUTED_VALUE"""),"x")</f>
        <v>x</v>
      </c>
    </row>
    <row r="84" spans="1:14">
      <c r="A84" s="45">
        <f ca="1">IFERROR(__xludf.DUMMYFUNCTION("""COMPUTED_VALUE"""),45574.5833333333)</f>
        <v>45574.583333333299</v>
      </c>
      <c r="B84" s="45">
        <f ca="1">IFERROR(__xludf.DUMMYFUNCTION("""COMPUTED_VALUE"""),45576.5833333333)</f>
        <v>45576.583333333299</v>
      </c>
      <c r="C84" s="46">
        <f ca="1">IFERROR(__xludf.DUMMYFUNCTION("""COMPUTED_VALUE"""),85)</f>
        <v>85</v>
      </c>
      <c r="D84" s="47" t="str">
        <f ca="1">IFERROR(__xludf.DUMMYFUNCTION("""COMPUTED_VALUE"""),"SP027")</f>
        <v>SP027</v>
      </c>
      <c r="E84" s="46" t="str">
        <f ca="1">IFERROR(__xludf.DUMMYFUNCTION("""COMPUTED_VALUE"""),"NGÔ ĐỨC HƯNG")</f>
        <v>NGÔ ĐỨC HƯNG</v>
      </c>
      <c r="F84" s="46" t="str">
        <f ca="1">IFERROR(__xludf.DUMMYFUNCTION("""COMPUTED_VALUE"""),"NGO DUC HUNG")</f>
        <v>NGO DUC HUNG</v>
      </c>
      <c r="G84" s="45">
        <f ca="1">IFERROR(__xludf.DUMMYFUNCTION("""COMPUTED_VALUE"""),37711.625)</f>
        <v>37711.625</v>
      </c>
      <c r="H84" s="45" t="str">
        <f ca="1">IFERROR(__xludf.DUMMYFUNCTION("""COMPUTED_VALUE"""),"YESHI")</f>
        <v>YESHI</v>
      </c>
      <c r="I84" s="46" t="str">
        <f ca="1">IFERROR(__xludf.DUMMYFUNCTION("""COMPUTED_VALUE"""),"STORE")</f>
        <v>STORE</v>
      </c>
      <c r="J84" s="46" t="str">
        <f ca="1">IFERROR(__xludf.DUMMYFUNCTION("""COMPUTED_VALUE"""),"YESHI D2")</f>
        <v>YESHI D2</v>
      </c>
      <c r="K84" s="46" t="str">
        <f ca="1">IFERROR(__xludf.DUMMYFUNCTION("""COMPUTED_VALUE"""),"WAITSTAFF")</f>
        <v>WAITSTAFF</v>
      </c>
      <c r="L84" s="46" t="str">
        <f ca="1">IFERROR(__xludf.DUMMYFUNCTION("""COMPUTED_VALUE"""),"PTE")</f>
        <v>PTE</v>
      </c>
      <c r="M84" s="46" t="str">
        <f ca="1">IFERROR(__xludf.DUMMYFUNCTION("""COMPUTED_VALUE"""),"Leave")</f>
        <v>Leave</v>
      </c>
      <c r="N84" s="46" t="str">
        <f ca="1">IFERROR(__xludf.DUMMYFUNCTION("""COMPUTED_VALUE"""),"đủ")</f>
        <v>đủ</v>
      </c>
    </row>
    <row r="85" spans="1:14">
      <c r="A85" s="45">
        <f ca="1">IFERROR(__xludf.DUMMYFUNCTION("""COMPUTED_VALUE"""),45024.5833333333)</f>
        <v>45024.583333333299</v>
      </c>
      <c r="B85" s="45">
        <f ca="1">IFERROR(__xludf.DUMMYFUNCTION("""COMPUTED_VALUE"""),45768.5833333333)</f>
        <v>45768.583333333299</v>
      </c>
      <c r="C85" s="46">
        <f ca="1">IFERROR(__xludf.DUMMYFUNCTION("""COMPUTED_VALUE"""),86)</f>
        <v>86</v>
      </c>
      <c r="D85" s="47" t="str">
        <f ca="1">IFERROR(__xludf.DUMMYFUNCTION("""COMPUTED_VALUE"""),"SP028")</f>
        <v>SP028</v>
      </c>
      <c r="E85" s="46" t="str">
        <f ca="1">IFERROR(__xludf.DUMMYFUNCTION("""COMPUTED_VALUE"""),"VÕ MAI THIÊN KIM")</f>
        <v>VÕ MAI THIÊN KIM</v>
      </c>
      <c r="F85" s="46" t="str">
        <f ca="1">IFERROR(__xludf.DUMMYFUNCTION("""COMPUTED_VALUE"""),"VO MAI THIEN KIM")</f>
        <v>VO MAI THIEN KIM</v>
      </c>
      <c r="G85" s="45">
        <f ca="1">IFERROR(__xludf.DUMMYFUNCTION("""COMPUTED_VALUE"""),37224.625)</f>
        <v>37224.625</v>
      </c>
      <c r="H85" s="45" t="str">
        <f ca="1">IFERROR(__xludf.DUMMYFUNCTION("""COMPUTED_VALUE"""),"SHADOW")</f>
        <v>SHADOW</v>
      </c>
      <c r="I85" s="46" t="str">
        <f ca="1">IFERROR(__xludf.DUMMYFUNCTION("""COMPUTED_VALUE"""),"STORE")</f>
        <v>STORE</v>
      </c>
      <c r="J85" s="46" t="str">
        <f ca="1">IFERROR(__xludf.DUMMYFUNCTION("""COMPUTED_VALUE"""),"BAKES PASTEUR")</f>
        <v>BAKES PASTEUR</v>
      </c>
      <c r="K85" s="46" t="str">
        <f ca="1">IFERROR(__xludf.DUMMYFUNCTION("""COMPUTED_VALUE"""),"WAITSTAFF")</f>
        <v>WAITSTAFF</v>
      </c>
      <c r="L85" s="46" t="str">
        <f ca="1">IFERROR(__xludf.DUMMYFUNCTION("""COMPUTED_VALUE"""),"PTE")</f>
        <v>PTE</v>
      </c>
      <c r="M85" s="46" t="str">
        <f ca="1">IFERROR(__xludf.DUMMYFUNCTION("""COMPUTED_VALUE"""),"Leave")</f>
        <v>Leave</v>
      </c>
      <c r="N85" s="46" t="str">
        <f ca="1">IFERROR(__xludf.DUMMYFUNCTION("""COMPUTED_VALUE"""),"x")</f>
        <v>x</v>
      </c>
    </row>
    <row r="86" spans="1:14">
      <c r="A86" s="45"/>
      <c r="B86" s="45" t="str">
        <f ca="1">IFERROR(__xludf.DUMMYFUNCTION("""COMPUTED_VALUE"""),"Đã nghỉ")</f>
        <v>Đã nghỉ</v>
      </c>
      <c r="C86" s="46">
        <f ca="1">IFERROR(__xludf.DUMMYFUNCTION("""COMPUTED_VALUE"""),87)</f>
        <v>87</v>
      </c>
      <c r="D86" s="47" t="str">
        <f ca="1">IFERROR(__xludf.DUMMYFUNCTION("""COMPUTED_VALUE"""),"SP029")</f>
        <v>SP029</v>
      </c>
      <c r="E86" s="46" t="str">
        <f ca="1">IFERROR(__xludf.DUMMYFUNCTION("""COMPUTED_VALUE"""),"NGUYỄN CÔNG ANH TÚ")</f>
        <v>NGUYỄN CÔNG ANH TÚ</v>
      </c>
      <c r="F86" s="46" t="str">
        <f ca="1">IFERROR(__xludf.DUMMYFUNCTION("""COMPUTED_VALUE"""),"NGUYEN CONG ANH TU")</f>
        <v>NGUYEN CONG ANH TU</v>
      </c>
      <c r="G86" s="45">
        <f ca="1">IFERROR(__xludf.DUMMYFUNCTION("""COMPUTED_VALUE"""),36144.625)</f>
        <v>36144.625</v>
      </c>
      <c r="H86" s="45" t="str">
        <f ca="1">IFERROR(__xludf.DUMMYFUNCTION("""COMPUTED_VALUE"""),"SHADOW")</f>
        <v>SHADOW</v>
      </c>
      <c r="I86" s="46" t="str">
        <f ca="1">IFERROR(__xludf.DUMMYFUNCTION("""COMPUTED_VALUE"""),"STORE")</f>
        <v>STORE</v>
      </c>
      <c r="J86" s="46" t="str">
        <f ca="1">IFERROR(__xludf.DUMMYFUNCTION("""COMPUTED_VALUE"""),"BAKES PASTEUR")</f>
        <v>BAKES PASTEUR</v>
      </c>
      <c r="K86" s="46" t="str">
        <f ca="1">IFERROR(__xludf.DUMMYFUNCTION("""COMPUTED_VALUE"""),"STR")</f>
        <v>STR</v>
      </c>
      <c r="L86" s="46" t="str">
        <f ca="1">IFERROR(__xludf.DUMMYFUNCTION("""COMPUTED_VALUE"""),"PTE")</f>
        <v>PTE</v>
      </c>
      <c r="M86" s="46" t="str">
        <f ca="1">IFERROR(__xludf.DUMMYFUNCTION("""COMPUTED_VALUE"""),"Leave")</f>
        <v>Leave</v>
      </c>
      <c r="N86" s="46" t="str">
        <f ca="1">IFERROR(__xludf.DUMMYFUNCTION("""COMPUTED_VALUE"""),"x")</f>
        <v>x</v>
      </c>
    </row>
    <row r="87" spans="1:14">
      <c r="A87" s="45">
        <f ca="1">IFERROR(__xludf.DUMMYFUNCTION("""COMPUTED_VALUE"""),45040.5833333333)</f>
        <v>45040.583333333299</v>
      </c>
      <c r="B87" s="45"/>
      <c r="C87" s="46">
        <f ca="1">IFERROR(__xludf.DUMMYFUNCTION("""COMPUTED_VALUE"""),88)</f>
        <v>88</v>
      </c>
      <c r="D87" s="47" t="str">
        <f ca="1">IFERROR(__xludf.DUMMYFUNCTION("""COMPUTED_VALUE"""),"SP031")</f>
        <v>SP031</v>
      </c>
      <c r="E87" s="46" t="str">
        <f ca="1">IFERROR(__xludf.DUMMYFUNCTION("""COMPUTED_VALUE"""),"LÊ HỮU TÀI")</f>
        <v>LÊ HỮU TÀI</v>
      </c>
      <c r="F87" s="46" t="str">
        <f ca="1">IFERROR(__xludf.DUMMYFUNCTION("""COMPUTED_VALUE"""),"LE HUU TAI")</f>
        <v>LE HUU TAI</v>
      </c>
      <c r="G87" s="45">
        <f ca="1">IFERROR(__xludf.DUMMYFUNCTION("""COMPUTED_VALUE"""),35056.625)</f>
        <v>35056.625</v>
      </c>
      <c r="H87" s="45" t="str">
        <f ca="1">IFERROR(__xludf.DUMMYFUNCTION("""COMPUTED_VALUE"""),"BAKES")</f>
        <v>BAKES</v>
      </c>
      <c r="I87" s="46" t="str">
        <f ca="1">IFERROR(__xludf.DUMMYFUNCTION("""COMPUTED_VALUE"""),"STORE")</f>
        <v>STORE</v>
      </c>
      <c r="J87" s="46" t="str">
        <f ca="1">IFERROR(__xludf.DUMMYFUNCTION("""COMPUTED_VALUE"""),"BAKES D2")</f>
        <v>BAKES D2</v>
      </c>
      <c r="K87" s="46" t="str">
        <f ca="1">IFERROR(__xludf.DUMMYFUNCTION("""COMPUTED_VALUE"""),"Management team")</f>
        <v>Management team</v>
      </c>
      <c r="L87" s="46" t="str">
        <f ca="1">IFERROR(__xludf.DUMMYFUNCTION("""COMPUTED_VALUE"""),"FTE")</f>
        <v>FTE</v>
      </c>
      <c r="M87" s="46" t="str">
        <f ca="1">IFERROR(__xludf.DUMMYFUNCTION("""COMPUTED_VALUE"""),"On")</f>
        <v>On</v>
      </c>
      <c r="N87" s="46" t="str">
        <f ca="1">IFERROR(__xludf.DUMMYFUNCTION("""COMPUTED_VALUE"""),"đủ")</f>
        <v>đủ</v>
      </c>
    </row>
    <row r="88" spans="1:14">
      <c r="A88" s="45"/>
      <c r="B88" s="45" t="str">
        <f ca="1">IFERROR(__xludf.DUMMYFUNCTION("""COMPUTED_VALUE"""),"Đã nghỉ")</f>
        <v>Đã nghỉ</v>
      </c>
      <c r="C88" s="46">
        <f ca="1">IFERROR(__xludf.DUMMYFUNCTION("""COMPUTED_VALUE"""),89)</f>
        <v>89</v>
      </c>
      <c r="D88" s="47" t="str">
        <f ca="1">IFERROR(__xludf.DUMMYFUNCTION("""COMPUTED_VALUE"""),"SP032")</f>
        <v>SP032</v>
      </c>
      <c r="E88" s="46" t="str">
        <f ca="1">IFERROR(__xludf.DUMMYFUNCTION("""COMPUTED_VALUE"""),"VÕ NGỌC ANH THI")</f>
        <v>VÕ NGỌC ANH THI</v>
      </c>
      <c r="F88" s="46" t="str">
        <f ca="1">IFERROR(__xludf.DUMMYFUNCTION("""COMPUTED_VALUE"""),"VO NGOC ANH THI")</f>
        <v>VO NGOC ANH THI</v>
      </c>
      <c r="G88" s="45">
        <f ca="1">IFERROR(__xludf.DUMMYFUNCTION("""COMPUTED_VALUE"""),36716.5833333333)</f>
        <v>36716.583333333299</v>
      </c>
      <c r="H88" s="45" t="str">
        <f ca="1">IFERROR(__xludf.DUMMYFUNCTION("""COMPUTED_VALUE"""),"SHADOW")</f>
        <v>SHADOW</v>
      </c>
      <c r="I88" s="46" t="str">
        <f ca="1">IFERROR(__xludf.DUMMYFUNCTION("""COMPUTED_VALUE"""),"STORE")</f>
        <v>STORE</v>
      </c>
      <c r="J88" s="46" t="str">
        <f ca="1">IFERROR(__xludf.DUMMYFUNCTION("""COMPUTED_VALUE"""),"BAKES PASTEUR")</f>
        <v>BAKES PASTEUR</v>
      </c>
      <c r="K88" s="46" t="str">
        <f ca="1">IFERROR(__xludf.DUMMYFUNCTION("""COMPUTED_VALUE"""),"STR")</f>
        <v>STR</v>
      </c>
      <c r="L88" s="46" t="str">
        <f ca="1">IFERROR(__xludf.DUMMYFUNCTION("""COMPUTED_VALUE"""),"PTE")</f>
        <v>PTE</v>
      </c>
      <c r="M88" s="46" t="str">
        <f ca="1">IFERROR(__xludf.DUMMYFUNCTION("""COMPUTED_VALUE"""),"Leave")</f>
        <v>Leave</v>
      </c>
      <c r="N88" s="46" t="str">
        <f ca="1">IFERROR(__xludf.DUMMYFUNCTION("""COMPUTED_VALUE"""),"x")</f>
        <v>x</v>
      </c>
    </row>
    <row r="89" spans="1:14">
      <c r="A89" s="45"/>
      <c r="B89" s="45" t="str">
        <f ca="1">IFERROR(__xludf.DUMMYFUNCTION("""COMPUTED_VALUE"""),"Đã nghỉ")</f>
        <v>Đã nghỉ</v>
      </c>
      <c r="C89" s="46">
        <f ca="1">IFERROR(__xludf.DUMMYFUNCTION("""COMPUTED_VALUE"""),90)</f>
        <v>90</v>
      </c>
      <c r="D89" s="47" t="str">
        <f ca="1">IFERROR(__xludf.DUMMYFUNCTION("""COMPUTED_VALUE"""),"SP034")</f>
        <v>SP034</v>
      </c>
      <c r="E89" s="46" t="str">
        <f ca="1">IFERROR(__xludf.DUMMYFUNCTION("""COMPUTED_VALUE"""),"NGUYỄN TÂN HUY")</f>
        <v>NGUYỄN TÂN HUY</v>
      </c>
      <c r="F89" s="46" t="str">
        <f ca="1">IFERROR(__xludf.DUMMYFUNCTION("""COMPUTED_VALUE"""),"NGUYEN TAN HUY")</f>
        <v>NGUYEN TAN HUY</v>
      </c>
      <c r="G89" s="45">
        <f ca="1">IFERROR(__xludf.DUMMYFUNCTION("""COMPUTED_VALUE"""),36913.625)</f>
        <v>36913.625</v>
      </c>
      <c r="H89" s="45" t="str">
        <f ca="1">IFERROR(__xludf.DUMMYFUNCTION("""COMPUTED_VALUE"""),"SHADOW")</f>
        <v>SHADOW</v>
      </c>
      <c r="I89" s="46" t="str">
        <f ca="1">IFERROR(__xludf.DUMMYFUNCTION("""COMPUTED_VALUE"""),"STORE")</f>
        <v>STORE</v>
      </c>
      <c r="J89" s="46" t="str">
        <f ca="1">IFERROR(__xludf.DUMMYFUNCTION("""COMPUTED_VALUE"""),"BAKES PASTEUR")</f>
        <v>BAKES PASTEUR</v>
      </c>
      <c r="K89" s="46" t="str">
        <f ca="1">IFERROR(__xludf.DUMMYFUNCTION("""COMPUTED_VALUE"""),"STR")</f>
        <v>STR</v>
      </c>
      <c r="L89" s="46" t="str">
        <f ca="1">IFERROR(__xludf.DUMMYFUNCTION("""COMPUTED_VALUE"""),"PTE")</f>
        <v>PTE</v>
      </c>
      <c r="M89" s="46" t="str">
        <f ca="1">IFERROR(__xludf.DUMMYFUNCTION("""COMPUTED_VALUE"""),"Leave")</f>
        <v>Leave</v>
      </c>
      <c r="N89" s="46" t="str">
        <f ca="1">IFERROR(__xludf.DUMMYFUNCTION("""COMPUTED_VALUE"""),"x")</f>
        <v>x</v>
      </c>
    </row>
    <row r="90" spans="1:14">
      <c r="A90" s="45"/>
      <c r="B90" s="45">
        <f ca="1">IFERROR(__xludf.DUMMYFUNCTION("""COMPUTED_VALUE"""),45292.625)</f>
        <v>45292.625</v>
      </c>
      <c r="C90" s="46">
        <f ca="1">IFERROR(__xludf.DUMMYFUNCTION("""COMPUTED_VALUE"""),91)</f>
        <v>91</v>
      </c>
      <c r="D90" s="47" t="str">
        <f ca="1">IFERROR(__xludf.DUMMYFUNCTION("""COMPUTED_VALUE"""),"SP035")</f>
        <v>SP035</v>
      </c>
      <c r="E90" s="46" t="str">
        <f ca="1">IFERROR(__xludf.DUMMYFUNCTION("""COMPUTED_VALUE"""),"VŨ HỒNG LINH")</f>
        <v>VŨ HỒNG LINH</v>
      </c>
      <c r="F90" s="46" t="str">
        <f ca="1">IFERROR(__xludf.DUMMYFUNCTION("""COMPUTED_VALUE"""),"VU HONG LINH")</f>
        <v>VU HONG LINH</v>
      </c>
      <c r="G90" s="45">
        <f ca="1">IFERROR(__xludf.DUMMYFUNCTION("""COMPUTED_VALUE"""),37579.625)</f>
        <v>37579.625</v>
      </c>
      <c r="H90" s="45" t="str">
        <f ca="1">IFERROR(__xludf.DUMMYFUNCTION("""COMPUTED_VALUE"""),"SHADOW")</f>
        <v>SHADOW</v>
      </c>
      <c r="I90" s="46" t="str">
        <f ca="1">IFERROR(__xludf.DUMMYFUNCTION("""COMPUTED_VALUE"""),"STORE")</f>
        <v>STORE</v>
      </c>
      <c r="J90" s="46" t="str">
        <f ca="1">IFERROR(__xludf.DUMMYFUNCTION("""COMPUTED_VALUE"""),"BAKES PASTEUR")</f>
        <v>BAKES PASTEUR</v>
      </c>
      <c r="K90" s="46" t="str">
        <f ca="1">IFERROR(__xludf.DUMMYFUNCTION("""COMPUTED_VALUE"""),"STR")</f>
        <v>STR</v>
      </c>
      <c r="L90" s="46" t="str">
        <f ca="1">IFERROR(__xludf.DUMMYFUNCTION("""COMPUTED_VALUE"""),"PTE")</f>
        <v>PTE</v>
      </c>
      <c r="M90" s="46" t="str">
        <f ca="1">IFERROR(__xludf.DUMMYFUNCTION("""COMPUTED_VALUE"""),"Leave")</f>
        <v>Leave</v>
      </c>
      <c r="N90" s="46" t="str">
        <f ca="1">IFERROR(__xludf.DUMMYFUNCTION("""COMPUTED_VALUE"""),"x")</f>
        <v>x</v>
      </c>
    </row>
    <row r="91" spans="1:14">
      <c r="A91" s="45"/>
      <c r="B91" s="45" t="str">
        <f ca="1">IFERROR(__xludf.DUMMYFUNCTION("""COMPUTED_VALUE"""),"Đã nghỉ")</f>
        <v>Đã nghỉ</v>
      </c>
      <c r="C91" s="46">
        <f ca="1">IFERROR(__xludf.DUMMYFUNCTION("""COMPUTED_VALUE"""),92)</f>
        <v>92</v>
      </c>
      <c r="D91" s="47" t="str">
        <f ca="1">IFERROR(__xludf.DUMMYFUNCTION("""COMPUTED_VALUE"""),"SP036")</f>
        <v>SP036</v>
      </c>
      <c r="E91" s="46" t="str">
        <f ca="1">IFERROR(__xludf.DUMMYFUNCTION("""COMPUTED_VALUE"""),"BÙI PHƯƠNG DUNG")</f>
        <v>BÙI PHƯƠNG DUNG</v>
      </c>
      <c r="F91" s="46" t="str">
        <f ca="1">IFERROR(__xludf.DUMMYFUNCTION("""COMPUTED_VALUE"""),"BUI PHUONG DUNG")</f>
        <v>BUI PHUONG DUNG</v>
      </c>
      <c r="G91" s="45">
        <f ca="1">IFERROR(__xludf.DUMMYFUNCTION("""COMPUTED_VALUE"""),36527.625)</f>
        <v>36527.625</v>
      </c>
      <c r="H91" s="45" t="str">
        <f ca="1">IFERROR(__xludf.DUMMYFUNCTION("""COMPUTED_VALUE"""),"SHADOW")</f>
        <v>SHADOW</v>
      </c>
      <c r="I91" s="46" t="str">
        <f ca="1">IFERROR(__xludf.DUMMYFUNCTION("""COMPUTED_VALUE"""),"STORE")</f>
        <v>STORE</v>
      </c>
      <c r="J91" s="46" t="str">
        <f ca="1">IFERROR(__xludf.DUMMYFUNCTION("""COMPUTED_VALUE"""),"BAKES PASTEUR")</f>
        <v>BAKES PASTEUR</v>
      </c>
      <c r="K91" s="46" t="str">
        <f ca="1">IFERROR(__xludf.DUMMYFUNCTION("""COMPUTED_VALUE"""),"STR")</f>
        <v>STR</v>
      </c>
      <c r="L91" s="46" t="str">
        <f ca="1">IFERROR(__xludf.DUMMYFUNCTION("""COMPUTED_VALUE"""),"PTE")</f>
        <v>PTE</v>
      </c>
      <c r="M91" s="46" t="str">
        <f ca="1">IFERROR(__xludf.DUMMYFUNCTION("""COMPUTED_VALUE"""),"Leave")</f>
        <v>Leave</v>
      </c>
      <c r="N91" s="46" t="str">
        <f ca="1">IFERROR(__xludf.DUMMYFUNCTION("""COMPUTED_VALUE"""),"x")</f>
        <v>x</v>
      </c>
    </row>
    <row r="92" spans="1:14">
      <c r="A92" s="45"/>
      <c r="B92" s="45" t="str">
        <f ca="1">IFERROR(__xludf.DUMMYFUNCTION("""COMPUTED_VALUE"""),"Đã nghỉ")</f>
        <v>Đã nghỉ</v>
      </c>
      <c r="C92" s="46">
        <f ca="1">IFERROR(__xludf.DUMMYFUNCTION("""COMPUTED_VALUE"""),93)</f>
        <v>93</v>
      </c>
      <c r="D92" s="47" t="str">
        <f ca="1">IFERROR(__xludf.DUMMYFUNCTION("""COMPUTED_VALUE"""),"SP037")</f>
        <v>SP037</v>
      </c>
      <c r="E92" s="46" t="str">
        <f ca="1">IFERROR(__xludf.DUMMYFUNCTION("""COMPUTED_VALUE"""),"NGUYỄN TUYẾT ANH")</f>
        <v>NGUYỄN TUYẾT ANH</v>
      </c>
      <c r="F92" s="46" t="str">
        <f ca="1">IFERROR(__xludf.DUMMYFUNCTION("""COMPUTED_VALUE"""),"NGUYEN TUYET ANH")</f>
        <v>NGUYEN TUYET ANH</v>
      </c>
      <c r="G92" s="45"/>
      <c r="H92" s="45" t="str">
        <f ca="1">IFERROR(__xludf.DUMMYFUNCTION("""COMPUTED_VALUE"""),"SHADOW")</f>
        <v>SHADOW</v>
      </c>
      <c r="I92" s="46" t="str">
        <f ca="1">IFERROR(__xludf.DUMMYFUNCTION("""COMPUTED_VALUE"""),"STORE")</f>
        <v>STORE</v>
      </c>
      <c r="J92" s="46" t="str">
        <f ca="1">IFERROR(__xludf.DUMMYFUNCTION("""COMPUTED_VALUE"""),"BAKES PASTEUR")</f>
        <v>BAKES PASTEUR</v>
      </c>
      <c r="K92" s="46" t="str">
        <f ca="1">IFERROR(__xludf.DUMMYFUNCTION("""COMPUTED_VALUE"""),"STR")</f>
        <v>STR</v>
      </c>
      <c r="L92" s="46" t="str">
        <f ca="1">IFERROR(__xludf.DUMMYFUNCTION("""COMPUTED_VALUE"""),"PTE")</f>
        <v>PTE</v>
      </c>
      <c r="M92" s="46" t="str">
        <f ca="1">IFERROR(__xludf.DUMMYFUNCTION("""COMPUTED_VALUE"""),"Leave")</f>
        <v>Leave</v>
      </c>
      <c r="N92" s="46" t="str">
        <f ca="1">IFERROR(__xludf.DUMMYFUNCTION("""COMPUTED_VALUE"""),"x")</f>
        <v>x</v>
      </c>
    </row>
    <row r="93" spans="1:14">
      <c r="A93" s="45">
        <f ca="1">IFERROR(__xludf.DUMMYFUNCTION("""COMPUTED_VALUE"""),45093.5833333333)</f>
        <v>45093.583333333299</v>
      </c>
      <c r="B93" s="45">
        <f ca="1">IFERROR(__xludf.DUMMYFUNCTION("""COMPUTED_VALUE"""),45549.5833333333)</f>
        <v>45549.583333333299</v>
      </c>
      <c r="C93" s="46">
        <f ca="1">IFERROR(__xludf.DUMMYFUNCTION("""COMPUTED_VALUE"""),94)</f>
        <v>94</v>
      </c>
      <c r="D93" s="47" t="str">
        <f ca="1">IFERROR(__xludf.DUMMYFUNCTION("""COMPUTED_VALUE"""),"SP038")</f>
        <v>SP038</v>
      </c>
      <c r="E93" s="46" t="str">
        <f ca="1">IFERROR(__xludf.DUMMYFUNCTION("""COMPUTED_VALUE"""),"NGUYỄN KIM QUỐC VINH")</f>
        <v>NGUYỄN KIM QUỐC VINH</v>
      </c>
      <c r="F93" s="46" t="str">
        <f ca="1">IFERROR(__xludf.DUMMYFUNCTION("""COMPUTED_VALUE"""),"NGUYEN KIM QUOC VINH")</f>
        <v>NGUYEN KIM QUOC VINH</v>
      </c>
      <c r="G93" s="45">
        <f ca="1">IFERROR(__xludf.DUMMYFUNCTION("""COMPUTED_VALUE"""),38628.5833333333)</f>
        <v>38628.583333333299</v>
      </c>
      <c r="H93" s="45" t="str">
        <f ca="1">IFERROR(__xludf.DUMMYFUNCTION("""COMPUTED_VALUE"""),"SHADOW")</f>
        <v>SHADOW</v>
      </c>
      <c r="I93" s="46" t="str">
        <f ca="1">IFERROR(__xludf.DUMMYFUNCTION("""COMPUTED_VALUE"""),"STORE")</f>
        <v>STORE</v>
      </c>
      <c r="J93" s="46" t="str">
        <f ca="1">IFERROR(__xludf.DUMMYFUNCTION("""COMPUTED_VALUE"""),"BAKES PASTEUR")</f>
        <v>BAKES PASTEUR</v>
      </c>
      <c r="K93" s="46" t="str">
        <f ca="1">IFERROR(__xludf.DUMMYFUNCTION("""COMPUTED_VALUE"""),"CASHIER")</f>
        <v>CASHIER</v>
      </c>
      <c r="L93" s="46" t="str">
        <f ca="1">IFERROR(__xludf.DUMMYFUNCTION("""COMPUTED_VALUE"""),"PTE")</f>
        <v>PTE</v>
      </c>
      <c r="M93" s="46" t="str">
        <f ca="1">IFERROR(__xludf.DUMMYFUNCTION("""COMPUTED_VALUE"""),"Leave")</f>
        <v>Leave</v>
      </c>
      <c r="N93" s="46" t="str">
        <f ca="1">IFERROR(__xludf.DUMMYFUNCTION("""COMPUTED_VALUE"""),"x")</f>
        <v>x</v>
      </c>
    </row>
    <row r="94" spans="1:14">
      <c r="A94" s="45"/>
      <c r="B94" s="45" t="str">
        <f ca="1">IFERROR(__xludf.DUMMYFUNCTION("""COMPUTED_VALUE"""),"Đã nghỉ")</f>
        <v>Đã nghỉ</v>
      </c>
      <c r="C94" s="46">
        <f ca="1">IFERROR(__xludf.DUMMYFUNCTION("""COMPUTED_VALUE"""),95)</f>
        <v>95</v>
      </c>
      <c r="D94" s="47" t="str">
        <f ca="1">IFERROR(__xludf.DUMMYFUNCTION("""COMPUTED_VALUE"""),"SP039")</f>
        <v>SP039</v>
      </c>
      <c r="E94" s="46" t="str">
        <f ca="1">IFERROR(__xludf.DUMMYFUNCTION("""COMPUTED_VALUE"""),"TRẦN NHẤT QUÝ")</f>
        <v>TRẦN NHẤT QUÝ</v>
      </c>
      <c r="F94" s="46" t="str">
        <f ca="1">IFERROR(__xludf.DUMMYFUNCTION("""COMPUTED_VALUE"""),"TRAN NHAT QUY")</f>
        <v>TRAN NHAT QUY</v>
      </c>
      <c r="G94" s="45">
        <f ca="1">IFERROR(__xludf.DUMMYFUNCTION("""COMPUTED_VALUE"""),36926.625)</f>
        <v>36926.625</v>
      </c>
      <c r="H94" s="45" t="str">
        <f ca="1">IFERROR(__xludf.DUMMYFUNCTION("""COMPUTED_VALUE"""),"SHADOW")</f>
        <v>SHADOW</v>
      </c>
      <c r="I94" s="46" t="str">
        <f ca="1">IFERROR(__xludf.DUMMYFUNCTION("""COMPUTED_VALUE"""),"STORE")</f>
        <v>STORE</v>
      </c>
      <c r="J94" s="46" t="str">
        <f ca="1">IFERROR(__xludf.DUMMYFUNCTION("""COMPUTED_VALUE"""),"BAKES PASTEUR")</f>
        <v>BAKES PASTEUR</v>
      </c>
      <c r="K94" s="46" t="str">
        <f ca="1">IFERROR(__xludf.DUMMYFUNCTION("""COMPUTED_VALUE"""),"STR")</f>
        <v>STR</v>
      </c>
      <c r="L94" s="46" t="str">
        <f ca="1">IFERROR(__xludf.DUMMYFUNCTION("""COMPUTED_VALUE"""),"PTE")</f>
        <v>PTE</v>
      </c>
      <c r="M94" s="46" t="str">
        <f ca="1">IFERROR(__xludf.DUMMYFUNCTION("""COMPUTED_VALUE"""),"Leave")</f>
        <v>Leave</v>
      </c>
      <c r="N94" s="46" t="str">
        <f ca="1">IFERROR(__xludf.DUMMYFUNCTION("""COMPUTED_VALUE"""),"x")</f>
        <v>x</v>
      </c>
    </row>
    <row r="95" spans="1:14">
      <c r="A95" s="45">
        <f ca="1">IFERROR(__xludf.DUMMYFUNCTION("""COMPUTED_VALUE"""),41501.5833333333)</f>
        <v>41501.583333333299</v>
      </c>
      <c r="B95" s="45"/>
      <c r="C95" s="46">
        <f ca="1">IFERROR(__xludf.DUMMYFUNCTION("""COMPUTED_VALUE"""),96)</f>
        <v>96</v>
      </c>
      <c r="D95" s="47" t="str">
        <f ca="1">IFERROR(__xludf.DUMMYFUNCTION("""COMPUTED_VALUE"""),"T0001")</f>
        <v>T0001</v>
      </c>
      <c r="E95" s="46" t="str">
        <f ca="1">IFERROR(__xludf.DUMMYFUNCTION("""COMPUTED_VALUE"""),"LAURE DOMINIQUE MARIE CHEVALLIER")</f>
        <v>LAURE DOMINIQUE MARIE CHEVALLIER</v>
      </c>
      <c r="F95" s="46" t="str">
        <f ca="1">IFERROR(__xludf.DUMMYFUNCTION("""COMPUTED_VALUE"""),"LAURE DOMINIQUE MARIE CHEVALLIER")</f>
        <v>LAURE DOMINIQUE MARIE CHEVALLIER</v>
      </c>
      <c r="G95" s="45">
        <f ca="1">IFERROR(__xludf.DUMMYFUNCTION("""COMPUTED_VALUE"""),33050.5833333333)</f>
        <v>33050.583333333299</v>
      </c>
      <c r="H95" s="45" t="str">
        <f ca="1">IFERROR(__xludf.DUMMYFUNCTION("""COMPUTED_VALUE"""),"TLC")</f>
        <v>TLC</v>
      </c>
      <c r="I95" s="46" t="str">
        <f ca="1">IFERROR(__xludf.DUMMYFUNCTION("""COMPUTED_VALUE"""),"HO")</f>
        <v>HO</v>
      </c>
      <c r="J95" s="46" t="str">
        <f ca="1">IFERROR(__xludf.DUMMYFUNCTION("""COMPUTED_VALUE"""),"BOD")</f>
        <v>BOD</v>
      </c>
      <c r="K95" s="46" t="str">
        <f ca="1">IFERROR(__xludf.DUMMYFUNCTION("""COMPUTED_VALUE"""),"BOD")</f>
        <v>BOD</v>
      </c>
      <c r="L95" s="46" t="str">
        <f ca="1">IFERROR(__xludf.DUMMYFUNCTION("""COMPUTED_VALUE"""),"FTE")</f>
        <v>FTE</v>
      </c>
      <c r="M95" s="46" t="str">
        <f ca="1">IFERROR(__xludf.DUMMYFUNCTION("""COMPUTED_VALUE"""),"On")</f>
        <v>On</v>
      </c>
      <c r="N95" s="46" t="str">
        <f ca="1">IFERROR(__xludf.DUMMYFUNCTION("""COMPUTED_VALUE"""),"đủ")</f>
        <v>đủ</v>
      </c>
    </row>
    <row r="96" spans="1:14">
      <c r="A96" s="45" t="str">
        <f ca="1">IFERROR(__xludf.DUMMYFUNCTION("""COMPUTED_VALUE"""),"#N/A")</f>
        <v>#N/A</v>
      </c>
      <c r="B96" s="45"/>
      <c r="C96" s="46">
        <f ca="1">IFERROR(__xludf.DUMMYFUNCTION("""COMPUTED_VALUE"""),97)</f>
        <v>97</v>
      </c>
      <c r="D96" s="47" t="str">
        <f ca="1">IFERROR(__xludf.DUMMYFUNCTION("""COMPUTED_VALUE"""),"T0001X")</f>
        <v>T0001X</v>
      </c>
      <c r="E96" s="46" t="str">
        <f ca="1">IFERROR(__xludf.DUMMYFUNCTION("""COMPUTED_VALUE"""),"LAURE DOMINIQUE MARIE CHEVALLIER")</f>
        <v>LAURE DOMINIQUE MARIE CHEVALLIER</v>
      </c>
      <c r="F96" s="46" t="str">
        <f ca="1">IFERROR(__xludf.DUMMYFUNCTION("""COMPUTED_VALUE"""),"LAURE DOMINIQUE MARIE CHEVALLIER")</f>
        <v>LAURE DOMINIQUE MARIE CHEVALLIER</v>
      </c>
      <c r="G96" s="45">
        <f ca="1">IFERROR(__xludf.DUMMYFUNCTION("""COMPUTED_VALUE"""),33050.5833333333)</f>
        <v>33050.583333333299</v>
      </c>
      <c r="H96" s="45" t="str">
        <f ca="1">IFERROR(__xludf.DUMMYFUNCTION("""COMPUTED_VALUE"""),"YESHI")</f>
        <v>YESHI</v>
      </c>
      <c r="I96" s="46" t="str">
        <f ca="1">IFERROR(__xludf.DUMMYFUNCTION("""COMPUTED_VALUE"""),"HO")</f>
        <v>HO</v>
      </c>
      <c r="J96" s="46" t="str">
        <f ca="1">IFERROR(__xludf.DUMMYFUNCTION("""COMPUTED_VALUE"""),"BOD")</f>
        <v>BOD</v>
      </c>
      <c r="K96" s="46" t="str">
        <f ca="1">IFERROR(__xludf.DUMMYFUNCTION("""COMPUTED_VALUE"""),"BOD")</f>
        <v>BOD</v>
      </c>
      <c r="L96" s="46" t="str">
        <f ca="1">IFERROR(__xludf.DUMMYFUNCTION("""COMPUTED_VALUE"""),"FTE")</f>
        <v>FTE</v>
      </c>
      <c r="M96" s="46" t="str">
        <f ca="1">IFERROR(__xludf.DUMMYFUNCTION("""COMPUTED_VALUE"""),"On")</f>
        <v>On</v>
      </c>
      <c r="N96" s="46" t="str">
        <f ca="1">IFERROR(__xludf.DUMMYFUNCTION("""COMPUTED_VALUE"""),"đủ")</f>
        <v>đủ</v>
      </c>
    </row>
    <row r="97" spans="1:14">
      <c r="A97" s="45" t="str">
        <f ca="1">IFERROR(__xludf.DUMMYFUNCTION("""COMPUTED_VALUE"""),"#N/A")</f>
        <v>#N/A</v>
      </c>
      <c r="B97" s="45"/>
      <c r="C97" s="46">
        <f ca="1">IFERROR(__xludf.DUMMYFUNCTION("""COMPUTED_VALUE"""),98)</f>
        <v>98</v>
      </c>
      <c r="D97" s="47" t="str">
        <f ca="1">IFERROR(__xludf.DUMMYFUNCTION("""COMPUTED_VALUE"""),"T0004")</f>
        <v>T0004</v>
      </c>
      <c r="E97" s="46" t="str">
        <f ca="1">IFERROR(__xludf.DUMMYFUNCTION("""COMPUTED_VALUE"""),"HUỲNH THỊ HẢI UYÊN")</f>
        <v>HUỲNH THỊ HẢI UYÊN</v>
      </c>
      <c r="F97" s="46" t="str">
        <f ca="1">IFERROR(__xludf.DUMMYFUNCTION("""COMPUTED_VALUE"""),"HUYNH THI HAI UYEN")</f>
        <v>HUYNH THI HAI UYEN</v>
      </c>
      <c r="G97" s="45">
        <f ca="1">IFERROR(__xludf.DUMMYFUNCTION("""COMPUTED_VALUE"""),32768.5833333333)</f>
        <v>32768.583333333299</v>
      </c>
      <c r="H97" s="45" t="str">
        <f ca="1">IFERROR(__xludf.DUMMYFUNCTION("""COMPUTED_VALUE"""),"TLC")</f>
        <v>TLC</v>
      </c>
      <c r="I97" s="46" t="str">
        <f ca="1">IFERROR(__xludf.DUMMYFUNCTION("""COMPUTED_VALUE"""),"HO")</f>
        <v>HO</v>
      </c>
      <c r="J97" s="46" t="str">
        <f ca="1">IFERROR(__xludf.DUMMYFUNCTION("""COMPUTED_VALUE"""),"PRO")</f>
        <v>PRO</v>
      </c>
      <c r="K97" s="46" t="str">
        <f ca="1">IFERROR(__xludf.DUMMYFUNCTION("""COMPUTED_VALUE"""),"PRO")</f>
        <v>PRO</v>
      </c>
      <c r="L97" s="46" t="str">
        <f ca="1">IFERROR(__xludf.DUMMYFUNCTION("""COMPUTED_VALUE"""),"FTE")</f>
        <v>FTE</v>
      </c>
      <c r="M97" s="46" t="str">
        <f ca="1">IFERROR(__xludf.DUMMYFUNCTION("""COMPUTED_VALUE"""),"On")</f>
        <v>On</v>
      </c>
      <c r="N97" s="46" t="str">
        <f ca="1">IFERROR(__xludf.DUMMYFUNCTION("""COMPUTED_VALUE"""),"đủ")</f>
        <v>đủ</v>
      </c>
    </row>
    <row r="98" spans="1:14">
      <c r="A98" s="45" t="str">
        <f ca="1">IFERROR(__xludf.DUMMYFUNCTION("""COMPUTED_VALUE"""),"#N/A")</f>
        <v>#N/A</v>
      </c>
      <c r="B98" s="45"/>
      <c r="C98" s="46">
        <f ca="1">IFERROR(__xludf.DUMMYFUNCTION("""COMPUTED_VALUE"""),99)</f>
        <v>99</v>
      </c>
      <c r="D98" s="47" t="str">
        <f ca="1">IFERROR(__xludf.DUMMYFUNCTION("""COMPUTED_VALUE"""),"T0006")</f>
        <v>T0006</v>
      </c>
      <c r="E98" s="46" t="str">
        <f ca="1">IFERROR(__xludf.DUMMYFUNCTION("""COMPUTED_VALUE"""),"TRẦN THI THƯ")</f>
        <v>TRẦN THI THƯ</v>
      </c>
      <c r="F98" s="46" t="str">
        <f ca="1">IFERROR(__xludf.DUMMYFUNCTION("""COMPUTED_VALUE"""),"TRAN THI THU")</f>
        <v>TRAN THI THU</v>
      </c>
      <c r="G98" s="45">
        <f ca="1">IFERROR(__xludf.DUMMYFUNCTION("""COMPUTED_VALUE"""),34881.5833333333)</f>
        <v>34881.583333333299</v>
      </c>
      <c r="H98" s="45" t="str">
        <f ca="1">IFERROR(__xludf.DUMMYFUNCTION("""COMPUTED_VALUE"""),"KITCHEN PASTRY")</f>
        <v>KITCHEN PASTRY</v>
      </c>
      <c r="I98" s="46" t="str">
        <f ca="1">IFERROR(__xludf.DUMMYFUNCTION("""COMPUTED_VALUE"""),"KITCHEN PASTRY")</f>
        <v>KITCHEN PASTRY</v>
      </c>
      <c r="J98" s="46" t="str">
        <f ca="1">IFERROR(__xludf.DUMMYFUNCTION("""COMPUTED_VALUE"""),"KITCHEN PASTRY")</f>
        <v>KITCHEN PASTRY</v>
      </c>
      <c r="K98" s="46" t="str">
        <f ca="1">IFERROR(__xludf.DUMMYFUNCTION("""COMPUTED_VALUE"""),"PASTRY")</f>
        <v>PASTRY</v>
      </c>
      <c r="L98" s="46" t="str">
        <f ca="1">IFERROR(__xludf.DUMMYFUNCTION("""COMPUTED_VALUE"""),"FTE")</f>
        <v>FTE</v>
      </c>
      <c r="M98" s="46" t="str">
        <f ca="1">IFERROR(__xludf.DUMMYFUNCTION("""COMPUTED_VALUE"""),"On")</f>
        <v>On</v>
      </c>
      <c r="N98" s="46" t="str">
        <f ca="1">IFERROR(__xludf.DUMMYFUNCTION("""COMPUTED_VALUE"""),"đủ")</f>
        <v>đủ</v>
      </c>
    </row>
    <row r="99" spans="1:14">
      <c r="A99" s="45" t="str">
        <f ca="1">IFERROR(__xludf.DUMMYFUNCTION("""COMPUTED_VALUE"""),"#N/A")</f>
        <v>#N/A</v>
      </c>
      <c r="B99" s="45"/>
      <c r="C99" s="46">
        <f ca="1">IFERROR(__xludf.DUMMYFUNCTION("""COMPUTED_VALUE"""),100)</f>
        <v>100</v>
      </c>
      <c r="D99" s="47" t="str">
        <f ca="1">IFERROR(__xludf.DUMMYFUNCTION("""COMPUTED_VALUE"""),"T0008")</f>
        <v>T0008</v>
      </c>
      <c r="E99" s="46" t="str">
        <f ca="1">IFERROR(__xludf.DUMMYFUNCTION("""COMPUTED_VALUE"""),"HUỲNH VĂN MINH")</f>
        <v>HUỲNH VĂN MINH</v>
      </c>
      <c r="F99" s="46" t="str">
        <f ca="1">IFERROR(__xludf.DUMMYFUNCTION("""COMPUTED_VALUE"""),"HUYNH VAN MINH")</f>
        <v>HUYNH VAN MINH</v>
      </c>
      <c r="G99" s="45">
        <f ca="1">IFERROR(__xludf.DUMMYFUNCTION("""COMPUTED_VALUE"""),23355.6666666666)</f>
        <v>23355.666666666599</v>
      </c>
      <c r="H99" s="45" t="str">
        <f ca="1">IFERROR(__xludf.DUMMYFUNCTION("""COMPUTED_VALUE"""),"TLC")</f>
        <v>TLC</v>
      </c>
      <c r="I99" s="46" t="str">
        <f ca="1">IFERROR(__xludf.DUMMYFUNCTION("""COMPUTED_VALUE"""),"KITCHEN PASTRY")</f>
        <v>KITCHEN PASTRY</v>
      </c>
      <c r="J99" s="46" t="str">
        <f ca="1">IFERROR(__xludf.DUMMYFUNCTION("""COMPUTED_VALUE"""),"KITCHEN PASTRY")</f>
        <v>KITCHEN PASTRY</v>
      </c>
      <c r="K99" s="46" t="str">
        <f ca="1">IFERROR(__xludf.DUMMYFUNCTION("""COMPUTED_VALUE"""),"DRIVER")</f>
        <v>DRIVER</v>
      </c>
      <c r="L99" s="46" t="str">
        <f ca="1">IFERROR(__xludf.DUMMYFUNCTION("""COMPUTED_VALUE"""),"FTE")</f>
        <v>FTE</v>
      </c>
      <c r="M99" s="46" t="str">
        <f ca="1">IFERROR(__xludf.DUMMYFUNCTION("""COMPUTED_VALUE"""),"On")</f>
        <v>On</v>
      </c>
      <c r="N99" s="46" t="str">
        <f ca="1">IFERROR(__xludf.DUMMYFUNCTION("""COMPUTED_VALUE"""),"đủ")</f>
        <v>đủ</v>
      </c>
    </row>
    <row r="100" spans="1:14">
      <c r="A100" s="45" t="str">
        <f ca="1">IFERROR(__xludf.DUMMYFUNCTION("""COMPUTED_VALUE"""),"#N/A")</f>
        <v>#N/A</v>
      </c>
      <c r="B100" s="45">
        <f ca="1">IFERROR(__xludf.DUMMYFUNCTION("""COMPUTED_VALUE"""),45809.5833333333)</f>
        <v>45809.583333333299</v>
      </c>
      <c r="C100" s="46">
        <f ca="1">IFERROR(__xludf.DUMMYFUNCTION("""COMPUTED_VALUE"""),101)</f>
        <v>101</v>
      </c>
      <c r="D100" s="47" t="str">
        <f ca="1">IFERROR(__xludf.DUMMYFUNCTION("""COMPUTED_VALUE"""),"T0009")</f>
        <v>T0009</v>
      </c>
      <c r="E100" s="46" t="str">
        <f ca="1">IFERROR(__xludf.DUMMYFUNCTION("""COMPUTED_VALUE"""),"PHẠM THỊ HỒNG LÀI")</f>
        <v>PHẠM THỊ HỒNG LÀI</v>
      </c>
      <c r="F100" s="46" t="str">
        <f ca="1">IFERROR(__xludf.DUMMYFUNCTION("""COMPUTED_VALUE"""),"PHAM THI HONG LAI")</f>
        <v>PHAM THI HONG LAI</v>
      </c>
      <c r="G100" s="45">
        <f ca="1">IFERROR(__xludf.DUMMYFUNCTION("""COMPUTED_VALUE"""),33222.625)</f>
        <v>33222.625</v>
      </c>
      <c r="H100" s="45" t="str">
        <f ca="1">IFERROR(__xludf.DUMMYFUNCTION("""COMPUTED_VALUE"""),"TLC")</f>
        <v>TLC</v>
      </c>
      <c r="I100" s="46" t="str">
        <f ca="1">IFERROR(__xludf.DUMMYFUNCTION("""COMPUTED_VALUE"""),"HO")</f>
        <v>HO</v>
      </c>
      <c r="J100" s="46" t="str">
        <f ca="1">IFERROR(__xludf.DUMMYFUNCTION("""COMPUTED_VALUE"""),"R&amp;D")</f>
        <v>R&amp;D</v>
      </c>
      <c r="K100" s="46" t="str">
        <f ca="1">IFERROR(__xludf.DUMMYFUNCTION("""COMPUTED_VALUE"""),"R&amp;D")</f>
        <v>R&amp;D</v>
      </c>
      <c r="L100" s="46" t="str">
        <f ca="1">IFERROR(__xludf.DUMMYFUNCTION("""COMPUTED_VALUE"""),"FTE")</f>
        <v>FTE</v>
      </c>
      <c r="M100" s="46" t="str">
        <f ca="1">IFERROR(__xludf.DUMMYFUNCTION("""COMPUTED_VALUE"""),"Leave")</f>
        <v>Leave</v>
      </c>
      <c r="N100" s="46" t="str">
        <f ca="1">IFERROR(__xludf.DUMMYFUNCTION("""COMPUTED_VALUE"""),"x")</f>
        <v>x</v>
      </c>
    </row>
    <row r="101" spans="1:14">
      <c r="A101" s="45" t="str">
        <f ca="1">IFERROR(__xludf.DUMMYFUNCTION("""COMPUTED_VALUE"""),"#N/A")</f>
        <v>#N/A</v>
      </c>
      <c r="B101" s="45">
        <f ca="1">IFERROR(__xludf.DUMMYFUNCTION("""COMPUTED_VALUE"""),45566.5833333333)</f>
        <v>45566.583333333299</v>
      </c>
      <c r="C101" s="46">
        <f ca="1">IFERROR(__xludf.DUMMYFUNCTION("""COMPUTED_VALUE"""),102)</f>
        <v>102</v>
      </c>
      <c r="D101" s="47" t="str">
        <f ca="1">IFERROR(__xludf.DUMMYFUNCTION("""COMPUTED_VALUE"""),"T0010")</f>
        <v>T0010</v>
      </c>
      <c r="E101" s="46" t="str">
        <f ca="1">IFERROR(__xludf.DUMMYFUNCTION("""COMPUTED_VALUE"""),"Y LỆ")</f>
        <v>Y LỆ</v>
      </c>
      <c r="F101" s="46" t="str">
        <f ca="1">IFERROR(__xludf.DUMMYFUNCTION("""COMPUTED_VALUE"""),"Y LE")</f>
        <v>Y LE</v>
      </c>
      <c r="G101" s="45">
        <f ca="1">IFERROR(__xludf.DUMMYFUNCTION("""COMPUTED_VALUE"""),36249.625)</f>
        <v>36249.625</v>
      </c>
      <c r="H101" s="45" t="str">
        <f ca="1">IFERROR(__xludf.DUMMYFUNCTION("""COMPUTED_VALUE"""),"KITCHEN PASTRY")</f>
        <v>KITCHEN PASTRY</v>
      </c>
      <c r="I101" s="46" t="str">
        <f ca="1">IFERROR(__xludf.DUMMYFUNCTION("""COMPUTED_VALUE"""),"KITCHEN PASTRY")</f>
        <v>KITCHEN PASTRY</v>
      </c>
      <c r="J101" s="46" t="str">
        <f ca="1">IFERROR(__xludf.DUMMYFUNCTION("""COMPUTED_VALUE"""),"KITCHEN PASTRY")</f>
        <v>KITCHEN PASTRY</v>
      </c>
      <c r="K101" s="46" t="str">
        <f ca="1">IFERROR(__xludf.DUMMYFUNCTION("""COMPUTED_VALUE"""),"PASTRY")</f>
        <v>PASTRY</v>
      </c>
      <c r="L101" s="46" t="str">
        <f ca="1">IFERROR(__xludf.DUMMYFUNCTION("""COMPUTED_VALUE"""),"FTE")</f>
        <v>FTE</v>
      </c>
      <c r="M101" s="46" t="str">
        <f ca="1">IFERROR(__xludf.DUMMYFUNCTION("""COMPUTED_VALUE"""),"Leave")</f>
        <v>Leave</v>
      </c>
      <c r="N101" s="46" t="str">
        <f ca="1">IFERROR(__xludf.DUMMYFUNCTION("""COMPUTED_VALUE"""),"x")</f>
        <v>x</v>
      </c>
    </row>
    <row r="102" spans="1:14">
      <c r="A102" s="45" t="str">
        <f ca="1">IFERROR(__xludf.DUMMYFUNCTION("""COMPUTED_VALUE"""),"#N/A")</f>
        <v>#N/A</v>
      </c>
      <c r="B102" s="45"/>
      <c r="C102" s="46">
        <f ca="1">IFERROR(__xludf.DUMMYFUNCTION("""COMPUTED_VALUE"""),103)</f>
        <v>103</v>
      </c>
      <c r="D102" s="47" t="str">
        <f ca="1">IFERROR(__xludf.DUMMYFUNCTION("""COMPUTED_VALUE"""),"T0012")</f>
        <v>T0012</v>
      </c>
      <c r="E102" s="46" t="str">
        <f ca="1">IFERROR(__xludf.DUMMYFUNCTION("""COMPUTED_VALUE"""),"LÊ QUỐC HẢO")</f>
        <v>LÊ QUỐC HẢO</v>
      </c>
      <c r="F102" s="46" t="str">
        <f ca="1">IFERROR(__xludf.DUMMYFUNCTION("""COMPUTED_VALUE"""),"LE QUOC HAO")</f>
        <v>LE QUOC HAO</v>
      </c>
      <c r="G102" s="45">
        <f ca="1">IFERROR(__xludf.DUMMYFUNCTION("""COMPUTED_VALUE"""),34272.5833333333)</f>
        <v>34272.583333333299</v>
      </c>
      <c r="H102" s="45" t="str">
        <f ca="1">IFERROR(__xludf.DUMMYFUNCTION("""COMPUTED_VALUE"""),"TLC")</f>
        <v>TLC</v>
      </c>
      <c r="I102" s="46" t="str">
        <f ca="1">IFERROR(__xludf.DUMMYFUNCTION("""COMPUTED_VALUE"""),"STORE")</f>
        <v>STORE</v>
      </c>
      <c r="J102" s="46" t="str">
        <f ca="1">IFERROR(__xludf.DUMMYFUNCTION("""COMPUTED_VALUE"""),"BLANK LOUNGE")</f>
        <v>BLANK LOUNGE</v>
      </c>
      <c r="K102" s="46" t="str">
        <f ca="1">IFERROR(__xludf.DUMMYFUNCTION("""COMPUTED_VALUE"""),"KIT")</f>
        <v>KIT</v>
      </c>
      <c r="L102" s="46" t="str">
        <f ca="1">IFERROR(__xludf.DUMMYFUNCTION("""COMPUTED_VALUE"""),"FTE")</f>
        <v>FTE</v>
      </c>
      <c r="M102" s="46" t="str">
        <f ca="1">IFERROR(__xludf.DUMMYFUNCTION("""COMPUTED_VALUE"""),"On")</f>
        <v>On</v>
      </c>
      <c r="N102" s="46" t="str">
        <f ca="1">IFERROR(__xludf.DUMMYFUNCTION("""COMPUTED_VALUE"""),"đủ")</f>
        <v>đủ</v>
      </c>
    </row>
    <row r="103" spans="1:14">
      <c r="A103" s="45" t="str">
        <f ca="1">IFERROR(__xludf.DUMMYFUNCTION("""COMPUTED_VALUE"""),"#N/A")</f>
        <v>#N/A</v>
      </c>
      <c r="B103" s="45" t="str">
        <f ca="1">IFERROR(__xludf.DUMMYFUNCTION("""COMPUTED_VALUE"""),"Đã nghỉ")</f>
        <v>Đã nghỉ</v>
      </c>
      <c r="C103" s="46">
        <f ca="1">IFERROR(__xludf.DUMMYFUNCTION("""COMPUTED_VALUE"""),104)</f>
        <v>104</v>
      </c>
      <c r="D103" s="47" t="str">
        <f ca="1">IFERROR(__xludf.DUMMYFUNCTION("""COMPUTED_VALUE"""),"T0014")</f>
        <v>T0014</v>
      </c>
      <c r="E103" s="46" t="str">
        <f ca="1">IFERROR(__xludf.DUMMYFUNCTION("""COMPUTED_VALUE"""),"VĂN PHÚ TUẤN")</f>
        <v>VĂN PHÚ TUẤN</v>
      </c>
      <c r="F103" s="46" t="str">
        <f ca="1">IFERROR(__xludf.DUMMYFUNCTION("""COMPUTED_VALUE"""),"VAN PHU TUAN")</f>
        <v>VAN PHU TUAN</v>
      </c>
      <c r="G103" s="45">
        <f ca="1">IFERROR(__xludf.DUMMYFUNCTION("""COMPUTED_VALUE"""),35243.5833333333)</f>
        <v>35243.583333333299</v>
      </c>
      <c r="H103" s="45" t="str">
        <f ca="1">IFERROR(__xludf.DUMMYFUNCTION("""COMPUTED_VALUE"""),"TLC")</f>
        <v>TLC</v>
      </c>
      <c r="I103" s="46" t="str">
        <f ca="1">IFERROR(__xludf.DUMMYFUNCTION("""COMPUTED_VALUE"""),"STORE")</f>
        <v>STORE</v>
      </c>
      <c r="J103" s="46" t="str">
        <f ca="1">IFERROR(__xludf.DUMMYFUNCTION("""COMPUTED_VALUE"""),"BLANK LOUNGE")</f>
        <v>BLANK LOUNGE</v>
      </c>
      <c r="K103" s="46" t="str">
        <f ca="1">IFERROR(__xludf.DUMMYFUNCTION("""COMPUTED_VALUE"""),"STR")</f>
        <v>STR</v>
      </c>
      <c r="L103" s="46" t="str">
        <f ca="1">IFERROR(__xludf.DUMMYFUNCTION("""COMPUTED_VALUE"""),"FTE")</f>
        <v>FTE</v>
      </c>
      <c r="M103" s="46" t="str">
        <f ca="1">IFERROR(__xludf.DUMMYFUNCTION("""COMPUTED_VALUE"""),"Leave")</f>
        <v>Leave</v>
      </c>
      <c r="N103" s="46" t="str">
        <f ca="1">IFERROR(__xludf.DUMMYFUNCTION("""COMPUTED_VALUE"""),"x")</f>
        <v>x</v>
      </c>
    </row>
    <row r="104" spans="1:14">
      <c r="A104" s="45" t="str">
        <f ca="1">IFERROR(__xludf.DUMMYFUNCTION("""COMPUTED_VALUE"""),"#N/A")</f>
        <v>#N/A</v>
      </c>
      <c r="B104" s="45">
        <f ca="1">IFERROR(__xludf.DUMMYFUNCTION("""COMPUTED_VALUE"""),45829.5833333333)</f>
        <v>45829.583333333299</v>
      </c>
      <c r="C104" s="46">
        <f ca="1">IFERROR(__xludf.DUMMYFUNCTION("""COMPUTED_VALUE"""),105)</f>
        <v>105</v>
      </c>
      <c r="D104" s="47" t="str">
        <f ca="1">IFERROR(__xludf.DUMMYFUNCTION("""COMPUTED_VALUE"""),"T0019")</f>
        <v>T0019</v>
      </c>
      <c r="E104" s="46" t="str">
        <f ca="1">IFERROR(__xludf.DUMMYFUNCTION("""COMPUTED_VALUE"""),"PHẠM QUỐC THẮNG")</f>
        <v>PHẠM QUỐC THẮNG</v>
      </c>
      <c r="F104" s="46" t="str">
        <f ca="1">IFERROR(__xludf.DUMMYFUNCTION("""COMPUTED_VALUE"""),"PHAM QUOC THANG")</f>
        <v>PHAM QUOC THANG</v>
      </c>
      <c r="G104" s="45">
        <f ca="1">IFERROR(__xludf.DUMMYFUNCTION("""COMPUTED_VALUE"""),35282.5833333333)</f>
        <v>35282.583333333299</v>
      </c>
      <c r="H104" s="45" t="str">
        <f ca="1">IFERROR(__xludf.DUMMYFUNCTION("""COMPUTED_VALUE"""),"TLC")</f>
        <v>TLC</v>
      </c>
      <c r="I104" s="46" t="str">
        <f ca="1">IFERROR(__xludf.DUMMYFUNCTION("""COMPUTED_VALUE"""),"HO")</f>
        <v>HO</v>
      </c>
      <c r="J104" s="46" t="str">
        <f ca="1">IFERROR(__xludf.DUMMYFUNCTION("""COMPUTED_VALUE"""),"R&amp;D")</f>
        <v>R&amp;D</v>
      </c>
      <c r="K104" s="46" t="str">
        <f ca="1">IFERROR(__xludf.DUMMYFUNCTION("""COMPUTED_VALUE"""),"R&amp;D")</f>
        <v>R&amp;D</v>
      </c>
      <c r="L104" s="46" t="str">
        <f ca="1">IFERROR(__xludf.DUMMYFUNCTION("""COMPUTED_VALUE"""),"FTE")</f>
        <v>FTE</v>
      </c>
      <c r="M104" s="46" t="str">
        <f ca="1">IFERROR(__xludf.DUMMYFUNCTION("""COMPUTED_VALUE"""),"Leave")</f>
        <v>Leave</v>
      </c>
      <c r="N104" s="46" t="str">
        <f ca="1">IFERROR(__xludf.DUMMYFUNCTION("""COMPUTED_VALUE"""),"x")</f>
        <v>x</v>
      </c>
    </row>
    <row r="105" spans="1:14">
      <c r="A105" s="45" t="str">
        <f ca="1">IFERROR(__xludf.DUMMYFUNCTION("""COMPUTED_VALUE"""),"#N/A")</f>
        <v>#N/A</v>
      </c>
      <c r="B105" s="45"/>
      <c r="C105" s="46">
        <f ca="1">IFERROR(__xludf.DUMMYFUNCTION("""COMPUTED_VALUE"""),106)</f>
        <v>106</v>
      </c>
      <c r="D105" s="47" t="str">
        <f ca="1">IFERROR(__xludf.DUMMYFUNCTION("""COMPUTED_VALUE"""),"T0020")</f>
        <v>T0020</v>
      </c>
      <c r="E105" s="46" t="str">
        <f ca="1">IFERROR(__xludf.DUMMYFUNCTION("""COMPUTED_VALUE"""),"PHẠM THỊ NGỌC THƠ")</f>
        <v>PHẠM THỊ NGỌC THƠ</v>
      </c>
      <c r="F105" s="46" t="str">
        <f ca="1">IFERROR(__xludf.DUMMYFUNCTION("""COMPUTED_VALUE"""),"PHAM THI NGOC THO")</f>
        <v>PHAM THI NGOC THO</v>
      </c>
      <c r="G105" s="45">
        <f ca="1">IFERROR(__xludf.DUMMYFUNCTION("""COMPUTED_VALUE"""),34999.5833333333)</f>
        <v>34999.583333333299</v>
      </c>
      <c r="H105" s="45" t="str">
        <f ca="1">IFERROR(__xludf.DUMMYFUNCTION("""COMPUTED_VALUE"""),"BAKES")</f>
        <v>BAKES</v>
      </c>
      <c r="I105" s="46" t="str">
        <f ca="1">IFERROR(__xludf.DUMMYFUNCTION("""COMPUTED_VALUE"""),"HO")</f>
        <v>HO</v>
      </c>
      <c r="J105" s="46" t="str">
        <f ca="1">IFERROR(__xludf.DUMMYFUNCTION("""COMPUTED_VALUE"""),"PET")</f>
        <v>PET</v>
      </c>
      <c r="K105" s="46" t="str">
        <f ca="1">IFERROR(__xludf.DUMMYFUNCTION("""COMPUTED_VALUE"""),"PET")</f>
        <v>PET</v>
      </c>
      <c r="L105" s="46" t="str">
        <f ca="1">IFERROR(__xludf.DUMMYFUNCTION("""COMPUTED_VALUE"""),"FTE")</f>
        <v>FTE</v>
      </c>
      <c r="M105" s="46" t="str">
        <f ca="1">IFERROR(__xludf.DUMMYFUNCTION("""COMPUTED_VALUE"""),"On")</f>
        <v>On</v>
      </c>
      <c r="N105" s="46" t="str">
        <f ca="1">IFERROR(__xludf.DUMMYFUNCTION("""COMPUTED_VALUE"""),"đủ")</f>
        <v>đủ</v>
      </c>
    </row>
    <row r="106" spans="1:14">
      <c r="A106" s="45" t="str">
        <f ca="1">IFERROR(__xludf.DUMMYFUNCTION("""COMPUTED_VALUE"""),"#N/A")</f>
        <v>#N/A</v>
      </c>
      <c r="B106" s="45" t="str">
        <f ca="1">IFERROR(__xludf.DUMMYFUNCTION("""COMPUTED_VALUE"""),"Đã nghỉ")</f>
        <v>Đã nghỉ</v>
      </c>
      <c r="C106" s="46">
        <f ca="1">IFERROR(__xludf.DUMMYFUNCTION("""COMPUTED_VALUE"""),107)</f>
        <v>107</v>
      </c>
      <c r="D106" s="47" t="str">
        <f ca="1">IFERROR(__xludf.DUMMYFUNCTION("""COMPUTED_VALUE"""),"T0025")</f>
        <v>T0025</v>
      </c>
      <c r="E106" s="46" t="str">
        <f ca="1">IFERROR(__xludf.DUMMYFUNCTION("""COMPUTED_VALUE"""),"TRẦN THỊ LỆ XUÂN")</f>
        <v>TRẦN THỊ LỆ XUÂN</v>
      </c>
      <c r="F106" s="46" t="str">
        <f ca="1">IFERROR(__xludf.DUMMYFUNCTION("""COMPUTED_VALUE"""),"TRAN THI LE XUAN")</f>
        <v>TRAN THI LE XUAN</v>
      </c>
      <c r="G106" s="45">
        <f ca="1">IFERROR(__xludf.DUMMYFUNCTION("""COMPUTED_VALUE"""),32983.5833333333)</f>
        <v>32983.583333333299</v>
      </c>
      <c r="H106" s="45" t="str">
        <f ca="1">IFERROR(__xludf.DUMMYFUNCTION("""COMPUTED_VALUE"""),"TLC")</f>
        <v>TLC</v>
      </c>
      <c r="I106" s="46" t="str">
        <f ca="1">IFERROR(__xludf.DUMMYFUNCTION("""COMPUTED_VALUE"""),"HO")</f>
        <v>HO</v>
      </c>
      <c r="J106" s="46" t="str">
        <f ca="1">IFERROR(__xludf.DUMMYFUNCTION("""COMPUTED_VALUE"""),"FIN")</f>
        <v>FIN</v>
      </c>
      <c r="K106" s="46" t="str">
        <f ca="1">IFERROR(__xludf.DUMMYFUNCTION("""COMPUTED_VALUE"""),"FIN")</f>
        <v>FIN</v>
      </c>
      <c r="L106" s="46" t="str">
        <f ca="1">IFERROR(__xludf.DUMMYFUNCTION("""COMPUTED_VALUE"""),"FTE")</f>
        <v>FTE</v>
      </c>
      <c r="M106" s="46" t="str">
        <f ca="1">IFERROR(__xludf.DUMMYFUNCTION("""COMPUTED_VALUE"""),"Leave")</f>
        <v>Leave</v>
      </c>
      <c r="N106" s="46" t="str">
        <f ca="1">IFERROR(__xludf.DUMMYFUNCTION("""COMPUTED_VALUE"""),"x")</f>
        <v>x</v>
      </c>
    </row>
    <row r="107" spans="1:14">
      <c r="A107" s="45" t="str">
        <f ca="1">IFERROR(__xludf.DUMMYFUNCTION("""COMPUTED_VALUE"""),"#N/A")</f>
        <v>#N/A</v>
      </c>
      <c r="B107" s="45"/>
      <c r="C107" s="46">
        <f ca="1">IFERROR(__xludf.DUMMYFUNCTION("""COMPUTED_VALUE"""),108)</f>
        <v>108</v>
      </c>
      <c r="D107" s="47" t="str">
        <f ca="1">IFERROR(__xludf.DUMMYFUNCTION("""COMPUTED_VALUE"""),"T0026")</f>
        <v>T0026</v>
      </c>
      <c r="E107" s="46" t="str">
        <f ca="1">IFERROR(__xludf.DUMMYFUNCTION("""COMPUTED_VALUE"""),"PHẠM LƯƠNG BÌNH")</f>
        <v>PHẠM LƯƠNG BÌNH</v>
      </c>
      <c r="F107" s="46" t="str">
        <f ca="1">IFERROR(__xludf.DUMMYFUNCTION("""COMPUTED_VALUE"""),"PHAM LUONG BINH")</f>
        <v>PHAM LUONG BINH</v>
      </c>
      <c r="G107" s="45">
        <f ca="1">IFERROR(__xludf.DUMMYFUNCTION("""COMPUTED_VALUE"""),22668.6666666666)</f>
        <v>22668.666666666599</v>
      </c>
      <c r="H107" s="45" t="str">
        <f ca="1">IFERROR(__xludf.DUMMYFUNCTION("""COMPUTED_VALUE"""),"TLC")</f>
        <v>TLC</v>
      </c>
      <c r="I107" s="46" t="str">
        <f ca="1">IFERROR(__xludf.DUMMYFUNCTION("""COMPUTED_VALUE"""),"KITCHEN PASTRY")</f>
        <v>KITCHEN PASTRY</v>
      </c>
      <c r="J107" s="46" t="str">
        <f ca="1">IFERROR(__xludf.DUMMYFUNCTION("""COMPUTED_VALUE"""),"KITCHEN PASTRY")</f>
        <v>KITCHEN PASTRY</v>
      </c>
      <c r="K107" s="46" t="str">
        <f ca="1">IFERROR(__xludf.DUMMYFUNCTION("""COMPUTED_VALUE"""),"DRIVER")</f>
        <v>DRIVER</v>
      </c>
      <c r="L107" s="46" t="str">
        <f ca="1">IFERROR(__xludf.DUMMYFUNCTION("""COMPUTED_VALUE"""),"FTE")</f>
        <v>FTE</v>
      </c>
      <c r="M107" s="46" t="str">
        <f ca="1">IFERROR(__xludf.DUMMYFUNCTION("""COMPUTED_VALUE"""),"On")</f>
        <v>On</v>
      </c>
      <c r="N107" s="46" t="str">
        <f ca="1">IFERROR(__xludf.DUMMYFUNCTION("""COMPUTED_VALUE"""),"đủ")</f>
        <v>đủ</v>
      </c>
    </row>
    <row r="108" spans="1:14">
      <c r="A108" s="45" t="str">
        <f ca="1">IFERROR(__xludf.DUMMYFUNCTION("""COMPUTED_VALUE"""),"#N/A")</f>
        <v>#N/A</v>
      </c>
      <c r="B108" s="45">
        <f ca="1">IFERROR(__xludf.DUMMYFUNCTION("""COMPUTED_VALUE"""),45829.5833333333)</f>
        <v>45829.583333333299</v>
      </c>
      <c r="C108" s="46">
        <f ca="1">IFERROR(__xludf.DUMMYFUNCTION("""COMPUTED_VALUE"""),109)</f>
        <v>109</v>
      </c>
      <c r="D108" s="47" t="str">
        <f ca="1">IFERROR(__xludf.DUMMYFUNCTION("""COMPUTED_VALUE"""),"T0027")</f>
        <v>T0027</v>
      </c>
      <c r="E108" s="46" t="str">
        <f ca="1">IFERROR(__xludf.DUMMYFUNCTION("""COMPUTED_VALUE"""),"MAI KHÁNH AN")</f>
        <v>MAI KHÁNH AN</v>
      </c>
      <c r="F108" s="46" t="str">
        <f ca="1">IFERROR(__xludf.DUMMYFUNCTION("""COMPUTED_VALUE"""),"MAI KHANH AN")</f>
        <v>MAI KHANH AN</v>
      </c>
      <c r="G108" s="45">
        <f ca="1">IFERROR(__xludf.DUMMYFUNCTION("""COMPUTED_VALUE"""),34286.625)</f>
        <v>34286.625</v>
      </c>
      <c r="H108" s="45" t="str">
        <f ca="1">IFERROR(__xludf.DUMMYFUNCTION("""COMPUTED_VALUE"""),"TLC")</f>
        <v>TLC</v>
      </c>
      <c r="I108" s="46" t="str">
        <f ca="1">IFERROR(__xludf.DUMMYFUNCTION("""COMPUTED_VALUE"""),"HO")</f>
        <v>HO</v>
      </c>
      <c r="J108" s="46" t="str">
        <f ca="1">IFERROR(__xludf.DUMMYFUNCTION("""COMPUTED_VALUE"""),"R&amp;D")</f>
        <v>R&amp;D</v>
      </c>
      <c r="K108" s="46" t="str">
        <f ca="1">IFERROR(__xludf.DUMMYFUNCTION("""COMPUTED_VALUE"""),"R&amp;D")</f>
        <v>R&amp;D</v>
      </c>
      <c r="L108" s="46" t="str">
        <f ca="1">IFERROR(__xludf.DUMMYFUNCTION("""COMPUTED_VALUE"""),"FTE")</f>
        <v>FTE</v>
      </c>
      <c r="M108" s="46" t="str">
        <f ca="1">IFERROR(__xludf.DUMMYFUNCTION("""COMPUTED_VALUE"""),"Leave")</f>
        <v>Leave</v>
      </c>
      <c r="N108" s="46" t="str">
        <f ca="1">IFERROR(__xludf.DUMMYFUNCTION("""COMPUTED_VALUE"""),"x")</f>
        <v>x</v>
      </c>
    </row>
    <row r="109" spans="1:14">
      <c r="A109" s="45" t="str">
        <f ca="1">IFERROR(__xludf.DUMMYFUNCTION("""COMPUTED_VALUE"""),"#N/A")</f>
        <v>#N/A</v>
      </c>
      <c r="B109" s="45" t="str">
        <f ca="1">IFERROR(__xludf.DUMMYFUNCTION("""COMPUTED_VALUE"""),"Đã nghỉ")</f>
        <v>Đã nghỉ</v>
      </c>
      <c r="C109" s="46">
        <f ca="1">IFERROR(__xludf.DUMMYFUNCTION("""COMPUTED_VALUE"""),110)</f>
        <v>110</v>
      </c>
      <c r="D109" s="47" t="str">
        <f ca="1">IFERROR(__xludf.DUMMYFUNCTION("""COMPUTED_VALUE"""),"T0028")</f>
        <v>T0028</v>
      </c>
      <c r="E109" s="46" t="str">
        <f ca="1">IFERROR(__xludf.DUMMYFUNCTION("""COMPUTED_VALUE"""),"NGUYỄN HOÀNG THÙY NGÂN")</f>
        <v>NGUYỄN HOÀNG THÙY NGÂN</v>
      </c>
      <c r="F109" s="46" t="str">
        <f ca="1">IFERROR(__xludf.DUMMYFUNCTION("""COMPUTED_VALUE"""),"NGUYEN HOANG THUY NGAN")</f>
        <v>NGUYEN HOANG THUY NGAN</v>
      </c>
      <c r="G109" s="45">
        <f ca="1">IFERROR(__xludf.DUMMYFUNCTION("""COMPUTED_VALUE"""),33909.625)</f>
        <v>33909.625</v>
      </c>
      <c r="H109" s="45" t="str">
        <f ca="1">IFERROR(__xludf.DUMMYFUNCTION("""COMPUTED_VALUE"""),"TLC")</f>
        <v>TLC</v>
      </c>
      <c r="I109" s="46" t="str">
        <f ca="1">IFERROR(__xludf.DUMMYFUNCTION("""COMPUTED_VALUE"""),"STORE")</f>
        <v>STORE</v>
      </c>
      <c r="J109" s="46" t="str">
        <f ca="1">IFERROR(__xludf.DUMMYFUNCTION("""COMPUTED_VALUE"""),"BLANK LOUNGE")</f>
        <v>BLANK LOUNGE</v>
      </c>
      <c r="K109" s="46" t="str">
        <f ca="1">IFERROR(__xludf.DUMMYFUNCTION("""COMPUTED_VALUE"""),"STR")</f>
        <v>STR</v>
      </c>
      <c r="L109" s="46" t="str">
        <f ca="1">IFERROR(__xludf.DUMMYFUNCTION("""COMPUTED_VALUE"""),"FTE")</f>
        <v>FTE</v>
      </c>
      <c r="M109" s="46" t="str">
        <f ca="1">IFERROR(__xludf.DUMMYFUNCTION("""COMPUTED_VALUE"""),"Leave")</f>
        <v>Leave</v>
      </c>
      <c r="N109" s="46" t="str">
        <f ca="1">IFERROR(__xludf.DUMMYFUNCTION("""COMPUTED_VALUE"""),"đủ")</f>
        <v>đủ</v>
      </c>
    </row>
    <row r="110" spans="1:14">
      <c r="A110" s="45" t="str">
        <f ca="1">IFERROR(__xludf.DUMMYFUNCTION("""COMPUTED_VALUE"""),"#N/A")</f>
        <v>#N/A</v>
      </c>
      <c r="B110" s="45"/>
      <c r="C110" s="46">
        <f ca="1">IFERROR(__xludf.DUMMYFUNCTION("""COMPUTED_VALUE"""),111)</f>
        <v>111</v>
      </c>
      <c r="D110" s="47" t="str">
        <f ca="1">IFERROR(__xludf.DUMMYFUNCTION("""COMPUTED_VALUE"""),"T0032")</f>
        <v>T0032</v>
      </c>
      <c r="E110" s="46" t="str">
        <f ca="1">IFERROR(__xludf.DUMMYFUNCTION("""COMPUTED_VALUE"""),"NGUYỄN NGỌC PHƯƠNG ANH")</f>
        <v>NGUYỄN NGỌC PHƯƠNG ANH</v>
      </c>
      <c r="F110" s="46" t="str">
        <f ca="1">IFERROR(__xludf.DUMMYFUNCTION("""COMPUTED_VALUE"""),"NGUYEN NGOC PHUONG ANH")</f>
        <v>NGUYEN NGOC PHUONG ANH</v>
      </c>
      <c r="G110" s="45">
        <f ca="1">IFERROR(__xludf.DUMMYFUNCTION("""COMPUTED_VALUE"""),35404.625)</f>
        <v>35404.625</v>
      </c>
      <c r="H110" s="45" t="str">
        <f ca="1">IFERROR(__xludf.DUMMYFUNCTION("""COMPUTED_VALUE"""),"TLC")</f>
        <v>TLC</v>
      </c>
      <c r="I110" s="46" t="str">
        <f ca="1">IFERROR(__xludf.DUMMYFUNCTION("""COMPUTED_VALUE"""),"STORE")</f>
        <v>STORE</v>
      </c>
      <c r="J110" s="46" t="str">
        <f ca="1">IFERROR(__xludf.DUMMYFUNCTION("""COMPUTED_VALUE"""),"BLANK LOUNGE")</f>
        <v>BLANK LOUNGE</v>
      </c>
      <c r="K110" s="46" t="str">
        <f ca="1">IFERROR(__xludf.DUMMYFUNCTION("""COMPUTED_VALUE"""),"Management team")</f>
        <v>Management team</v>
      </c>
      <c r="L110" s="46" t="str">
        <f ca="1">IFERROR(__xludf.DUMMYFUNCTION("""COMPUTED_VALUE"""),"FTE")</f>
        <v>FTE</v>
      </c>
      <c r="M110" s="46" t="str">
        <f ca="1">IFERROR(__xludf.DUMMYFUNCTION("""COMPUTED_VALUE"""),"On")</f>
        <v>On</v>
      </c>
      <c r="N110" s="46" t="str">
        <f ca="1">IFERROR(__xludf.DUMMYFUNCTION("""COMPUTED_VALUE"""),"đủ")</f>
        <v>đủ</v>
      </c>
    </row>
    <row r="111" spans="1:14">
      <c r="A111" s="45" t="str">
        <f ca="1">IFERROR(__xludf.DUMMYFUNCTION("""COMPUTED_VALUE"""),"#N/A")</f>
        <v>#N/A</v>
      </c>
      <c r="B111" s="45" t="str">
        <f ca="1">IFERROR(__xludf.DUMMYFUNCTION("""COMPUTED_VALUE"""),"Đã nghỉ")</f>
        <v>Đã nghỉ</v>
      </c>
      <c r="C111" s="46">
        <f ca="1">IFERROR(__xludf.DUMMYFUNCTION("""COMPUTED_VALUE"""),112)</f>
        <v>112</v>
      </c>
      <c r="D111" s="47" t="str">
        <f ca="1">IFERROR(__xludf.DUMMYFUNCTION("""COMPUTED_VALUE"""),"T0034")</f>
        <v>T0034</v>
      </c>
      <c r="E111" s="46" t="str">
        <f ca="1">IFERROR(__xludf.DUMMYFUNCTION("""COMPUTED_VALUE"""),"DƯƠNG TUYẾT NHI")</f>
        <v>DƯƠNG TUYẾT NHI</v>
      </c>
      <c r="F111" s="46" t="str">
        <f ca="1">IFERROR(__xludf.DUMMYFUNCTION("""COMPUTED_VALUE"""),"DUONG TUYET NHI")</f>
        <v>DUONG TUYET NHI</v>
      </c>
      <c r="G111" s="45">
        <f ca="1">IFERROR(__xludf.DUMMYFUNCTION("""COMPUTED_VALUE"""),33740.5833333333)</f>
        <v>33740.583333333299</v>
      </c>
      <c r="H111" s="45" t="str">
        <f ca="1">IFERROR(__xludf.DUMMYFUNCTION("""COMPUTED_VALUE"""),"TLC")</f>
        <v>TLC</v>
      </c>
      <c r="I111" s="46" t="str">
        <f ca="1">IFERROR(__xludf.DUMMYFUNCTION("""COMPUTED_VALUE"""),"STORE")</f>
        <v>STORE</v>
      </c>
      <c r="J111" s="46" t="str">
        <f ca="1">IFERROR(__xludf.DUMMYFUNCTION("""COMPUTED_VALUE"""),"BAKES")</f>
        <v>BAKES</v>
      </c>
      <c r="K111" s="46" t="str">
        <f ca="1">IFERROR(__xludf.DUMMYFUNCTION("""COMPUTED_VALUE"""),"STR")</f>
        <v>STR</v>
      </c>
      <c r="L111" s="46" t="str">
        <f ca="1">IFERROR(__xludf.DUMMYFUNCTION("""COMPUTED_VALUE"""),"FTE")</f>
        <v>FTE</v>
      </c>
      <c r="M111" s="46" t="str">
        <f ca="1">IFERROR(__xludf.DUMMYFUNCTION("""COMPUTED_VALUE"""),"Leave")</f>
        <v>Leave</v>
      </c>
      <c r="N111" s="46" t="str">
        <f ca="1">IFERROR(__xludf.DUMMYFUNCTION("""COMPUTED_VALUE"""),"x")</f>
        <v>x</v>
      </c>
    </row>
    <row r="112" spans="1:14">
      <c r="A112" s="45" t="str">
        <f ca="1">IFERROR(__xludf.DUMMYFUNCTION("""COMPUTED_VALUE"""),"#N/A")</f>
        <v>#N/A</v>
      </c>
      <c r="B112" s="45">
        <f ca="1">IFERROR(__xludf.DUMMYFUNCTION("""COMPUTED_VALUE"""),45185.5833333333)</f>
        <v>45185.583333333299</v>
      </c>
      <c r="C112" s="46">
        <f ca="1">IFERROR(__xludf.DUMMYFUNCTION("""COMPUTED_VALUE"""),113)</f>
        <v>113</v>
      </c>
      <c r="D112" s="47" t="str">
        <f ca="1">IFERROR(__xludf.DUMMYFUNCTION("""COMPUTED_VALUE"""),"T0035")</f>
        <v>T0035</v>
      </c>
      <c r="E112" s="46" t="str">
        <f ca="1">IFERROR(__xludf.DUMMYFUNCTION("""COMPUTED_VALUE"""),"LÊ QUANG NHỰT TIẾN")</f>
        <v>LÊ QUANG NHỰT TIẾN</v>
      </c>
      <c r="F112" s="46" t="str">
        <f ca="1">IFERROR(__xludf.DUMMYFUNCTION("""COMPUTED_VALUE"""),"LE QUANG NHUT TIEN")</f>
        <v>LE QUANG NHUT TIEN</v>
      </c>
      <c r="G112" s="45">
        <f ca="1">IFERROR(__xludf.DUMMYFUNCTION("""COMPUTED_VALUE"""),32489.625)</f>
        <v>32489.625</v>
      </c>
      <c r="H112" s="45" t="str">
        <f ca="1">IFERROR(__xludf.DUMMYFUNCTION("""COMPUTED_VALUE"""),"TLC")</f>
        <v>TLC</v>
      </c>
      <c r="I112" s="46" t="str">
        <f ca="1">IFERROR(__xludf.DUMMYFUNCTION("""COMPUTED_VALUE"""),"STORE")</f>
        <v>STORE</v>
      </c>
      <c r="J112" s="46"/>
      <c r="K112" s="46" t="str">
        <f ca="1">IFERROR(__xludf.DUMMYFUNCTION("""COMPUTED_VALUE"""),"STR")</f>
        <v>STR</v>
      </c>
      <c r="L112" s="46" t="str">
        <f ca="1">IFERROR(__xludf.DUMMYFUNCTION("""COMPUTED_VALUE"""),"FTE")</f>
        <v>FTE</v>
      </c>
      <c r="M112" s="46" t="str">
        <f ca="1">IFERROR(__xludf.DUMMYFUNCTION("""COMPUTED_VALUE"""),"Leave")</f>
        <v>Leave</v>
      </c>
      <c r="N112" s="46" t="str">
        <f ca="1">IFERROR(__xludf.DUMMYFUNCTION("""COMPUTED_VALUE"""),"x")</f>
        <v>x</v>
      </c>
    </row>
    <row r="113" spans="1:14">
      <c r="A113" s="45" t="str">
        <f ca="1">IFERROR(__xludf.DUMMYFUNCTION("""COMPUTED_VALUE"""),"#N/A")</f>
        <v>#N/A</v>
      </c>
      <c r="B113" s="45"/>
      <c r="C113" s="46">
        <f ca="1">IFERROR(__xludf.DUMMYFUNCTION("""COMPUTED_VALUE"""),114)</f>
        <v>114</v>
      </c>
      <c r="D113" s="47" t="str">
        <f ca="1">IFERROR(__xludf.DUMMYFUNCTION("""COMPUTED_VALUE"""),"T0038")</f>
        <v>T0038</v>
      </c>
      <c r="E113" s="46" t="str">
        <f ca="1">IFERROR(__xludf.DUMMYFUNCTION("""COMPUTED_VALUE"""),"NGUYỄN THỊ KIM TUYỀN")</f>
        <v>NGUYỄN THỊ KIM TUYỀN</v>
      </c>
      <c r="F113" s="46" t="str">
        <f ca="1">IFERROR(__xludf.DUMMYFUNCTION("""COMPUTED_VALUE"""),"NGUYEN THI KIM TUYEN")</f>
        <v>NGUYEN THI KIM TUYEN</v>
      </c>
      <c r="G113" s="45">
        <f ca="1">IFERROR(__xludf.DUMMYFUNCTION("""COMPUTED_VALUE"""),36455.5833333333)</f>
        <v>36455.583333333299</v>
      </c>
      <c r="H113" s="45" t="str">
        <f ca="1">IFERROR(__xludf.DUMMYFUNCTION("""COMPUTED_VALUE"""),"BAKES")</f>
        <v>BAKES</v>
      </c>
      <c r="I113" s="46" t="str">
        <f ca="1">IFERROR(__xludf.DUMMYFUNCTION("""COMPUTED_VALUE"""),"HO")</f>
        <v>HO</v>
      </c>
      <c r="J113" s="46" t="str">
        <f ca="1">IFERROR(__xludf.DUMMYFUNCTION("""COMPUTED_VALUE"""),"PET")</f>
        <v>PET</v>
      </c>
      <c r="K113" s="46" t="str">
        <f ca="1">IFERROR(__xludf.DUMMYFUNCTION("""COMPUTED_VALUE"""),"PET")</f>
        <v>PET</v>
      </c>
      <c r="L113" s="46" t="str">
        <f ca="1">IFERROR(__xludf.DUMMYFUNCTION("""COMPUTED_VALUE"""),"FTE")</f>
        <v>FTE</v>
      </c>
      <c r="M113" s="46" t="str">
        <f ca="1">IFERROR(__xludf.DUMMYFUNCTION("""COMPUTED_VALUE"""),"On")</f>
        <v>On</v>
      </c>
      <c r="N113" s="46" t="str">
        <f ca="1">IFERROR(__xludf.DUMMYFUNCTION("""COMPUTED_VALUE"""),"đủ")</f>
        <v>đủ</v>
      </c>
    </row>
    <row r="114" spans="1:14">
      <c r="A114" s="45" t="str">
        <f ca="1">IFERROR(__xludf.DUMMYFUNCTION("""COMPUTED_VALUE"""),"#N/A")</f>
        <v>#N/A</v>
      </c>
      <c r="B114" s="45"/>
      <c r="C114" s="46">
        <f ca="1">IFERROR(__xludf.DUMMYFUNCTION("""COMPUTED_VALUE"""),115)</f>
        <v>115</v>
      </c>
      <c r="D114" s="47" t="str">
        <f ca="1">IFERROR(__xludf.DUMMYFUNCTION("""COMPUTED_VALUE"""),"T0040")</f>
        <v>T0040</v>
      </c>
      <c r="E114" s="46" t="str">
        <f ca="1">IFERROR(__xludf.DUMMYFUNCTION("""COMPUTED_VALUE"""),"TRỊNH MINH KHÔI")</f>
        <v>TRỊNH MINH KHÔI</v>
      </c>
      <c r="F114" s="46" t="str">
        <f ca="1">IFERROR(__xludf.DUMMYFUNCTION("""COMPUTED_VALUE"""),"TRINH MINH KHOI")</f>
        <v>TRINH MINH KHOI</v>
      </c>
      <c r="G114" s="45">
        <f ca="1">IFERROR(__xludf.DUMMYFUNCTION("""COMPUTED_VALUE"""),35662.5833333333)</f>
        <v>35662.583333333299</v>
      </c>
      <c r="H114" s="45" t="str">
        <f ca="1">IFERROR(__xludf.DUMMYFUNCTION("""COMPUTED_VALUE"""),"BAKES")</f>
        <v>BAKES</v>
      </c>
      <c r="I114" s="46" t="str">
        <f ca="1">IFERROR(__xludf.DUMMYFUNCTION("""COMPUTED_VALUE"""),"STORE")</f>
        <v>STORE</v>
      </c>
      <c r="J114" s="46" t="str">
        <f ca="1">IFERROR(__xludf.DUMMYFUNCTION("""COMPUTED_VALUE"""),"BAKES HCR")</f>
        <v>BAKES HCR</v>
      </c>
      <c r="K114" s="46" t="str">
        <f ca="1">IFERROR(__xludf.DUMMYFUNCTION("""COMPUTED_VALUE"""),"Management team")</f>
        <v>Management team</v>
      </c>
      <c r="L114" s="46" t="str">
        <f ca="1">IFERROR(__xludf.DUMMYFUNCTION("""COMPUTED_VALUE"""),"FTE")</f>
        <v>FTE</v>
      </c>
      <c r="M114" s="46" t="str">
        <f ca="1">IFERROR(__xludf.DUMMYFUNCTION("""COMPUTED_VALUE"""),"On")</f>
        <v>On</v>
      </c>
      <c r="N114" s="46" t="str">
        <f ca="1">IFERROR(__xludf.DUMMYFUNCTION("""COMPUTED_VALUE"""),"đủ")</f>
        <v>đủ</v>
      </c>
    </row>
    <row r="115" spans="1:14">
      <c r="A115" s="45" t="str">
        <f ca="1">IFERROR(__xludf.DUMMYFUNCTION("""COMPUTED_VALUE"""),"#N/A")</f>
        <v>#N/A</v>
      </c>
      <c r="B115" s="45" t="str">
        <f ca="1">IFERROR(__xludf.DUMMYFUNCTION("""COMPUTED_VALUE"""),"Đã nghỉ")</f>
        <v>Đã nghỉ</v>
      </c>
      <c r="C115" s="46">
        <f ca="1">IFERROR(__xludf.DUMMYFUNCTION("""COMPUTED_VALUE"""),116)</f>
        <v>116</v>
      </c>
      <c r="D115" s="47" t="str">
        <f ca="1">IFERROR(__xludf.DUMMYFUNCTION("""COMPUTED_VALUE"""),"T0093")</f>
        <v>T0093</v>
      </c>
      <c r="E115" s="46" t="str">
        <f ca="1">IFERROR(__xludf.DUMMYFUNCTION("""COMPUTED_VALUE"""),"NGUYỄN NGÔ CẨM TÚ")</f>
        <v>NGUYỄN NGÔ CẨM TÚ</v>
      </c>
      <c r="F115" s="46" t="str">
        <f ca="1">IFERROR(__xludf.DUMMYFUNCTION("""COMPUTED_VALUE"""),"NGUYEN NGO CAM TU")</f>
        <v>NGUYEN NGO CAM TU</v>
      </c>
      <c r="G115" s="45">
        <f ca="1">IFERROR(__xludf.DUMMYFUNCTION("""COMPUTED_VALUE"""),33938.625)</f>
        <v>33938.625</v>
      </c>
      <c r="H115" s="45" t="str">
        <f ca="1">IFERROR(__xludf.DUMMYFUNCTION("""COMPUTED_VALUE"""),"TLC")</f>
        <v>TLC</v>
      </c>
      <c r="I115" s="46" t="str">
        <f ca="1">IFERROR(__xludf.DUMMYFUNCTION("""COMPUTED_VALUE"""),"HO")</f>
        <v>HO</v>
      </c>
      <c r="J115" s="46" t="str">
        <f ca="1">IFERROR(__xludf.DUMMYFUNCTION("""COMPUTED_VALUE"""),"MKT")</f>
        <v>MKT</v>
      </c>
      <c r="K115" s="46" t="str">
        <f ca="1">IFERROR(__xludf.DUMMYFUNCTION("""COMPUTED_VALUE"""),"MKT")</f>
        <v>MKT</v>
      </c>
      <c r="L115" s="46" t="str">
        <f ca="1">IFERROR(__xludf.DUMMYFUNCTION("""COMPUTED_VALUE"""),"FTE")</f>
        <v>FTE</v>
      </c>
      <c r="M115" s="46" t="str">
        <f ca="1">IFERROR(__xludf.DUMMYFUNCTION("""COMPUTED_VALUE"""),"Leave")</f>
        <v>Leave</v>
      </c>
      <c r="N115" s="46" t="str">
        <f ca="1">IFERROR(__xludf.DUMMYFUNCTION("""COMPUTED_VALUE"""),"x")</f>
        <v>x</v>
      </c>
    </row>
    <row r="116" spans="1:14">
      <c r="A116" s="45" t="str">
        <f ca="1">IFERROR(__xludf.DUMMYFUNCTION("""COMPUTED_VALUE"""),"#N/A")</f>
        <v>#N/A</v>
      </c>
      <c r="B116" s="45" t="str">
        <f ca="1">IFERROR(__xludf.DUMMYFUNCTION("""COMPUTED_VALUE"""),"Đã nghỉ")</f>
        <v>Đã nghỉ</v>
      </c>
      <c r="C116" s="46">
        <f ca="1">IFERROR(__xludf.DUMMYFUNCTION("""COMPUTED_VALUE"""),117)</f>
        <v>117</v>
      </c>
      <c r="D116" s="47" t="str">
        <f ca="1">IFERROR(__xludf.DUMMYFUNCTION("""COMPUTED_VALUE"""),"T0103")</f>
        <v>T0103</v>
      </c>
      <c r="E116" s="46" t="str">
        <f ca="1">IFERROR(__xludf.DUMMYFUNCTION("""COMPUTED_VALUE"""),"HUỲNH THỊ THÁI HUYỀN")</f>
        <v>HUỲNH THỊ THÁI HUYỀN</v>
      </c>
      <c r="F116" s="46" t="str">
        <f ca="1">IFERROR(__xludf.DUMMYFUNCTION("""COMPUTED_VALUE"""),"HUYNH THI THAI HUYEN")</f>
        <v>HUYNH THI THAI HUYEN</v>
      </c>
      <c r="G116" s="45">
        <f ca="1">IFERROR(__xludf.DUMMYFUNCTION("""COMPUTED_VALUE"""),33268.625)</f>
        <v>33268.625</v>
      </c>
      <c r="H116" s="45" t="str">
        <f ca="1">IFERROR(__xludf.DUMMYFUNCTION("""COMPUTED_VALUE"""),"TLC")</f>
        <v>TLC</v>
      </c>
      <c r="I116" s="46" t="str">
        <f ca="1">IFERROR(__xludf.DUMMYFUNCTION("""COMPUTED_VALUE"""),"HO")</f>
        <v>HO</v>
      </c>
      <c r="J116" s="46" t="str">
        <f ca="1">IFERROR(__xludf.DUMMYFUNCTION("""COMPUTED_VALUE"""),"PUR")</f>
        <v>PUR</v>
      </c>
      <c r="K116" s="46" t="str">
        <f ca="1">IFERROR(__xludf.DUMMYFUNCTION("""COMPUTED_VALUE"""),"PUR")</f>
        <v>PUR</v>
      </c>
      <c r="L116" s="46" t="str">
        <f ca="1">IFERROR(__xludf.DUMMYFUNCTION("""COMPUTED_VALUE"""),"FTE")</f>
        <v>FTE</v>
      </c>
      <c r="M116" s="46" t="str">
        <f ca="1">IFERROR(__xludf.DUMMYFUNCTION("""COMPUTED_VALUE"""),"Leave")</f>
        <v>Leave</v>
      </c>
      <c r="N116" s="46" t="str">
        <f ca="1">IFERROR(__xludf.DUMMYFUNCTION("""COMPUTED_VALUE"""),"x")</f>
        <v>x</v>
      </c>
    </row>
    <row r="117" spans="1:14">
      <c r="A117" s="45" t="str">
        <f ca="1">IFERROR(__xludf.DUMMYFUNCTION("""COMPUTED_VALUE"""),"#N/A")</f>
        <v>#N/A</v>
      </c>
      <c r="B117" s="45" t="str">
        <f ca="1">IFERROR(__xludf.DUMMYFUNCTION("""COMPUTED_VALUE"""),"Đã nghỉ")</f>
        <v>Đã nghỉ</v>
      </c>
      <c r="C117" s="46">
        <f ca="1">IFERROR(__xludf.DUMMYFUNCTION("""COMPUTED_VALUE"""),118)</f>
        <v>118</v>
      </c>
      <c r="D117" s="47" t="str">
        <f ca="1">IFERROR(__xludf.DUMMYFUNCTION("""COMPUTED_VALUE"""),"T0104")</f>
        <v>T0104</v>
      </c>
      <c r="E117" s="46" t="str">
        <f ca="1">IFERROR(__xludf.DUMMYFUNCTION("""COMPUTED_VALUE"""),"HÀ PHAN ANH THƯ")</f>
        <v>HÀ PHAN ANH THƯ</v>
      </c>
      <c r="F117" s="46" t="str">
        <f ca="1">IFERROR(__xludf.DUMMYFUNCTION("""COMPUTED_VALUE"""),"HA PHAN ANH THU")</f>
        <v>HA PHAN ANH THU</v>
      </c>
      <c r="G117" s="45">
        <f ca="1">IFERROR(__xludf.DUMMYFUNCTION("""COMPUTED_VALUE"""),34629.5833333333)</f>
        <v>34629.583333333299</v>
      </c>
      <c r="H117" s="45" t="str">
        <f ca="1">IFERROR(__xludf.DUMMYFUNCTION("""COMPUTED_VALUE"""),"TLC")</f>
        <v>TLC</v>
      </c>
      <c r="I117" s="46" t="str">
        <f ca="1">IFERROR(__xludf.DUMMYFUNCTION("""COMPUTED_VALUE"""),"HO")</f>
        <v>HO</v>
      </c>
      <c r="J117" s="46" t="str">
        <f ca="1">IFERROR(__xludf.DUMMYFUNCTION("""COMPUTED_VALUE"""),"SAL")</f>
        <v>SAL</v>
      </c>
      <c r="K117" s="46" t="str">
        <f ca="1">IFERROR(__xludf.DUMMYFUNCTION("""COMPUTED_VALUE"""),"SAL")</f>
        <v>SAL</v>
      </c>
      <c r="L117" s="46" t="str">
        <f ca="1">IFERROR(__xludf.DUMMYFUNCTION("""COMPUTED_VALUE"""),"FTE")</f>
        <v>FTE</v>
      </c>
      <c r="M117" s="46" t="str">
        <f ca="1">IFERROR(__xludf.DUMMYFUNCTION("""COMPUTED_VALUE"""),"Leave")</f>
        <v>Leave</v>
      </c>
      <c r="N117" s="46" t="str">
        <f ca="1">IFERROR(__xludf.DUMMYFUNCTION("""COMPUTED_VALUE"""),"x")</f>
        <v>x</v>
      </c>
    </row>
    <row r="118" spans="1:14">
      <c r="A118" s="45" t="str">
        <f ca="1">IFERROR(__xludf.DUMMYFUNCTION("""COMPUTED_VALUE"""),"#N/A")</f>
        <v>#N/A</v>
      </c>
      <c r="B118" s="45" t="str">
        <f ca="1">IFERROR(__xludf.DUMMYFUNCTION("""COMPUTED_VALUE"""),"Đã nghỉ")</f>
        <v>Đã nghỉ</v>
      </c>
      <c r="C118" s="46">
        <f ca="1">IFERROR(__xludf.DUMMYFUNCTION("""COMPUTED_VALUE"""),119)</f>
        <v>119</v>
      </c>
      <c r="D118" s="47" t="str">
        <f ca="1">IFERROR(__xludf.DUMMYFUNCTION("""COMPUTED_VALUE"""),"T0117")</f>
        <v>T0117</v>
      </c>
      <c r="E118" s="46" t="str">
        <f ca="1">IFERROR(__xludf.DUMMYFUNCTION("""COMPUTED_VALUE"""),"HOÀNG THỊ HƯƠNG TRÀ")</f>
        <v>HOÀNG THỊ HƯƠNG TRÀ</v>
      </c>
      <c r="F118" s="46" t="str">
        <f ca="1">IFERROR(__xludf.DUMMYFUNCTION("""COMPUTED_VALUE"""),"HOANG THI HUONG TRA")</f>
        <v>HOANG THI HUONG TRA</v>
      </c>
      <c r="G118" s="45">
        <f ca="1">IFERROR(__xludf.DUMMYFUNCTION("""COMPUTED_VALUE"""),35939.5833333333)</f>
        <v>35939.583333333299</v>
      </c>
      <c r="H118" s="45" t="str">
        <f ca="1">IFERROR(__xludf.DUMMYFUNCTION("""COMPUTED_VALUE"""),"TLC")</f>
        <v>TLC</v>
      </c>
      <c r="I118" s="46" t="str">
        <f ca="1">IFERROR(__xludf.DUMMYFUNCTION("""COMPUTED_VALUE"""),"HO")</f>
        <v>HO</v>
      </c>
      <c r="J118" s="46" t="str">
        <f ca="1">IFERROR(__xludf.DUMMYFUNCTION("""COMPUTED_VALUE"""),"STU")</f>
        <v>STU</v>
      </c>
      <c r="K118" s="46" t="str">
        <f ca="1">IFERROR(__xludf.DUMMYFUNCTION("""COMPUTED_VALUE"""),"STU")</f>
        <v>STU</v>
      </c>
      <c r="L118" s="46" t="str">
        <f ca="1">IFERROR(__xludf.DUMMYFUNCTION("""COMPUTED_VALUE"""),"FTE")</f>
        <v>FTE</v>
      </c>
      <c r="M118" s="46" t="str">
        <f ca="1">IFERROR(__xludf.DUMMYFUNCTION("""COMPUTED_VALUE"""),"Leave")</f>
        <v>Leave</v>
      </c>
      <c r="N118" s="46" t="str">
        <f ca="1">IFERROR(__xludf.DUMMYFUNCTION("""COMPUTED_VALUE"""),"x")</f>
        <v>x</v>
      </c>
    </row>
    <row r="119" spans="1:14">
      <c r="A119" s="45" t="str">
        <f ca="1">IFERROR(__xludf.DUMMYFUNCTION("""COMPUTED_VALUE"""),"#N/A")</f>
        <v>#N/A</v>
      </c>
      <c r="B119" s="45">
        <f ca="1">IFERROR(__xludf.DUMMYFUNCTION("""COMPUTED_VALUE"""),45717.625)</f>
        <v>45717.625</v>
      </c>
      <c r="C119" s="46">
        <f ca="1">IFERROR(__xludf.DUMMYFUNCTION("""COMPUTED_VALUE"""),120)</f>
        <v>120</v>
      </c>
      <c r="D119" s="47" t="str">
        <f ca="1">IFERROR(__xludf.DUMMYFUNCTION("""COMPUTED_VALUE"""),"T0118")</f>
        <v>T0118</v>
      </c>
      <c r="E119" s="46" t="str">
        <f ca="1">IFERROR(__xludf.DUMMYFUNCTION("""COMPUTED_VALUE"""),"GARTNER BRIAN JULIEN")</f>
        <v>GARTNER BRIAN JULIEN</v>
      </c>
      <c r="F119" s="46" t="str">
        <f ca="1">IFERROR(__xludf.DUMMYFUNCTION("""COMPUTED_VALUE"""),"GARTNER BRIAN JULIEN")</f>
        <v>GARTNER BRIAN JULIEN</v>
      </c>
      <c r="G119" s="45">
        <f ca="1">IFERROR(__xludf.DUMMYFUNCTION("""COMPUTED_VALUE"""),32665.5833333333)</f>
        <v>32665.583333333299</v>
      </c>
      <c r="H119" s="45" t="str">
        <f ca="1">IFERROR(__xludf.DUMMYFUNCTION("""COMPUTED_VALUE"""),"KITCHEN PASTRY")</f>
        <v>KITCHEN PASTRY</v>
      </c>
      <c r="I119" s="46" t="str">
        <f ca="1">IFERROR(__xludf.DUMMYFUNCTION("""COMPUTED_VALUE"""),"KITCHEN PASTRY")</f>
        <v>KITCHEN PASTRY</v>
      </c>
      <c r="J119" s="46" t="str">
        <f ca="1">IFERROR(__xludf.DUMMYFUNCTION("""COMPUTED_VALUE"""),"KITCHEN PASTRY")</f>
        <v>KITCHEN PASTRY</v>
      </c>
      <c r="K119" s="46" t="str">
        <f ca="1">IFERROR(__xludf.DUMMYFUNCTION("""COMPUTED_VALUE"""),"Management team")</f>
        <v>Management team</v>
      </c>
      <c r="L119" s="46" t="str">
        <f ca="1">IFERROR(__xludf.DUMMYFUNCTION("""COMPUTED_VALUE"""),"FTE")</f>
        <v>FTE</v>
      </c>
      <c r="M119" s="46" t="str">
        <f ca="1">IFERROR(__xludf.DUMMYFUNCTION("""COMPUTED_VALUE"""),"Leave")</f>
        <v>Leave</v>
      </c>
      <c r="N119" s="46" t="str">
        <f ca="1">IFERROR(__xludf.DUMMYFUNCTION("""COMPUTED_VALUE"""),"x")</f>
        <v>x</v>
      </c>
    </row>
    <row r="120" spans="1:14">
      <c r="A120" s="45" t="str">
        <f ca="1">IFERROR(__xludf.DUMMYFUNCTION("""COMPUTED_VALUE"""),"#N/A")</f>
        <v>#N/A</v>
      </c>
      <c r="B120" s="45">
        <f ca="1">IFERROR(__xludf.DUMMYFUNCTION("""COMPUTED_VALUE"""),45536.5833333333)</f>
        <v>45536.583333333299</v>
      </c>
      <c r="C120" s="46">
        <f ca="1">IFERROR(__xludf.DUMMYFUNCTION("""COMPUTED_VALUE"""),121)</f>
        <v>121</v>
      </c>
      <c r="D120" s="47" t="str">
        <f ca="1">IFERROR(__xludf.DUMMYFUNCTION("""COMPUTED_VALUE"""),"T0134")</f>
        <v>T0134</v>
      </c>
      <c r="E120" s="46" t="str">
        <f ca="1">IFERROR(__xludf.DUMMYFUNCTION("""COMPUTED_VALUE"""),"VŨ ĐÌNH ĐỨC")</f>
        <v>VŨ ĐÌNH ĐỨC</v>
      </c>
      <c r="F120" s="46" t="str">
        <f ca="1">IFERROR(__xludf.DUMMYFUNCTION("""COMPUTED_VALUE"""),"VU DINH DUC")</f>
        <v>VU DINH DUC</v>
      </c>
      <c r="G120" s="45">
        <f ca="1">IFERROR(__xludf.DUMMYFUNCTION("""COMPUTED_VALUE"""),32391.5833333333)</f>
        <v>32391.583333333299</v>
      </c>
      <c r="H120" s="45" t="str">
        <f ca="1">IFERROR(__xludf.DUMMYFUNCTION("""COMPUTED_VALUE"""),"KITCHEN PASTRY")</f>
        <v>KITCHEN PASTRY</v>
      </c>
      <c r="I120" s="46" t="str">
        <f ca="1">IFERROR(__xludf.DUMMYFUNCTION("""COMPUTED_VALUE"""),"KITCHEN PASTRY")</f>
        <v>KITCHEN PASTRY</v>
      </c>
      <c r="J120" s="46" t="str">
        <f ca="1">IFERROR(__xludf.DUMMYFUNCTION("""COMPUTED_VALUE"""),"KITCHEN PASTRY")</f>
        <v>KITCHEN PASTRY</v>
      </c>
      <c r="K120" s="46" t="str">
        <f ca="1">IFERROR(__xludf.DUMMYFUNCTION("""COMPUTED_VALUE"""),"PASTRY")</f>
        <v>PASTRY</v>
      </c>
      <c r="L120" s="46" t="str">
        <f ca="1">IFERROR(__xludf.DUMMYFUNCTION("""COMPUTED_VALUE"""),"FTE")</f>
        <v>FTE</v>
      </c>
      <c r="M120" s="46" t="str">
        <f ca="1">IFERROR(__xludf.DUMMYFUNCTION("""COMPUTED_VALUE"""),"Leave")</f>
        <v>Leave</v>
      </c>
      <c r="N120" s="46" t="str">
        <f ca="1">IFERROR(__xludf.DUMMYFUNCTION("""COMPUTED_VALUE"""),"x")</f>
        <v>x</v>
      </c>
    </row>
    <row r="121" spans="1:14">
      <c r="A121" s="45" t="str">
        <f ca="1">IFERROR(__xludf.DUMMYFUNCTION("""COMPUTED_VALUE"""),"#N/A")</f>
        <v>#N/A</v>
      </c>
      <c r="B121" s="45"/>
      <c r="C121" s="46">
        <f ca="1">IFERROR(__xludf.DUMMYFUNCTION("""COMPUTED_VALUE"""),122)</f>
        <v>122</v>
      </c>
      <c r="D121" s="47" t="str">
        <f ca="1">IFERROR(__xludf.DUMMYFUNCTION("""COMPUTED_VALUE"""),"T0142")</f>
        <v>T0142</v>
      </c>
      <c r="E121" s="46" t="str">
        <f ca="1">IFERROR(__xludf.DUMMYFUNCTION("""COMPUTED_VALUE"""),"LÔI QUỐC HƯNG")</f>
        <v>LÔI QUỐC HƯNG</v>
      </c>
      <c r="F121" s="46" t="str">
        <f ca="1">IFERROR(__xludf.DUMMYFUNCTION("""COMPUTED_VALUE"""),"LOI QUOC HUNG")</f>
        <v>LOI QUOC HUNG</v>
      </c>
      <c r="G121" s="45">
        <f ca="1">IFERROR(__xludf.DUMMYFUNCTION("""COMPUTED_VALUE"""),35106.625)</f>
        <v>35106.625</v>
      </c>
      <c r="H121" s="45" t="str">
        <f ca="1">IFERROR(__xludf.DUMMYFUNCTION("""COMPUTED_VALUE"""),"TLC")</f>
        <v>TLC</v>
      </c>
      <c r="I121" s="46" t="str">
        <f ca="1">IFERROR(__xludf.DUMMYFUNCTION("""COMPUTED_VALUE"""),"STORE")</f>
        <v>STORE</v>
      </c>
      <c r="J121" s="46" t="str">
        <f ca="1">IFERROR(__xludf.DUMMYFUNCTION("""COMPUTED_VALUE"""),"BLANK LOUNGE")</f>
        <v>BLANK LOUNGE</v>
      </c>
      <c r="K121" s="46" t="str">
        <f ca="1">IFERROR(__xludf.DUMMYFUNCTION("""COMPUTED_VALUE"""),"BAR")</f>
        <v>BAR</v>
      </c>
      <c r="L121" s="46" t="str">
        <f ca="1">IFERROR(__xludf.DUMMYFUNCTION("""COMPUTED_VALUE"""),"FTE")</f>
        <v>FTE</v>
      </c>
      <c r="M121" s="46" t="str">
        <f ca="1">IFERROR(__xludf.DUMMYFUNCTION("""COMPUTED_VALUE"""),"On")</f>
        <v>On</v>
      </c>
      <c r="N121" s="46" t="str">
        <f ca="1">IFERROR(__xludf.DUMMYFUNCTION("""COMPUTED_VALUE"""),"đủ")</f>
        <v>đủ</v>
      </c>
    </row>
    <row r="122" spans="1:14">
      <c r="A122" s="45" t="str">
        <f ca="1">IFERROR(__xludf.DUMMYFUNCTION("""COMPUTED_VALUE"""),"#N/A")</f>
        <v>#N/A</v>
      </c>
      <c r="B122" s="45" t="str">
        <f ca="1">IFERROR(__xludf.DUMMYFUNCTION("""COMPUTED_VALUE"""),"Đã nghỉ")</f>
        <v>Đã nghỉ</v>
      </c>
      <c r="C122" s="46">
        <f ca="1">IFERROR(__xludf.DUMMYFUNCTION("""COMPUTED_VALUE"""),123)</f>
        <v>123</v>
      </c>
      <c r="D122" s="47" t="str">
        <f ca="1">IFERROR(__xludf.DUMMYFUNCTION("""COMPUTED_VALUE"""),"T0148")</f>
        <v>T0148</v>
      </c>
      <c r="E122" s="46" t="str">
        <f ca="1">IFERROR(__xludf.DUMMYFUNCTION("""COMPUTED_VALUE"""),"NGÔ CHÍ THÀNH")</f>
        <v>NGÔ CHÍ THÀNH</v>
      </c>
      <c r="F122" s="46" t="str">
        <f ca="1">IFERROR(__xludf.DUMMYFUNCTION("""COMPUTED_VALUE"""),"NGO CHI THANH")</f>
        <v>NGO CHI THANH</v>
      </c>
      <c r="G122" s="45">
        <f ca="1">IFERROR(__xludf.DUMMYFUNCTION("""COMPUTED_VALUE"""),36157.625)</f>
        <v>36157.625</v>
      </c>
      <c r="H122" s="45" t="str">
        <f ca="1">IFERROR(__xludf.DUMMYFUNCTION("""COMPUTED_VALUE"""),"SHADOW")</f>
        <v>SHADOW</v>
      </c>
      <c r="I122" s="46" t="str">
        <f ca="1">IFERROR(__xludf.DUMMYFUNCTION("""COMPUTED_VALUE"""),"STORE")</f>
        <v>STORE</v>
      </c>
      <c r="J122" s="46" t="str">
        <f ca="1">IFERROR(__xludf.DUMMYFUNCTION("""COMPUTED_VALUE"""),"BAKES PASTEUR")</f>
        <v>BAKES PASTEUR</v>
      </c>
      <c r="K122" s="46" t="str">
        <f ca="1">IFERROR(__xludf.DUMMYFUNCTION("""COMPUTED_VALUE"""),"STR")</f>
        <v>STR</v>
      </c>
      <c r="L122" s="46" t="str">
        <f ca="1">IFERROR(__xludf.DUMMYFUNCTION("""COMPUTED_VALUE"""),"FTE")</f>
        <v>FTE</v>
      </c>
      <c r="M122" s="46" t="str">
        <f ca="1">IFERROR(__xludf.DUMMYFUNCTION("""COMPUTED_VALUE"""),"Leave")</f>
        <v>Leave</v>
      </c>
      <c r="N122" s="46" t="str">
        <f ca="1">IFERROR(__xludf.DUMMYFUNCTION("""COMPUTED_VALUE"""),"x")</f>
        <v>x</v>
      </c>
    </row>
    <row r="123" spans="1:14">
      <c r="A123" s="45" t="str">
        <f ca="1">IFERROR(__xludf.DUMMYFUNCTION("""COMPUTED_VALUE"""),"#N/A")</f>
        <v>#N/A</v>
      </c>
      <c r="B123" s="45" t="str">
        <f ca="1">IFERROR(__xludf.DUMMYFUNCTION("""COMPUTED_VALUE"""),"Đã nghỉ")</f>
        <v>Đã nghỉ</v>
      </c>
      <c r="C123" s="46">
        <f ca="1">IFERROR(__xludf.DUMMYFUNCTION("""COMPUTED_VALUE"""),124)</f>
        <v>124</v>
      </c>
      <c r="D123" s="47" t="str">
        <f ca="1">IFERROR(__xludf.DUMMYFUNCTION("""COMPUTED_VALUE"""),"T0159")</f>
        <v>T0159</v>
      </c>
      <c r="E123" s="46" t="str">
        <f ca="1">IFERROR(__xludf.DUMMYFUNCTION("""COMPUTED_VALUE"""),"NGUYỄN HOÀI NAM")</f>
        <v>NGUYỄN HOÀI NAM</v>
      </c>
      <c r="F123" s="46" t="str">
        <f ca="1">IFERROR(__xludf.DUMMYFUNCTION("""COMPUTED_VALUE"""),"NGUYEN HOAI NAM")</f>
        <v>NGUYEN HOAI NAM</v>
      </c>
      <c r="G123" s="45"/>
      <c r="H123" s="45" t="str">
        <f ca="1">IFERROR(__xludf.DUMMYFUNCTION("""COMPUTED_VALUE"""),"SHADOW")</f>
        <v>SHADOW</v>
      </c>
      <c r="I123" s="46" t="str">
        <f ca="1">IFERROR(__xludf.DUMMYFUNCTION("""COMPUTED_VALUE"""),"STORE")</f>
        <v>STORE</v>
      </c>
      <c r="J123" s="46" t="str">
        <f ca="1">IFERROR(__xludf.DUMMYFUNCTION("""COMPUTED_VALUE"""),"BAKES PASTEUR")</f>
        <v>BAKES PASTEUR</v>
      </c>
      <c r="K123" s="46" t="str">
        <f ca="1">IFERROR(__xludf.DUMMYFUNCTION("""COMPUTED_VALUE"""),"STR")</f>
        <v>STR</v>
      </c>
      <c r="L123" s="46" t="str">
        <f ca="1">IFERROR(__xludf.DUMMYFUNCTION("""COMPUTED_VALUE"""),"PTE")</f>
        <v>PTE</v>
      </c>
      <c r="M123" s="46" t="str">
        <f ca="1">IFERROR(__xludf.DUMMYFUNCTION("""COMPUTED_VALUE"""),"Leave")</f>
        <v>Leave</v>
      </c>
      <c r="N123" s="46" t="str">
        <f ca="1">IFERROR(__xludf.DUMMYFUNCTION("""COMPUTED_VALUE"""),"x")</f>
        <v>x</v>
      </c>
    </row>
    <row r="124" spans="1:14">
      <c r="A124" s="45" t="str">
        <f ca="1">IFERROR(__xludf.DUMMYFUNCTION("""COMPUTED_VALUE"""),"#N/A")</f>
        <v>#N/A</v>
      </c>
      <c r="B124" s="45">
        <f ca="1">IFERROR(__xludf.DUMMYFUNCTION("""COMPUTED_VALUE"""),45160.5833333333)</f>
        <v>45160.583333333299</v>
      </c>
      <c r="C124" s="46">
        <f ca="1">IFERROR(__xludf.DUMMYFUNCTION("""COMPUTED_VALUE"""),125)</f>
        <v>125</v>
      </c>
      <c r="D124" s="47" t="str">
        <f ca="1">IFERROR(__xludf.DUMMYFUNCTION("""COMPUTED_VALUE"""),"T0164")</f>
        <v>T0164</v>
      </c>
      <c r="E124" s="46" t="str">
        <f ca="1">IFERROR(__xludf.DUMMYFUNCTION("""COMPUTED_VALUE"""),"NGUYỄN THỊ NGỌC GIÀU")</f>
        <v>NGUYỄN THỊ NGỌC GIÀU</v>
      </c>
      <c r="F124" s="46" t="str">
        <f ca="1">IFERROR(__xludf.DUMMYFUNCTION("""COMPUTED_VALUE"""),"NGUYEN THI NGOC GIAU")</f>
        <v>NGUYEN THI NGOC GIAU</v>
      </c>
      <c r="G124" s="45">
        <f ca="1">IFERROR(__xludf.DUMMYFUNCTION("""COMPUTED_VALUE"""),34636.5833333333)</f>
        <v>34636.583333333299</v>
      </c>
      <c r="H124" s="45" t="str">
        <f ca="1">IFERROR(__xludf.DUMMYFUNCTION("""COMPUTED_VALUE"""),"TLC")</f>
        <v>TLC</v>
      </c>
      <c r="I124" s="46" t="str">
        <f ca="1">IFERROR(__xludf.DUMMYFUNCTION("""COMPUTED_VALUE"""),"HO")</f>
        <v>HO</v>
      </c>
      <c r="J124" s="46" t="str">
        <f ca="1">IFERROR(__xludf.DUMMYFUNCTION("""COMPUTED_VALUE"""),"CUS")</f>
        <v>CUS</v>
      </c>
      <c r="K124" s="46" t="str">
        <f ca="1">IFERROR(__xludf.DUMMYFUNCTION("""COMPUTED_VALUE"""),"CUS")</f>
        <v>CUS</v>
      </c>
      <c r="L124" s="46" t="str">
        <f ca="1">IFERROR(__xludf.DUMMYFUNCTION("""COMPUTED_VALUE"""),"FTE")</f>
        <v>FTE</v>
      </c>
      <c r="M124" s="46" t="str">
        <f ca="1">IFERROR(__xludf.DUMMYFUNCTION("""COMPUTED_VALUE"""),"Leave")</f>
        <v>Leave</v>
      </c>
      <c r="N124" s="46" t="str">
        <f ca="1">IFERROR(__xludf.DUMMYFUNCTION("""COMPUTED_VALUE"""),"x")</f>
        <v>x</v>
      </c>
    </row>
    <row r="125" spans="1:14">
      <c r="A125" s="45" t="str">
        <f ca="1">IFERROR(__xludf.DUMMYFUNCTION("""COMPUTED_VALUE"""),"#N/A")</f>
        <v>#N/A</v>
      </c>
      <c r="B125" s="45" t="str">
        <f ca="1">IFERROR(__xludf.DUMMYFUNCTION("""COMPUTED_VALUE"""),"Đã nghỉ")</f>
        <v>Đã nghỉ</v>
      </c>
      <c r="C125" s="46">
        <f ca="1">IFERROR(__xludf.DUMMYFUNCTION("""COMPUTED_VALUE"""),126)</f>
        <v>126</v>
      </c>
      <c r="D125" s="47" t="str">
        <f ca="1">IFERROR(__xludf.DUMMYFUNCTION("""COMPUTED_VALUE"""),"T0175")</f>
        <v>T0175</v>
      </c>
      <c r="E125" s="46" t="str">
        <f ca="1">IFERROR(__xludf.DUMMYFUNCTION("""COMPUTED_VALUE"""),"NGUYỄN VŨ THỤC NHI")</f>
        <v>NGUYỄN VŨ THỤC NHI</v>
      </c>
      <c r="F125" s="46" t="str">
        <f ca="1">IFERROR(__xludf.DUMMYFUNCTION("""COMPUTED_VALUE"""),"NGUYEN VU THUC NHI")</f>
        <v>NGUYEN VU THUC NHI</v>
      </c>
      <c r="G125" s="45">
        <f ca="1">IFERROR(__xludf.DUMMYFUNCTION("""COMPUTED_VALUE"""),36854.625)</f>
        <v>36854.625</v>
      </c>
      <c r="H125" s="45" t="str">
        <f ca="1">IFERROR(__xludf.DUMMYFUNCTION("""COMPUTED_VALUE"""),"TLC")</f>
        <v>TLC</v>
      </c>
      <c r="I125" s="46" t="str">
        <f ca="1">IFERROR(__xludf.DUMMYFUNCTION("""COMPUTED_VALUE"""),"HO")</f>
        <v>HO</v>
      </c>
      <c r="J125" s="46" t="str">
        <f ca="1">IFERROR(__xludf.DUMMYFUNCTION("""COMPUTED_VALUE"""),"SAL")</f>
        <v>SAL</v>
      </c>
      <c r="K125" s="46" t="str">
        <f ca="1">IFERROR(__xludf.DUMMYFUNCTION("""COMPUTED_VALUE"""),"SAL")</f>
        <v>SAL</v>
      </c>
      <c r="L125" s="46" t="str">
        <f ca="1">IFERROR(__xludf.DUMMYFUNCTION("""COMPUTED_VALUE"""),"FTE")</f>
        <v>FTE</v>
      </c>
      <c r="M125" s="46" t="str">
        <f ca="1">IFERROR(__xludf.DUMMYFUNCTION("""COMPUTED_VALUE"""),"Leave")</f>
        <v>Leave</v>
      </c>
      <c r="N125" s="46" t="str">
        <f ca="1">IFERROR(__xludf.DUMMYFUNCTION("""COMPUTED_VALUE"""),"x")</f>
        <v>x</v>
      </c>
    </row>
    <row r="126" spans="1:14">
      <c r="A126" s="45" t="str">
        <f ca="1">IFERROR(__xludf.DUMMYFUNCTION("""COMPUTED_VALUE"""),"#N/A")</f>
        <v>#N/A</v>
      </c>
      <c r="B126" s="45" t="str">
        <f ca="1">IFERROR(__xludf.DUMMYFUNCTION("""COMPUTED_VALUE"""),"Đã nghỉ")</f>
        <v>Đã nghỉ</v>
      </c>
      <c r="C126" s="46">
        <f ca="1">IFERROR(__xludf.DUMMYFUNCTION("""COMPUTED_VALUE"""),127)</f>
        <v>127</v>
      </c>
      <c r="D126" s="47" t="str">
        <f ca="1">IFERROR(__xludf.DUMMYFUNCTION("""COMPUTED_VALUE"""),"T0177")</f>
        <v>T0177</v>
      </c>
      <c r="E126" s="46" t="str">
        <f ca="1">IFERROR(__xludf.DUMMYFUNCTION("""COMPUTED_VALUE"""),"HẮC NGỌC XUÂN TRANG")</f>
        <v>HẮC NGỌC XUÂN TRANG</v>
      </c>
      <c r="F126" s="46" t="str">
        <f ca="1">IFERROR(__xludf.DUMMYFUNCTION("""COMPUTED_VALUE"""),"HAC NGOC XUAN TRANG")</f>
        <v>HAC NGOC XUAN TRANG</v>
      </c>
      <c r="G126" s="45">
        <f ca="1">IFERROR(__xludf.DUMMYFUNCTION("""COMPUTED_VALUE"""),38230.5833333333)</f>
        <v>38230.583333333299</v>
      </c>
      <c r="H126" s="45" t="str">
        <f ca="1">IFERROR(__xludf.DUMMYFUNCTION("""COMPUTED_VALUE"""),"BAKES")</f>
        <v>BAKES</v>
      </c>
      <c r="I126" s="46" t="str">
        <f ca="1">IFERROR(__xludf.DUMMYFUNCTION("""COMPUTED_VALUE"""),"STORE")</f>
        <v>STORE</v>
      </c>
      <c r="J126" s="46" t="str">
        <f ca="1">IFERROR(__xludf.DUMMYFUNCTION("""COMPUTED_VALUE"""),"BAKES D2")</f>
        <v>BAKES D2</v>
      </c>
      <c r="K126" s="46" t="str">
        <f ca="1">IFERROR(__xludf.DUMMYFUNCTION("""COMPUTED_VALUE"""),"STR")</f>
        <v>STR</v>
      </c>
      <c r="L126" s="46" t="str">
        <f ca="1">IFERROR(__xludf.DUMMYFUNCTION("""COMPUTED_VALUE"""),"PTE")</f>
        <v>PTE</v>
      </c>
      <c r="M126" s="46" t="str">
        <f ca="1">IFERROR(__xludf.DUMMYFUNCTION("""COMPUTED_VALUE"""),"Leave")</f>
        <v>Leave</v>
      </c>
      <c r="N126" s="46" t="str">
        <f ca="1">IFERROR(__xludf.DUMMYFUNCTION("""COMPUTED_VALUE"""),"x")</f>
        <v>x</v>
      </c>
    </row>
    <row r="127" spans="1:14">
      <c r="A127" s="45" t="str">
        <f ca="1">IFERROR(__xludf.DUMMYFUNCTION("""COMPUTED_VALUE"""),"#N/A")</f>
        <v>#N/A</v>
      </c>
      <c r="B127" s="45" t="str">
        <f ca="1">IFERROR(__xludf.DUMMYFUNCTION("""COMPUTED_VALUE"""),"Đã nghỉ")</f>
        <v>Đã nghỉ</v>
      </c>
      <c r="C127" s="46">
        <f ca="1">IFERROR(__xludf.DUMMYFUNCTION("""COMPUTED_VALUE"""),128)</f>
        <v>128</v>
      </c>
      <c r="D127" s="47" t="str">
        <f ca="1">IFERROR(__xludf.DUMMYFUNCTION("""COMPUTED_VALUE"""),"T0187")</f>
        <v>T0187</v>
      </c>
      <c r="E127" s="46" t="str">
        <f ca="1">IFERROR(__xludf.DUMMYFUNCTION("""COMPUTED_VALUE"""),"CAESAR BUN")</f>
        <v>CAESAR BUN</v>
      </c>
      <c r="F127" s="46" t="str">
        <f ca="1">IFERROR(__xludf.DUMMYFUNCTION("""COMPUTED_VALUE"""),"CAESAR BUN")</f>
        <v>CAESAR BUN</v>
      </c>
      <c r="G127" s="45">
        <f ca="1">IFERROR(__xludf.DUMMYFUNCTION("""COMPUTED_VALUE"""),33103.5833333333)</f>
        <v>33103.583333333299</v>
      </c>
      <c r="H127" s="45" t="str">
        <f ca="1">IFERROR(__xludf.DUMMYFUNCTION("""COMPUTED_VALUE"""),"BAKES")</f>
        <v>BAKES</v>
      </c>
      <c r="I127" s="46" t="str">
        <f ca="1">IFERROR(__xludf.DUMMYFUNCTION("""COMPUTED_VALUE"""),"STORE")</f>
        <v>STORE</v>
      </c>
      <c r="J127" s="46" t="str">
        <f ca="1">IFERROR(__xludf.DUMMYFUNCTION("""COMPUTED_VALUE"""),"BAKES D2")</f>
        <v>BAKES D2</v>
      </c>
      <c r="K127" s="46" t="str">
        <f ca="1">IFERROR(__xludf.DUMMYFUNCTION("""COMPUTED_VALUE"""),"KIT")</f>
        <v>KIT</v>
      </c>
      <c r="L127" s="46" t="str">
        <f ca="1">IFERROR(__xludf.DUMMYFUNCTION("""COMPUTED_VALUE"""),"FTE")</f>
        <v>FTE</v>
      </c>
      <c r="M127" s="46" t="str">
        <f ca="1">IFERROR(__xludf.DUMMYFUNCTION("""COMPUTED_VALUE"""),"Leave")</f>
        <v>Leave</v>
      </c>
      <c r="N127" s="46" t="str">
        <f ca="1">IFERROR(__xludf.DUMMYFUNCTION("""COMPUTED_VALUE"""),"x")</f>
        <v>x</v>
      </c>
    </row>
    <row r="128" spans="1:14">
      <c r="A128" s="45" t="str">
        <f ca="1">IFERROR(__xludf.DUMMYFUNCTION("""COMPUTED_VALUE"""),"#N/A")</f>
        <v>#N/A</v>
      </c>
      <c r="B128" s="45">
        <f ca="1">IFERROR(__xludf.DUMMYFUNCTION("""COMPUTED_VALUE"""),45300.625)</f>
        <v>45300.625</v>
      </c>
      <c r="C128" s="46">
        <f ca="1">IFERROR(__xludf.DUMMYFUNCTION("""COMPUTED_VALUE"""),129)</f>
        <v>129</v>
      </c>
      <c r="D128" s="47" t="str">
        <f ca="1">IFERROR(__xludf.DUMMYFUNCTION("""COMPUTED_VALUE"""),"T0188")</f>
        <v>T0188</v>
      </c>
      <c r="E128" s="46" t="str">
        <f ca="1">IFERROR(__xludf.DUMMYFUNCTION("""COMPUTED_VALUE"""),"TRẦN MINH NGUYỆT")</f>
        <v>TRẦN MINH NGUYỆT</v>
      </c>
      <c r="F128" s="46" t="str">
        <f ca="1">IFERROR(__xludf.DUMMYFUNCTION("""COMPUTED_VALUE"""),"TRAN MINH NGUYET")</f>
        <v>TRAN MINH NGUYET</v>
      </c>
      <c r="G128" s="45">
        <f ca="1">IFERROR(__xludf.DUMMYFUNCTION("""COMPUTED_VALUE"""),33566.625)</f>
        <v>33566.625</v>
      </c>
      <c r="H128" s="45" t="str">
        <f ca="1">IFERROR(__xludf.DUMMYFUNCTION("""COMPUTED_VALUE"""),"TLC")</f>
        <v>TLC</v>
      </c>
      <c r="I128" s="46" t="str">
        <f ca="1">IFERROR(__xludf.DUMMYFUNCTION("""COMPUTED_VALUE"""),"HO")</f>
        <v>HO</v>
      </c>
      <c r="J128" s="46" t="str">
        <f ca="1">IFERROR(__xludf.DUMMYFUNCTION("""COMPUTED_VALUE"""),"OPS")</f>
        <v>OPS</v>
      </c>
      <c r="K128" s="46" t="str">
        <f ca="1">IFERROR(__xludf.DUMMYFUNCTION("""COMPUTED_VALUE"""),"OPS")</f>
        <v>OPS</v>
      </c>
      <c r="L128" s="46" t="str">
        <f ca="1">IFERROR(__xludf.DUMMYFUNCTION("""COMPUTED_VALUE"""),"FTE")</f>
        <v>FTE</v>
      </c>
      <c r="M128" s="46" t="str">
        <f ca="1">IFERROR(__xludf.DUMMYFUNCTION("""COMPUTED_VALUE"""),"Leave")</f>
        <v>Leave</v>
      </c>
      <c r="N128" s="46" t="str">
        <f ca="1">IFERROR(__xludf.DUMMYFUNCTION("""COMPUTED_VALUE"""),"x")</f>
        <v>x</v>
      </c>
    </row>
    <row r="129" spans="1:14">
      <c r="A129" s="45" t="str">
        <f ca="1">IFERROR(__xludf.DUMMYFUNCTION("""COMPUTED_VALUE"""),"#N/A")</f>
        <v>#N/A</v>
      </c>
      <c r="B129" s="45" t="str">
        <f ca="1">IFERROR(__xludf.DUMMYFUNCTION("""COMPUTED_VALUE"""),"Đã nghỉ")</f>
        <v>Đã nghỉ</v>
      </c>
      <c r="C129" s="46">
        <f ca="1">IFERROR(__xludf.DUMMYFUNCTION("""COMPUTED_VALUE"""),130)</f>
        <v>130</v>
      </c>
      <c r="D129" s="47" t="str">
        <f ca="1">IFERROR(__xludf.DUMMYFUNCTION("""COMPUTED_VALUE"""),"T0189")</f>
        <v>T0189</v>
      </c>
      <c r="E129" s="46" t="str">
        <f ca="1">IFERROR(__xludf.DUMMYFUNCTION("""COMPUTED_VALUE"""),"HUỲNH THỊ NGỌC LINH")</f>
        <v>HUỲNH THỊ NGỌC LINH</v>
      </c>
      <c r="F129" s="46" t="str">
        <f ca="1">IFERROR(__xludf.DUMMYFUNCTION("""COMPUTED_VALUE"""),"HUYNH THI NGOC LINH")</f>
        <v>HUYNH THI NGOC LINH</v>
      </c>
      <c r="G129" s="45">
        <f ca="1">IFERROR(__xludf.DUMMYFUNCTION("""COMPUTED_VALUE"""),32248.5833333333)</f>
        <v>32248.583333333299</v>
      </c>
      <c r="H129" s="45" t="str">
        <f ca="1">IFERROR(__xludf.DUMMYFUNCTION("""COMPUTED_VALUE"""),"TLC")</f>
        <v>TLC</v>
      </c>
      <c r="I129" s="46" t="str">
        <f ca="1">IFERROR(__xludf.DUMMYFUNCTION("""COMPUTED_VALUE"""),"HO")</f>
        <v>HO</v>
      </c>
      <c r="J129" s="46" t="str">
        <f ca="1">IFERROR(__xludf.DUMMYFUNCTION("""COMPUTED_VALUE"""),"OPS")</f>
        <v>OPS</v>
      </c>
      <c r="K129" s="46" t="str">
        <f ca="1">IFERROR(__xludf.DUMMYFUNCTION("""COMPUTED_VALUE"""),"OPS")</f>
        <v>OPS</v>
      </c>
      <c r="L129" s="46" t="str">
        <f ca="1">IFERROR(__xludf.DUMMYFUNCTION("""COMPUTED_VALUE"""),"FTE")</f>
        <v>FTE</v>
      </c>
      <c r="M129" s="46" t="str">
        <f ca="1">IFERROR(__xludf.DUMMYFUNCTION("""COMPUTED_VALUE"""),"Leave")</f>
        <v>Leave</v>
      </c>
      <c r="N129" s="46" t="str">
        <f ca="1">IFERROR(__xludf.DUMMYFUNCTION("""COMPUTED_VALUE"""),"x")</f>
        <v>x</v>
      </c>
    </row>
    <row r="130" spans="1:14">
      <c r="A130" s="45" t="str">
        <f ca="1">IFERROR(__xludf.DUMMYFUNCTION("""COMPUTED_VALUE"""),"#N/A")</f>
        <v>#N/A</v>
      </c>
      <c r="B130" s="45" t="str">
        <f ca="1">IFERROR(__xludf.DUMMYFUNCTION("""COMPUTED_VALUE"""),"Đã nghỉ")</f>
        <v>Đã nghỉ</v>
      </c>
      <c r="C130" s="46">
        <f ca="1">IFERROR(__xludf.DUMMYFUNCTION("""COMPUTED_VALUE"""),131)</f>
        <v>131</v>
      </c>
      <c r="D130" s="47" t="str">
        <f ca="1">IFERROR(__xludf.DUMMYFUNCTION("""COMPUTED_VALUE"""),"T0190")</f>
        <v>T0190</v>
      </c>
      <c r="E130" s="46" t="str">
        <f ca="1">IFERROR(__xludf.DUMMYFUNCTION("""COMPUTED_VALUE"""),"TRẦN QUỐC VIỆT")</f>
        <v>TRẦN QUỐC VIỆT</v>
      </c>
      <c r="F130" s="46" t="str">
        <f ca="1">IFERROR(__xludf.DUMMYFUNCTION("""COMPUTED_VALUE"""),"TRAN QUOC VIET")</f>
        <v>TRAN QUOC VIET</v>
      </c>
      <c r="G130" s="45">
        <f ca="1">IFERROR(__xludf.DUMMYFUNCTION("""COMPUTED_VALUE"""),32767.5833333333)</f>
        <v>32767.583333333299</v>
      </c>
      <c r="H130" s="45" t="str">
        <f ca="1">IFERROR(__xludf.DUMMYFUNCTION("""COMPUTED_VALUE"""),"BAKES")</f>
        <v>BAKES</v>
      </c>
      <c r="I130" s="46" t="str">
        <f ca="1">IFERROR(__xludf.DUMMYFUNCTION("""COMPUTED_VALUE"""),"STORE")</f>
        <v>STORE</v>
      </c>
      <c r="J130" s="46" t="str">
        <f ca="1">IFERROR(__xludf.DUMMYFUNCTION("""COMPUTED_VALUE"""),"BAKES D2")</f>
        <v>BAKES D2</v>
      </c>
      <c r="K130" s="46" t="str">
        <f ca="1">IFERROR(__xludf.DUMMYFUNCTION("""COMPUTED_VALUE"""),"Management team")</f>
        <v>Management team</v>
      </c>
      <c r="L130" s="46" t="str">
        <f ca="1">IFERROR(__xludf.DUMMYFUNCTION("""COMPUTED_VALUE"""),"PRO")</f>
        <v>PRO</v>
      </c>
      <c r="M130" s="46" t="str">
        <f ca="1">IFERROR(__xludf.DUMMYFUNCTION("""COMPUTED_VALUE"""),"Leave")</f>
        <v>Leave</v>
      </c>
      <c r="N130" s="46" t="str">
        <f ca="1">IFERROR(__xludf.DUMMYFUNCTION("""COMPUTED_VALUE"""),"x")</f>
        <v>x</v>
      </c>
    </row>
    <row r="131" spans="1:14">
      <c r="A131" s="45" t="str">
        <f ca="1">IFERROR(__xludf.DUMMYFUNCTION("""COMPUTED_VALUE"""),"#N/A")</f>
        <v>#N/A</v>
      </c>
      <c r="B131" s="45">
        <f ca="1">IFERROR(__xludf.DUMMYFUNCTION("""COMPUTED_VALUE"""),45186.5833333333)</f>
        <v>45186.583333333299</v>
      </c>
      <c r="C131" s="46">
        <f ca="1">IFERROR(__xludf.DUMMYFUNCTION("""COMPUTED_VALUE"""),132)</f>
        <v>132</v>
      </c>
      <c r="D131" s="47" t="str">
        <f ca="1">IFERROR(__xludf.DUMMYFUNCTION("""COMPUTED_VALUE"""),"T0191")</f>
        <v>T0191</v>
      </c>
      <c r="E131" s="46" t="str">
        <f ca="1">IFERROR(__xludf.DUMMYFUNCTION("""COMPUTED_VALUE"""),"NGUYỄN KHẮC NHU")</f>
        <v>NGUYỄN KHẮC NHU</v>
      </c>
      <c r="F131" s="46" t="str">
        <f ca="1">IFERROR(__xludf.DUMMYFUNCTION("""COMPUTED_VALUE"""),"NGUYEN KHAC NHU")</f>
        <v>NGUYEN KHAC NHU</v>
      </c>
      <c r="G131" s="45">
        <f ca="1">IFERROR(__xludf.DUMMYFUNCTION("""COMPUTED_VALUE"""),34923.5833333333)</f>
        <v>34923.583333333299</v>
      </c>
      <c r="H131" s="45" t="str">
        <f ca="1">IFERROR(__xludf.DUMMYFUNCTION("""COMPUTED_VALUE"""),"TLC")</f>
        <v>TLC</v>
      </c>
      <c r="I131" s="46" t="str">
        <f ca="1">IFERROR(__xludf.DUMMYFUNCTION("""COMPUTED_VALUE"""),"HO")</f>
        <v>HO</v>
      </c>
      <c r="J131" s="46" t="str">
        <f ca="1">IFERROR(__xludf.DUMMYFUNCTION("""COMPUTED_VALUE"""),"MKT")</f>
        <v>MKT</v>
      </c>
      <c r="K131" s="46" t="str">
        <f ca="1">IFERROR(__xludf.DUMMYFUNCTION("""COMPUTED_VALUE"""),"MKT")</f>
        <v>MKT</v>
      </c>
      <c r="L131" s="46" t="str">
        <f ca="1">IFERROR(__xludf.DUMMYFUNCTION("""COMPUTED_VALUE"""),"FTE")</f>
        <v>FTE</v>
      </c>
      <c r="M131" s="46" t="str">
        <f ca="1">IFERROR(__xludf.DUMMYFUNCTION("""COMPUTED_VALUE"""),"Leave")</f>
        <v>Leave</v>
      </c>
      <c r="N131" s="46" t="str">
        <f ca="1">IFERROR(__xludf.DUMMYFUNCTION("""COMPUTED_VALUE"""),"x")</f>
        <v>x</v>
      </c>
    </row>
    <row r="132" spans="1:14">
      <c r="A132" s="45" t="str">
        <f ca="1">IFERROR(__xludf.DUMMYFUNCTION("""COMPUTED_VALUE"""),"#N/A")</f>
        <v>#N/A</v>
      </c>
      <c r="B132" s="45" t="str">
        <f ca="1">IFERROR(__xludf.DUMMYFUNCTION("""COMPUTED_VALUE"""),"Đã nghỉ")</f>
        <v>Đã nghỉ</v>
      </c>
      <c r="C132" s="46">
        <f ca="1">IFERROR(__xludf.DUMMYFUNCTION("""COMPUTED_VALUE"""),133)</f>
        <v>133</v>
      </c>
      <c r="D132" s="47" t="str">
        <f ca="1">IFERROR(__xludf.DUMMYFUNCTION("""COMPUTED_VALUE"""),"T0192")</f>
        <v>T0192</v>
      </c>
      <c r="E132" s="46" t="str">
        <f ca="1">IFERROR(__xludf.DUMMYFUNCTION("""COMPUTED_VALUE"""),"LƯƠNG MINH KHOA")</f>
        <v>LƯƠNG MINH KHOA</v>
      </c>
      <c r="F132" s="46" t="str">
        <f ca="1">IFERROR(__xludf.DUMMYFUNCTION("""COMPUTED_VALUE"""),"LUONG MINH KHOA")</f>
        <v>LUONG MINH KHOA</v>
      </c>
      <c r="G132" s="45"/>
      <c r="H132" s="45" t="str">
        <f ca="1">IFERROR(__xludf.DUMMYFUNCTION("""COMPUTED_VALUE"""),"TLC")</f>
        <v>TLC</v>
      </c>
      <c r="I132" s="46" t="str">
        <f ca="1">IFERROR(__xludf.DUMMYFUNCTION("""COMPUTED_VALUE"""),"STORE")</f>
        <v>STORE</v>
      </c>
      <c r="J132" s="46" t="str">
        <f ca="1">IFERROR(__xludf.DUMMYFUNCTION("""COMPUTED_VALUE"""),"BLANK LOUNGE")</f>
        <v>BLANK LOUNGE</v>
      </c>
      <c r="K132" s="46" t="str">
        <f ca="1">IFERROR(__xludf.DUMMYFUNCTION("""COMPUTED_VALUE"""),"Management team")</f>
        <v>Management team</v>
      </c>
      <c r="L132" s="46" t="str">
        <f ca="1">IFERROR(__xludf.DUMMYFUNCTION("""COMPUTED_VALUE"""),"PRO")</f>
        <v>PRO</v>
      </c>
      <c r="M132" s="46" t="str">
        <f ca="1">IFERROR(__xludf.DUMMYFUNCTION("""COMPUTED_VALUE"""),"Leave")</f>
        <v>Leave</v>
      </c>
      <c r="N132" s="46" t="str">
        <f ca="1">IFERROR(__xludf.DUMMYFUNCTION("""COMPUTED_VALUE"""),"x")</f>
        <v>x</v>
      </c>
    </row>
    <row r="133" spans="1:14">
      <c r="A133" s="45" t="str">
        <f ca="1">IFERROR(__xludf.DUMMYFUNCTION("""COMPUTED_VALUE"""),"#N/A")</f>
        <v>#N/A</v>
      </c>
      <c r="B133" s="45" t="str">
        <f ca="1">IFERROR(__xludf.DUMMYFUNCTION("""COMPUTED_VALUE"""),"Đã nghỉ")</f>
        <v>Đã nghỉ</v>
      </c>
      <c r="C133" s="46">
        <f ca="1">IFERROR(__xludf.DUMMYFUNCTION("""COMPUTED_VALUE"""),134)</f>
        <v>134</v>
      </c>
      <c r="D133" s="47" t="str">
        <f ca="1">IFERROR(__xludf.DUMMYFUNCTION("""COMPUTED_VALUE"""),"T0193")</f>
        <v>T0193</v>
      </c>
      <c r="E133" s="46" t="str">
        <f ca="1">IFERROR(__xludf.DUMMYFUNCTION("""COMPUTED_VALUE"""),"NGUYỄN MINH HÙNG")</f>
        <v>NGUYỄN MINH HÙNG</v>
      </c>
      <c r="F133" s="46" t="str">
        <f ca="1">IFERROR(__xludf.DUMMYFUNCTION("""COMPUTED_VALUE"""),"NGUYEN MINH HUNG")</f>
        <v>NGUYEN MINH HUNG</v>
      </c>
      <c r="G133" s="45">
        <f ca="1">IFERROR(__xludf.DUMMYFUNCTION("""COMPUTED_VALUE"""),33669.625)</f>
        <v>33669.625</v>
      </c>
      <c r="H133" s="45" t="str">
        <f ca="1">IFERROR(__xludf.DUMMYFUNCTION("""COMPUTED_VALUE"""),"BAKES")</f>
        <v>BAKES</v>
      </c>
      <c r="I133" s="46" t="str">
        <f ca="1">IFERROR(__xludf.DUMMYFUNCTION("""COMPUTED_VALUE"""),"STORE")</f>
        <v>STORE</v>
      </c>
      <c r="J133" s="46" t="str">
        <f ca="1">IFERROR(__xludf.DUMMYFUNCTION("""COMPUTED_VALUE"""),"BAKES D2")</f>
        <v>BAKES D2</v>
      </c>
      <c r="K133" s="46" t="str">
        <f ca="1">IFERROR(__xludf.DUMMYFUNCTION("""COMPUTED_VALUE"""),"STR")</f>
        <v>STR</v>
      </c>
      <c r="L133" s="46" t="str">
        <f ca="1">IFERROR(__xludf.DUMMYFUNCTION("""COMPUTED_VALUE"""),"PRO")</f>
        <v>PRO</v>
      </c>
      <c r="M133" s="46" t="str">
        <f ca="1">IFERROR(__xludf.DUMMYFUNCTION("""COMPUTED_VALUE"""),"Leave")</f>
        <v>Leave</v>
      </c>
      <c r="N133" s="46" t="str">
        <f ca="1">IFERROR(__xludf.DUMMYFUNCTION("""COMPUTED_VALUE"""),"x")</f>
        <v>x</v>
      </c>
    </row>
    <row r="134" spans="1:14">
      <c r="A134" s="45" t="str">
        <f ca="1">IFERROR(__xludf.DUMMYFUNCTION("""COMPUTED_VALUE"""),"#N/A")</f>
        <v>#N/A</v>
      </c>
      <c r="B134" s="45" t="str">
        <f ca="1">IFERROR(__xludf.DUMMYFUNCTION("""COMPUTED_VALUE"""),"Đã nghỉ")</f>
        <v>Đã nghỉ</v>
      </c>
      <c r="C134" s="46">
        <f ca="1">IFERROR(__xludf.DUMMYFUNCTION("""COMPUTED_VALUE"""),135)</f>
        <v>135</v>
      </c>
      <c r="D134" s="47" t="str">
        <f ca="1">IFERROR(__xludf.DUMMYFUNCTION("""COMPUTED_VALUE"""),"T0194")</f>
        <v>T0194</v>
      </c>
      <c r="E134" s="46" t="str">
        <f ca="1">IFERROR(__xludf.DUMMYFUNCTION("""COMPUTED_VALUE"""),"PHAN TÁI HƯNG")</f>
        <v>PHAN TÁI HƯNG</v>
      </c>
      <c r="F134" s="46" t="str">
        <f ca="1">IFERROR(__xludf.DUMMYFUNCTION("""COMPUTED_VALUE"""),"PHAN TAI HUNG")</f>
        <v>PHAN TAI HUNG</v>
      </c>
      <c r="G134" s="45">
        <f ca="1">IFERROR(__xludf.DUMMYFUNCTION("""COMPUTED_VALUE"""),33519.5833333333)</f>
        <v>33519.583333333299</v>
      </c>
      <c r="H134" s="45" t="str">
        <f ca="1">IFERROR(__xludf.DUMMYFUNCTION("""COMPUTED_VALUE"""),"BAKES")</f>
        <v>BAKES</v>
      </c>
      <c r="I134" s="46" t="str">
        <f ca="1">IFERROR(__xludf.DUMMYFUNCTION("""COMPUTED_VALUE"""),"STORE")</f>
        <v>STORE</v>
      </c>
      <c r="J134" s="46" t="str">
        <f ca="1">IFERROR(__xludf.DUMMYFUNCTION("""COMPUTED_VALUE"""),"BAKES D2")</f>
        <v>BAKES D2</v>
      </c>
      <c r="K134" s="46" t="str">
        <f ca="1">IFERROR(__xludf.DUMMYFUNCTION("""COMPUTED_VALUE"""),"STR")</f>
        <v>STR</v>
      </c>
      <c r="L134" s="46" t="str">
        <f ca="1">IFERROR(__xludf.DUMMYFUNCTION("""COMPUTED_VALUE"""),"FTE")</f>
        <v>FTE</v>
      </c>
      <c r="M134" s="46" t="str">
        <f ca="1">IFERROR(__xludf.DUMMYFUNCTION("""COMPUTED_VALUE"""),"Leave")</f>
        <v>Leave</v>
      </c>
      <c r="N134" s="46" t="str">
        <f ca="1">IFERROR(__xludf.DUMMYFUNCTION("""COMPUTED_VALUE"""),"x")</f>
        <v>x</v>
      </c>
    </row>
    <row r="135" spans="1:14">
      <c r="A135" s="45" t="str">
        <f ca="1">IFERROR(__xludf.DUMMYFUNCTION("""COMPUTED_VALUE"""),"#N/A")</f>
        <v>#N/A</v>
      </c>
      <c r="B135" s="45" t="str">
        <f ca="1">IFERROR(__xludf.DUMMYFUNCTION("""COMPUTED_VALUE"""),"Đã nghỉ")</f>
        <v>Đã nghỉ</v>
      </c>
      <c r="C135" s="46">
        <f ca="1">IFERROR(__xludf.DUMMYFUNCTION("""COMPUTED_VALUE"""),136)</f>
        <v>136</v>
      </c>
      <c r="D135" s="47" t="str">
        <f ca="1">IFERROR(__xludf.DUMMYFUNCTION("""COMPUTED_VALUE"""),"T0195")</f>
        <v>T0195</v>
      </c>
      <c r="E135" s="46" t="str">
        <f ca="1">IFERROR(__xludf.DUMMYFUNCTION("""COMPUTED_VALUE"""),"NGUYỄN ĐỨC PHÁT")</f>
        <v>NGUYỄN ĐỨC PHÁT</v>
      </c>
      <c r="F135" s="46" t="str">
        <f ca="1">IFERROR(__xludf.DUMMYFUNCTION("""COMPUTED_VALUE"""),"NGUYEN DUC PHAT")</f>
        <v>NGUYEN DUC PHAT</v>
      </c>
      <c r="G135" s="45">
        <f ca="1">IFERROR(__xludf.DUMMYFUNCTION("""COMPUTED_VALUE"""),35195.5833333333)</f>
        <v>35195.583333333299</v>
      </c>
      <c r="H135" s="45" t="str">
        <f ca="1">IFERROR(__xludf.DUMMYFUNCTION("""COMPUTED_VALUE"""),"TLC")</f>
        <v>TLC</v>
      </c>
      <c r="I135" s="46" t="str">
        <f ca="1">IFERROR(__xludf.DUMMYFUNCTION("""COMPUTED_VALUE"""),"HO")</f>
        <v>HO</v>
      </c>
      <c r="J135" s="46" t="str">
        <f ca="1">IFERROR(__xludf.DUMMYFUNCTION("""COMPUTED_VALUE"""),"SAL")</f>
        <v>SAL</v>
      </c>
      <c r="K135" s="46" t="str">
        <f ca="1">IFERROR(__xludf.DUMMYFUNCTION("""COMPUTED_VALUE"""),"SAL")</f>
        <v>SAL</v>
      </c>
      <c r="L135" s="46" t="str">
        <f ca="1">IFERROR(__xludf.DUMMYFUNCTION("""COMPUTED_VALUE"""),"PRO")</f>
        <v>PRO</v>
      </c>
      <c r="M135" s="46" t="str">
        <f ca="1">IFERROR(__xludf.DUMMYFUNCTION("""COMPUTED_VALUE"""),"Leave")</f>
        <v>Leave</v>
      </c>
      <c r="N135" s="46" t="str">
        <f ca="1">IFERROR(__xludf.DUMMYFUNCTION("""COMPUTED_VALUE"""),"x")</f>
        <v>x</v>
      </c>
    </row>
    <row r="136" spans="1:14">
      <c r="A136" s="45" t="str">
        <f ca="1">IFERROR(__xludf.DUMMYFUNCTION("""COMPUTED_VALUE"""),"#N/A")</f>
        <v>#N/A</v>
      </c>
      <c r="B136" s="45"/>
      <c r="C136" s="46">
        <f ca="1">IFERROR(__xludf.DUMMYFUNCTION("""COMPUTED_VALUE"""),137)</f>
        <v>137</v>
      </c>
      <c r="D136" s="47" t="str">
        <f ca="1">IFERROR(__xludf.DUMMYFUNCTION("""COMPUTED_VALUE"""),"T0196")</f>
        <v>T0196</v>
      </c>
      <c r="E136" s="46" t="str">
        <f ca="1">IFERROR(__xludf.DUMMYFUNCTION("""COMPUTED_VALUE"""),"TRẦN MINH TRÍ")</f>
        <v>TRẦN MINH TRÍ</v>
      </c>
      <c r="F136" s="46" t="str">
        <f ca="1">IFERROR(__xludf.DUMMYFUNCTION("""COMPUTED_VALUE"""),"TRAN MINH TRI")</f>
        <v>TRAN MINH TRI</v>
      </c>
      <c r="G136" s="45">
        <f ca="1">IFERROR(__xludf.DUMMYFUNCTION("""COMPUTED_VALUE"""),35625.5833333333)</f>
        <v>35625.583333333299</v>
      </c>
      <c r="H136" s="45" t="str">
        <f ca="1">IFERROR(__xludf.DUMMYFUNCTION("""COMPUTED_VALUE"""),"YESHI")</f>
        <v>YESHI</v>
      </c>
      <c r="I136" s="46" t="str">
        <f ca="1">IFERROR(__xludf.DUMMYFUNCTION("""COMPUTED_VALUE"""),"STORE")</f>
        <v>STORE</v>
      </c>
      <c r="J136" s="46" t="str">
        <f ca="1">IFERROR(__xludf.DUMMYFUNCTION("""COMPUTED_VALUE"""),"YESHI D3")</f>
        <v>YESHI D3</v>
      </c>
      <c r="K136" s="46" t="str">
        <f ca="1">IFERROR(__xludf.DUMMYFUNCTION("""COMPUTED_VALUE"""),"Management team")</f>
        <v>Management team</v>
      </c>
      <c r="L136" s="46" t="str">
        <f ca="1">IFERROR(__xludf.DUMMYFUNCTION("""COMPUTED_VALUE"""),"FTE")</f>
        <v>FTE</v>
      </c>
      <c r="M136" s="46" t="str">
        <f ca="1">IFERROR(__xludf.DUMMYFUNCTION("""COMPUTED_VALUE"""),"On")</f>
        <v>On</v>
      </c>
      <c r="N136" s="46" t="str">
        <f ca="1">IFERROR(__xludf.DUMMYFUNCTION("""COMPUTED_VALUE"""),"đủ")</f>
        <v>đủ</v>
      </c>
    </row>
    <row r="137" spans="1:14">
      <c r="A137" s="45" t="str">
        <f ca="1">IFERROR(__xludf.DUMMYFUNCTION("""COMPUTED_VALUE"""),"#N/A")</f>
        <v>#N/A</v>
      </c>
      <c r="B137" s="45" t="str">
        <f ca="1">IFERROR(__xludf.DUMMYFUNCTION("""COMPUTED_VALUE"""),"Đã nghỉ")</f>
        <v>Đã nghỉ</v>
      </c>
      <c r="C137" s="46">
        <f ca="1">IFERROR(__xludf.DUMMYFUNCTION("""COMPUTED_VALUE"""),138)</f>
        <v>138</v>
      </c>
      <c r="D137" s="47" t="str">
        <f ca="1">IFERROR(__xludf.DUMMYFUNCTION("""COMPUTED_VALUE"""),"T0197")</f>
        <v>T0197</v>
      </c>
      <c r="E137" s="46" t="str">
        <f ca="1">IFERROR(__xludf.DUMMYFUNCTION("""COMPUTED_VALUE"""),"VÕ THỊ HỒNG NHUNG")</f>
        <v>VÕ THỊ HỒNG NHUNG</v>
      </c>
      <c r="F137" s="46" t="str">
        <f ca="1">IFERROR(__xludf.DUMMYFUNCTION("""COMPUTED_VALUE"""),"VO THI HONG NHUNG")</f>
        <v>VO THI HONG NHUNG</v>
      </c>
      <c r="G137" s="45">
        <f ca="1">IFERROR(__xludf.DUMMYFUNCTION("""COMPUTED_VALUE"""),34813.5833333333)</f>
        <v>34813.583333333299</v>
      </c>
      <c r="H137" s="45" t="str">
        <f ca="1">IFERROR(__xludf.DUMMYFUNCTION("""COMPUTED_VALUE"""),"SHADOW")</f>
        <v>SHADOW</v>
      </c>
      <c r="I137" s="46" t="str">
        <f ca="1">IFERROR(__xludf.DUMMYFUNCTION("""COMPUTED_VALUE"""),"STORE")</f>
        <v>STORE</v>
      </c>
      <c r="J137" s="46" t="str">
        <f ca="1">IFERROR(__xludf.DUMMYFUNCTION("""COMPUTED_VALUE"""),"BAKES PASTEUR")</f>
        <v>BAKES PASTEUR</v>
      </c>
      <c r="K137" s="46" t="str">
        <f ca="1">IFERROR(__xludf.DUMMYFUNCTION("""COMPUTED_VALUE"""),"STR")</f>
        <v>STR</v>
      </c>
      <c r="L137" s="46" t="str">
        <f ca="1">IFERROR(__xludf.DUMMYFUNCTION("""COMPUTED_VALUE"""),"SER")</f>
        <v>SER</v>
      </c>
      <c r="M137" s="46" t="str">
        <f ca="1">IFERROR(__xludf.DUMMYFUNCTION("""COMPUTED_VALUE"""),"Leave")</f>
        <v>Leave</v>
      </c>
      <c r="N137" s="46" t="str">
        <f ca="1">IFERROR(__xludf.DUMMYFUNCTION("""COMPUTED_VALUE"""),"x")</f>
        <v>x</v>
      </c>
    </row>
    <row r="138" spans="1:14">
      <c r="A138" s="45" t="str">
        <f ca="1">IFERROR(__xludf.DUMMYFUNCTION("""COMPUTED_VALUE"""),"#N/A")</f>
        <v>#N/A</v>
      </c>
      <c r="B138" s="45">
        <f ca="1">IFERROR(__xludf.DUMMYFUNCTION("""COMPUTED_VALUE"""),45413.5833333333)</f>
        <v>45413.583333333299</v>
      </c>
      <c r="C138" s="46">
        <f ca="1">IFERROR(__xludf.DUMMYFUNCTION("""COMPUTED_VALUE"""),139)</f>
        <v>139</v>
      </c>
      <c r="D138" s="47" t="str">
        <f ca="1">IFERROR(__xludf.DUMMYFUNCTION("""COMPUTED_VALUE"""),"T0198")</f>
        <v>T0198</v>
      </c>
      <c r="E138" s="46" t="str">
        <f ca="1">IFERROR(__xludf.DUMMYFUNCTION("""COMPUTED_VALUE"""),"ĐẶNG THỊ MINH CHÂU")</f>
        <v>ĐẶNG THỊ MINH CHÂU</v>
      </c>
      <c r="F138" s="46" t="str">
        <f ca="1">IFERROR(__xludf.DUMMYFUNCTION("""COMPUTED_VALUE"""),"DANG THI MINH CHAU")</f>
        <v>DANG THI MINH CHAU</v>
      </c>
      <c r="G138" s="45">
        <f ca="1">IFERROR(__xludf.DUMMYFUNCTION("""COMPUTED_VALUE"""),33018.5833333333)</f>
        <v>33018.583333333299</v>
      </c>
      <c r="H138" s="45" t="str">
        <f ca="1">IFERROR(__xludf.DUMMYFUNCTION("""COMPUTED_VALUE"""),"KITCHEN PASTRY")</f>
        <v>KITCHEN PASTRY</v>
      </c>
      <c r="I138" s="46" t="str">
        <f ca="1">IFERROR(__xludf.DUMMYFUNCTION("""COMPUTED_VALUE"""),"KITCHEN PASTRY")</f>
        <v>KITCHEN PASTRY</v>
      </c>
      <c r="J138" s="46" t="str">
        <f ca="1">IFERROR(__xludf.DUMMYFUNCTION("""COMPUTED_VALUE"""),"KITCHEN PASTRY")</f>
        <v>KITCHEN PASTRY</v>
      </c>
      <c r="K138" s="46" t="str">
        <f ca="1">IFERROR(__xludf.DUMMYFUNCTION("""COMPUTED_VALUE"""),"KIT")</f>
        <v>KIT</v>
      </c>
      <c r="L138" s="46" t="str">
        <f ca="1">IFERROR(__xludf.DUMMYFUNCTION("""COMPUTED_VALUE"""),"FTE")</f>
        <v>FTE</v>
      </c>
      <c r="M138" s="46" t="str">
        <f ca="1">IFERROR(__xludf.DUMMYFUNCTION("""COMPUTED_VALUE"""),"Leave")</f>
        <v>Leave</v>
      </c>
      <c r="N138" s="46" t="str">
        <f ca="1">IFERROR(__xludf.DUMMYFUNCTION("""COMPUTED_VALUE"""),"x")</f>
        <v>x</v>
      </c>
    </row>
    <row r="139" spans="1:14">
      <c r="A139" s="45" t="str">
        <f ca="1">IFERROR(__xludf.DUMMYFUNCTION("""COMPUTED_VALUE"""),"#N/A")</f>
        <v>#N/A</v>
      </c>
      <c r="B139" s="45"/>
      <c r="C139" s="46">
        <f ca="1">IFERROR(__xludf.DUMMYFUNCTION("""COMPUTED_VALUE"""),140)</f>
        <v>140</v>
      </c>
      <c r="D139" s="47" t="str">
        <f ca="1">IFERROR(__xludf.DUMMYFUNCTION("""COMPUTED_VALUE"""),"T0199")</f>
        <v>T0199</v>
      </c>
      <c r="E139" s="46" t="str">
        <f ca="1">IFERROR(__xludf.DUMMYFUNCTION("""COMPUTED_VALUE"""),"TRẦN NAM HƯNG")</f>
        <v>TRẦN NAM HƯNG</v>
      </c>
      <c r="F139" s="46" t="str">
        <f ca="1">IFERROR(__xludf.DUMMYFUNCTION("""COMPUTED_VALUE"""),"TRAN NAM HUNG")</f>
        <v>TRAN NAM HUNG</v>
      </c>
      <c r="G139" s="45">
        <f ca="1">IFERROR(__xludf.DUMMYFUNCTION("""COMPUTED_VALUE"""),36823.5833333333)</f>
        <v>36823.583333333299</v>
      </c>
      <c r="H139" s="45" t="str">
        <f ca="1">IFERROR(__xludf.DUMMYFUNCTION("""COMPUTED_VALUE"""),"YESHI")</f>
        <v>YESHI</v>
      </c>
      <c r="I139" s="46" t="str">
        <f ca="1">IFERROR(__xludf.DUMMYFUNCTION("""COMPUTED_VALUE"""),"STORE")</f>
        <v>STORE</v>
      </c>
      <c r="J139" s="46" t="str">
        <f ca="1">IFERROR(__xludf.DUMMYFUNCTION("""COMPUTED_VALUE"""),"YESHI D2")</f>
        <v>YESHI D2</v>
      </c>
      <c r="K139" s="46" t="str">
        <f ca="1">IFERROR(__xludf.DUMMYFUNCTION("""COMPUTED_VALUE"""),"Management team")</f>
        <v>Management team</v>
      </c>
      <c r="L139" s="46" t="str">
        <f ca="1">IFERROR(__xludf.DUMMYFUNCTION("""COMPUTED_VALUE"""),"FTE")</f>
        <v>FTE</v>
      </c>
      <c r="M139" s="46" t="str">
        <f ca="1">IFERROR(__xludf.DUMMYFUNCTION("""COMPUTED_VALUE"""),"On")</f>
        <v>On</v>
      </c>
      <c r="N139" s="46" t="str">
        <f ca="1">IFERROR(__xludf.DUMMYFUNCTION("""COMPUTED_VALUE"""),"đủ")</f>
        <v>đủ</v>
      </c>
    </row>
    <row r="140" spans="1:14">
      <c r="A140" s="45" t="str">
        <f ca="1">IFERROR(__xludf.DUMMYFUNCTION("""COMPUTED_VALUE"""),"#N/A")</f>
        <v>#N/A</v>
      </c>
      <c r="B140" s="45" t="str">
        <f ca="1">IFERROR(__xludf.DUMMYFUNCTION("""COMPUTED_VALUE"""),"Đã nghỉ")</f>
        <v>Đã nghỉ</v>
      </c>
      <c r="C140" s="46">
        <f ca="1">IFERROR(__xludf.DUMMYFUNCTION("""COMPUTED_VALUE"""),141)</f>
        <v>141</v>
      </c>
      <c r="D140" s="47" t="str">
        <f ca="1">IFERROR(__xludf.DUMMYFUNCTION("""COMPUTED_VALUE"""),"T0200")</f>
        <v>T0200</v>
      </c>
      <c r="E140" s="46" t="str">
        <f ca="1">IFERROR(__xludf.DUMMYFUNCTION("""COMPUTED_VALUE"""),"TRẦN THỊ ÁI NHI")</f>
        <v>TRẦN THỊ ÁI NHI</v>
      </c>
      <c r="F140" s="46" t="str">
        <f ca="1">IFERROR(__xludf.DUMMYFUNCTION("""COMPUTED_VALUE"""),"TRAN THI AI NHI")</f>
        <v>TRAN THI AI NHI</v>
      </c>
      <c r="G140" s="45">
        <f ca="1">IFERROR(__xludf.DUMMYFUNCTION("""COMPUTED_VALUE"""),35833.625)</f>
        <v>35833.625</v>
      </c>
      <c r="H140" s="45" t="str">
        <f ca="1">IFERROR(__xludf.DUMMYFUNCTION("""COMPUTED_VALUE"""),"TLC")</f>
        <v>TLC</v>
      </c>
      <c r="I140" s="46" t="str">
        <f ca="1">IFERROR(__xludf.DUMMYFUNCTION("""COMPUTED_VALUE"""),"HO")</f>
        <v>HO</v>
      </c>
      <c r="J140" s="46" t="str">
        <f ca="1">IFERROR(__xludf.DUMMYFUNCTION("""COMPUTED_VALUE"""),"CUS")</f>
        <v>CUS</v>
      </c>
      <c r="K140" s="46" t="str">
        <f ca="1">IFERROR(__xludf.DUMMYFUNCTION("""COMPUTED_VALUE"""),"CUS")</f>
        <v>CUS</v>
      </c>
      <c r="L140" s="46" t="str">
        <f ca="1">IFERROR(__xludf.DUMMYFUNCTION("""COMPUTED_VALUE"""),"SER")</f>
        <v>SER</v>
      </c>
      <c r="M140" s="46" t="str">
        <f ca="1">IFERROR(__xludf.DUMMYFUNCTION("""COMPUTED_VALUE"""),"Leave")</f>
        <v>Leave</v>
      </c>
      <c r="N140" s="46" t="str">
        <f ca="1">IFERROR(__xludf.DUMMYFUNCTION("""COMPUTED_VALUE"""),"x")</f>
        <v>x</v>
      </c>
    </row>
    <row r="141" spans="1:14">
      <c r="A141" s="45" t="str">
        <f ca="1">IFERROR(__xludf.DUMMYFUNCTION("""COMPUTED_VALUE"""),"#N/A")</f>
        <v>#N/A</v>
      </c>
      <c r="B141" s="45">
        <f ca="1">IFERROR(__xludf.DUMMYFUNCTION("""COMPUTED_VALUE"""),45171.5833333333)</f>
        <v>45171.583333333299</v>
      </c>
      <c r="C141" s="46">
        <f ca="1">IFERROR(__xludf.DUMMYFUNCTION("""COMPUTED_VALUE"""),142)</f>
        <v>142</v>
      </c>
      <c r="D141" s="47" t="str">
        <f ca="1">IFERROR(__xludf.DUMMYFUNCTION("""COMPUTED_VALUE"""),"T0201")</f>
        <v>T0201</v>
      </c>
      <c r="E141" s="46" t="str">
        <f ca="1">IFERROR(__xludf.DUMMYFUNCTION("""COMPUTED_VALUE"""),"NGUYỄN PHƯƠNG TRÀ MI")</f>
        <v>NGUYỄN PHƯƠNG TRÀ MI</v>
      </c>
      <c r="F141" s="46" t="str">
        <f ca="1">IFERROR(__xludf.DUMMYFUNCTION("""COMPUTED_VALUE"""),"NGUYEN PHUONG TRA MI")</f>
        <v>NGUYEN PHUONG TRA MI</v>
      </c>
      <c r="G141" s="45">
        <f ca="1">IFERROR(__xludf.DUMMYFUNCTION("""COMPUTED_VALUE"""),36868.625)</f>
        <v>36868.625</v>
      </c>
      <c r="H141" s="45" t="str">
        <f ca="1">IFERROR(__xludf.DUMMYFUNCTION("""COMPUTED_VALUE"""),"TLC")</f>
        <v>TLC</v>
      </c>
      <c r="I141" s="46" t="str">
        <f ca="1">IFERROR(__xludf.DUMMYFUNCTION("""COMPUTED_VALUE"""),"HO")</f>
        <v>HO</v>
      </c>
      <c r="J141" s="46" t="str">
        <f ca="1">IFERROR(__xludf.DUMMYFUNCTION("""COMPUTED_VALUE"""),"MKT")</f>
        <v>MKT</v>
      </c>
      <c r="K141" s="46" t="str">
        <f ca="1">IFERROR(__xludf.DUMMYFUNCTION("""COMPUTED_VALUE"""),"MKT")</f>
        <v>MKT</v>
      </c>
      <c r="L141" s="46" t="str">
        <f ca="1">IFERROR(__xludf.DUMMYFUNCTION("""COMPUTED_VALUE"""),"FTE")</f>
        <v>FTE</v>
      </c>
      <c r="M141" s="46" t="str">
        <f ca="1">IFERROR(__xludf.DUMMYFUNCTION("""COMPUTED_VALUE"""),"Leave")</f>
        <v>Leave</v>
      </c>
      <c r="N141" s="46" t="str">
        <f ca="1">IFERROR(__xludf.DUMMYFUNCTION("""COMPUTED_VALUE"""),"x")</f>
        <v>x</v>
      </c>
    </row>
    <row r="142" spans="1:14">
      <c r="A142" s="45" t="str">
        <f ca="1">IFERROR(__xludf.DUMMYFUNCTION("""COMPUTED_VALUE"""),"#N/A")</f>
        <v>#N/A</v>
      </c>
      <c r="B142" s="45" t="str">
        <f ca="1">IFERROR(__xludf.DUMMYFUNCTION("""COMPUTED_VALUE"""),"Đã nghỉ")</f>
        <v>Đã nghỉ</v>
      </c>
      <c r="C142" s="46">
        <f ca="1">IFERROR(__xludf.DUMMYFUNCTION("""COMPUTED_VALUE"""),143)</f>
        <v>143</v>
      </c>
      <c r="D142" s="47" t="str">
        <f ca="1">IFERROR(__xludf.DUMMYFUNCTION("""COMPUTED_VALUE"""),"T0203")</f>
        <v>T0203</v>
      </c>
      <c r="E142" s="46" t="str">
        <f ca="1">IFERROR(__xludf.DUMMYFUNCTION("""COMPUTED_VALUE"""),"NGÔ VĂN THẮNG")</f>
        <v>NGÔ VĂN THẮNG</v>
      </c>
      <c r="F142" s="46" t="str">
        <f ca="1">IFERROR(__xludf.DUMMYFUNCTION("""COMPUTED_VALUE"""),"NGO VAN THANG")</f>
        <v>NGO VAN THANG</v>
      </c>
      <c r="G142" s="45">
        <f ca="1">IFERROR(__xludf.DUMMYFUNCTION("""COMPUTED_VALUE"""),35976.5833333333)</f>
        <v>35976.583333333299</v>
      </c>
      <c r="H142" s="45" t="str">
        <f ca="1">IFERROR(__xludf.DUMMYFUNCTION("""COMPUTED_VALUE"""),"BAKES")</f>
        <v>BAKES</v>
      </c>
      <c r="I142" s="46" t="str">
        <f ca="1">IFERROR(__xludf.DUMMYFUNCTION("""COMPUTED_VALUE"""),"STORE")</f>
        <v>STORE</v>
      </c>
      <c r="J142" s="46" t="str">
        <f ca="1">IFERROR(__xludf.DUMMYFUNCTION("""COMPUTED_VALUE"""),"BAKES D2")</f>
        <v>BAKES D2</v>
      </c>
      <c r="K142" s="46" t="str">
        <f ca="1">IFERROR(__xludf.DUMMYFUNCTION("""COMPUTED_VALUE"""),"KIT")</f>
        <v>KIT</v>
      </c>
      <c r="L142" s="46" t="str">
        <f ca="1">IFERROR(__xludf.DUMMYFUNCTION("""COMPUTED_VALUE"""),"PRO")</f>
        <v>PRO</v>
      </c>
      <c r="M142" s="46" t="str">
        <f ca="1">IFERROR(__xludf.DUMMYFUNCTION("""COMPUTED_VALUE"""),"Leave")</f>
        <v>Leave</v>
      </c>
      <c r="N142" s="46" t="str">
        <f ca="1">IFERROR(__xludf.DUMMYFUNCTION("""COMPUTED_VALUE"""),"x")</f>
        <v>x</v>
      </c>
    </row>
    <row r="143" spans="1:14">
      <c r="A143" s="45" t="str">
        <f ca="1">IFERROR(__xludf.DUMMYFUNCTION("""COMPUTED_VALUE"""),"#N/A")</f>
        <v>#N/A</v>
      </c>
      <c r="B143" s="45" t="str">
        <f ca="1">IFERROR(__xludf.DUMMYFUNCTION("""COMPUTED_VALUE"""),"Đã nghỉ")</f>
        <v>Đã nghỉ</v>
      </c>
      <c r="C143" s="46">
        <f ca="1">IFERROR(__xludf.DUMMYFUNCTION("""COMPUTED_VALUE"""),144)</f>
        <v>144</v>
      </c>
      <c r="D143" s="47" t="str">
        <f ca="1">IFERROR(__xludf.DUMMYFUNCTION("""COMPUTED_VALUE"""),"T0204")</f>
        <v>T0204</v>
      </c>
      <c r="E143" s="46" t="str">
        <f ca="1">IFERROR(__xludf.DUMMYFUNCTION("""COMPUTED_VALUE"""),"LÊ HUỲNH THƯƠNG")</f>
        <v>LÊ HUỲNH THƯƠNG</v>
      </c>
      <c r="F143" s="46" t="str">
        <f ca="1">IFERROR(__xludf.DUMMYFUNCTION("""COMPUTED_VALUE"""),"LE HUYNH THUONG")</f>
        <v>LE HUYNH THUONG</v>
      </c>
      <c r="G143" s="45">
        <f ca="1">IFERROR(__xludf.DUMMYFUNCTION("""COMPUTED_VALUE"""),31457.625)</f>
        <v>31457.625</v>
      </c>
      <c r="H143" s="45" t="str">
        <f ca="1">IFERROR(__xludf.DUMMYFUNCTION("""COMPUTED_VALUE"""),"BAKES")</f>
        <v>BAKES</v>
      </c>
      <c r="I143" s="46" t="str">
        <f ca="1">IFERROR(__xludf.DUMMYFUNCTION("""COMPUTED_VALUE"""),"STORE")</f>
        <v>STORE</v>
      </c>
      <c r="J143" s="46" t="str">
        <f ca="1">IFERROR(__xludf.DUMMYFUNCTION("""COMPUTED_VALUE"""),"BAKES D2")</f>
        <v>BAKES D2</v>
      </c>
      <c r="K143" s="46" t="str">
        <f ca="1">IFERROR(__xludf.DUMMYFUNCTION("""COMPUTED_VALUE"""),"KIT")</f>
        <v>KIT</v>
      </c>
      <c r="L143" s="46" t="str">
        <f ca="1">IFERROR(__xludf.DUMMYFUNCTION("""COMPUTED_VALUE"""),"PRO")</f>
        <v>PRO</v>
      </c>
      <c r="M143" s="46" t="str">
        <f ca="1">IFERROR(__xludf.DUMMYFUNCTION("""COMPUTED_VALUE"""),"Leave")</f>
        <v>Leave</v>
      </c>
      <c r="N143" s="46" t="str">
        <f ca="1">IFERROR(__xludf.DUMMYFUNCTION("""COMPUTED_VALUE"""),"x")</f>
        <v>x</v>
      </c>
    </row>
    <row r="144" spans="1:14">
      <c r="A144" s="45" t="str">
        <f ca="1">IFERROR(__xludf.DUMMYFUNCTION("""COMPUTED_VALUE"""),"#N/A")</f>
        <v>#N/A</v>
      </c>
      <c r="B144" s="45">
        <f ca="1">IFERROR(__xludf.DUMMYFUNCTION("""COMPUTED_VALUE"""),45389.5833333333)</f>
        <v>45389.583333333299</v>
      </c>
      <c r="C144" s="46">
        <f ca="1">IFERROR(__xludf.DUMMYFUNCTION("""COMPUTED_VALUE"""),145)</f>
        <v>145</v>
      </c>
      <c r="D144" s="47" t="str">
        <f ca="1">IFERROR(__xludf.DUMMYFUNCTION("""COMPUTED_VALUE"""),"T0205")</f>
        <v>T0205</v>
      </c>
      <c r="E144" s="46" t="str">
        <f ca="1">IFERROR(__xludf.DUMMYFUNCTION("""COMPUTED_VALUE"""),"NGUYỄN LÊ PHƯƠNG LINH")</f>
        <v>NGUYỄN LÊ PHƯƠNG LINH</v>
      </c>
      <c r="F144" s="46" t="str">
        <f ca="1">IFERROR(__xludf.DUMMYFUNCTION("""COMPUTED_VALUE"""),"NGUYEN LE PHUONG LINH")</f>
        <v>NGUYEN LE PHUONG LINH</v>
      </c>
      <c r="G144" s="45">
        <f ca="1">IFERROR(__xludf.DUMMYFUNCTION("""COMPUTED_VALUE"""),36383.5833333333)</f>
        <v>36383.583333333299</v>
      </c>
      <c r="H144" s="45" t="str">
        <f ca="1">IFERROR(__xludf.DUMMYFUNCTION("""COMPUTED_VALUE"""),"KITCHEN PASTRY")</f>
        <v>KITCHEN PASTRY</v>
      </c>
      <c r="I144" s="46" t="str">
        <f ca="1">IFERROR(__xludf.DUMMYFUNCTION("""COMPUTED_VALUE"""),"KITCHEN PASTRY")</f>
        <v>KITCHEN PASTRY</v>
      </c>
      <c r="J144" s="46" t="str">
        <f ca="1">IFERROR(__xludf.DUMMYFUNCTION("""COMPUTED_VALUE"""),"KITCHEN PASTRY")</f>
        <v>KITCHEN PASTRY</v>
      </c>
      <c r="K144" s="46" t="str">
        <f ca="1">IFERROR(__xludf.DUMMYFUNCTION("""COMPUTED_VALUE"""),"KIT")</f>
        <v>KIT</v>
      </c>
      <c r="L144" s="46" t="str">
        <f ca="1">IFERROR(__xludf.DUMMYFUNCTION("""COMPUTED_VALUE"""),"FTE")</f>
        <v>FTE</v>
      </c>
      <c r="M144" s="46" t="str">
        <f ca="1">IFERROR(__xludf.DUMMYFUNCTION("""COMPUTED_VALUE"""),"Leave")</f>
        <v>Leave</v>
      </c>
      <c r="N144" s="46" t="str">
        <f ca="1">IFERROR(__xludf.DUMMYFUNCTION("""COMPUTED_VALUE"""),"x")</f>
        <v>x</v>
      </c>
    </row>
    <row r="145" spans="1:14">
      <c r="A145" s="45" t="str">
        <f ca="1">IFERROR(__xludf.DUMMYFUNCTION("""COMPUTED_VALUE"""),"#N/A")</f>
        <v>#N/A</v>
      </c>
      <c r="B145" s="45">
        <f ca="1">IFERROR(__xludf.DUMMYFUNCTION("""COMPUTED_VALUE"""),45171.5833333333)</f>
        <v>45171.583333333299</v>
      </c>
      <c r="C145" s="46">
        <f ca="1">IFERROR(__xludf.DUMMYFUNCTION("""COMPUTED_VALUE"""),146)</f>
        <v>146</v>
      </c>
      <c r="D145" s="47" t="str">
        <f ca="1">IFERROR(__xludf.DUMMYFUNCTION("""COMPUTED_VALUE"""),"T0206")</f>
        <v>T0206</v>
      </c>
      <c r="E145" s="46" t="str">
        <f ca="1">IFERROR(__xludf.DUMMYFUNCTION("""COMPUTED_VALUE"""),"NGUYỄN THÚY NGỌC ANH")</f>
        <v>NGUYỄN THÚY NGỌC ANH</v>
      </c>
      <c r="F145" s="46" t="str">
        <f ca="1">IFERROR(__xludf.DUMMYFUNCTION("""COMPUTED_VALUE"""),"NGUYEN THUY NGOC ANH")</f>
        <v>NGUYEN THUY NGOC ANH</v>
      </c>
      <c r="G145" s="45">
        <f ca="1">IFERROR(__xludf.DUMMYFUNCTION("""COMPUTED_VALUE"""),35427.625)</f>
        <v>35427.625</v>
      </c>
      <c r="H145" s="45" t="str">
        <f ca="1">IFERROR(__xludf.DUMMYFUNCTION("""COMPUTED_VALUE"""),"TLC")</f>
        <v>TLC</v>
      </c>
      <c r="I145" s="46" t="str">
        <f ca="1">IFERROR(__xludf.DUMMYFUNCTION("""COMPUTED_VALUE"""),"HO")</f>
        <v>HO</v>
      </c>
      <c r="J145" s="46" t="str">
        <f ca="1">IFERROR(__xludf.DUMMYFUNCTION("""COMPUTED_VALUE"""),"MKT")</f>
        <v>MKT</v>
      </c>
      <c r="K145" s="46" t="str">
        <f ca="1">IFERROR(__xludf.DUMMYFUNCTION("""COMPUTED_VALUE"""),"MKT")</f>
        <v>MKT</v>
      </c>
      <c r="L145" s="46" t="str">
        <f ca="1">IFERROR(__xludf.DUMMYFUNCTION("""COMPUTED_VALUE"""),"FTE")</f>
        <v>FTE</v>
      </c>
      <c r="M145" s="46" t="str">
        <f ca="1">IFERROR(__xludf.DUMMYFUNCTION("""COMPUTED_VALUE"""),"Leave")</f>
        <v>Leave</v>
      </c>
      <c r="N145" s="46" t="str">
        <f ca="1">IFERROR(__xludf.DUMMYFUNCTION("""COMPUTED_VALUE"""),"x")</f>
        <v>x</v>
      </c>
    </row>
    <row r="146" spans="1:14">
      <c r="A146" s="45" t="str">
        <f ca="1">IFERROR(__xludf.DUMMYFUNCTION("""COMPUTED_VALUE"""),"#N/A")</f>
        <v>#N/A</v>
      </c>
      <c r="B146" s="45" t="str">
        <f ca="1">IFERROR(__xludf.DUMMYFUNCTION("""COMPUTED_VALUE"""),"Đã nghỉ")</f>
        <v>Đã nghỉ</v>
      </c>
      <c r="C146" s="46">
        <f ca="1">IFERROR(__xludf.DUMMYFUNCTION("""COMPUTED_VALUE"""),147)</f>
        <v>147</v>
      </c>
      <c r="D146" s="47" t="str">
        <f ca="1">IFERROR(__xludf.DUMMYFUNCTION("""COMPUTED_VALUE"""),"T0207")</f>
        <v>T0207</v>
      </c>
      <c r="E146" s="46" t="str">
        <f ca="1">IFERROR(__xludf.DUMMYFUNCTION("""COMPUTED_VALUE"""),"DƯƠNG GIA HƯNG")</f>
        <v>DƯƠNG GIA HƯNG</v>
      </c>
      <c r="F146" s="46" t="str">
        <f ca="1">IFERROR(__xludf.DUMMYFUNCTION("""COMPUTED_VALUE"""),"DUONG GIA HUNG")</f>
        <v>DUONG GIA HUNG</v>
      </c>
      <c r="G146" s="45">
        <f ca="1">IFERROR(__xludf.DUMMYFUNCTION("""COMPUTED_VALUE"""),37195.625)</f>
        <v>37195.625</v>
      </c>
      <c r="H146" s="45" t="str">
        <f ca="1">IFERROR(__xludf.DUMMYFUNCTION("""COMPUTED_VALUE"""),"TLC")</f>
        <v>TLC</v>
      </c>
      <c r="I146" s="46" t="str">
        <f ca="1">IFERROR(__xludf.DUMMYFUNCTION("""COMPUTED_VALUE"""),"STORE")</f>
        <v>STORE</v>
      </c>
      <c r="J146" s="46"/>
      <c r="K146" s="46"/>
      <c r="L146" s="46" t="str">
        <f ca="1">IFERROR(__xludf.DUMMYFUNCTION("""COMPUTED_VALUE"""),"FTE")</f>
        <v>FTE</v>
      </c>
      <c r="M146" s="46" t="str">
        <f ca="1">IFERROR(__xludf.DUMMYFUNCTION("""COMPUTED_VALUE"""),"Leave")</f>
        <v>Leave</v>
      </c>
      <c r="N146" s="46" t="str">
        <f ca="1">IFERROR(__xludf.DUMMYFUNCTION("""COMPUTED_VALUE"""),"đủ")</f>
        <v>đủ</v>
      </c>
    </row>
    <row r="147" spans="1:14">
      <c r="A147" s="45" t="str">
        <f ca="1">IFERROR(__xludf.DUMMYFUNCTION("""COMPUTED_VALUE"""),"#N/A")</f>
        <v>#N/A</v>
      </c>
      <c r="B147" s="45">
        <f ca="1">IFERROR(__xludf.DUMMYFUNCTION("""COMPUTED_VALUE"""),45508.5833333333)</f>
        <v>45508.583333333299</v>
      </c>
      <c r="C147" s="46">
        <f ca="1">IFERROR(__xludf.DUMMYFUNCTION("""COMPUTED_VALUE"""),148)</f>
        <v>148</v>
      </c>
      <c r="D147" s="47" t="str">
        <f ca="1">IFERROR(__xludf.DUMMYFUNCTION("""COMPUTED_VALUE"""),"T0208")</f>
        <v>T0208</v>
      </c>
      <c r="E147" s="46" t="str">
        <f ca="1">IFERROR(__xludf.DUMMYFUNCTION("""COMPUTED_VALUE"""),"HUỲNH NGỌC THANH HẰNG")</f>
        <v>HUỲNH NGỌC THANH HẰNG</v>
      </c>
      <c r="F147" s="46" t="str">
        <f ca="1">IFERROR(__xludf.DUMMYFUNCTION("""COMPUTED_VALUE"""),"HUYNH NGOC THANH HANG")</f>
        <v>HUYNH NGOC THANH HANG</v>
      </c>
      <c r="G147" s="45">
        <f ca="1">IFERROR(__xludf.DUMMYFUNCTION("""COMPUTED_VALUE"""),36629.5833333333)</f>
        <v>36629.583333333299</v>
      </c>
      <c r="H147" s="45" t="str">
        <f ca="1">IFERROR(__xludf.DUMMYFUNCTION("""COMPUTED_VALUE"""),"TLC")</f>
        <v>TLC</v>
      </c>
      <c r="I147" s="46" t="str">
        <f ca="1">IFERROR(__xludf.DUMMYFUNCTION("""COMPUTED_VALUE"""),"HO")</f>
        <v>HO</v>
      </c>
      <c r="J147" s="46" t="str">
        <f ca="1">IFERROR(__xludf.DUMMYFUNCTION("""COMPUTED_VALUE"""),"CUS")</f>
        <v>CUS</v>
      </c>
      <c r="K147" s="46" t="str">
        <f ca="1">IFERROR(__xludf.DUMMYFUNCTION("""COMPUTED_VALUE"""),"CUS")</f>
        <v>CUS</v>
      </c>
      <c r="L147" s="46" t="str">
        <f ca="1">IFERROR(__xludf.DUMMYFUNCTION("""COMPUTED_VALUE"""),"FTE")</f>
        <v>FTE</v>
      </c>
      <c r="M147" s="46" t="str">
        <f ca="1">IFERROR(__xludf.DUMMYFUNCTION("""COMPUTED_VALUE"""),"Leave")</f>
        <v>Leave</v>
      </c>
      <c r="N147" s="46" t="str">
        <f ca="1">IFERROR(__xludf.DUMMYFUNCTION("""COMPUTED_VALUE"""),"x")</f>
        <v>x</v>
      </c>
    </row>
    <row r="148" spans="1:14">
      <c r="A148" s="45" t="str">
        <f ca="1">IFERROR(__xludf.DUMMYFUNCTION("""COMPUTED_VALUE"""),"#N/A")</f>
        <v>#N/A</v>
      </c>
      <c r="B148" s="45">
        <f ca="1">IFERROR(__xludf.DUMMYFUNCTION("""COMPUTED_VALUE"""),45200.5833333333)</f>
        <v>45200.583333333299</v>
      </c>
      <c r="C148" s="46">
        <f ca="1">IFERROR(__xludf.DUMMYFUNCTION("""COMPUTED_VALUE"""),149)</f>
        <v>149</v>
      </c>
      <c r="D148" s="47" t="str">
        <f ca="1">IFERROR(__xludf.DUMMYFUNCTION("""COMPUTED_VALUE"""),"T0209")</f>
        <v>T0209</v>
      </c>
      <c r="E148" s="46" t="str">
        <f ca="1">IFERROR(__xludf.DUMMYFUNCTION("""COMPUTED_VALUE"""),"NGUYỄN THỊ MỸ TRÚC")</f>
        <v>NGUYỄN THỊ MỸ TRÚC</v>
      </c>
      <c r="F148" s="46" t="str">
        <f ca="1">IFERROR(__xludf.DUMMYFUNCTION("""COMPUTED_VALUE"""),"NGUYEN THI MY TRUC")</f>
        <v>NGUYEN THI MY TRUC</v>
      </c>
      <c r="G148" s="45">
        <f ca="1">IFERROR(__xludf.DUMMYFUNCTION("""COMPUTED_VALUE"""),36534.625)</f>
        <v>36534.625</v>
      </c>
      <c r="H148" s="45" t="str">
        <f ca="1">IFERROR(__xludf.DUMMYFUNCTION("""COMPUTED_VALUE"""),"TLC")</f>
        <v>TLC</v>
      </c>
      <c r="I148" s="46" t="str">
        <f ca="1">IFERROR(__xludf.DUMMYFUNCTION("""COMPUTED_VALUE"""),"HO")</f>
        <v>HO</v>
      </c>
      <c r="J148" s="46" t="str">
        <f ca="1">IFERROR(__xludf.DUMMYFUNCTION("""COMPUTED_VALUE"""),"CUS")</f>
        <v>CUS</v>
      </c>
      <c r="K148" s="46" t="str">
        <f ca="1">IFERROR(__xludf.DUMMYFUNCTION("""COMPUTED_VALUE"""),"CUS")</f>
        <v>CUS</v>
      </c>
      <c r="L148" s="46" t="str">
        <f ca="1">IFERROR(__xludf.DUMMYFUNCTION("""COMPUTED_VALUE"""),"FTE")</f>
        <v>FTE</v>
      </c>
      <c r="M148" s="46" t="str">
        <f ca="1">IFERROR(__xludf.DUMMYFUNCTION("""COMPUTED_VALUE"""),"Leave")</f>
        <v>Leave</v>
      </c>
      <c r="N148" s="46" t="str">
        <f ca="1">IFERROR(__xludf.DUMMYFUNCTION("""COMPUTED_VALUE"""),"x")</f>
        <v>x</v>
      </c>
    </row>
    <row r="149" spans="1:14">
      <c r="A149" s="45" t="str">
        <f ca="1">IFERROR(__xludf.DUMMYFUNCTION("""COMPUTED_VALUE"""),"#N/A")</f>
        <v>#N/A</v>
      </c>
      <c r="B149" s="45">
        <f ca="1">IFERROR(__xludf.DUMMYFUNCTION("""COMPUTED_VALUE"""),45613.625)</f>
        <v>45613.625</v>
      </c>
      <c r="C149" s="46">
        <f ca="1">IFERROR(__xludf.DUMMYFUNCTION("""COMPUTED_VALUE"""),150)</f>
        <v>150</v>
      </c>
      <c r="D149" s="47" t="str">
        <f ca="1">IFERROR(__xludf.DUMMYFUNCTION("""COMPUTED_VALUE"""),"T0210")</f>
        <v>T0210</v>
      </c>
      <c r="E149" s="46" t="str">
        <f ca="1">IFERROR(__xludf.DUMMYFUNCTION("""COMPUTED_VALUE"""),"TRƯƠNG QUANG HẢI")</f>
        <v>TRƯƠNG QUANG HẢI</v>
      </c>
      <c r="F149" s="46" t="str">
        <f ca="1">IFERROR(__xludf.DUMMYFUNCTION("""COMPUTED_VALUE"""),"TRUONG QUANG HAI")</f>
        <v>TRUONG QUANG HAI</v>
      </c>
      <c r="G149" s="45">
        <f ca="1">IFERROR(__xludf.DUMMYFUNCTION("""COMPUTED_VALUE"""),34439.5833333333)</f>
        <v>34439.583333333299</v>
      </c>
      <c r="H149" s="45" t="str">
        <f ca="1">IFERROR(__xludf.DUMMYFUNCTION("""COMPUTED_VALUE"""),"KITCHEN PASTRY")</f>
        <v>KITCHEN PASTRY</v>
      </c>
      <c r="I149" s="46" t="str">
        <f ca="1">IFERROR(__xludf.DUMMYFUNCTION("""COMPUTED_VALUE"""),"KITCHEN PASTRY")</f>
        <v>KITCHEN PASTRY</v>
      </c>
      <c r="J149" s="46" t="str">
        <f ca="1">IFERROR(__xludf.DUMMYFUNCTION("""COMPUTED_VALUE"""),"KITCHEN PASTRY")</f>
        <v>KITCHEN PASTRY</v>
      </c>
      <c r="K149" s="46" t="str">
        <f ca="1">IFERROR(__xludf.DUMMYFUNCTION("""COMPUTED_VALUE"""),"BAKER")</f>
        <v>BAKER</v>
      </c>
      <c r="L149" s="46" t="str">
        <f ca="1">IFERROR(__xludf.DUMMYFUNCTION("""COMPUTED_VALUE"""),"FTE")</f>
        <v>FTE</v>
      </c>
      <c r="M149" s="46" t="str">
        <f ca="1">IFERROR(__xludf.DUMMYFUNCTION("""COMPUTED_VALUE"""),"Leave")</f>
        <v>Leave</v>
      </c>
      <c r="N149" s="46" t="str">
        <f ca="1">IFERROR(__xludf.DUMMYFUNCTION("""COMPUTED_VALUE"""),"x")</f>
        <v>x</v>
      </c>
    </row>
    <row r="150" spans="1:14">
      <c r="A150" s="45" t="str">
        <f ca="1">IFERROR(__xludf.DUMMYFUNCTION("""COMPUTED_VALUE"""),"#N/A")</f>
        <v>#N/A</v>
      </c>
      <c r="B150" s="45">
        <f ca="1">IFERROR(__xludf.DUMMYFUNCTION("""COMPUTED_VALUE"""),45343.625)</f>
        <v>45343.625</v>
      </c>
      <c r="C150" s="46">
        <f ca="1">IFERROR(__xludf.DUMMYFUNCTION("""COMPUTED_VALUE"""),151)</f>
        <v>151</v>
      </c>
      <c r="D150" s="47" t="str">
        <f ca="1">IFERROR(__xludf.DUMMYFUNCTION("""COMPUTED_VALUE"""),"T0211")</f>
        <v>T0211</v>
      </c>
      <c r="E150" s="46" t="str">
        <f ca="1">IFERROR(__xludf.DUMMYFUNCTION("""COMPUTED_VALUE"""),"NGUYỄN NGỌC TUYẾT QUỲNH")</f>
        <v>NGUYỄN NGỌC TUYẾT QUỲNH</v>
      </c>
      <c r="F150" s="46" t="str">
        <f ca="1">IFERROR(__xludf.DUMMYFUNCTION("""COMPUTED_VALUE"""),"NGUYEN NGOC TUYET QUYNH")</f>
        <v>NGUYEN NGOC TUYET QUYNH</v>
      </c>
      <c r="G150" s="45">
        <f ca="1">IFERROR(__xludf.DUMMYFUNCTION("""COMPUTED_VALUE"""),35929.5833333333)</f>
        <v>35929.583333333299</v>
      </c>
      <c r="H150" s="45" t="str">
        <f ca="1">IFERROR(__xludf.DUMMYFUNCTION("""COMPUTED_VALUE"""),"TLC")</f>
        <v>TLC</v>
      </c>
      <c r="I150" s="46" t="str">
        <f ca="1">IFERROR(__xludf.DUMMYFUNCTION("""COMPUTED_VALUE"""),"STORE")</f>
        <v>STORE</v>
      </c>
      <c r="J150" s="46" t="str">
        <f ca="1">IFERROR(__xludf.DUMMYFUNCTION("""COMPUTED_VALUE"""),"BAKES HCR")</f>
        <v>BAKES HCR</v>
      </c>
      <c r="K150" s="46" t="str">
        <f ca="1">IFERROR(__xludf.DUMMYFUNCTION("""COMPUTED_VALUE"""),"Management team")</f>
        <v>Management team</v>
      </c>
      <c r="L150" s="46" t="str">
        <f ca="1">IFERROR(__xludf.DUMMYFUNCTION("""COMPUTED_VALUE"""),"FTE")</f>
        <v>FTE</v>
      </c>
      <c r="M150" s="46" t="str">
        <f ca="1">IFERROR(__xludf.DUMMYFUNCTION("""COMPUTED_VALUE"""),"Leave")</f>
        <v>Leave</v>
      </c>
      <c r="N150" s="46" t="str">
        <f ca="1">IFERROR(__xludf.DUMMYFUNCTION("""COMPUTED_VALUE"""),"x")</f>
        <v>x</v>
      </c>
    </row>
    <row r="151" spans="1:14">
      <c r="A151" s="45" t="str">
        <f ca="1">IFERROR(__xludf.DUMMYFUNCTION("""COMPUTED_VALUE"""),"#N/A")</f>
        <v>#N/A</v>
      </c>
      <c r="B151" s="45">
        <f ca="1">IFERROR(__xludf.DUMMYFUNCTION("""COMPUTED_VALUE"""),44969.625)</f>
        <v>44969.625</v>
      </c>
      <c r="C151" s="46">
        <f ca="1">IFERROR(__xludf.DUMMYFUNCTION("""COMPUTED_VALUE"""),152)</f>
        <v>152</v>
      </c>
      <c r="D151" s="47" t="str">
        <f ca="1">IFERROR(__xludf.DUMMYFUNCTION("""COMPUTED_VALUE"""),"T0212")</f>
        <v>T0212</v>
      </c>
      <c r="E151" s="46" t="str">
        <f ca="1">IFERROR(__xludf.DUMMYFUNCTION("""COMPUTED_VALUE"""),"TRẦN DIỆU LINH")</f>
        <v>TRẦN DIỆU LINH</v>
      </c>
      <c r="F151" s="46" t="str">
        <f ca="1">IFERROR(__xludf.DUMMYFUNCTION("""COMPUTED_VALUE"""),"TRAN DIEU LINH")</f>
        <v>TRAN DIEU LINH</v>
      </c>
      <c r="G151" s="45">
        <f ca="1">IFERROR(__xludf.DUMMYFUNCTION("""COMPUTED_VALUE"""),35549.5833333333)</f>
        <v>35549.583333333299</v>
      </c>
      <c r="H151" s="45" t="str">
        <f ca="1">IFERROR(__xludf.DUMMYFUNCTION("""COMPUTED_VALUE"""),"TLC")</f>
        <v>TLC</v>
      </c>
      <c r="I151" s="46" t="str">
        <f ca="1">IFERROR(__xludf.DUMMYFUNCTION("""COMPUTED_VALUE"""),"HO")</f>
        <v>HO</v>
      </c>
      <c r="J151" s="46" t="str">
        <f ca="1">IFERROR(__xludf.DUMMYFUNCTION("""COMPUTED_VALUE"""),"SAL")</f>
        <v>SAL</v>
      </c>
      <c r="K151" s="46" t="str">
        <f ca="1">IFERROR(__xludf.DUMMYFUNCTION("""COMPUTED_VALUE"""),"SAL")</f>
        <v>SAL</v>
      </c>
      <c r="L151" s="46" t="str">
        <f ca="1">IFERROR(__xludf.DUMMYFUNCTION("""COMPUTED_VALUE"""),"FTE")</f>
        <v>FTE</v>
      </c>
      <c r="M151" s="46" t="str">
        <f ca="1">IFERROR(__xludf.DUMMYFUNCTION("""COMPUTED_VALUE"""),"Leave")</f>
        <v>Leave</v>
      </c>
      <c r="N151" s="46" t="str">
        <f ca="1">IFERROR(__xludf.DUMMYFUNCTION("""COMPUTED_VALUE"""),"x")</f>
        <v>x</v>
      </c>
    </row>
    <row r="152" spans="1:14">
      <c r="A152" s="45" t="str">
        <f ca="1">IFERROR(__xludf.DUMMYFUNCTION("""COMPUTED_VALUE"""),"#N/A")</f>
        <v>#N/A</v>
      </c>
      <c r="B152" s="45"/>
      <c r="C152" s="46">
        <f ca="1">IFERROR(__xludf.DUMMYFUNCTION("""COMPUTED_VALUE"""),153)</f>
        <v>153</v>
      </c>
      <c r="D152" s="47" t="str">
        <f ca="1">IFERROR(__xludf.DUMMYFUNCTION("""COMPUTED_VALUE"""),"T0213")</f>
        <v>T0213</v>
      </c>
      <c r="E152" s="46" t="str">
        <f ca="1">IFERROR(__xludf.DUMMYFUNCTION("""COMPUTED_VALUE"""),"TRẦN DIỆP TRÂN CHÂU")</f>
        <v>TRẦN DIỆP TRÂN CHÂU</v>
      </c>
      <c r="F152" s="46" t="str">
        <f ca="1">IFERROR(__xludf.DUMMYFUNCTION("""COMPUTED_VALUE"""),"TRAN DIEP TRAN CHAU")</f>
        <v>TRAN DIEP TRAN CHAU</v>
      </c>
      <c r="G152" s="45">
        <f ca="1">IFERROR(__xludf.DUMMYFUNCTION("""COMPUTED_VALUE"""),35651.5833333333)</f>
        <v>35651.583333333299</v>
      </c>
      <c r="H152" s="45" t="str">
        <f ca="1">IFERROR(__xludf.DUMMYFUNCTION("""COMPUTED_VALUE"""),"BAKES")</f>
        <v>BAKES</v>
      </c>
      <c r="I152" s="46" t="str">
        <f ca="1">IFERROR(__xludf.DUMMYFUNCTION("""COMPUTED_VALUE"""),"STORE")</f>
        <v>STORE</v>
      </c>
      <c r="J152" s="46" t="str">
        <f ca="1">IFERROR(__xludf.DUMMYFUNCTION("""COMPUTED_VALUE"""),"BAKES D2")</f>
        <v>BAKES D2</v>
      </c>
      <c r="K152" s="46" t="str">
        <f ca="1">IFERROR(__xludf.DUMMYFUNCTION("""COMPUTED_VALUE"""),"Management team")</f>
        <v>Management team</v>
      </c>
      <c r="L152" s="46" t="str">
        <f ca="1">IFERROR(__xludf.DUMMYFUNCTION("""COMPUTED_VALUE"""),"FTE")</f>
        <v>FTE</v>
      </c>
      <c r="M152" s="46" t="str">
        <f ca="1">IFERROR(__xludf.DUMMYFUNCTION("""COMPUTED_VALUE"""),"On")</f>
        <v>On</v>
      </c>
      <c r="N152" s="46" t="str">
        <f ca="1">IFERROR(__xludf.DUMMYFUNCTION("""COMPUTED_VALUE"""),"đủ")</f>
        <v>đủ</v>
      </c>
    </row>
    <row r="153" spans="1:14">
      <c r="A153" s="45" t="str">
        <f ca="1">IFERROR(__xludf.DUMMYFUNCTION("""COMPUTED_VALUE"""),"#N/A")</f>
        <v>#N/A</v>
      </c>
      <c r="B153" s="45">
        <f ca="1">IFERROR(__xludf.DUMMYFUNCTION("""COMPUTED_VALUE"""),45387.5833333333)</f>
        <v>45387.583333333299</v>
      </c>
      <c r="C153" s="46">
        <f ca="1">IFERROR(__xludf.DUMMYFUNCTION("""COMPUTED_VALUE"""),154)</f>
        <v>154</v>
      </c>
      <c r="D153" s="47" t="str">
        <f ca="1">IFERROR(__xludf.DUMMYFUNCTION("""COMPUTED_VALUE"""),"T0214")</f>
        <v>T0214</v>
      </c>
      <c r="E153" s="46" t="str">
        <f ca="1">IFERROR(__xludf.DUMMYFUNCTION("""COMPUTED_VALUE"""),"NGUYỄN VĂN LƯƠNG BẰNG")</f>
        <v>NGUYỄN VĂN LƯƠNG BẰNG</v>
      </c>
      <c r="F153" s="46" t="str">
        <f ca="1">IFERROR(__xludf.DUMMYFUNCTION("""COMPUTED_VALUE"""),"NGUYEN VAN LUONG BANG")</f>
        <v>NGUYEN VAN LUONG BANG</v>
      </c>
      <c r="G153" s="45">
        <f ca="1">IFERROR(__xludf.DUMMYFUNCTION("""COMPUTED_VALUE"""),36724.5833333333)</f>
        <v>36724.583333333299</v>
      </c>
      <c r="H153" s="45" t="str">
        <f ca="1">IFERROR(__xludf.DUMMYFUNCTION("""COMPUTED_VALUE"""),"TLC")</f>
        <v>TLC</v>
      </c>
      <c r="I153" s="46" t="str">
        <f ca="1">IFERROR(__xludf.DUMMYFUNCTION("""COMPUTED_VALUE"""),"HO")</f>
        <v>HO</v>
      </c>
      <c r="J153" s="46" t="str">
        <f ca="1">IFERROR(__xludf.DUMMYFUNCTION("""COMPUTED_VALUE"""),"MKT")</f>
        <v>MKT</v>
      </c>
      <c r="K153" s="46" t="str">
        <f ca="1">IFERROR(__xludf.DUMMYFUNCTION("""COMPUTED_VALUE"""),"MKT")</f>
        <v>MKT</v>
      </c>
      <c r="L153" s="46" t="str">
        <f ca="1">IFERROR(__xludf.DUMMYFUNCTION("""COMPUTED_VALUE"""),"FTE")</f>
        <v>FTE</v>
      </c>
      <c r="M153" s="46" t="str">
        <f ca="1">IFERROR(__xludf.DUMMYFUNCTION("""COMPUTED_VALUE"""),"Leave")</f>
        <v>Leave</v>
      </c>
      <c r="N153" s="46" t="str">
        <f ca="1">IFERROR(__xludf.DUMMYFUNCTION("""COMPUTED_VALUE"""),"x")</f>
        <v>x</v>
      </c>
    </row>
    <row r="154" spans="1:14">
      <c r="A154" s="45" t="str">
        <f ca="1">IFERROR(__xludf.DUMMYFUNCTION("""COMPUTED_VALUE"""),"#N/A")</f>
        <v>#N/A</v>
      </c>
      <c r="B154" s="45" t="str">
        <f ca="1">IFERROR(__xludf.DUMMYFUNCTION("""COMPUTED_VALUE"""),"Đã nghỉ")</f>
        <v>Đã nghỉ</v>
      </c>
      <c r="C154" s="46">
        <f ca="1">IFERROR(__xludf.DUMMYFUNCTION("""COMPUTED_VALUE"""),155)</f>
        <v>155</v>
      </c>
      <c r="D154" s="47" t="str">
        <f ca="1">IFERROR(__xludf.DUMMYFUNCTION("""COMPUTED_VALUE"""),"T0215")</f>
        <v>T0215</v>
      </c>
      <c r="E154" s="46" t="str">
        <f ca="1">IFERROR(__xludf.DUMMYFUNCTION("""COMPUTED_VALUE"""),"TẠ TRẦN HOÀNG TUẤN")</f>
        <v>TẠ TRẦN HOÀNG TUẤN</v>
      </c>
      <c r="F154" s="46" t="str">
        <f ca="1">IFERROR(__xludf.DUMMYFUNCTION("""COMPUTED_VALUE"""),"TA TRAN HOANG TUAN")</f>
        <v>TA TRAN HOANG TUAN</v>
      </c>
      <c r="G154" s="45"/>
      <c r="H154" s="45" t="str">
        <f ca="1">IFERROR(__xludf.DUMMYFUNCTION("""COMPUTED_VALUE"""),"BAKES")</f>
        <v>BAKES</v>
      </c>
      <c r="I154" s="46" t="str">
        <f ca="1">IFERROR(__xludf.DUMMYFUNCTION("""COMPUTED_VALUE"""),"STORE")</f>
        <v>STORE</v>
      </c>
      <c r="J154" s="46" t="str">
        <f ca="1">IFERROR(__xludf.DUMMYFUNCTION("""COMPUTED_VALUE"""),"BAKES D2")</f>
        <v>BAKES D2</v>
      </c>
      <c r="K154" s="46" t="str">
        <f ca="1">IFERROR(__xludf.DUMMYFUNCTION("""COMPUTED_VALUE"""),"KIT")</f>
        <v>KIT</v>
      </c>
      <c r="L154" s="46" t="str">
        <f ca="1">IFERROR(__xludf.DUMMYFUNCTION("""COMPUTED_VALUE"""),"PRO")</f>
        <v>PRO</v>
      </c>
      <c r="M154" s="46" t="str">
        <f ca="1">IFERROR(__xludf.DUMMYFUNCTION("""COMPUTED_VALUE"""),"Leave")</f>
        <v>Leave</v>
      </c>
      <c r="N154" s="46" t="str">
        <f ca="1">IFERROR(__xludf.DUMMYFUNCTION("""COMPUTED_VALUE"""),"x")</f>
        <v>x</v>
      </c>
    </row>
    <row r="155" spans="1:14">
      <c r="A155" s="45" t="str">
        <f ca="1">IFERROR(__xludf.DUMMYFUNCTION("""COMPUTED_VALUE"""),"#N/A")</f>
        <v>#N/A</v>
      </c>
      <c r="B155" s="45">
        <f ca="1">IFERROR(__xludf.DUMMYFUNCTION("""COMPUTED_VALUE"""),45215.5833333333)</f>
        <v>45215.583333333299</v>
      </c>
      <c r="C155" s="46">
        <f ca="1">IFERROR(__xludf.DUMMYFUNCTION("""COMPUTED_VALUE"""),156)</f>
        <v>156</v>
      </c>
      <c r="D155" s="47" t="str">
        <f ca="1">IFERROR(__xludf.DUMMYFUNCTION("""COMPUTED_VALUE"""),"T0216")</f>
        <v>T0216</v>
      </c>
      <c r="E155" s="46" t="str">
        <f ca="1">IFERROR(__xludf.DUMMYFUNCTION("""COMPUTED_VALUE"""),"HOÀNG KIỀU ANH")</f>
        <v>HOÀNG KIỀU ANH</v>
      </c>
      <c r="F155" s="46" t="str">
        <f ca="1">IFERROR(__xludf.DUMMYFUNCTION("""COMPUTED_VALUE"""),"HOANG KIEU ANH")</f>
        <v>HOANG KIEU ANH</v>
      </c>
      <c r="G155" s="45">
        <f ca="1">IFERROR(__xludf.DUMMYFUNCTION("""COMPUTED_VALUE"""),35782.625)</f>
        <v>35782.625</v>
      </c>
      <c r="H155" s="45" t="str">
        <f ca="1">IFERROR(__xludf.DUMMYFUNCTION("""COMPUTED_VALUE"""),"TLC")</f>
        <v>TLC</v>
      </c>
      <c r="I155" s="46" t="str">
        <f ca="1">IFERROR(__xludf.DUMMYFUNCTION("""COMPUTED_VALUE"""),"HO")</f>
        <v>HO</v>
      </c>
      <c r="J155" s="46" t="str">
        <f ca="1">IFERROR(__xludf.DUMMYFUNCTION("""COMPUTED_VALUE"""),"SAL")</f>
        <v>SAL</v>
      </c>
      <c r="K155" s="46" t="str">
        <f ca="1">IFERROR(__xludf.DUMMYFUNCTION("""COMPUTED_VALUE"""),"SAL")</f>
        <v>SAL</v>
      </c>
      <c r="L155" s="46" t="str">
        <f ca="1">IFERROR(__xludf.DUMMYFUNCTION("""COMPUTED_VALUE"""),"FTE")</f>
        <v>FTE</v>
      </c>
      <c r="M155" s="46" t="str">
        <f ca="1">IFERROR(__xludf.DUMMYFUNCTION("""COMPUTED_VALUE"""),"Leave")</f>
        <v>Leave</v>
      </c>
      <c r="N155" s="46" t="str">
        <f ca="1">IFERROR(__xludf.DUMMYFUNCTION("""COMPUTED_VALUE"""),"x")</f>
        <v>x</v>
      </c>
    </row>
    <row r="156" spans="1:14">
      <c r="A156" s="45" t="str">
        <f ca="1">IFERROR(__xludf.DUMMYFUNCTION("""COMPUTED_VALUE"""),"#N/A")</f>
        <v>#N/A</v>
      </c>
      <c r="B156" s="45">
        <f ca="1">IFERROR(__xludf.DUMMYFUNCTION("""COMPUTED_VALUE"""),45171.5833333333)</f>
        <v>45171.583333333299</v>
      </c>
      <c r="C156" s="46">
        <f ca="1">IFERROR(__xludf.DUMMYFUNCTION("""COMPUTED_VALUE"""),157)</f>
        <v>157</v>
      </c>
      <c r="D156" s="47" t="str">
        <f ca="1">IFERROR(__xludf.DUMMYFUNCTION("""COMPUTED_VALUE"""),"T0217")</f>
        <v>T0217</v>
      </c>
      <c r="E156" s="46" t="str">
        <f ca="1">IFERROR(__xludf.DUMMYFUNCTION("""COMPUTED_VALUE"""),"TÔ THỊ THU TRANG")</f>
        <v>TÔ THỊ THU TRANG</v>
      </c>
      <c r="F156" s="46" t="str">
        <f ca="1">IFERROR(__xludf.DUMMYFUNCTION("""COMPUTED_VALUE"""),"TO THI THU TRANG")</f>
        <v>TO THI THU TRANG</v>
      </c>
      <c r="G156" s="45">
        <f ca="1">IFERROR(__xludf.DUMMYFUNCTION("""COMPUTED_VALUE"""),29940.625)</f>
        <v>29940.625</v>
      </c>
      <c r="H156" s="45" t="str">
        <f ca="1">IFERROR(__xludf.DUMMYFUNCTION("""COMPUTED_VALUE"""),"TLC")</f>
        <v>TLC</v>
      </c>
      <c r="I156" s="46" t="str">
        <f ca="1">IFERROR(__xludf.DUMMYFUNCTION("""COMPUTED_VALUE"""),"HO")</f>
        <v>HO</v>
      </c>
      <c r="J156" s="46" t="str">
        <f ca="1">IFERROR(__xludf.DUMMYFUNCTION("""COMPUTED_VALUE"""),"OPS")</f>
        <v>OPS</v>
      </c>
      <c r="K156" s="46" t="str">
        <f ca="1">IFERROR(__xludf.DUMMYFUNCTION("""COMPUTED_VALUE"""),"OPS")</f>
        <v>OPS</v>
      </c>
      <c r="L156" s="46" t="str">
        <f ca="1">IFERROR(__xludf.DUMMYFUNCTION("""COMPUTED_VALUE"""),"FTE")</f>
        <v>FTE</v>
      </c>
      <c r="M156" s="46" t="str">
        <f ca="1">IFERROR(__xludf.DUMMYFUNCTION("""COMPUTED_VALUE"""),"Leave")</f>
        <v>Leave</v>
      </c>
      <c r="N156" s="46" t="str">
        <f ca="1">IFERROR(__xludf.DUMMYFUNCTION("""COMPUTED_VALUE"""),"x")</f>
        <v>x</v>
      </c>
    </row>
    <row r="157" spans="1:14">
      <c r="A157" s="45" t="str">
        <f ca="1">IFERROR(__xludf.DUMMYFUNCTION("""COMPUTED_VALUE"""),"#N/A")</f>
        <v>#N/A</v>
      </c>
      <c r="B157" s="45" t="str">
        <f ca="1">IFERROR(__xludf.DUMMYFUNCTION("""COMPUTED_VALUE"""),"Đã nghỉ")</f>
        <v>Đã nghỉ</v>
      </c>
      <c r="C157" s="46">
        <f ca="1">IFERROR(__xludf.DUMMYFUNCTION("""COMPUTED_VALUE"""),158)</f>
        <v>158</v>
      </c>
      <c r="D157" s="47" t="str">
        <f ca="1">IFERROR(__xludf.DUMMYFUNCTION("""COMPUTED_VALUE"""),"T0218")</f>
        <v>T0218</v>
      </c>
      <c r="E157" s="46" t="str">
        <f ca="1">IFERROR(__xludf.DUMMYFUNCTION("""COMPUTED_VALUE"""),"PHẠM HOÀNG TẤT TRUNG")</f>
        <v>PHẠM HOÀNG TẤT TRUNG</v>
      </c>
      <c r="F157" s="46" t="str">
        <f ca="1">IFERROR(__xludf.DUMMYFUNCTION("""COMPUTED_VALUE"""),"PHAM HOANG TAT TRUNG")</f>
        <v>PHAM HOANG TAT TRUNG</v>
      </c>
      <c r="G157" s="45">
        <f ca="1">IFERROR(__xludf.DUMMYFUNCTION("""COMPUTED_VALUE"""),35257.5833333333)</f>
        <v>35257.583333333299</v>
      </c>
      <c r="H157" s="45" t="str">
        <f ca="1">IFERROR(__xludf.DUMMYFUNCTION("""COMPUTED_VALUE"""),"SHADOW")</f>
        <v>SHADOW</v>
      </c>
      <c r="I157" s="46" t="str">
        <f ca="1">IFERROR(__xludf.DUMMYFUNCTION("""COMPUTED_VALUE"""),"STORE")</f>
        <v>STORE</v>
      </c>
      <c r="J157" s="46" t="str">
        <f ca="1">IFERROR(__xludf.DUMMYFUNCTION("""COMPUTED_VALUE"""),"BAKES PASTEUR")</f>
        <v>BAKES PASTEUR</v>
      </c>
      <c r="K157" s="46" t="str">
        <f ca="1">IFERROR(__xludf.DUMMYFUNCTION("""COMPUTED_VALUE"""),"KIT")</f>
        <v>KIT</v>
      </c>
      <c r="L157" s="46" t="str">
        <f ca="1">IFERROR(__xludf.DUMMYFUNCTION("""COMPUTED_VALUE"""),"FTE")</f>
        <v>FTE</v>
      </c>
      <c r="M157" s="46" t="str">
        <f ca="1">IFERROR(__xludf.DUMMYFUNCTION("""COMPUTED_VALUE"""),"Leave")</f>
        <v>Leave</v>
      </c>
      <c r="N157" s="46" t="str">
        <f ca="1">IFERROR(__xludf.DUMMYFUNCTION("""COMPUTED_VALUE"""),"x")</f>
        <v>x</v>
      </c>
    </row>
    <row r="158" spans="1:14">
      <c r="A158" s="45" t="str">
        <f ca="1">IFERROR(__xludf.DUMMYFUNCTION("""COMPUTED_VALUE"""),"#N/A")</f>
        <v>#N/A</v>
      </c>
      <c r="B158" s="45">
        <f ca="1">IFERROR(__xludf.DUMMYFUNCTION("""COMPUTED_VALUE"""),45467.5833333333)</f>
        <v>45467.583333333299</v>
      </c>
      <c r="C158" s="46">
        <f ca="1">IFERROR(__xludf.DUMMYFUNCTION("""COMPUTED_VALUE"""),159)</f>
        <v>159</v>
      </c>
      <c r="D158" s="47" t="str">
        <f ca="1">IFERROR(__xludf.DUMMYFUNCTION("""COMPUTED_VALUE"""),"T0219")</f>
        <v>T0219</v>
      </c>
      <c r="E158" s="46" t="str">
        <f ca="1">IFERROR(__xludf.DUMMYFUNCTION("""COMPUTED_VALUE"""),"PÔ BRY GIÊ RÊ MI")</f>
        <v>PÔ BRY GIÊ RÊ MI</v>
      </c>
      <c r="F158" s="46" t="str">
        <f ca="1">IFERROR(__xludf.DUMMYFUNCTION("""COMPUTED_VALUE"""),"PO BRY GIE RE MI")</f>
        <v>PO BRY GIE RE MI</v>
      </c>
      <c r="G158" s="45">
        <f ca="1">IFERROR(__xludf.DUMMYFUNCTION("""COMPUTED_VALUE"""),36425.5833333333)</f>
        <v>36425.583333333299</v>
      </c>
      <c r="H158" s="45" t="str">
        <f ca="1">IFERROR(__xludf.DUMMYFUNCTION("""COMPUTED_VALUE"""),"YESHI")</f>
        <v>YESHI</v>
      </c>
      <c r="I158" s="46" t="str">
        <f ca="1">IFERROR(__xludf.DUMMYFUNCTION("""COMPUTED_VALUE"""),"STORE")</f>
        <v>STORE</v>
      </c>
      <c r="J158" s="46" t="str">
        <f ca="1">IFERROR(__xludf.DUMMYFUNCTION("""COMPUTED_VALUE"""),"YESHI D2")</f>
        <v>YESHI D2</v>
      </c>
      <c r="K158" s="46" t="str">
        <f ca="1">IFERROR(__xludf.DUMMYFUNCTION("""COMPUTED_VALUE"""),"KIT")</f>
        <v>KIT</v>
      </c>
      <c r="L158" s="46" t="str">
        <f ca="1">IFERROR(__xludf.DUMMYFUNCTION("""COMPUTED_VALUE"""),"FTE")</f>
        <v>FTE</v>
      </c>
      <c r="M158" s="46" t="str">
        <f ca="1">IFERROR(__xludf.DUMMYFUNCTION("""COMPUTED_VALUE"""),"Leave")</f>
        <v>Leave</v>
      </c>
      <c r="N158" s="46" t="str">
        <f ca="1">IFERROR(__xludf.DUMMYFUNCTION("""COMPUTED_VALUE"""),"x")</f>
        <v>x</v>
      </c>
    </row>
    <row r="159" spans="1:14">
      <c r="A159" s="45" t="str">
        <f ca="1">IFERROR(__xludf.DUMMYFUNCTION("""COMPUTED_VALUE"""),"#N/A")</f>
        <v>#N/A</v>
      </c>
      <c r="B159" s="45">
        <f ca="1">IFERROR(__xludf.DUMMYFUNCTION("""COMPUTED_VALUE"""),46174.5833333333)</f>
        <v>46174.583333333299</v>
      </c>
      <c r="C159" s="46">
        <f ca="1">IFERROR(__xludf.DUMMYFUNCTION("""COMPUTED_VALUE"""),160)</f>
        <v>160</v>
      </c>
      <c r="D159" s="47" t="str">
        <f ca="1">IFERROR(__xludf.DUMMYFUNCTION("""COMPUTED_VALUE"""),"T0221")</f>
        <v>T0221</v>
      </c>
      <c r="E159" s="46" t="str">
        <f ca="1">IFERROR(__xludf.DUMMYFUNCTION("""COMPUTED_VALUE"""),"HUỲNH QUAN QUÂN")</f>
        <v>HUỲNH QUAN QUÂN</v>
      </c>
      <c r="F159" s="46" t="str">
        <f ca="1">IFERROR(__xludf.DUMMYFUNCTION("""COMPUTED_VALUE"""),"HUYNH QUAN QUAN")</f>
        <v>HUYNH QUAN QUAN</v>
      </c>
      <c r="G159" s="45">
        <f ca="1">IFERROR(__xludf.DUMMYFUNCTION("""COMPUTED_VALUE"""),35003.625)</f>
        <v>35003.625</v>
      </c>
      <c r="H159" s="45" t="str">
        <f ca="1">IFERROR(__xludf.DUMMYFUNCTION("""COMPUTED_VALUE"""),"BAKES")</f>
        <v>BAKES</v>
      </c>
      <c r="I159" s="46" t="str">
        <f ca="1">IFERROR(__xludf.DUMMYFUNCTION("""COMPUTED_VALUE"""),"HO")</f>
        <v>HO</v>
      </c>
      <c r="J159" s="46" t="str">
        <f ca="1">IFERROR(__xludf.DUMMYFUNCTION("""COMPUTED_VALUE"""),"PRO")</f>
        <v>PRO</v>
      </c>
      <c r="K159" s="46" t="str">
        <f ca="1">IFERROR(__xludf.DUMMYFUNCTION("""COMPUTED_VALUE"""),"PRO")</f>
        <v>PRO</v>
      </c>
      <c r="L159" s="46" t="str">
        <f ca="1">IFERROR(__xludf.DUMMYFUNCTION("""COMPUTED_VALUE"""),"FTE")</f>
        <v>FTE</v>
      </c>
      <c r="M159" s="46" t="str">
        <f ca="1">IFERROR(__xludf.DUMMYFUNCTION("""COMPUTED_VALUE"""),"Leave")</f>
        <v>Leave</v>
      </c>
      <c r="N159" s="46" t="str">
        <f ca="1">IFERROR(__xludf.DUMMYFUNCTION("""COMPUTED_VALUE"""),"đủ")</f>
        <v>đủ</v>
      </c>
    </row>
    <row r="160" spans="1:14">
      <c r="A160" s="45" t="str">
        <f ca="1">IFERROR(__xludf.DUMMYFUNCTION("""COMPUTED_VALUE"""),"#N/A")</f>
        <v>#N/A</v>
      </c>
      <c r="B160" s="45"/>
      <c r="C160" s="46">
        <f ca="1">IFERROR(__xludf.DUMMYFUNCTION("""COMPUTED_VALUE"""),161)</f>
        <v>161</v>
      </c>
      <c r="D160" s="47" t="str">
        <f ca="1">IFERROR(__xludf.DUMMYFUNCTION("""COMPUTED_VALUE"""),"T0222")</f>
        <v>T0222</v>
      </c>
      <c r="E160" s="46" t="str">
        <f ca="1">IFERROR(__xludf.DUMMYFUNCTION("""COMPUTED_VALUE"""),"NGUYỄN THỊ BÌNH")</f>
        <v>NGUYỄN THỊ BÌNH</v>
      </c>
      <c r="F160" s="46" t="str">
        <f ca="1">IFERROR(__xludf.DUMMYFUNCTION("""COMPUTED_VALUE"""),"NGUYEN THI BINH")</f>
        <v>NGUYEN THI BINH</v>
      </c>
      <c r="G160" s="45">
        <f ca="1">IFERROR(__xludf.DUMMYFUNCTION("""COMPUTED_VALUE"""),36228.625)</f>
        <v>36228.625</v>
      </c>
      <c r="H160" s="45" t="str">
        <f ca="1">IFERROR(__xludf.DUMMYFUNCTION("""COMPUTED_VALUE"""),"BAKES")</f>
        <v>BAKES</v>
      </c>
      <c r="I160" s="46" t="str">
        <f ca="1">IFERROR(__xludf.DUMMYFUNCTION("""COMPUTED_VALUE"""),"STORE")</f>
        <v>STORE</v>
      </c>
      <c r="J160" s="46" t="str">
        <f ca="1">IFERROR(__xludf.DUMMYFUNCTION("""COMPUTED_VALUE"""),"BAKES D7")</f>
        <v>BAKES D7</v>
      </c>
      <c r="K160" s="46" t="str">
        <f ca="1">IFERROR(__xludf.DUMMYFUNCTION("""COMPUTED_VALUE"""),"Management team")</f>
        <v>Management team</v>
      </c>
      <c r="L160" s="46" t="str">
        <f ca="1">IFERROR(__xludf.DUMMYFUNCTION("""COMPUTED_VALUE"""),"FTE")</f>
        <v>FTE</v>
      </c>
      <c r="M160" s="46" t="str">
        <f ca="1">IFERROR(__xludf.DUMMYFUNCTION("""COMPUTED_VALUE"""),"On")</f>
        <v>On</v>
      </c>
      <c r="N160" s="46" t="str">
        <f ca="1">IFERROR(__xludf.DUMMYFUNCTION("""COMPUTED_VALUE"""),"đủ")</f>
        <v>đủ</v>
      </c>
    </row>
    <row r="161" spans="1:14">
      <c r="A161" s="45" t="str">
        <f ca="1">IFERROR(__xludf.DUMMYFUNCTION("""COMPUTED_VALUE"""),"#N/A")</f>
        <v>#N/A</v>
      </c>
      <c r="B161" s="45">
        <f ca="1">IFERROR(__xludf.DUMMYFUNCTION("""COMPUTED_VALUE"""),45437.5833333333)</f>
        <v>45437.583333333299</v>
      </c>
      <c r="C161" s="46">
        <f ca="1">IFERROR(__xludf.DUMMYFUNCTION("""COMPUTED_VALUE"""),162)</f>
        <v>162</v>
      </c>
      <c r="D161" s="47" t="str">
        <f ca="1">IFERROR(__xludf.DUMMYFUNCTION("""COMPUTED_VALUE"""),"T0223")</f>
        <v>T0223</v>
      </c>
      <c r="E161" s="46" t="str">
        <f ca="1">IFERROR(__xludf.DUMMYFUNCTION("""COMPUTED_VALUE"""),"NGUYỄN ĐÔNG DƯƠNG")</f>
        <v>NGUYỄN ĐÔNG DƯƠNG</v>
      </c>
      <c r="F161" s="46" t="str">
        <f ca="1">IFERROR(__xludf.DUMMYFUNCTION("""COMPUTED_VALUE"""),"NGUYEN DONG DUONG")</f>
        <v>NGUYEN DONG DUONG</v>
      </c>
      <c r="G161" s="45">
        <f ca="1">IFERROR(__xludf.DUMMYFUNCTION("""COMPUTED_VALUE"""),35871.625)</f>
        <v>35871.625</v>
      </c>
      <c r="H161" s="45" t="str">
        <f ca="1">IFERROR(__xludf.DUMMYFUNCTION("""COMPUTED_VALUE"""),"BAKES")</f>
        <v>BAKES</v>
      </c>
      <c r="I161" s="46" t="str">
        <f ca="1">IFERROR(__xludf.DUMMYFUNCTION("""COMPUTED_VALUE"""),"KITCHEN PASTRY")</f>
        <v>KITCHEN PASTRY</v>
      </c>
      <c r="J161" s="46" t="str">
        <f ca="1">IFERROR(__xludf.DUMMYFUNCTION("""COMPUTED_VALUE"""),"BAKES D2")</f>
        <v>BAKES D2</v>
      </c>
      <c r="K161" s="46" t="str">
        <f ca="1">IFERROR(__xludf.DUMMYFUNCTION("""COMPUTED_VALUE"""),"KIT")</f>
        <v>KIT</v>
      </c>
      <c r="L161" s="46" t="str">
        <f ca="1">IFERROR(__xludf.DUMMYFUNCTION("""COMPUTED_VALUE"""),"FTE")</f>
        <v>FTE</v>
      </c>
      <c r="M161" s="46" t="str">
        <f ca="1">IFERROR(__xludf.DUMMYFUNCTION("""COMPUTED_VALUE"""),"Leave")</f>
        <v>Leave</v>
      </c>
      <c r="N161" s="46" t="str">
        <f ca="1">IFERROR(__xludf.DUMMYFUNCTION("""COMPUTED_VALUE"""),"x")</f>
        <v>x</v>
      </c>
    </row>
    <row r="162" spans="1:14">
      <c r="A162" s="45" t="str">
        <f ca="1">IFERROR(__xludf.DUMMYFUNCTION("""COMPUTED_VALUE"""),"#N/A")</f>
        <v>#N/A</v>
      </c>
      <c r="B162" s="45" t="str">
        <f ca="1">IFERROR(__xludf.DUMMYFUNCTION("""COMPUTED_VALUE"""),"Đã nghỉ")</f>
        <v>Đã nghỉ</v>
      </c>
      <c r="C162" s="46">
        <f ca="1">IFERROR(__xludf.DUMMYFUNCTION("""COMPUTED_VALUE"""),163)</f>
        <v>163</v>
      </c>
      <c r="D162" s="47" t="str">
        <f ca="1">IFERROR(__xludf.DUMMYFUNCTION("""COMPUTED_VALUE"""),"T0224")</f>
        <v>T0224</v>
      </c>
      <c r="E162" s="46" t="str">
        <f ca="1">IFERROR(__xludf.DUMMYFUNCTION("""COMPUTED_VALUE"""),"NGUYỄN NHẬT DUY")</f>
        <v>NGUYỄN NHẬT DUY</v>
      </c>
      <c r="F162" s="46" t="str">
        <f ca="1">IFERROR(__xludf.DUMMYFUNCTION("""COMPUTED_VALUE"""),"NGUYEN NHAT DUY")</f>
        <v>NGUYEN NHAT DUY</v>
      </c>
      <c r="G162" s="45"/>
      <c r="H162" s="45" t="str">
        <f ca="1">IFERROR(__xludf.DUMMYFUNCTION("""COMPUTED_VALUE"""),"BAKES")</f>
        <v>BAKES</v>
      </c>
      <c r="I162" s="46" t="str">
        <f ca="1">IFERROR(__xludf.DUMMYFUNCTION("""COMPUTED_VALUE"""),"STORE")</f>
        <v>STORE</v>
      </c>
      <c r="J162" s="46" t="str">
        <f ca="1">IFERROR(__xludf.DUMMYFUNCTION("""COMPUTED_VALUE"""),"BAKES D2")</f>
        <v>BAKES D2</v>
      </c>
      <c r="K162" s="46" t="str">
        <f ca="1">IFERROR(__xludf.DUMMYFUNCTION("""COMPUTED_VALUE"""),"KIT")</f>
        <v>KIT</v>
      </c>
      <c r="L162" s="46" t="str">
        <f ca="1">IFERROR(__xludf.DUMMYFUNCTION("""COMPUTED_VALUE"""),"SER")</f>
        <v>SER</v>
      </c>
      <c r="M162" s="46" t="str">
        <f ca="1">IFERROR(__xludf.DUMMYFUNCTION("""COMPUTED_VALUE"""),"Leave")</f>
        <v>Leave</v>
      </c>
      <c r="N162" s="46" t="str">
        <f ca="1">IFERROR(__xludf.DUMMYFUNCTION("""COMPUTED_VALUE"""),"x")</f>
        <v>x</v>
      </c>
    </row>
    <row r="163" spans="1:14">
      <c r="A163" s="45" t="str">
        <f ca="1">IFERROR(__xludf.DUMMYFUNCTION("""COMPUTED_VALUE"""),"#N/A")</f>
        <v>#N/A</v>
      </c>
      <c r="B163" s="45">
        <f ca="1">IFERROR(__xludf.DUMMYFUNCTION("""COMPUTED_VALUE"""),45186.5833333333)</f>
        <v>45186.583333333299</v>
      </c>
      <c r="C163" s="46">
        <f ca="1">IFERROR(__xludf.DUMMYFUNCTION("""COMPUTED_VALUE"""),164)</f>
        <v>164</v>
      </c>
      <c r="D163" s="47" t="str">
        <f ca="1">IFERROR(__xludf.DUMMYFUNCTION("""COMPUTED_VALUE"""),"T0225")</f>
        <v>T0225</v>
      </c>
      <c r="E163" s="46" t="str">
        <f ca="1">IFERROR(__xludf.DUMMYFUNCTION("""COMPUTED_VALUE"""),"PHẠM VĂN TỚI")</f>
        <v>PHẠM VĂN TỚI</v>
      </c>
      <c r="F163" s="46" t="str">
        <f ca="1">IFERROR(__xludf.DUMMYFUNCTION("""COMPUTED_VALUE"""),"PHAM VAN TOI")</f>
        <v>PHAM VAN TOI</v>
      </c>
      <c r="G163" s="45">
        <f ca="1">IFERROR(__xludf.DUMMYFUNCTION("""COMPUTED_VALUE"""),35165.5833333333)</f>
        <v>35165.583333333299</v>
      </c>
      <c r="H163" s="45" t="str">
        <f ca="1">IFERROR(__xludf.DUMMYFUNCTION("""COMPUTED_VALUE"""),"TLC")</f>
        <v>TLC</v>
      </c>
      <c r="I163" s="46" t="str">
        <f ca="1">IFERROR(__xludf.DUMMYFUNCTION("""COMPUTED_VALUE"""),"HO")</f>
        <v>HO</v>
      </c>
      <c r="J163" s="46" t="str">
        <f ca="1">IFERROR(__xludf.DUMMYFUNCTION("""COMPUTED_VALUE"""),"PUR")</f>
        <v>PUR</v>
      </c>
      <c r="K163" s="46" t="str">
        <f ca="1">IFERROR(__xludf.DUMMYFUNCTION("""COMPUTED_VALUE"""),"PUR")</f>
        <v>PUR</v>
      </c>
      <c r="L163" s="46" t="str">
        <f ca="1">IFERROR(__xludf.DUMMYFUNCTION("""COMPUTED_VALUE"""),"FTE")</f>
        <v>FTE</v>
      </c>
      <c r="M163" s="46" t="str">
        <f ca="1">IFERROR(__xludf.DUMMYFUNCTION("""COMPUTED_VALUE"""),"Leave")</f>
        <v>Leave</v>
      </c>
      <c r="N163" s="46" t="str">
        <f ca="1">IFERROR(__xludf.DUMMYFUNCTION("""COMPUTED_VALUE"""),"x")</f>
        <v>x</v>
      </c>
    </row>
    <row r="164" spans="1:14">
      <c r="A164" s="45" t="str">
        <f ca="1">IFERROR(__xludf.DUMMYFUNCTION("""COMPUTED_VALUE"""),"#N/A")</f>
        <v>#N/A</v>
      </c>
      <c r="B164" s="45">
        <f ca="1">IFERROR(__xludf.DUMMYFUNCTION("""COMPUTED_VALUE"""),45873.5833333333)</f>
        <v>45873.583333333299</v>
      </c>
      <c r="C164" s="46">
        <f ca="1">IFERROR(__xludf.DUMMYFUNCTION("""COMPUTED_VALUE"""),165)</f>
        <v>165</v>
      </c>
      <c r="D164" s="47" t="str">
        <f ca="1">IFERROR(__xludf.DUMMYFUNCTION("""COMPUTED_VALUE"""),"T0226")</f>
        <v>T0226</v>
      </c>
      <c r="E164" s="46" t="str">
        <f ca="1">IFERROR(__xludf.DUMMYFUNCTION("""COMPUTED_VALUE"""),"VŨ MINH ANH")</f>
        <v>VŨ MINH ANH</v>
      </c>
      <c r="F164" s="46" t="str">
        <f ca="1">IFERROR(__xludf.DUMMYFUNCTION("""COMPUTED_VALUE"""),"VU MINH ANH")</f>
        <v>VU MINH ANH</v>
      </c>
      <c r="G164" s="45">
        <f ca="1">IFERROR(__xludf.DUMMYFUNCTION("""COMPUTED_VALUE"""),36479.625)</f>
        <v>36479.625</v>
      </c>
      <c r="H164" s="45" t="str">
        <f ca="1">IFERROR(__xludf.DUMMYFUNCTION("""COMPUTED_VALUE"""),"TLC")</f>
        <v>TLC</v>
      </c>
      <c r="I164" s="46" t="str">
        <f ca="1">IFERROR(__xludf.DUMMYFUNCTION("""COMPUTED_VALUE"""),"HO")</f>
        <v>HO</v>
      </c>
      <c r="J164" s="46" t="str">
        <f ca="1">IFERROR(__xludf.DUMMYFUNCTION("""COMPUTED_VALUE"""),"CUS")</f>
        <v>CUS</v>
      </c>
      <c r="K164" s="46" t="str">
        <f ca="1">IFERROR(__xludf.DUMMYFUNCTION("""COMPUTED_VALUE"""),"CUS")</f>
        <v>CUS</v>
      </c>
      <c r="L164" s="46" t="str">
        <f ca="1">IFERROR(__xludf.DUMMYFUNCTION("""COMPUTED_VALUE"""),"FTE")</f>
        <v>FTE</v>
      </c>
      <c r="M164" s="46" t="str">
        <f ca="1">IFERROR(__xludf.DUMMYFUNCTION("""COMPUTED_VALUE"""),"Leave")</f>
        <v>Leave</v>
      </c>
      <c r="N164" s="46" t="str">
        <f ca="1">IFERROR(__xludf.DUMMYFUNCTION("""COMPUTED_VALUE"""),"đủ")</f>
        <v>đủ</v>
      </c>
    </row>
    <row r="165" spans="1:14">
      <c r="A165" s="45" t="str">
        <f ca="1">IFERROR(__xludf.DUMMYFUNCTION("""COMPUTED_VALUE"""),"#N/A")</f>
        <v>#N/A</v>
      </c>
      <c r="B165" s="45"/>
      <c r="C165" s="46">
        <f ca="1">IFERROR(__xludf.DUMMYFUNCTION("""COMPUTED_VALUE"""),166)</f>
        <v>166</v>
      </c>
      <c r="D165" s="47" t="str">
        <f ca="1">IFERROR(__xludf.DUMMYFUNCTION("""COMPUTED_VALUE"""),"T0227")</f>
        <v>T0227</v>
      </c>
      <c r="E165" s="46" t="str">
        <f ca="1">IFERROR(__xludf.DUMMYFUNCTION("""COMPUTED_VALUE"""),"NGÔ MỸ NHƯ")</f>
        <v>NGÔ MỸ NHƯ</v>
      </c>
      <c r="F165" s="46" t="str">
        <f ca="1">IFERROR(__xludf.DUMMYFUNCTION("""COMPUTED_VALUE"""),"NGO MY NHU")</f>
        <v>NGO MY NHU</v>
      </c>
      <c r="G165" s="45">
        <f ca="1">IFERROR(__xludf.DUMMYFUNCTION("""COMPUTED_VALUE"""),32866.625)</f>
        <v>32866.625</v>
      </c>
      <c r="H165" s="45" t="str">
        <f ca="1">IFERROR(__xludf.DUMMYFUNCTION("""COMPUTED_VALUE"""),"TLC")</f>
        <v>TLC</v>
      </c>
      <c r="I165" s="46" t="str">
        <f ca="1">IFERROR(__xludf.DUMMYFUNCTION("""COMPUTED_VALUE"""),"STORE")</f>
        <v>STORE</v>
      </c>
      <c r="J165" s="46" t="str">
        <f ca="1">IFERROR(__xludf.DUMMYFUNCTION("""COMPUTED_VALUE"""),"BLANK LOUNGE")</f>
        <v>BLANK LOUNGE</v>
      </c>
      <c r="K165" s="46" t="str">
        <f ca="1">IFERROR(__xludf.DUMMYFUNCTION("""COMPUTED_VALUE"""),"Management team")</f>
        <v>Management team</v>
      </c>
      <c r="L165" s="46" t="str">
        <f ca="1">IFERROR(__xludf.DUMMYFUNCTION("""COMPUTED_VALUE"""),"FTE")</f>
        <v>FTE</v>
      </c>
      <c r="M165" s="46" t="str">
        <f ca="1">IFERROR(__xludf.DUMMYFUNCTION("""COMPUTED_VALUE"""),"On")</f>
        <v>On</v>
      </c>
      <c r="N165" s="46" t="str">
        <f ca="1">IFERROR(__xludf.DUMMYFUNCTION("""COMPUTED_VALUE"""),"đủ")</f>
        <v>đủ</v>
      </c>
    </row>
    <row r="166" spans="1:14">
      <c r="A166" s="45" t="str">
        <f ca="1">IFERROR(__xludf.DUMMYFUNCTION("""COMPUTED_VALUE"""),"#N/A")</f>
        <v>#N/A</v>
      </c>
      <c r="B166" s="45">
        <f ca="1">IFERROR(__xludf.DUMMYFUNCTION("""COMPUTED_VALUE"""),45407.5833333333)</f>
        <v>45407.583333333299</v>
      </c>
      <c r="C166" s="46">
        <f ca="1">IFERROR(__xludf.DUMMYFUNCTION("""COMPUTED_VALUE"""),167)</f>
        <v>167</v>
      </c>
      <c r="D166" s="47" t="str">
        <f ca="1">IFERROR(__xludf.DUMMYFUNCTION("""COMPUTED_VALUE"""),"T0228")</f>
        <v>T0228</v>
      </c>
      <c r="E166" s="46" t="str">
        <f ca="1">IFERROR(__xludf.DUMMYFUNCTION("""COMPUTED_VALUE"""),"NGUYỄN CAO TRÍ")</f>
        <v>NGUYỄN CAO TRÍ</v>
      </c>
      <c r="F166" s="46" t="str">
        <f ca="1">IFERROR(__xludf.DUMMYFUNCTION("""COMPUTED_VALUE"""),"NGUYEN CAO TRI")</f>
        <v>NGUYEN CAO TRI</v>
      </c>
      <c r="G166" s="45">
        <f ca="1">IFERROR(__xludf.DUMMYFUNCTION("""COMPUTED_VALUE"""),36404.5833333333)</f>
        <v>36404.583333333299</v>
      </c>
      <c r="H166" s="45" t="str">
        <f ca="1">IFERROR(__xludf.DUMMYFUNCTION("""COMPUTED_VALUE"""),"BAKES")</f>
        <v>BAKES</v>
      </c>
      <c r="I166" s="46" t="str">
        <f ca="1">IFERROR(__xludf.DUMMYFUNCTION("""COMPUTED_VALUE"""),"STORE")</f>
        <v>STORE</v>
      </c>
      <c r="J166" s="46" t="str">
        <f ca="1">IFERROR(__xludf.DUMMYFUNCTION("""COMPUTED_VALUE"""),"BAKES D2")</f>
        <v>BAKES D2</v>
      </c>
      <c r="K166" s="46" t="str">
        <f ca="1">IFERROR(__xludf.DUMMYFUNCTION("""COMPUTED_VALUE"""),"STR")</f>
        <v>STR</v>
      </c>
      <c r="L166" s="46" t="str">
        <f ca="1">IFERROR(__xludf.DUMMYFUNCTION("""COMPUTED_VALUE"""),"FTE")</f>
        <v>FTE</v>
      </c>
      <c r="M166" s="46" t="str">
        <f ca="1">IFERROR(__xludf.DUMMYFUNCTION("""COMPUTED_VALUE"""),"Leave")</f>
        <v>Leave</v>
      </c>
      <c r="N166" s="46" t="str">
        <f ca="1">IFERROR(__xludf.DUMMYFUNCTION("""COMPUTED_VALUE"""),"x")</f>
        <v>x</v>
      </c>
    </row>
    <row r="167" spans="1:14">
      <c r="A167" s="45" t="str">
        <f ca="1">IFERROR(__xludf.DUMMYFUNCTION("""COMPUTED_VALUE"""),"#N/A")</f>
        <v>#N/A</v>
      </c>
      <c r="B167" s="45"/>
      <c r="C167" s="46">
        <f ca="1">IFERROR(__xludf.DUMMYFUNCTION("""COMPUTED_VALUE"""),168)</f>
        <v>168</v>
      </c>
      <c r="D167" s="47" t="str">
        <f ca="1">IFERROR(__xludf.DUMMYFUNCTION("""COMPUTED_VALUE"""),"T0230")</f>
        <v>T0230</v>
      </c>
      <c r="E167" s="46" t="str">
        <f ca="1">IFERROR(__xludf.DUMMYFUNCTION("""COMPUTED_VALUE"""),"NGUYỄN HOÀNG NAM")</f>
        <v>NGUYỄN HOÀNG NAM</v>
      </c>
      <c r="F167" s="46" t="str">
        <f ca="1">IFERROR(__xludf.DUMMYFUNCTION("""COMPUTED_VALUE"""),"NGUYEN HOANG NAM")</f>
        <v>NGUYEN HOANG NAM</v>
      </c>
      <c r="G167" s="45">
        <f ca="1">IFERROR(__xludf.DUMMYFUNCTION("""COMPUTED_VALUE"""),34221.5833333333)</f>
        <v>34221.583333333299</v>
      </c>
      <c r="H167" s="45" t="str">
        <f ca="1">IFERROR(__xludf.DUMMYFUNCTION("""COMPUTED_VALUE"""),"YESHI")</f>
        <v>YESHI</v>
      </c>
      <c r="I167" s="46" t="str">
        <f ca="1">IFERROR(__xludf.DUMMYFUNCTION("""COMPUTED_VALUE"""),"STORE")</f>
        <v>STORE</v>
      </c>
      <c r="J167" s="46" t="str">
        <f ca="1">IFERROR(__xludf.DUMMYFUNCTION("""COMPUTED_VALUE"""),"YESHI D3")</f>
        <v>YESHI D3</v>
      </c>
      <c r="K167" s="46" t="str">
        <f ca="1">IFERROR(__xludf.DUMMYFUNCTION("""COMPUTED_VALUE"""),"KIT")</f>
        <v>KIT</v>
      </c>
      <c r="L167" s="46" t="str">
        <f ca="1">IFERROR(__xludf.DUMMYFUNCTION("""COMPUTED_VALUE"""),"FTE")</f>
        <v>FTE</v>
      </c>
      <c r="M167" s="46" t="str">
        <f ca="1">IFERROR(__xludf.DUMMYFUNCTION("""COMPUTED_VALUE"""),"On")</f>
        <v>On</v>
      </c>
      <c r="N167" s="46" t="str">
        <f ca="1">IFERROR(__xludf.DUMMYFUNCTION("""COMPUTED_VALUE"""),"đủ")</f>
        <v>đủ</v>
      </c>
    </row>
    <row r="168" spans="1:14">
      <c r="A168" s="45" t="str">
        <f ca="1">IFERROR(__xludf.DUMMYFUNCTION("""COMPUTED_VALUE"""),"#N/A")</f>
        <v>#N/A</v>
      </c>
      <c r="B168" s="45">
        <f ca="1">IFERROR(__xludf.DUMMYFUNCTION("""COMPUTED_VALUE"""),45536.5833333333)</f>
        <v>45536.583333333299</v>
      </c>
      <c r="C168" s="46">
        <f ca="1">IFERROR(__xludf.DUMMYFUNCTION("""COMPUTED_VALUE"""),169)</f>
        <v>169</v>
      </c>
      <c r="D168" s="47" t="str">
        <f ca="1">IFERROR(__xludf.DUMMYFUNCTION("""COMPUTED_VALUE"""),"T0231")</f>
        <v>T0231</v>
      </c>
      <c r="E168" s="46" t="str">
        <f ca="1">IFERROR(__xludf.DUMMYFUNCTION("""COMPUTED_VALUE"""),"LÂM LIỆT QUỐC TRUNG")</f>
        <v>LÂM LIỆT QUỐC TRUNG</v>
      </c>
      <c r="F168" s="46" t="str">
        <f ca="1">IFERROR(__xludf.DUMMYFUNCTION("""COMPUTED_VALUE"""),"LAM LIET QUOC TRUNG")</f>
        <v>LAM LIET QUOC TRUNG</v>
      </c>
      <c r="G168" s="45">
        <f ca="1">IFERROR(__xludf.DUMMYFUNCTION("""COMPUTED_VALUE"""),33588.625)</f>
        <v>33588.625</v>
      </c>
      <c r="H168" s="45" t="str">
        <f ca="1">IFERROR(__xludf.DUMMYFUNCTION("""COMPUTED_VALUE"""),"YESHI")</f>
        <v>YESHI</v>
      </c>
      <c r="I168" s="46" t="str">
        <f ca="1">IFERROR(__xludf.DUMMYFUNCTION("""COMPUTED_VALUE"""),"STORE")</f>
        <v>STORE</v>
      </c>
      <c r="J168" s="46" t="str">
        <f ca="1">IFERROR(__xludf.DUMMYFUNCTION("""COMPUTED_VALUE"""),"YESHI D2")</f>
        <v>YESHI D2</v>
      </c>
      <c r="K168" s="46" t="str">
        <f ca="1">IFERROR(__xludf.DUMMYFUNCTION("""COMPUTED_VALUE"""),"BAR")</f>
        <v>BAR</v>
      </c>
      <c r="L168" s="46" t="str">
        <f ca="1">IFERROR(__xludf.DUMMYFUNCTION("""COMPUTED_VALUE"""),"FTE")</f>
        <v>FTE</v>
      </c>
      <c r="M168" s="46" t="str">
        <f ca="1">IFERROR(__xludf.DUMMYFUNCTION("""COMPUTED_VALUE"""),"Leave")</f>
        <v>Leave</v>
      </c>
      <c r="N168" s="46" t="str">
        <f ca="1">IFERROR(__xludf.DUMMYFUNCTION("""COMPUTED_VALUE"""),"x")</f>
        <v>x</v>
      </c>
    </row>
    <row r="169" spans="1:14">
      <c r="A169" s="45" t="str">
        <f ca="1">IFERROR(__xludf.DUMMYFUNCTION("""COMPUTED_VALUE"""),"#N/A")</f>
        <v>#N/A</v>
      </c>
      <c r="B169" s="45" t="str">
        <f ca="1">IFERROR(__xludf.DUMMYFUNCTION("""COMPUTED_VALUE"""),"Đã nghỉ")</f>
        <v>Đã nghỉ</v>
      </c>
      <c r="C169" s="46">
        <f ca="1">IFERROR(__xludf.DUMMYFUNCTION("""COMPUTED_VALUE"""),170)</f>
        <v>170</v>
      </c>
      <c r="D169" s="47" t="str">
        <f ca="1">IFERROR(__xludf.DUMMYFUNCTION("""COMPUTED_VALUE"""),"T0233")</f>
        <v>T0233</v>
      </c>
      <c r="E169" s="46" t="str">
        <f ca="1">IFERROR(__xludf.DUMMYFUNCTION("""COMPUTED_VALUE"""),"NGUYỄN MINH NGỌC")</f>
        <v>NGUYỄN MINH NGỌC</v>
      </c>
      <c r="F169" s="46" t="str">
        <f ca="1">IFERROR(__xludf.DUMMYFUNCTION("""COMPUTED_VALUE"""),"NGUYEN MINH NGOC")</f>
        <v>NGUYEN MINH NGOC</v>
      </c>
      <c r="G169" s="45">
        <f ca="1">IFERROR(__xludf.DUMMYFUNCTION("""COMPUTED_VALUE"""),34486.5833333333)</f>
        <v>34486.583333333299</v>
      </c>
      <c r="H169" s="45" t="str">
        <f ca="1">IFERROR(__xludf.DUMMYFUNCTION("""COMPUTED_VALUE"""),"TLC")</f>
        <v>TLC</v>
      </c>
      <c r="I169" s="46" t="str">
        <f ca="1">IFERROR(__xludf.DUMMYFUNCTION("""COMPUTED_VALUE"""),"HO")</f>
        <v>HO</v>
      </c>
      <c r="J169" s="46" t="str">
        <f ca="1">IFERROR(__xludf.DUMMYFUNCTION("""COMPUTED_VALUE"""),"PUR")</f>
        <v>PUR</v>
      </c>
      <c r="K169" s="46" t="str">
        <f ca="1">IFERROR(__xludf.DUMMYFUNCTION("""COMPUTED_VALUE"""),"PUR")</f>
        <v>PUR</v>
      </c>
      <c r="L169" s="46" t="str">
        <f ca="1">IFERROR(__xludf.DUMMYFUNCTION("""COMPUTED_VALUE"""),"PRO")</f>
        <v>PRO</v>
      </c>
      <c r="M169" s="46" t="str">
        <f ca="1">IFERROR(__xludf.DUMMYFUNCTION("""COMPUTED_VALUE"""),"Leave")</f>
        <v>Leave</v>
      </c>
      <c r="N169" s="46" t="str">
        <f ca="1">IFERROR(__xludf.DUMMYFUNCTION("""COMPUTED_VALUE"""),"x")</f>
        <v>x</v>
      </c>
    </row>
    <row r="170" spans="1:14">
      <c r="A170" s="45" t="str">
        <f ca="1">IFERROR(__xludf.DUMMYFUNCTION("""COMPUTED_VALUE"""),"#N/A")</f>
        <v>#N/A</v>
      </c>
      <c r="B170" s="45">
        <f ca="1">IFERROR(__xludf.DUMMYFUNCTION("""COMPUTED_VALUE"""),45870.5833333333)</f>
        <v>45870.583333333299</v>
      </c>
      <c r="C170" s="46">
        <f ca="1">IFERROR(__xludf.DUMMYFUNCTION("""COMPUTED_VALUE"""),171)</f>
        <v>171</v>
      </c>
      <c r="D170" s="47" t="str">
        <f ca="1">IFERROR(__xludf.DUMMYFUNCTION("""COMPUTED_VALUE"""),"T0234")</f>
        <v>T0234</v>
      </c>
      <c r="E170" s="46" t="str">
        <f ca="1">IFERROR(__xludf.DUMMYFUNCTION("""COMPUTED_VALUE"""),"NGUYỄN ĐOÀN NHƯ Ý")</f>
        <v>NGUYỄN ĐOÀN NHƯ Ý</v>
      </c>
      <c r="F170" s="46" t="str">
        <f ca="1">IFERROR(__xludf.DUMMYFUNCTION("""COMPUTED_VALUE"""),"NGUYEN DOAN NHU Y")</f>
        <v>NGUYEN DOAN NHU Y</v>
      </c>
      <c r="G170" s="45">
        <f ca="1">IFERROR(__xludf.DUMMYFUNCTION("""COMPUTED_VALUE"""),35195.5833333333)</f>
        <v>35195.583333333299</v>
      </c>
      <c r="H170" s="45" t="str">
        <f ca="1">IFERROR(__xludf.DUMMYFUNCTION("""COMPUTED_VALUE"""),"TLC")</f>
        <v>TLC</v>
      </c>
      <c r="I170" s="46" t="str">
        <f ca="1">IFERROR(__xludf.DUMMYFUNCTION("""COMPUTED_VALUE"""),"STORE")</f>
        <v>STORE</v>
      </c>
      <c r="J170" s="46" t="str">
        <f ca="1">IFERROR(__xludf.DUMMYFUNCTION("""COMPUTED_VALUE"""),"BLANK LOUNGE")</f>
        <v>BLANK LOUNGE</v>
      </c>
      <c r="K170" s="46" t="str">
        <f ca="1">IFERROR(__xludf.DUMMYFUNCTION("""COMPUTED_VALUE"""),"Management team")</f>
        <v>Management team</v>
      </c>
      <c r="L170" s="46" t="str">
        <f ca="1">IFERROR(__xludf.DUMMYFUNCTION("""COMPUTED_VALUE"""),"FTE")</f>
        <v>FTE</v>
      </c>
      <c r="M170" s="46" t="str">
        <f ca="1">IFERROR(__xludf.DUMMYFUNCTION("""COMPUTED_VALUE"""),"Leave")</f>
        <v>Leave</v>
      </c>
      <c r="N170" s="46" t="str">
        <f ca="1">IFERROR(__xludf.DUMMYFUNCTION("""COMPUTED_VALUE"""),"x")</f>
        <v>x</v>
      </c>
    </row>
    <row r="171" spans="1:14">
      <c r="A171" s="45" t="str">
        <f ca="1">IFERROR(__xludf.DUMMYFUNCTION("""COMPUTED_VALUE"""),"#N/A")</f>
        <v>#N/A</v>
      </c>
      <c r="B171" s="45" t="str">
        <f ca="1">IFERROR(__xludf.DUMMYFUNCTION("""COMPUTED_VALUE"""),"Đã nghỉ")</f>
        <v>Đã nghỉ</v>
      </c>
      <c r="C171" s="46">
        <f ca="1">IFERROR(__xludf.DUMMYFUNCTION("""COMPUTED_VALUE"""),172)</f>
        <v>172</v>
      </c>
      <c r="D171" s="47" t="str">
        <f ca="1">IFERROR(__xludf.DUMMYFUNCTION("""COMPUTED_VALUE"""),"TDS")</f>
        <v>TDS</v>
      </c>
      <c r="E171" s="46" t="str">
        <f ca="1">IFERROR(__xludf.DUMMYFUNCTION("""COMPUTED_VALUE"""),"TRẦN ĐỨC SĨ")</f>
        <v>TRẦN ĐỨC SĨ</v>
      </c>
      <c r="F171" s="46" t="str">
        <f ca="1">IFERROR(__xludf.DUMMYFUNCTION("""COMPUTED_VALUE"""),"TRAN DUC SI")</f>
        <v>TRAN DUC SI</v>
      </c>
      <c r="G171" s="45">
        <f ca="1">IFERROR(__xludf.DUMMYFUNCTION("""COMPUTED_VALUE"""),36479.625)</f>
        <v>36479.625</v>
      </c>
      <c r="H171" s="45" t="str">
        <f ca="1">IFERROR(__xludf.DUMMYFUNCTION("""COMPUTED_VALUE"""),"BAKES")</f>
        <v>BAKES</v>
      </c>
      <c r="I171" s="46" t="str">
        <f ca="1">IFERROR(__xludf.DUMMYFUNCTION("""COMPUTED_VALUE"""),"STORE")</f>
        <v>STORE</v>
      </c>
      <c r="J171" s="46" t="str">
        <f ca="1">IFERROR(__xludf.DUMMYFUNCTION("""COMPUTED_VALUE"""),"BAKES D2")</f>
        <v>BAKES D2</v>
      </c>
      <c r="K171" s="46" t="str">
        <f ca="1">IFERROR(__xludf.DUMMYFUNCTION("""COMPUTED_VALUE"""),"STR")</f>
        <v>STR</v>
      </c>
      <c r="L171" s="46"/>
      <c r="M171" s="46" t="str">
        <f ca="1">IFERROR(__xludf.DUMMYFUNCTION("""COMPUTED_VALUE"""),"Leave")</f>
        <v>Leave</v>
      </c>
      <c r="N171" s="46" t="str">
        <f ca="1">IFERROR(__xludf.DUMMYFUNCTION("""COMPUTED_VALUE"""),"x")</f>
        <v>x</v>
      </c>
    </row>
    <row r="172" spans="1:14">
      <c r="A172" s="45" t="str">
        <f ca="1">IFERROR(__xludf.DUMMYFUNCTION("""COMPUTED_VALUE"""),"#N/A")</f>
        <v>#N/A</v>
      </c>
      <c r="B172" s="45" t="str">
        <f ca="1">IFERROR(__xludf.DUMMYFUNCTION("""COMPUTED_VALUE"""),"Đã nghỉ")</f>
        <v>Đã nghỉ</v>
      </c>
      <c r="C172" s="46">
        <f ca="1">IFERROR(__xludf.DUMMYFUNCTION("""COMPUTED_VALUE"""),173)</f>
        <v>173</v>
      </c>
      <c r="D172" s="47" t="str">
        <f ca="1">IFERROR(__xludf.DUMMYFUNCTION("""COMPUTED_VALUE"""),"TNPT")</f>
        <v>TNPT</v>
      </c>
      <c r="E172" s="46" t="str">
        <f ca="1">IFERROR(__xludf.DUMMYFUNCTION("""COMPUTED_VALUE"""),"THÁI NGỌC PHƯƠNG TRÂM")</f>
        <v>THÁI NGỌC PHƯƠNG TRÂM</v>
      </c>
      <c r="F172" s="46" t="str">
        <f ca="1">IFERROR(__xludf.DUMMYFUNCTION("""COMPUTED_VALUE"""),"THAI NGOC PHUONG TRAM")</f>
        <v>THAI NGOC PHUONG TRAM</v>
      </c>
      <c r="G172" s="45">
        <f ca="1">IFERROR(__xludf.DUMMYFUNCTION("""COMPUTED_VALUE"""),36968.625)</f>
        <v>36968.625</v>
      </c>
      <c r="H172" s="45" t="str">
        <f ca="1">IFERROR(__xludf.DUMMYFUNCTION("""COMPUTED_VALUE"""),"BAKES")</f>
        <v>BAKES</v>
      </c>
      <c r="I172" s="46" t="str">
        <f ca="1">IFERROR(__xludf.DUMMYFUNCTION("""COMPUTED_VALUE"""),"STORE")</f>
        <v>STORE</v>
      </c>
      <c r="J172" s="46" t="str">
        <f ca="1">IFERROR(__xludf.DUMMYFUNCTION("""COMPUTED_VALUE"""),"BAKES D2")</f>
        <v>BAKES D2</v>
      </c>
      <c r="K172" s="46" t="str">
        <f ca="1">IFERROR(__xludf.DUMMYFUNCTION("""COMPUTED_VALUE"""),"STR")</f>
        <v>STR</v>
      </c>
      <c r="L172" s="46" t="str">
        <f ca="1">IFERROR(__xludf.DUMMYFUNCTION("""COMPUTED_VALUE"""),"PTE")</f>
        <v>PTE</v>
      </c>
      <c r="M172" s="46" t="str">
        <f ca="1">IFERROR(__xludf.DUMMYFUNCTION("""COMPUTED_VALUE"""),"Leave")</f>
        <v>Leave</v>
      </c>
      <c r="N172" s="46" t="str">
        <f ca="1">IFERROR(__xludf.DUMMYFUNCTION("""COMPUTED_VALUE"""),"x")</f>
        <v>x</v>
      </c>
    </row>
    <row r="173" spans="1:14">
      <c r="A173" s="45" t="str">
        <f ca="1">IFERROR(__xludf.DUMMYFUNCTION("""COMPUTED_VALUE"""),"#N/A")</f>
        <v>#N/A</v>
      </c>
      <c r="B173" s="45" t="str">
        <f ca="1">IFERROR(__xludf.DUMMYFUNCTION("""COMPUTED_VALUE"""),"Đã nghỉ")</f>
        <v>Đã nghỉ</v>
      </c>
      <c r="C173" s="46">
        <f ca="1">IFERROR(__xludf.DUMMYFUNCTION("""COMPUTED_VALUE"""),174)</f>
        <v>174</v>
      </c>
      <c r="D173" s="47" t="str">
        <f ca="1">IFERROR(__xludf.DUMMYFUNCTION("""COMPUTED_VALUE"""),"TQK")</f>
        <v>TQK</v>
      </c>
      <c r="E173" s="46" t="str">
        <f ca="1">IFERROR(__xludf.DUMMYFUNCTION("""COMPUTED_VALUE"""),"TẠ QUANG KHANH")</f>
        <v>TẠ QUANG KHANH</v>
      </c>
      <c r="F173" s="46" t="str">
        <f ca="1">IFERROR(__xludf.DUMMYFUNCTION("""COMPUTED_VALUE"""),"TA QUANG KHANH")</f>
        <v>TA QUANG KHANH</v>
      </c>
      <c r="G173" s="45">
        <f ca="1">IFERROR(__xludf.DUMMYFUNCTION("""COMPUTED_VALUE"""),36535.625)</f>
        <v>36535.625</v>
      </c>
      <c r="H173" s="45" t="str">
        <f ca="1">IFERROR(__xludf.DUMMYFUNCTION("""COMPUTED_VALUE"""),"BAKES")</f>
        <v>BAKES</v>
      </c>
      <c r="I173" s="46" t="str">
        <f ca="1">IFERROR(__xludf.DUMMYFUNCTION("""COMPUTED_VALUE"""),"STORE")</f>
        <v>STORE</v>
      </c>
      <c r="J173" s="46" t="str">
        <f ca="1">IFERROR(__xludf.DUMMYFUNCTION("""COMPUTED_VALUE"""),"BAKES D2")</f>
        <v>BAKES D2</v>
      </c>
      <c r="K173" s="46" t="str">
        <f ca="1">IFERROR(__xludf.DUMMYFUNCTION("""COMPUTED_VALUE"""),"STR")</f>
        <v>STR</v>
      </c>
      <c r="L173" s="46" t="str">
        <f ca="1">IFERROR(__xludf.DUMMYFUNCTION("""COMPUTED_VALUE"""),"PTE")</f>
        <v>PTE</v>
      </c>
      <c r="M173" s="46" t="str">
        <f ca="1">IFERROR(__xludf.DUMMYFUNCTION("""COMPUTED_VALUE"""),"Leave")</f>
        <v>Leave</v>
      </c>
      <c r="N173" s="46" t="str">
        <f ca="1">IFERROR(__xludf.DUMMYFUNCTION("""COMPUTED_VALUE"""),"x")</f>
        <v>x</v>
      </c>
    </row>
    <row r="174" spans="1:14">
      <c r="A174" s="45" t="str">
        <f ca="1">IFERROR(__xludf.DUMMYFUNCTION("""COMPUTED_VALUE"""),"#N/A")</f>
        <v>#N/A</v>
      </c>
      <c r="B174" s="45" t="str">
        <f ca="1">IFERROR(__xludf.DUMMYFUNCTION("""COMPUTED_VALUE"""),"Đã nghỉ")</f>
        <v>Đã nghỉ</v>
      </c>
      <c r="C174" s="46">
        <f ca="1">IFERROR(__xludf.DUMMYFUNCTION("""COMPUTED_VALUE"""),175)</f>
        <v>175</v>
      </c>
      <c r="D174" s="47" t="str">
        <f ca="1">IFERROR(__xludf.DUMMYFUNCTION("""COMPUTED_VALUE"""),"TTTT")</f>
        <v>TTTT</v>
      </c>
      <c r="E174" s="46" t="str">
        <f ca="1">IFERROR(__xludf.DUMMYFUNCTION("""COMPUTED_VALUE"""),"TRẦN THỊ THANH TRÚC")</f>
        <v>TRẦN THỊ THANH TRÚC</v>
      </c>
      <c r="F174" s="46" t="str">
        <f ca="1">IFERROR(__xludf.DUMMYFUNCTION("""COMPUTED_VALUE"""),"TRAN THI THANH TRUC")</f>
        <v>TRAN THI THANH TRUC</v>
      </c>
      <c r="G174" s="45">
        <f ca="1">IFERROR(__xludf.DUMMYFUNCTION("""COMPUTED_VALUE"""),37426.5833333333)</f>
        <v>37426.583333333299</v>
      </c>
      <c r="H174" s="45" t="str">
        <f ca="1">IFERROR(__xludf.DUMMYFUNCTION("""COMPUTED_VALUE"""),"SHADOW")</f>
        <v>SHADOW</v>
      </c>
      <c r="I174" s="46" t="str">
        <f ca="1">IFERROR(__xludf.DUMMYFUNCTION("""COMPUTED_VALUE"""),"STORE")</f>
        <v>STORE</v>
      </c>
      <c r="J174" s="46" t="str">
        <f ca="1">IFERROR(__xludf.DUMMYFUNCTION("""COMPUTED_VALUE"""),"BAKES PASTEUR")</f>
        <v>BAKES PASTEUR</v>
      </c>
      <c r="K174" s="46" t="str">
        <f ca="1">IFERROR(__xludf.DUMMYFUNCTION("""COMPUTED_VALUE"""),"STR")</f>
        <v>STR</v>
      </c>
      <c r="L174" s="46" t="str">
        <f ca="1">IFERROR(__xludf.DUMMYFUNCTION("""COMPUTED_VALUE"""),"PTE")</f>
        <v>PTE</v>
      </c>
      <c r="M174" s="46" t="str">
        <f ca="1">IFERROR(__xludf.DUMMYFUNCTION("""COMPUTED_VALUE"""),"Leave")</f>
        <v>Leave</v>
      </c>
      <c r="N174" s="46" t="str">
        <f ca="1">IFERROR(__xludf.DUMMYFUNCTION("""COMPUTED_VALUE"""),"đủ")</f>
        <v>đủ</v>
      </c>
    </row>
    <row r="175" spans="1:14">
      <c r="A175" s="45" t="str">
        <f ca="1">IFERROR(__xludf.DUMMYFUNCTION("""COMPUTED_VALUE"""),"#N/A")</f>
        <v>#N/A</v>
      </c>
      <c r="B175" s="45" t="str">
        <f ca="1">IFERROR(__xludf.DUMMYFUNCTION("""COMPUTED_VALUE"""),"Đã nghỉ")</f>
        <v>Đã nghỉ</v>
      </c>
      <c r="C175" s="46">
        <f ca="1">IFERROR(__xludf.DUMMYFUNCTION("""COMPUTED_VALUE"""),176)</f>
        <v>176</v>
      </c>
      <c r="D175" s="47" t="str">
        <f ca="1">IFERROR(__xludf.DUMMYFUNCTION("""COMPUTED_VALUE"""),"TVK")</f>
        <v>TVK</v>
      </c>
      <c r="E175" s="46" t="str">
        <f ca="1">IFERROR(__xludf.DUMMYFUNCTION("""COMPUTED_VALUE"""),"TRẦN VIỆT KHÔI")</f>
        <v>TRẦN VIỆT KHÔI</v>
      </c>
      <c r="F175" s="46" t="str">
        <f ca="1">IFERROR(__xludf.DUMMYFUNCTION("""COMPUTED_VALUE"""),"TRAN VIET KHOI")</f>
        <v>TRAN VIET KHOI</v>
      </c>
      <c r="G175" s="45">
        <f ca="1">IFERROR(__xludf.DUMMYFUNCTION("""COMPUTED_VALUE"""),36248.625)</f>
        <v>36248.625</v>
      </c>
      <c r="H175" s="45"/>
      <c r="I175" s="46"/>
      <c r="J175" s="46"/>
      <c r="K175" s="46"/>
      <c r="L175" s="46"/>
      <c r="M175" s="46" t="str">
        <f ca="1">IFERROR(__xludf.DUMMYFUNCTION("""COMPUTED_VALUE"""),"Leave")</f>
        <v>Leave</v>
      </c>
      <c r="N175" s="46" t="str">
        <f ca="1">IFERROR(__xludf.DUMMYFUNCTION("""COMPUTED_VALUE"""),"x")</f>
        <v>x</v>
      </c>
    </row>
    <row r="176" spans="1:14">
      <c r="A176" s="45" t="str">
        <f ca="1">IFERROR(__xludf.DUMMYFUNCTION("""COMPUTED_VALUE"""),"#N/A")</f>
        <v>#N/A</v>
      </c>
      <c r="B176" s="45" t="str">
        <f ca="1">IFERROR(__xludf.DUMMYFUNCTION("""COMPUTED_VALUE"""),"Đã nghỉ")</f>
        <v>Đã nghỉ</v>
      </c>
      <c r="C176" s="46">
        <f ca="1">IFERROR(__xludf.DUMMYFUNCTION("""COMPUTED_VALUE"""),177)</f>
        <v>177</v>
      </c>
      <c r="D176" s="47" t="str">
        <f ca="1">IFERROR(__xludf.DUMMYFUNCTION("""COMPUTED_VALUE"""),"VTT")</f>
        <v>VTT</v>
      </c>
      <c r="E176" s="46" t="str">
        <f ca="1">IFERROR(__xludf.DUMMYFUNCTION("""COMPUTED_VALUE"""),"VÕ TÚ TRINH")</f>
        <v>VÕ TÚ TRINH</v>
      </c>
      <c r="F176" s="46" t="str">
        <f ca="1">IFERROR(__xludf.DUMMYFUNCTION("""COMPUTED_VALUE"""),"VO TU TRINH")</f>
        <v>VO TU TRINH</v>
      </c>
      <c r="G176" s="45">
        <f ca="1">IFERROR(__xludf.DUMMYFUNCTION("""COMPUTED_VALUE"""),35425.625)</f>
        <v>35425.625</v>
      </c>
      <c r="H176" s="45" t="str">
        <f ca="1">IFERROR(__xludf.DUMMYFUNCTION("""COMPUTED_VALUE"""),"TLC")</f>
        <v>TLC</v>
      </c>
      <c r="I176" s="46" t="str">
        <f ca="1">IFERROR(__xludf.DUMMYFUNCTION("""COMPUTED_VALUE"""),"STORE")</f>
        <v>STORE</v>
      </c>
      <c r="J176" s="46" t="str">
        <f ca="1">IFERROR(__xludf.DUMMYFUNCTION("""COMPUTED_VALUE"""),"BLANK LOUNGE")</f>
        <v>BLANK LOUNGE</v>
      </c>
      <c r="K176" s="46" t="str">
        <f ca="1">IFERROR(__xludf.DUMMYFUNCTION("""COMPUTED_VALUE"""),"STR")</f>
        <v>STR</v>
      </c>
      <c r="L176" s="46" t="str">
        <f ca="1">IFERROR(__xludf.DUMMYFUNCTION("""COMPUTED_VALUE"""),"PTE")</f>
        <v>PTE</v>
      </c>
      <c r="M176" s="46" t="str">
        <f ca="1">IFERROR(__xludf.DUMMYFUNCTION("""COMPUTED_VALUE"""),"Leave")</f>
        <v>Leave</v>
      </c>
      <c r="N176" s="46" t="str">
        <f ca="1">IFERROR(__xludf.DUMMYFUNCTION("""COMPUTED_VALUE"""),"x")</f>
        <v>x</v>
      </c>
    </row>
    <row r="177" spans="1:14">
      <c r="A177" s="45" t="str">
        <f ca="1">IFERROR(__xludf.DUMMYFUNCTION("""COMPUTED_VALUE"""),"#N/A")</f>
        <v>#N/A</v>
      </c>
      <c r="B177" s="45">
        <f ca="1">IFERROR(__xludf.DUMMYFUNCTION("""COMPUTED_VALUE"""),44958.625)</f>
        <v>44958.625</v>
      </c>
      <c r="C177" s="46">
        <f ca="1">IFERROR(__xludf.DUMMYFUNCTION("""COMPUTED_VALUE"""),178)</f>
        <v>178</v>
      </c>
      <c r="D177" s="47" t="str">
        <f ca="1">IFERROR(__xludf.DUMMYFUNCTION("""COMPUTED_VALUE"""),"www")</f>
        <v>www</v>
      </c>
      <c r="E177" s="46" t="str">
        <f ca="1">IFERROR(__xludf.DUMMYFUNCTION("""COMPUTED_VALUE"""),"WU YUE MING")</f>
        <v>WU YUE MING</v>
      </c>
      <c r="F177" s="46" t="str">
        <f ca="1">IFERROR(__xludf.DUMMYFUNCTION("""COMPUTED_VALUE"""),"WU YUE MING")</f>
        <v>WU YUE MING</v>
      </c>
      <c r="G177" s="45">
        <f ca="1">IFERROR(__xludf.DUMMYFUNCTION("""COMPUTED_VALUE"""),33402.5833333333)</f>
        <v>33402.583333333299</v>
      </c>
      <c r="H177" s="45" t="str">
        <f ca="1">IFERROR(__xludf.DUMMYFUNCTION("""COMPUTED_VALUE"""),"TLC")</f>
        <v>TLC</v>
      </c>
      <c r="I177" s="46" t="str">
        <f ca="1">IFERROR(__xludf.DUMMYFUNCTION("""COMPUTED_VALUE"""),"STORE")</f>
        <v>STORE</v>
      </c>
      <c r="J177" s="46" t="str">
        <f ca="1">IFERROR(__xludf.DUMMYFUNCTION("""COMPUTED_VALUE"""),"KITCHEN PASTRY")</f>
        <v>KITCHEN PASTRY</v>
      </c>
      <c r="K177" s="46" t="str">
        <f ca="1">IFERROR(__xludf.DUMMYFUNCTION("""COMPUTED_VALUE"""),"KIT")</f>
        <v>KIT</v>
      </c>
      <c r="L177" s="46" t="str">
        <f ca="1">IFERROR(__xludf.DUMMYFUNCTION("""COMPUTED_VALUE"""),"FTE")</f>
        <v>FTE</v>
      </c>
      <c r="M177" s="46" t="str">
        <f ca="1">IFERROR(__xludf.DUMMYFUNCTION("""COMPUTED_VALUE"""),"Leave")</f>
        <v>Leave</v>
      </c>
      <c r="N177" s="46" t="str">
        <f ca="1">IFERROR(__xludf.DUMMYFUNCTION("""COMPUTED_VALUE"""),"x")</f>
        <v>x</v>
      </c>
    </row>
    <row r="178" spans="1:14">
      <c r="A178" s="45" t="str">
        <f ca="1">IFERROR(__xludf.DUMMYFUNCTION("""COMPUTED_VALUE"""),"#N/A")</f>
        <v>#N/A</v>
      </c>
      <c r="B178" s="45" t="str">
        <f ca="1">IFERROR(__xludf.DUMMYFUNCTION("""COMPUTED_VALUE"""),"Đã nghỉ")</f>
        <v>Đã nghỉ</v>
      </c>
      <c r="C178" s="46">
        <f ca="1">IFERROR(__xludf.DUMMYFUNCTION("""COMPUTED_VALUE"""),179)</f>
        <v>179</v>
      </c>
      <c r="D178" s="47" t="str">
        <f ca="1">IFERROR(__xludf.DUMMYFUNCTION("""COMPUTED_VALUE"""),"B2001")</f>
        <v>B2001</v>
      </c>
      <c r="E178" s="46" t="str">
        <f ca="1">IFERROR(__xludf.DUMMYFUNCTION("""COMPUTED_VALUE"""),"ĐOÀN MINH DUY")</f>
        <v>ĐOÀN MINH DUY</v>
      </c>
      <c r="F178" s="46" t="str">
        <f ca="1">IFERROR(__xludf.DUMMYFUNCTION("""COMPUTED_VALUE"""),"DOAN MINH DUY")</f>
        <v>DOAN MINH DUY</v>
      </c>
      <c r="G178" s="45">
        <f ca="1">IFERROR(__xludf.DUMMYFUNCTION("""COMPUTED_VALUE"""),36940.625)</f>
        <v>36940.625</v>
      </c>
      <c r="H178" s="45" t="str">
        <f ca="1">IFERROR(__xludf.DUMMYFUNCTION("""COMPUTED_VALUE"""),"BAKES")</f>
        <v>BAKES</v>
      </c>
      <c r="I178" s="46" t="str">
        <f ca="1">IFERROR(__xludf.DUMMYFUNCTION("""COMPUTED_VALUE"""),"STORE")</f>
        <v>STORE</v>
      </c>
      <c r="J178" s="46" t="str">
        <f ca="1">IFERROR(__xludf.DUMMYFUNCTION("""COMPUTED_VALUE"""),"BAKES D2")</f>
        <v>BAKES D2</v>
      </c>
      <c r="K178" s="46" t="str">
        <f ca="1">IFERROR(__xludf.DUMMYFUNCTION("""COMPUTED_VALUE"""),"STR")</f>
        <v>STR</v>
      </c>
      <c r="L178" s="46" t="str">
        <f ca="1">IFERROR(__xludf.DUMMYFUNCTION("""COMPUTED_VALUE"""),"PTE")</f>
        <v>PTE</v>
      </c>
      <c r="M178" s="46" t="str">
        <f ca="1">IFERROR(__xludf.DUMMYFUNCTION("""COMPUTED_VALUE"""),"Leave")</f>
        <v>Leave</v>
      </c>
      <c r="N178" s="46" t="str">
        <f ca="1">IFERROR(__xludf.DUMMYFUNCTION("""COMPUTED_VALUE"""),"x")</f>
        <v>x</v>
      </c>
    </row>
    <row r="179" spans="1:14">
      <c r="A179" s="45" t="str">
        <f ca="1">IFERROR(__xludf.DUMMYFUNCTION("""COMPUTED_VALUE"""),"#N/A")</f>
        <v>#N/A</v>
      </c>
      <c r="B179" s="45" t="str">
        <f ca="1">IFERROR(__xludf.DUMMYFUNCTION("""COMPUTED_VALUE"""),"Đã nghỉ")</f>
        <v>Đã nghỉ</v>
      </c>
      <c r="C179" s="46">
        <f ca="1">IFERROR(__xludf.DUMMYFUNCTION("""COMPUTED_VALUE"""),180)</f>
        <v>180</v>
      </c>
      <c r="D179" s="47" t="str">
        <f ca="1">IFERROR(__xludf.DUMMYFUNCTION("""COMPUTED_VALUE"""),"B2002")</f>
        <v>B2002</v>
      </c>
      <c r="E179" s="46" t="str">
        <f ca="1">IFERROR(__xludf.DUMMYFUNCTION("""COMPUTED_VALUE"""),"NGUYỄN ĐẶNG ĐOAN TRANG")</f>
        <v>NGUYỄN ĐẶNG ĐOAN TRANG</v>
      </c>
      <c r="F179" s="46" t="str">
        <f ca="1">IFERROR(__xludf.DUMMYFUNCTION("""COMPUTED_VALUE"""),"NGUYEN DANG DOAN TRANG")</f>
        <v>NGUYEN DANG DOAN TRANG</v>
      </c>
      <c r="G179" s="45">
        <f ca="1">IFERROR(__xludf.DUMMYFUNCTION("""COMPUTED_VALUE"""),37619.625)</f>
        <v>37619.625</v>
      </c>
      <c r="H179" s="45" t="str">
        <f ca="1">IFERROR(__xludf.DUMMYFUNCTION("""COMPUTED_VALUE"""),"BAKES")</f>
        <v>BAKES</v>
      </c>
      <c r="I179" s="46" t="str">
        <f ca="1">IFERROR(__xludf.DUMMYFUNCTION("""COMPUTED_VALUE"""),"STORE")</f>
        <v>STORE</v>
      </c>
      <c r="J179" s="46" t="str">
        <f ca="1">IFERROR(__xludf.DUMMYFUNCTION("""COMPUTED_VALUE"""),"BAKES D2")</f>
        <v>BAKES D2</v>
      </c>
      <c r="K179" s="46" t="str">
        <f ca="1">IFERROR(__xludf.DUMMYFUNCTION("""COMPUTED_VALUE"""),"STR")</f>
        <v>STR</v>
      </c>
      <c r="L179" s="46" t="str">
        <f ca="1">IFERROR(__xludf.DUMMYFUNCTION("""COMPUTED_VALUE"""),"FTE")</f>
        <v>FTE</v>
      </c>
      <c r="M179" s="46" t="str">
        <f ca="1">IFERROR(__xludf.DUMMYFUNCTION("""COMPUTED_VALUE"""),"Leave")</f>
        <v>Leave</v>
      </c>
      <c r="N179" s="46" t="str">
        <f ca="1">IFERROR(__xludf.DUMMYFUNCTION("""COMPUTED_VALUE"""),"x")</f>
        <v>x</v>
      </c>
    </row>
    <row r="180" spans="1:14">
      <c r="A180" s="45" t="str">
        <f ca="1">IFERROR(__xludf.DUMMYFUNCTION("""COMPUTED_VALUE"""),"#N/A")</f>
        <v>#N/A</v>
      </c>
      <c r="B180" s="45" t="str">
        <f ca="1">IFERROR(__xludf.DUMMYFUNCTION("""COMPUTED_VALUE"""),"Đã nghỉ")</f>
        <v>Đã nghỉ</v>
      </c>
      <c r="C180" s="46">
        <f ca="1">IFERROR(__xludf.DUMMYFUNCTION("""COMPUTED_VALUE"""),181)</f>
        <v>181</v>
      </c>
      <c r="D180" s="47" t="str">
        <f ca="1">IFERROR(__xludf.DUMMYFUNCTION("""COMPUTED_VALUE"""),"B2003")</f>
        <v>B2003</v>
      </c>
      <c r="E180" s="46" t="str">
        <f ca="1">IFERROR(__xludf.DUMMYFUNCTION("""COMPUTED_VALUE"""),"PHAN LAN NHI")</f>
        <v>PHAN LAN NHI</v>
      </c>
      <c r="F180" s="46" t="str">
        <f ca="1">IFERROR(__xludf.DUMMYFUNCTION("""COMPUTED_VALUE"""),"PHAN LAN NHI")</f>
        <v>PHAN LAN NHI</v>
      </c>
      <c r="G180" s="45">
        <f ca="1">IFERROR(__xludf.DUMMYFUNCTION("""COMPUTED_VALUE"""),37905.5833333333)</f>
        <v>37905.583333333299</v>
      </c>
      <c r="H180" s="45" t="str">
        <f ca="1">IFERROR(__xludf.DUMMYFUNCTION("""COMPUTED_VALUE"""),"BAKES")</f>
        <v>BAKES</v>
      </c>
      <c r="I180" s="46" t="str">
        <f ca="1">IFERROR(__xludf.DUMMYFUNCTION("""COMPUTED_VALUE"""),"STORE")</f>
        <v>STORE</v>
      </c>
      <c r="J180" s="46" t="str">
        <f ca="1">IFERROR(__xludf.DUMMYFUNCTION("""COMPUTED_VALUE"""),"BAKES D2")</f>
        <v>BAKES D2</v>
      </c>
      <c r="K180" s="46" t="str">
        <f ca="1">IFERROR(__xludf.DUMMYFUNCTION("""COMPUTED_VALUE"""),"STR")</f>
        <v>STR</v>
      </c>
      <c r="L180" s="46" t="str">
        <f ca="1">IFERROR(__xludf.DUMMYFUNCTION("""COMPUTED_VALUE"""),"PTE")</f>
        <v>PTE</v>
      </c>
      <c r="M180" s="46" t="str">
        <f ca="1">IFERROR(__xludf.DUMMYFUNCTION("""COMPUTED_VALUE"""),"Leave")</f>
        <v>Leave</v>
      </c>
      <c r="N180" s="46" t="str">
        <f ca="1">IFERROR(__xludf.DUMMYFUNCTION("""COMPUTED_VALUE"""),"x")</f>
        <v>x</v>
      </c>
    </row>
    <row r="181" spans="1:14">
      <c r="A181" s="45" t="str">
        <f ca="1">IFERROR(__xludf.DUMMYFUNCTION("""COMPUTED_VALUE"""),"#N/A")</f>
        <v>#N/A</v>
      </c>
      <c r="B181" s="45" t="str">
        <f ca="1">IFERROR(__xludf.DUMMYFUNCTION("""COMPUTED_VALUE"""),"Đã nghỉ")</f>
        <v>Đã nghỉ</v>
      </c>
      <c r="C181" s="46">
        <f ca="1">IFERROR(__xludf.DUMMYFUNCTION("""COMPUTED_VALUE"""),182)</f>
        <v>182</v>
      </c>
      <c r="D181" s="47" t="str">
        <f ca="1">IFERROR(__xludf.DUMMYFUNCTION("""COMPUTED_VALUE"""),"B2004")</f>
        <v>B2004</v>
      </c>
      <c r="E181" s="46" t="str">
        <f ca="1">IFERROR(__xludf.DUMMYFUNCTION("""COMPUTED_VALUE"""),"TRẦN NGỌC NHÃ CA")</f>
        <v>TRẦN NGỌC NHÃ CA</v>
      </c>
      <c r="F181" s="46" t="str">
        <f ca="1">IFERROR(__xludf.DUMMYFUNCTION("""COMPUTED_VALUE"""),"TRAN NGOC NHA CA")</f>
        <v>TRAN NGOC NHA CA</v>
      </c>
      <c r="G181" s="45"/>
      <c r="H181" s="45" t="str">
        <f ca="1">IFERROR(__xludf.DUMMYFUNCTION("""COMPUTED_VALUE"""),"BAKES")</f>
        <v>BAKES</v>
      </c>
      <c r="I181" s="46" t="str">
        <f ca="1">IFERROR(__xludf.DUMMYFUNCTION("""COMPUTED_VALUE"""),"STORE")</f>
        <v>STORE</v>
      </c>
      <c r="J181" s="46" t="str">
        <f ca="1">IFERROR(__xludf.DUMMYFUNCTION("""COMPUTED_VALUE"""),"BAKES D2")</f>
        <v>BAKES D2</v>
      </c>
      <c r="K181" s="46" t="str">
        <f ca="1">IFERROR(__xludf.DUMMYFUNCTION("""COMPUTED_VALUE"""),"STR")</f>
        <v>STR</v>
      </c>
      <c r="L181" s="46" t="str">
        <f ca="1">IFERROR(__xludf.DUMMYFUNCTION("""COMPUTED_VALUE"""),"PTE")</f>
        <v>PTE</v>
      </c>
      <c r="M181" s="46" t="str">
        <f ca="1">IFERROR(__xludf.DUMMYFUNCTION("""COMPUTED_VALUE"""),"Leave")</f>
        <v>Leave</v>
      </c>
      <c r="N181" s="46" t="str">
        <f ca="1">IFERROR(__xludf.DUMMYFUNCTION("""COMPUTED_VALUE"""),"x")</f>
        <v>x</v>
      </c>
    </row>
    <row r="182" spans="1:14">
      <c r="A182" s="45" t="str">
        <f ca="1">IFERROR(__xludf.DUMMYFUNCTION("""COMPUTED_VALUE"""),"#N/A")</f>
        <v>#N/A</v>
      </c>
      <c r="B182" s="45">
        <f ca="1">IFERROR(__xludf.DUMMYFUNCTION("""COMPUTED_VALUE"""),45383.5833333333)</f>
        <v>45383.583333333299</v>
      </c>
      <c r="C182" s="46">
        <f ca="1">IFERROR(__xludf.DUMMYFUNCTION("""COMPUTED_VALUE"""),183)</f>
        <v>183</v>
      </c>
      <c r="D182" s="47" t="str">
        <f ca="1">IFERROR(__xludf.DUMMYFUNCTION("""COMPUTED_VALUE"""),"B2005")</f>
        <v>B2005</v>
      </c>
      <c r="E182" s="46" t="str">
        <f ca="1">IFERROR(__xludf.DUMMYFUNCTION("""COMPUTED_VALUE"""),"NGUYỄN NGỌC TÂM NHƯ")</f>
        <v>NGUYỄN NGỌC TÂM NHƯ</v>
      </c>
      <c r="F182" s="46" t="str">
        <f ca="1">IFERROR(__xludf.DUMMYFUNCTION("""COMPUTED_VALUE"""),"NGUYEN NGOC TAM NHU")</f>
        <v>NGUYEN NGOC TAM NHU</v>
      </c>
      <c r="G182" s="45">
        <f ca="1">IFERROR(__xludf.DUMMYFUNCTION("""COMPUTED_VALUE"""),37808.5833333333)</f>
        <v>37808.583333333299</v>
      </c>
      <c r="H182" s="45" t="str">
        <f ca="1">IFERROR(__xludf.DUMMYFUNCTION("""COMPUTED_VALUE"""),"BAKES")</f>
        <v>BAKES</v>
      </c>
      <c r="I182" s="46" t="str">
        <f ca="1">IFERROR(__xludf.DUMMYFUNCTION("""COMPUTED_VALUE"""),"STORE")</f>
        <v>STORE</v>
      </c>
      <c r="J182" s="46" t="str">
        <f ca="1">IFERROR(__xludf.DUMMYFUNCTION("""COMPUTED_VALUE"""),"BAKES D2")</f>
        <v>BAKES D2</v>
      </c>
      <c r="K182" s="46" t="str">
        <f ca="1">IFERROR(__xludf.DUMMYFUNCTION("""COMPUTED_VALUE"""),"STR")</f>
        <v>STR</v>
      </c>
      <c r="L182" s="46" t="str">
        <f ca="1">IFERROR(__xludf.DUMMYFUNCTION("""COMPUTED_VALUE"""),"PTE")</f>
        <v>PTE</v>
      </c>
      <c r="M182" s="46" t="str">
        <f ca="1">IFERROR(__xludf.DUMMYFUNCTION("""COMPUTED_VALUE"""),"Leave")</f>
        <v>Leave</v>
      </c>
      <c r="N182" s="46" t="str">
        <f ca="1">IFERROR(__xludf.DUMMYFUNCTION("""COMPUTED_VALUE"""),"x")</f>
        <v>x</v>
      </c>
    </row>
    <row r="183" spans="1:14">
      <c r="A183" s="45" t="str">
        <f ca="1">IFERROR(__xludf.DUMMYFUNCTION("""COMPUTED_VALUE"""),"#N/A")</f>
        <v>#N/A</v>
      </c>
      <c r="B183" s="45">
        <f ca="1">IFERROR(__xludf.DUMMYFUNCTION("""COMPUTED_VALUE"""),45383.5833333333)</f>
        <v>45383.583333333299</v>
      </c>
      <c r="C183" s="46">
        <f ca="1">IFERROR(__xludf.DUMMYFUNCTION("""COMPUTED_VALUE"""),184)</f>
        <v>184</v>
      </c>
      <c r="D183" s="47" t="str">
        <f ca="1">IFERROR(__xludf.DUMMYFUNCTION("""COMPUTED_VALUE"""),"B2006")</f>
        <v>B2006</v>
      </c>
      <c r="E183" s="46" t="str">
        <f ca="1">IFERROR(__xludf.DUMMYFUNCTION("""COMPUTED_VALUE"""),"VŨ NGỌC MỸ HẠNH")</f>
        <v>VŨ NGỌC MỸ HẠNH</v>
      </c>
      <c r="F183" s="46" t="str">
        <f ca="1">IFERROR(__xludf.DUMMYFUNCTION("""COMPUTED_VALUE"""),"VU NGOC MY HANH")</f>
        <v>VU NGOC MY HANH</v>
      </c>
      <c r="G183" s="45">
        <f ca="1">IFERROR(__xludf.DUMMYFUNCTION("""COMPUTED_VALUE"""),37956.625)</f>
        <v>37956.625</v>
      </c>
      <c r="H183" s="45" t="str">
        <f ca="1">IFERROR(__xludf.DUMMYFUNCTION("""COMPUTED_VALUE"""),"BAKES")</f>
        <v>BAKES</v>
      </c>
      <c r="I183" s="46" t="str">
        <f ca="1">IFERROR(__xludf.DUMMYFUNCTION("""COMPUTED_VALUE"""),"STORE")</f>
        <v>STORE</v>
      </c>
      <c r="J183" s="46" t="str">
        <f ca="1">IFERROR(__xludf.DUMMYFUNCTION("""COMPUTED_VALUE"""),"BAKES D2")</f>
        <v>BAKES D2</v>
      </c>
      <c r="K183" s="46" t="str">
        <f ca="1">IFERROR(__xludf.DUMMYFUNCTION("""COMPUTED_VALUE"""),"STR")</f>
        <v>STR</v>
      </c>
      <c r="L183" s="46" t="str">
        <f ca="1">IFERROR(__xludf.DUMMYFUNCTION("""COMPUTED_VALUE"""),"PTE")</f>
        <v>PTE</v>
      </c>
      <c r="M183" s="46" t="str">
        <f ca="1">IFERROR(__xludf.DUMMYFUNCTION("""COMPUTED_VALUE"""),"Leave")</f>
        <v>Leave</v>
      </c>
      <c r="N183" s="46" t="str">
        <f ca="1">IFERROR(__xludf.DUMMYFUNCTION("""COMPUTED_VALUE"""),"x")</f>
        <v>x</v>
      </c>
    </row>
    <row r="184" spans="1:14">
      <c r="A184" s="45" t="str">
        <f ca="1">IFERROR(__xludf.DUMMYFUNCTION("""COMPUTED_VALUE"""),"#N/A")</f>
        <v>#N/A</v>
      </c>
      <c r="B184" s="45">
        <f ca="1">IFERROR(__xludf.DUMMYFUNCTION("""COMPUTED_VALUE"""),45690.625)</f>
        <v>45690.625</v>
      </c>
      <c r="C184" s="46">
        <f ca="1">IFERROR(__xludf.DUMMYFUNCTION("""COMPUTED_VALUE"""),185)</f>
        <v>185</v>
      </c>
      <c r="D184" s="47" t="str">
        <f ca="1">IFERROR(__xludf.DUMMYFUNCTION("""COMPUTED_VALUE"""),"B2007")</f>
        <v>B2007</v>
      </c>
      <c r="E184" s="46" t="str">
        <f ca="1">IFERROR(__xludf.DUMMYFUNCTION("""COMPUTED_VALUE"""),"LÝ THỊ MỸ DUYÊN")</f>
        <v>LÝ THỊ MỸ DUYÊN</v>
      </c>
      <c r="F184" s="46" t="str">
        <f ca="1">IFERROR(__xludf.DUMMYFUNCTION("""COMPUTED_VALUE"""),"LY THI MY DUYEN")</f>
        <v>LY THI MY DUYEN</v>
      </c>
      <c r="G184" s="45">
        <f ca="1">IFERROR(__xludf.DUMMYFUNCTION("""COMPUTED_VALUE"""),37771.5833333333)</f>
        <v>37771.583333333299</v>
      </c>
      <c r="H184" s="45" t="str">
        <f ca="1">IFERROR(__xludf.DUMMYFUNCTION("""COMPUTED_VALUE"""),"BAKES")</f>
        <v>BAKES</v>
      </c>
      <c r="I184" s="46" t="str">
        <f ca="1">IFERROR(__xludf.DUMMYFUNCTION("""COMPUTED_VALUE"""),"STORE")</f>
        <v>STORE</v>
      </c>
      <c r="J184" s="46" t="str">
        <f ca="1">IFERROR(__xludf.DUMMYFUNCTION("""COMPUTED_VALUE"""),"BAKES D2")</f>
        <v>BAKES D2</v>
      </c>
      <c r="K184" s="46" t="str">
        <f ca="1">IFERROR(__xludf.DUMMYFUNCTION("""COMPUTED_VALUE"""),"CASHIER")</f>
        <v>CASHIER</v>
      </c>
      <c r="L184" s="46" t="str">
        <f ca="1">IFERROR(__xludf.DUMMYFUNCTION("""COMPUTED_VALUE"""),"PTE")</f>
        <v>PTE</v>
      </c>
      <c r="M184" s="46" t="str">
        <f ca="1">IFERROR(__xludf.DUMMYFUNCTION("""COMPUTED_VALUE"""),"Leave")</f>
        <v>Leave</v>
      </c>
      <c r="N184" s="46" t="str">
        <f ca="1">IFERROR(__xludf.DUMMYFUNCTION("""COMPUTED_VALUE"""),"x")</f>
        <v>x</v>
      </c>
    </row>
    <row r="185" spans="1:14">
      <c r="A185" s="45" t="str">
        <f ca="1">IFERROR(__xludf.DUMMYFUNCTION("""COMPUTED_VALUE"""),"#N/A")</f>
        <v>#N/A</v>
      </c>
      <c r="B185" s="45">
        <f ca="1">IFERROR(__xludf.DUMMYFUNCTION("""COMPUTED_VALUE"""),45505.5833333333)</f>
        <v>45505.583333333299</v>
      </c>
      <c r="C185" s="46">
        <f ca="1">IFERROR(__xludf.DUMMYFUNCTION("""COMPUTED_VALUE"""),186)</f>
        <v>186</v>
      </c>
      <c r="D185" s="47" t="str">
        <f ca="1">IFERROR(__xludf.DUMMYFUNCTION("""COMPUTED_VALUE"""),"B2008")</f>
        <v>B2008</v>
      </c>
      <c r="E185" s="46" t="str">
        <f ca="1">IFERROR(__xludf.DUMMYFUNCTION("""COMPUTED_VALUE"""),"PHẠM NGUYỄN YẾN NHI")</f>
        <v>PHẠM NGUYỄN YẾN NHI</v>
      </c>
      <c r="F185" s="46" t="str">
        <f ca="1">IFERROR(__xludf.DUMMYFUNCTION("""COMPUTED_VALUE"""),"PHAM NGUYEN YEN NHI")</f>
        <v>PHAM NGUYEN YEN NHI</v>
      </c>
      <c r="G185" s="45">
        <f ca="1">IFERROR(__xludf.DUMMYFUNCTION("""COMPUTED_VALUE"""),37893.5833333333)</f>
        <v>37893.583333333299</v>
      </c>
      <c r="H185" s="45" t="str">
        <f ca="1">IFERROR(__xludf.DUMMYFUNCTION("""COMPUTED_VALUE"""),"BAKES")</f>
        <v>BAKES</v>
      </c>
      <c r="I185" s="46" t="str">
        <f ca="1">IFERROR(__xludf.DUMMYFUNCTION("""COMPUTED_VALUE"""),"STORE")</f>
        <v>STORE</v>
      </c>
      <c r="J185" s="46" t="str">
        <f ca="1">IFERROR(__xludf.DUMMYFUNCTION("""COMPUTED_VALUE"""),"BAKES D2")</f>
        <v>BAKES D2</v>
      </c>
      <c r="K185" s="46" t="str">
        <f ca="1">IFERROR(__xludf.DUMMYFUNCTION("""COMPUTED_VALUE"""),"STR")</f>
        <v>STR</v>
      </c>
      <c r="L185" s="46" t="str">
        <f ca="1">IFERROR(__xludf.DUMMYFUNCTION("""COMPUTED_VALUE"""),"PTE")</f>
        <v>PTE</v>
      </c>
      <c r="M185" s="46" t="str">
        <f ca="1">IFERROR(__xludf.DUMMYFUNCTION("""COMPUTED_VALUE"""),"Leave")</f>
        <v>Leave</v>
      </c>
      <c r="N185" s="46" t="str">
        <f ca="1">IFERROR(__xludf.DUMMYFUNCTION("""COMPUTED_VALUE"""),"x")</f>
        <v>x</v>
      </c>
    </row>
    <row r="186" spans="1:14">
      <c r="A186" s="45" t="str">
        <f ca="1">IFERROR(__xludf.DUMMYFUNCTION("""COMPUTED_VALUE"""),"#N/A")</f>
        <v>#N/A</v>
      </c>
      <c r="B186" s="45" t="str">
        <f ca="1">IFERROR(__xludf.DUMMYFUNCTION("""COMPUTED_VALUE"""),"Đã nghỉ")</f>
        <v>Đã nghỉ</v>
      </c>
      <c r="C186" s="46">
        <f ca="1">IFERROR(__xludf.DUMMYFUNCTION("""COMPUTED_VALUE"""),187)</f>
        <v>187</v>
      </c>
      <c r="D186" s="47" t="str">
        <f ca="1">IFERROR(__xludf.DUMMYFUNCTION("""COMPUTED_VALUE"""),"B2009")</f>
        <v>B2009</v>
      </c>
      <c r="E186" s="46" t="str">
        <f ca="1">IFERROR(__xludf.DUMMYFUNCTION("""COMPUTED_VALUE"""),"NGUYỄN TRÀ MY")</f>
        <v>NGUYỄN TRÀ MY</v>
      </c>
      <c r="F186" s="46" t="str">
        <f ca="1">IFERROR(__xludf.DUMMYFUNCTION("""COMPUTED_VALUE"""),"NGUYEN TRA MY")</f>
        <v>NGUYEN TRA MY</v>
      </c>
      <c r="G186" s="45">
        <f ca="1">IFERROR(__xludf.DUMMYFUNCTION("""COMPUTED_VALUE"""),38347.625)</f>
        <v>38347.625</v>
      </c>
      <c r="H186" s="45" t="str">
        <f ca="1">IFERROR(__xludf.DUMMYFUNCTION("""COMPUTED_VALUE"""),"BAKES")</f>
        <v>BAKES</v>
      </c>
      <c r="I186" s="46" t="str">
        <f ca="1">IFERROR(__xludf.DUMMYFUNCTION("""COMPUTED_VALUE"""),"STORE")</f>
        <v>STORE</v>
      </c>
      <c r="J186" s="46" t="str">
        <f ca="1">IFERROR(__xludf.DUMMYFUNCTION("""COMPUTED_VALUE"""),"BAKES D2")</f>
        <v>BAKES D2</v>
      </c>
      <c r="K186" s="46" t="str">
        <f ca="1">IFERROR(__xludf.DUMMYFUNCTION("""COMPUTED_VALUE"""),"STR")</f>
        <v>STR</v>
      </c>
      <c r="L186" s="46" t="str">
        <f ca="1">IFERROR(__xludf.DUMMYFUNCTION("""COMPUTED_VALUE"""),"PTE")</f>
        <v>PTE</v>
      </c>
      <c r="M186" s="46" t="str">
        <f ca="1">IFERROR(__xludf.DUMMYFUNCTION("""COMPUTED_VALUE"""),"Leave")</f>
        <v>Leave</v>
      </c>
      <c r="N186" s="46" t="str">
        <f ca="1">IFERROR(__xludf.DUMMYFUNCTION("""COMPUTED_VALUE"""),"x")</f>
        <v>x</v>
      </c>
    </row>
    <row r="187" spans="1:14">
      <c r="A187" s="45" t="str">
        <f ca="1">IFERROR(__xludf.DUMMYFUNCTION("""COMPUTED_VALUE"""),"#N/A")</f>
        <v>#N/A</v>
      </c>
      <c r="B187" s="45">
        <f ca="1">IFERROR(__xludf.DUMMYFUNCTION("""COMPUTED_VALUE"""),45292.625)</f>
        <v>45292.625</v>
      </c>
      <c r="C187" s="46">
        <f ca="1">IFERROR(__xludf.DUMMYFUNCTION("""COMPUTED_VALUE"""),188)</f>
        <v>188</v>
      </c>
      <c r="D187" s="47" t="str">
        <f ca="1">IFERROR(__xludf.DUMMYFUNCTION("""COMPUTED_VALUE"""),"B2010")</f>
        <v>B2010</v>
      </c>
      <c r="E187" s="46" t="str">
        <f ca="1">IFERROR(__xludf.DUMMYFUNCTION("""COMPUTED_VALUE"""),"TRỊNH ĐỖ TÚ UYÊN")</f>
        <v>TRỊNH ĐỖ TÚ UYÊN</v>
      </c>
      <c r="F187" s="46" t="str">
        <f ca="1">IFERROR(__xludf.DUMMYFUNCTION("""COMPUTED_VALUE"""),"TRINH DO TU UYEN")</f>
        <v>TRINH DO TU UYEN</v>
      </c>
      <c r="G187" s="45">
        <f ca="1">IFERROR(__xludf.DUMMYFUNCTION("""COMPUTED_VALUE"""),36670.5833333333)</f>
        <v>36670.583333333299</v>
      </c>
      <c r="H187" s="45" t="str">
        <f ca="1">IFERROR(__xludf.DUMMYFUNCTION("""COMPUTED_VALUE"""),"BAKES")</f>
        <v>BAKES</v>
      </c>
      <c r="I187" s="46" t="str">
        <f ca="1">IFERROR(__xludf.DUMMYFUNCTION("""COMPUTED_VALUE"""),"STORE")</f>
        <v>STORE</v>
      </c>
      <c r="J187" s="46" t="str">
        <f ca="1">IFERROR(__xludf.DUMMYFUNCTION("""COMPUTED_VALUE"""),"BAKES D2")</f>
        <v>BAKES D2</v>
      </c>
      <c r="K187" s="46" t="str">
        <f ca="1">IFERROR(__xludf.DUMMYFUNCTION("""COMPUTED_VALUE"""),"STR")</f>
        <v>STR</v>
      </c>
      <c r="L187" s="46" t="str">
        <f ca="1">IFERROR(__xludf.DUMMYFUNCTION("""COMPUTED_VALUE"""),"PTE")</f>
        <v>PTE</v>
      </c>
      <c r="M187" s="46" t="str">
        <f ca="1">IFERROR(__xludf.DUMMYFUNCTION("""COMPUTED_VALUE"""),"Leave")</f>
        <v>Leave</v>
      </c>
      <c r="N187" s="46" t="str">
        <f ca="1">IFERROR(__xludf.DUMMYFUNCTION("""COMPUTED_VALUE"""),"x")</f>
        <v>x</v>
      </c>
    </row>
    <row r="188" spans="1:14">
      <c r="A188" s="45" t="str">
        <f ca="1">IFERROR(__xludf.DUMMYFUNCTION("""COMPUTED_VALUE"""),"#N/A")</f>
        <v>#N/A</v>
      </c>
      <c r="B188" s="45" t="str">
        <f ca="1">IFERROR(__xludf.DUMMYFUNCTION("""COMPUTED_VALUE"""),"Đã nghỉ")</f>
        <v>Đã nghỉ</v>
      </c>
      <c r="C188" s="46">
        <f ca="1">IFERROR(__xludf.DUMMYFUNCTION("""COMPUTED_VALUE"""),189)</f>
        <v>189</v>
      </c>
      <c r="D188" s="47" t="str">
        <f ca="1">IFERROR(__xludf.DUMMYFUNCTION("""COMPUTED_VALUE"""),"B2011")</f>
        <v>B2011</v>
      </c>
      <c r="E188" s="46" t="str">
        <f ca="1">IFERROR(__xludf.DUMMYFUNCTION("""COMPUTED_VALUE"""),"ĐỖ THÀNH NGHĨA")</f>
        <v>ĐỖ THÀNH NGHĨA</v>
      </c>
      <c r="F188" s="46" t="str">
        <f ca="1">IFERROR(__xludf.DUMMYFUNCTION("""COMPUTED_VALUE"""),"DO THANH NGHIA")</f>
        <v>DO THANH NGHIA</v>
      </c>
      <c r="G188" s="45">
        <f ca="1">IFERROR(__xludf.DUMMYFUNCTION("""COMPUTED_VALUE"""),37862.5833333333)</f>
        <v>37862.583333333299</v>
      </c>
      <c r="H188" s="45" t="str">
        <f ca="1">IFERROR(__xludf.DUMMYFUNCTION("""COMPUTED_VALUE"""),"BAKES")</f>
        <v>BAKES</v>
      </c>
      <c r="I188" s="46" t="str">
        <f ca="1">IFERROR(__xludf.DUMMYFUNCTION("""COMPUTED_VALUE"""),"STORE")</f>
        <v>STORE</v>
      </c>
      <c r="J188" s="46" t="str">
        <f ca="1">IFERROR(__xludf.DUMMYFUNCTION("""COMPUTED_VALUE"""),"BAKES D2")</f>
        <v>BAKES D2</v>
      </c>
      <c r="K188" s="46" t="str">
        <f ca="1">IFERROR(__xludf.DUMMYFUNCTION("""COMPUTED_VALUE"""),"STR")</f>
        <v>STR</v>
      </c>
      <c r="L188" s="46" t="str">
        <f ca="1">IFERROR(__xludf.DUMMYFUNCTION("""COMPUTED_VALUE"""),"PTE")</f>
        <v>PTE</v>
      </c>
      <c r="M188" s="46" t="str">
        <f ca="1">IFERROR(__xludf.DUMMYFUNCTION("""COMPUTED_VALUE"""),"Leave")</f>
        <v>Leave</v>
      </c>
      <c r="N188" s="46" t="str">
        <f ca="1">IFERROR(__xludf.DUMMYFUNCTION("""COMPUTED_VALUE"""),"x")</f>
        <v>x</v>
      </c>
    </row>
    <row r="189" spans="1:14">
      <c r="A189" s="45" t="str">
        <f ca="1">IFERROR(__xludf.DUMMYFUNCTION("""COMPUTED_VALUE"""),"#N/A")</f>
        <v>#N/A</v>
      </c>
      <c r="B189" s="45" t="str">
        <f ca="1">IFERROR(__xludf.DUMMYFUNCTION("""COMPUTED_VALUE"""),"Đã nghỉ")</f>
        <v>Đã nghỉ</v>
      </c>
      <c r="C189" s="46">
        <f ca="1">IFERROR(__xludf.DUMMYFUNCTION("""COMPUTED_VALUE"""),190)</f>
        <v>190</v>
      </c>
      <c r="D189" s="47" t="str">
        <f ca="1">IFERROR(__xludf.DUMMYFUNCTION("""COMPUTED_VALUE"""),"B2012")</f>
        <v>B2012</v>
      </c>
      <c r="E189" s="46" t="str">
        <f ca="1">IFERROR(__xludf.DUMMYFUNCTION("""COMPUTED_VALUE"""),"PHẠM MỸ MI MI")</f>
        <v>PHẠM MỸ MI MI</v>
      </c>
      <c r="F189" s="46" t="str">
        <f ca="1">IFERROR(__xludf.DUMMYFUNCTION("""COMPUTED_VALUE"""),"PHAM MY MI MI")</f>
        <v>PHAM MY MI MI</v>
      </c>
      <c r="G189" s="45">
        <f ca="1">IFERROR(__xludf.DUMMYFUNCTION("""COMPUTED_VALUE"""),36536.625)</f>
        <v>36536.625</v>
      </c>
      <c r="H189" s="45" t="str">
        <f ca="1">IFERROR(__xludf.DUMMYFUNCTION("""COMPUTED_VALUE"""),"BAKES")</f>
        <v>BAKES</v>
      </c>
      <c r="I189" s="46" t="str">
        <f ca="1">IFERROR(__xludf.DUMMYFUNCTION("""COMPUTED_VALUE"""),"STORE")</f>
        <v>STORE</v>
      </c>
      <c r="J189" s="46" t="str">
        <f ca="1">IFERROR(__xludf.DUMMYFUNCTION("""COMPUTED_VALUE"""),"BAKES D2")</f>
        <v>BAKES D2</v>
      </c>
      <c r="K189" s="46" t="str">
        <f ca="1">IFERROR(__xludf.DUMMYFUNCTION("""COMPUTED_VALUE"""),"STR")</f>
        <v>STR</v>
      </c>
      <c r="L189" s="46" t="str">
        <f ca="1">IFERROR(__xludf.DUMMYFUNCTION("""COMPUTED_VALUE"""),"PTE")</f>
        <v>PTE</v>
      </c>
      <c r="M189" s="46" t="str">
        <f ca="1">IFERROR(__xludf.DUMMYFUNCTION("""COMPUTED_VALUE"""),"Leave")</f>
        <v>Leave</v>
      </c>
      <c r="N189" s="46" t="str">
        <f ca="1">IFERROR(__xludf.DUMMYFUNCTION("""COMPUTED_VALUE"""),"x")</f>
        <v>x</v>
      </c>
    </row>
    <row r="190" spans="1:14">
      <c r="A190" s="45" t="str">
        <f ca="1">IFERROR(__xludf.DUMMYFUNCTION("""COMPUTED_VALUE"""),"#N/A")</f>
        <v>#N/A</v>
      </c>
      <c r="B190" s="45">
        <f ca="1">IFERROR(__xludf.DUMMYFUNCTION("""COMPUTED_VALUE"""),45413.5833333333)</f>
        <v>45413.583333333299</v>
      </c>
      <c r="C190" s="46">
        <f ca="1">IFERROR(__xludf.DUMMYFUNCTION("""COMPUTED_VALUE"""),191)</f>
        <v>191</v>
      </c>
      <c r="D190" s="47" t="str">
        <f ca="1">IFERROR(__xludf.DUMMYFUNCTION("""COMPUTED_VALUE"""),"B2014")</f>
        <v>B2014</v>
      </c>
      <c r="E190" s="46" t="str">
        <f ca="1">IFERROR(__xludf.DUMMYFUNCTION("""COMPUTED_VALUE"""),"HÀ THỊ HỒNG NGA")</f>
        <v>HÀ THỊ HỒNG NGA</v>
      </c>
      <c r="F190" s="46" t="str">
        <f ca="1">IFERROR(__xludf.DUMMYFUNCTION("""COMPUTED_VALUE"""),"HA THI HONG NGA")</f>
        <v>HA THI HONG NGA</v>
      </c>
      <c r="G190" s="45">
        <f ca="1">IFERROR(__xludf.DUMMYFUNCTION("""COMPUTED_VALUE"""),37063.5833333333)</f>
        <v>37063.583333333299</v>
      </c>
      <c r="H190" s="45" t="str">
        <f ca="1">IFERROR(__xludf.DUMMYFUNCTION("""COMPUTED_VALUE"""),"BAKES")</f>
        <v>BAKES</v>
      </c>
      <c r="I190" s="46" t="str">
        <f ca="1">IFERROR(__xludf.DUMMYFUNCTION("""COMPUTED_VALUE"""),"STORE")</f>
        <v>STORE</v>
      </c>
      <c r="J190" s="46" t="str">
        <f ca="1">IFERROR(__xludf.DUMMYFUNCTION("""COMPUTED_VALUE"""),"BAKES D2")</f>
        <v>BAKES D2</v>
      </c>
      <c r="K190" s="46" t="str">
        <f ca="1">IFERROR(__xludf.DUMMYFUNCTION("""COMPUTED_VALUE"""),"STR")</f>
        <v>STR</v>
      </c>
      <c r="L190" s="46" t="str">
        <f ca="1">IFERROR(__xludf.DUMMYFUNCTION("""COMPUTED_VALUE"""),"PTE")</f>
        <v>PTE</v>
      </c>
      <c r="M190" s="46" t="str">
        <f ca="1">IFERROR(__xludf.DUMMYFUNCTION("""COMPUTED_VALUE"""),"Leave")</f>
        <v>Leave</v>
      </c>
      <c r="N190" s="46" t="str">
        <f ca="1">IFERROR(__xludf.DUMMYFUNCTION("""COMPUTED_VALUE"""),"x")</f>
        <v>x</v>
      </c>
    </row>
    <row r="191" spans="1:14">
      <c r="A191" s="45" t="str">
        <f ca="1">IFERROR(__xludf.DUMMYFUNCTION("""COMPUTED_VALUE"""),"#N/A")</f>
        <v>#N/A</v>
      </c>
      <c r="B191" s="45">
        <f ca="1">IFERROR(__xludf.DUMMYFUNCTION("""COMPUTED_VALUE"""),45747.5833333333)</f>
        <v>45747.583333333299</v>
      </c>
      <c r="C191" s="46">
        <f ca="1">IFERROR(__xludf.DUMMYFUNCTION("""COMPUTED_VALUE"""),192)</f>
        <v>192</v>
      </c>
      <c r="D191" s="47" t="str">
        <f ca="1">IFERROR(__xludf.DUMMYFUNCTION("""COMPUTED_VALUE"""),"B2015")</f>
        <v>B2015</v>
      </c>
      <c r="E191" s="46" t="str">
        <f ca="1">IFERROR(__xludf.DUMMYFUNCTION("""COMPUTED_VALUE"""),"LÊ THỊ HIỂN")</f>
        <v>LÊ THỊ HIỂN</v>
      </c>
      <c r="F191" s="46" t="str">
        <f ca="1">IFERROR(__xludf.DUMMYFUNCTION("""COMPUTED_VALUE"""),"LE THI HIEN")</f>
        <v>LE THI HIEN</v>
      </c>
      <c r="G191" s="45">
        <f ca="1">IFERROR(__xludf.DUMMYFUNCTION("""COMPUTED_VALUE"""),37607.625)</f>
        <v>37607.625</v>
      </c>
      <c r="H191" s="45" t="str">
        <f ca="1">IFERROR(__xludf.DUMMYFUNCTION("""COMPUTED_VALUE"""),"BAKES")</f>
        <v>BAKES</v>
      </c>
      <c r="I191" s="46" t="str">
        <f ca="1">IFERROR(__xludf.DUMMYFUNCTION("""COMPUTED_VALUE"""),"STORE")</f>
        <v>STORE</v>
      </c>
      <c r="J191" s="46" t="str">
        <f ca="1">IFERROR(__xludf.DUMMYFUNCTION("""COMPUTED_VALUE"""),"BAKES D2")</f>
        <v>BAKES D2</v>
      </c>
      <c r="K191" s="46" t="str">
        <f ca="1">IFERROR(__xludf.DUMMYFUNCTION("""COMPUTED_VALUE"""),"BAR")</f>
        <v>BAR</v>
      </c>
      <c r="L191" s="46" t="str">
        <f ca="1">IFERROR(__xludf.DUMMYFUNCTION("""COMPUTED_VALUE"""),"PTE")</f>
        <v>PTE</v>
      </c>
      <c r="M191" s="46" t="str">
        <f ca="1">IFERROR(__xludf.DUMMYFUNCTION("""COMPUTED_VALUE"""),"Leave")</f>
        <v>Leave</v>
      </c>
      <c r="N191" s="46" t="str">
        <f ca="1">IFERROR(__xludf.DUMMYFUNCTION("""COMPUTED_VALUE"""),"x")</f>
        <v>x</v>
      </c>
    </row>
    <row r="192" spans="1:14">
      <c r="A192" s="45" t="str">
        <f ca="1">IFERROR(__xludf.DUMMYFUNCTION("""COMPUTED_VALUE"""),"#N/A")</f>
        <v>#N/A</v>
      </c>
      <c r="B192" s="45" t="str">
        <f ca="1">IFERROR(__xludf.DUMMYFUNCTION("""COMPUTED_VALUE"""),"Đã nghỉ")</f>
        <v>Đã nghỉ</v>
      </c>
      <c r="C192" s="46">
        <f ca="1">IFERROR(__xludf.DUMMYFUNCTION("""COMPUTED_VALUE"""),193)</f>
        <v>193</v>
      </c>
      <c r="D192" s="47" t="str">
        <f ca="1">IFERROR(__xludf.DUMMYFUNCTION("""COMPUTED_VALUE"""),"B2016")</f>
        <v>B2016</v>
      </c>
      <c r="E192" s="46" t="str">
        <f ca="1">IFERROR(__xludf.DUMMYFUNCTION("""COMPUTED_VALUE"""),"NGUYỄN TRẦN KIM ANH")</f>
        <v>NGUYỄN TRẦN KIM ANH</v>
      </c>
      <c r="F192" s="46" t="str">
        <f ca="1">IFERROR(__xludf.DUMMYFUNCTION("""COMPUTED_VALUE"""),"NGUYEN TRAN KIM ANH")</f>
        <v>NGUYEN TRAN KIM ANH</v>
      </c>
      <c r="G192" s="45">
        <f ca="1">IFERROR(__xludf.DUMMYFUNCTION("""COMPUTED_VALUE"""),36543.625)</f>
        <v>36543.625</v>
      </c>
      <c r="H192" s="45" t="str">
        <f ca="1">IFERROR(__xludf.DUMMYFUNCTION("""COMPUTED_VALUE"""),"BAKES")</f>
        <v>BAKES</v>
      </c>
      <c r="I192" s="46" t="str">
        <f ca="1">IFERROR(__xludf.DUMMYFUNCTION("""COMPUTED_VALUE"""),"STORE")</f>
        <v>STORE</v>
      </c>
      <c r="J192" s="46" t="str">
        <f ca="1">IFERROR(__xludf.DUMMYFUNCTION("""COMPUTED_VALUE"""),"BAKES D2")</f>
        <v>BAKES D2</v>
      </c>
      <c r="K192" s="46" t="str">
        <f ca="1">IFERROR(__xludf.DUMMYFUNCTION("""COMPUTED_VALUE"""),"STR")</f>
        <v>STR</v>
      </c>
      <c r="L192" s="46" t="str">
        <f ca="1">IFERROR(__xludf.DUMMYFUNCTION("""COMPUTED_VALUE"""),"PTE")</f>
        <v>PTE</v>
      </c>
      <c r="M192" s="46" t="str">
        <f ca="1">IFERROR(__xludf.DUMMYFUNCTION("""COMPUTED_VALUE"""),"Leave")</f>
        <v>Leave</v>
      </c>
      <c r="N192" s="46" t="str">
        <f ca="1">IFERROR(__xludf.DUMMYFUNCTION("""COMPUTED_VALUE"""),"x")</f>
        <v>x</v>
      </c>
    </row>
    <row r="193" spans="1:14">
      <c r="A193" s="45" t="str">
        <f ca="1">IFERROR(__xludf.DUMMYFUNCTION("""COMPUTED_VALUE"""),"#N/A")</f>
        <v>#N/A</v>
      </c>
      <c r="B193" s="45" t="str">
        <f ca="1">IFERROR(__xludf.DUMMYFUNCTION("""COMPUTED_VALUE"""),"Đã nghỉ")</f>
        <v>Đã nghỉ</v>
      </c>
      <c r="C193" s="46">
        <f ca="1">IFERROR(__xludf.DUMMYFUNCTION("""COMPUTED_VALUE"""),194)</f>
        <v>194</v>
      </c>
      <c r="D193" s="47" t="str">
        <f ca="1">IFERROR(__xludf.DUMMYFUNCTION("""COMPUTED_VALUE"""),"B2017")</f>
        <v>B2017</v>
      </c>
      <c r="E193" s="46" t="str">
        <f ca="1">IFERROR(__xludf.DUMMYFUNCTION("""COMPUTED_VALUE"""),"TRẦN THANH HỒNG THẮM")</f>
        <v>TRẦN THANH HỒNG THẮM</v>
      </c>
      <c r="F193" s="46" t="str">
        <f ca="1">IFERROR(__xludf.DUMMYFUNCTION("""COMPUTED_VALUE"""),"TRAN THANH HONG THAM")</f>
        <v>TRAN THANH HONG THAM</v>
      </c>
      <c r="G193" s="45">
        <f ca="1">IFERROR(__xludf.DUMMYFUNCTION("""COMPUTED_VALUE"""),36064.5833333333)</f>
        <v>36064.583333333299</v>
      </c>
      <c r="H193" s="45" t="str">
        <f ca="1">IFERROR(__xludf.DUMMYFUNCTION("""COMPUTED_VALUE"""),"BAKES")</f>
        <v>BAKES</v>
      </c>
      <c r="I193" s="46" t="str">
        <f ca="1">IFERROR(__xludf.DUMMYFUNCTION("""COMPUTED_VALUE"""),"STORE")</f>
        <v>STORE</v>
      </c>
      <c r="J193" s="46" t="str">
        <f ca="1">IFERROR(__xludf.DUMMYFUNCTION("""COMPUTED_VALUE"""),"BAKES D2")</f>
        <v>BAKES D2</v>
      </c>
      <c r="K193" s="46" t="str">
        <f ca="1">IFERROR(__xludf.DUMMYFUNCTION("""COMPUTED_VALUE"""),"STR")</f>
        <v>STR</v>
      </c>
      <c r="L193" s="46" t="str">
        <f ca="1">IFERROR(__xludf.DUMMYFUNCTION("""COMPUTED_VALUE"""),"PTE")</f>
        <v>PTE</v>
      </c>
      <c r="M193" s="46" t="str">
        <f ca="1">IFERROR(__xludf.DUMMYFUNCTION("""COMPUTED_VALUE"""),"Leave")</f>
        <v>Leave</v>
      </c>
      <c r="N193" s="46" t="str">
        <f ca="1">IFERROR(__xludf.DUMMYFUNCTION("""COMPUTED_VALUE"""),"x")</f>
        <v>x</v>
      </c>
    </row>
    <row r="194" spans="1:14">
      <c r="A194" s="45" t="str">
        <f ca="1">IFERROR(__xludf.DUMMYFUNCTION("""COMPUTED_VALUE"""),"#N/A")</f>
        <v>#N/A</v>
      </c>
      <c r="B194" s="45">
        <f ca="1">IFERROR(__xludf.DUMMYFUNCTION("""COMPUTED_VALUE"""),45383.5833333333)</f>
        <v>45383.583333333299</v>
      </c>
      <c r="C194" s="46">
        <f ca="1">IFERROR(__xludf.DUMMYFUNCTION("""COMPUTED_VALUE"""),195)</f>
        <v>195</v>
      </c>
      <c r="D194" s="47" t="str">
        <f ca="1">IFERROR(__xludf.DUMMYFUNCTION("""COMPUTED_VALUE"""),"B2018")</f>
        <v>B2018</v>
      </c>
      <c r="E194" s="46" t="str">
        <f ca="1">IFERROR(__xludf.DUMMYFUNCTION("""COMPUTED_VALUE"""),"NGUYỄN THỊ THU SƯƠNG")</f>
        <v>NGUYỄN THỊ THU SƯƠNG</v>
      </c>
      <c r="F194" s="46" t="str">
        <f ca="1">IFERROR(__xludf.DUMMYFUNCTION("""COMPUTED_VALUE"""),"NGUYEN THI THU SUONG")</f>
        <v>NGUYEN THI THU SUONG</v>
      </c>
      <c r="G194" s="45">
        <f ca="1">IFERROR(__xludf.DUMMYFUNCTION("""COMPUTED_VALUE"""),28915.625)</f>
        <v>28915.625</v>
      </c>
      <c r="H194" s="45" t="str">
        <f ca="1">IFERROR(__xludf.DUMMYFUNCTION("""COMPUTED_VALUE"""),"BAKES")</f>
        <v>BAKES</v>
      </c>
      <c r="I194" s="46" t="str">
        <f ca="1">IFERROR(__xludf.DUMMYFUNCTION("""COMPUTED_VALUE"""),"STORE")</f>
        <v>STORE</v>
      </c>
      <c r="J194" s="46" t="str">
        <f ca="1">IFERROR(__xludf.DUMMYFUNCTION("""COMPUTED_VALUE"""),"BAKES D2")</f>
        <v>BAKES D2</v>
      </c>
      <c r="K194" s="46" t="str">
        <f ca="1">IFERROR(__xludf.DUMMYFUNCTION("""COMPUTED_VALUE"""),"STR")</f>
        <v>STR</v>
      </c>
      <c r="L194" s="46" t="str">
        <f ca="1">IFERROR(__xludf.DUMMYFUNCTION("""COMPUTED_VALUE"""),"PTE")</f>
        <v>PTE</v>
      </c>
      <c r="M194" s="46" t="str">
        <f ca="1">IFERROR(__xludf.DUMMYFUNCTION("""COMPUTED_VALUE"""),"Leave")</f>
        <v>Leave</v>
      </c>
      <c r="N194" s="46" t="str">
        <f ca="1">IFERROR(__xludf.DUMMYFUNCTION("""COMPUTED_VALUE"""),"x")</f>
        <v>x</v>
      </c>
    </row>
    <row r="195" spans="1:14">
      <c r="A195" s="45" t="str">
        <f ca="1">IFERROR(__xludf.DUMMYFUNCTION("""COMPUTED_VALUE"""),"#N/A")</f>
        <v>#N/A</v>
      </c>
      <c r="B195" s="45">
        <f ca="1">IFERROR(__xludf.DUMMYFUNCTION("""COMPUTED_VALUE"""),45383.5833333333)</f>
        <v>45383.583333333299</v>
      </c>
      <c r="C195" s="46">
        <f ca="1">IFERROR(__xludf.DUMMYFUNCTION("""COMPUTED_VALUE"""),196)</f>
        <v>196</v>
      </c>
      <c r="D195" s="47" t="str">
        <f ca="1">IFERROR(__xludf.DUMMYFUNCTION("""COMPUTED_VALUE"""),"B2019")</f>
        <v>B2019</v>
      </c>
      <c r="E195" s="46" t="str">
        <f ca="1">IFERROR(__xludf.DUMMYFUNCTION("""COMPUTED_VALUE"""),"HUỲNH THỊ THANH TUYỀN")</f>
        <v>HUỲNH THỊ THANH TUYỀN</v>
      </c>
      <c r="F195" s="46" t="str">
        <f ca="1">IFERROR(__xludf.DUMMYFUNCTION("""COMPUTED_VALUE"""),"HUYNH THI THANH TUYEN")</f>
        <v>HUYNH THI THANH TUYEN</v>
      </c>
      <c r="G195" s="45">
        <f ca="1">IFERROR(__xludf.DUMMYFUNCTION("""COMPUTED_VALUE"""),30767.625)</f>
        <v>30767.625</v>
      </c>
      <c r="H195" s="45" t="str">
        <f ca="1">IFERROR(__xludf.DUMMYFUNCTION("""COMPUTED_VALUE"""),"BAKES")</f>
        <v>BAKES</v>
      </c>
      <c r="I195" s="46" t="str">
        <f ca="1">IFERROR(__xludf.DUMMYFUNCTION("""COMPUTED_VALUE"""),"STORE")</f>
        <v>STORE</v>
      </c>
      <c r="J195" s="46" t="str">
        <f ca="1">IFERROR(__xludf.DUMMYFUNCTION("""COMPUTED_VALUE"""),"BAKES D2")</f>
        <v>BAKES D2</v>
      </c>
      <c r="K195" s="46" t="str">
        <f ca="1">IFERROR(__xludf.DUMMYFUNCTION("""COMPUTED_VALUE"""),"STR")</f>
        <v>STR</v>
      </c>
      <c r="L195" s="46" t="str">
        <f ca="1">IFERROR(__xludf.DUMMYFUNCTION("""COMPUTED_VALUE"""),"PTE")</f>
        <v>PTE</v>
      </c>
      <c r="M195" s="46" t="str">
        <f ca="1">IFERROR(__xludf.DUMMYFUNCTION("""COMPUTED_VALUE"""),"Leave")</f>
        <v>Leave</v>
      </c>
      <c r="N195" s="46" t="str">
        <f ca="1">IFERROR(__xludf.DUMMYFUNCTION("""COMPUTED_VALUE"""),"x")</f>
        <v>x</v>
      </c>
    </row>
    <row r="196" spans="1:14">
      <c r="A196" s="45" t="str">
        <f ca="1">IFERROR(__xludf.DUMMYFUNCTION("""COMPUTED_VALUE"""),"#N/A")</f>
        <v>#N/A</v>
      </c>
      <c r="B196" s="45"/>
      <c r="C196" s="46">
        <f ca="1">IFERROR(__xludf.DUMMYFUNCTION("""COMPUTED_VALUE"""),197)</f>
        <v>197</v>
      </c>
      <c r="D196" s="47" t="str">
        <f ca="1">IFERROR(__xludf.DUMMYFUNCTION("""COMPUTED_VALUE"""),"B2020")</f>
        <v>B2020</v>
      </c>
      <c r="E196" s="46" t="str">
        <f ca="1">IFERROR(__xludf.DUMMYFUNCTION("""COMPUTED_VALUE"""),"TRẦN THỊ TUYẾT NHUNG")</f>
        <v>TRẦN THỊ TUYẾT NHUNG</v>
      </c>
      <c r="F196" s="46" t="str">
        <f ca="1">IFERROR(__xludf.DUMMYFUNCTION("""COMPUTED_VALUE"""),"TRAN THI TUYET NHUNG")</f>
        <v>TRAN THI TUYET NHUNG</v>
      </c>
      <c r="G196" s="45">
        <f ca="1">IFERROR(__xludf.DUMMYFUNCTION("""COMPUTED_VALUE"""),27312.625)</f>
        <v>27312.625</v>
      </c>
      <c r="H196" s="45" t="str">
        <f ca="1">IFERROR(__xludf.DUMMYFUNCTION("""COMPUTED_VALUE"""),"KITCHEN PASTRY")</f>
        <v>KITCHEN PASTRY</v>
      </c>
      <c r="I196" s="46" t="str">
        <f ca="1">IFERROR(__xludf.DUMMYFUNCTION("""COMPUTED_VALUE"""),"KITCHEN PASTRY")</f>
        <v>KITCHEN PASTRY</v>
      </c>
      <c r="J196" s="46" t="str">
        <f ca="1">IFERROR(__xludf.DUMMYFUNCTION("""COMPUTED_VALUE"""),"KITCHEN PASTRY")</f>
        <v>KITCHEN PASTRY</v>
      </c>
      <c r="K196" s="46" t="str">
        <f ca="1">IFERROR(__xludf.DUMMYFUNCTION("""COMPUTED_VALUE"""),"CLEANER")</f>
        <v>CLEANER</v>
      </c>
      <c r="L196" s="46" t="str">
        <f ca="1">IFERROR(__xludf.DUMMYFUNCTION("""COMPUTED_VALUE"""),"FTE")</f>
        <v>FTE</v>
      </c>
      <c r="M196" s="46" t="str">
        <f ca="1">IFERROR(__xludf.DUMMYFUNCTION("""COMPUTED_VALUE"""),"On")</f>
        <v>On</v>
      </c>
      <c r="N196" s="46" t="str">
        <f ca="1">IFERROR(__xludf.DUMMYFUNCTION("""COMPUTED_VALUE"""),"đủ")</f>
        <v>đủ</v>
      </c>
    </row>
    <row r="197" spans="1:14">
      <c r="A197" s="45" t="str">
        <f ca="1">IFERROR(__xludf.DUMMYFUNCTION("""COMPUTED_VALUE"""),"#N/A")</f>
        <v>#N/A</v>
      </c>
      <c r="B197" s="45" t="str">
        <f ca="1">IFERROR(__xludf.DUMMYFUNCTION("""COMPUTED_VALUE"""),"Đã nghỉ")</f>
        <v>Đã nghỉ</v>
      </c>
      <c r="C197" s="46">
        <f ca="1">IFERROR(__xludf.DUMMYFUNCTION("""COMPUTED_VALUE"""),198)</f>
        <v>198</v>
      </c>
      <c r="D197" s="47" t="str">
        <f ca="1">IFERROR(__xludf.DUMMYFUNCTION("""COMPUTED_VALUE"""),"B2021")</f>
        <v>B2021</v>
      </c>
      <c r="E197" s="46" t="str">
        <f ca="1">IFERROR(__xludf.DUMMYFUNCTION("""COMPUTED_VALUE"""),"HUỲNH THỊ THANH DUNG")</f>
        <v>HUỲNH THỊ THANH DUNG</v>
      </c>
      <c r="F197" s="46" t="str">
        <f ca="1">IFERROR(__xludf.DUMMYFUNCTION("""COMPUTED_VALUE"""),"HUYNH THI THANH DUNG")</f>
        <v>HUYNH THI THANH DUNG</v>
      </c>
      <c r="G197" s="45"/>
      <c r="H197" s="45" t="str">
        <f ca="1">IFERROR(__xludf.DUMMYFUNCTION("""COMPUTED_VALUE"""),"BAKES")</f>
        <v>BAKES</v>
      </c>
      <c r="I197" s="46" t="str">
        <f ca="1">IFERROR(__xludf.DUMMYFUNCTION("""COMPUTED_VALUE"""),"STORE")</f>
        <v>STORE</v>
      </c>
      <c r="J197" s="46" t="str">
        <f ca="1">IFERROR(__xludf.DUMMYFUNCTION("""COMPUTED_VALUE"""),"BAKES D2")</f>
        <v>BAKES D2</v>
      </c>
      <c r="K197" s="46" t="str">
        <f ca="1">IFERROR(__xludf.DUMMYFUNCTION("""COMPUTED_VALUE"""),"STR")</f>
        <v>STR</v>
      </c>
      <c r="L197" s="46" t="str">
        <f ca="1">IFERROR(__xludf.DUMMYFUNCTION("""COMPUTED_VALUE"""),"PTE")</f>
        <v>PTE</v>
      </c>
      <c r="M197" s="46" t="str">
        <f ca="1">IFERROR(__xludf.DUMMYFUNCTION("""COMPUTED_VALUE"""),"Leave")</f>
        <v>Leave</v>
      </c>
      <c r="N197" s="46" t="str">
        <f ca="1">IFERROR(__xludf.DUMMYFUNCTION("""COMPUTED_VALUE"""),"x")</f>
        <v>x</v>
      </c>
    </row>
    <row r="198" spans="1:14">
      <c r="A198" s="45"/>
      <c r="B198" s="45">
        <f ca="1">IFERROR(__xludf.DUMMYFUNCTION("""COMPUTED_VALUE"""),45292.625)</f>
        <v>45292.625</v>
      </c>
      <c r="C198" s="46">
        <f ca="1">IFERROR(__xludf.DUMMYFUNCTION("""COMPUTED_VALUE"""),199)</f>
        <v>199</v>
      </c>
      <c r="D198" s="47" t="str">
        <f ca="1">IFERROR(__xludf.DUMMYFUNCTION("""COMPUTED_VALUE"""),"B2022")</f>
        <v>B2022</v>
      </c>
      <c r="E198" s="46" t="str">
        <f ca="1">IFERROR(__xludf.DUMMYFUNCTION("""COMPUTED_VALUE"""),"NGUYỄN THỊ QUỲNH")</f>
        <v>NGUYỄN THỊ QUỲNH</v>
      </c>
      <c r="F198" s="46" t="str">
        <f ca="1">IFERROR(__xludf.DUMMYFUNCTION("""COMPUTED_VALUE"""),"NGUYEN THI QUYNH")</f>
        <v>NGUYEN THI QUYNH</v>
      </c>
      <c r="G198" s="45">
        <f ca="1">IFERROR(__xludf.DUMMYFUNCTION("""COMPUTED_VALUE"""),37049.5833333333)</f>
        <v>37049.583333333299</v>
      </c>
      <c r="H198" s="45" t="str">
        <f ca="1">IFERROR(__xludf.DUMMYFUNCTION("""COMPUTED_VALUE"""),"BAKES")</f>
        <v>BAKES</v>
      </c>
      <c r="I198" s="46" t="str">
        <f ca="1">IFERROR(__xludf.DUMMYFUNCTION("""COMPUTED_VALUE"""),"STORE")</f>
        <v>STORE</v>
      </c>
      <c r="J198" s="46" t="str">
        <f ca="1">IFERROR(__xludf.DUMMYFUNCTION("""COMPUTED_VALUE"""),"BAKES D2")</f>
        <v>BAKES D2</v>
      </c>
      <c r="K198" s="46" t="str">
        <f ca="1">IFERROR(__xludf.DUMMYFUNCTION("""COMPUTED_VALUE"""),"KIT")</f>
        <v>KIT</v>
      </c>
      <c r="L198" s="46" t="str">
        <f ca="1">IFERROR(__xludf.DUMMYFUNCTION("""COMPUTED_VALUE"""),"PTE")</f>
        <v>PTE</v>
      </c>
      <c r="M198" s="46" t="str">
        <f ca="1">IFERROR(__xludf.DUMMYFUNCTION("""COMPUTED_VALUE"""),"Leave")</f>
        <v>Leave</v>
      </c>
      <c r="N198" s="46" t="str">
        <f ca="1">IFERROR(__xludf.DUMMYFUNCTION("""COMPUTED_VALUE"""),"x")</f>
        <v>x</v>
      </c>
    </row>
    <row r="199" spans="1:14">
      <c r="A199" s="45">
        <f ca="1">IFERROR(__xludf.DUMMYFUNCTION("""COMPUTED_VALUE"""),44963.625)</f>
        <v>44963.625</v>
      </c>
      <c r="B199" s="45">
        <f ca="1">IFERROR(__xludf.DUMMYFUNCTION("""COMPUTED_VALUE"""),45778.5833333333)</f>
        <v>45778.583333333299</v>
      </c>
      <c r="C199" s="46">
        <f ca="1">IFERROR(__xludf.DUMMYFUNCTION("""COMPUTED_VALUE"""),200)</f>
        <v>200</v>
      </c>
      <c r="D199" s="47" t="str">
        <f ca="1">IFERROR(__xludf.DUMMYFUNCTION("""COMPUTED_VALUE"""),"B2023")</f>
        <v>B2023</v>
      </c>
      <c r="E199" s="46" t="str">
        <f ca="1">IFERROR(__xludf.DUMMYFUNCTION("""COMPUTED_VALUE"""),"TRẦN THỊ THU NHÀN")</f>
        <v>TRẦN THỊ THU NHÀN</v>
      </c>
      <c r="F199" s="46" t="str">
        <f ca="1">IFERROR(__xludf.DUMMYFUNCTION("""COMPUTED_VALUE"""),"TRAN THI THU NHAN")</f>
        <v>TRAN THI THU NHAN</v>
      </c>
      <c r="G199" s="45">
        <f ca="1">IFERROR(__xludf.DUMMYFUNCTION("""COMPUTED_VALUE"""),35534.5833333333)</f>
        <v>35534.583333333299</v>
      </c>
      <c r="H199" s="45" t="str">
        <f ca="1">IFERROR(__xludf.DUMMYFUNCTION("""COMPUTED_VALUE"""),"TLC")</f>
        <v>TLC</v>
      </c>
      <c r="I199" s="46" t="str">
        <f ca="1">IFERROR(__xludf.DUMMYFUNCTION("""COMPUTED_VALUE"""),"HO")</f>
        <v>HO</v>
      </c>
      <c r="J199" s="46" t="str">
        <f ca="1">IFERROR(__xludf.DUMMYFUNCTION("""COMPUTED_VALUE"""),"R&amp;D")</f>
        <v>R&amp;D</v>
      </c>
      <c r="K199" s="46" t="str">
        <f ca="1">IFERROR(__xludf.DUMMYFUNCTION("""COMPUTED_VALUE"""),"R&amp;D")</f>
        <v>R&amp;D</v>
      </c>
      <c r="L199" s="46" t="str">
        <f ca="1">IFERROR(__xludf.DUMMYFUNCTION("""COMPUTED_VALUE"""),"FTE")</f>
        <v>FTE</v>
      </c>
      <c r="M199" s="46" t="str">
        <f ca="1">IFERROR(__xludf.DUMMYFUNCTION("""COMPUTED_VALUE"""),"Leave")</f>
        <v>Leave</v>
      </c>
      <c r="N199" s="46" t="str">
        <f ca="1">IFERROR(__xludf.DUMMYFUNCTION("""COMPUTED_VALUE"""),"x")</f>
        <v>x</v>
      </c>
    </row>
    <row r="200" spans="1:14">
      <c r="A200" s="45"/>
      <c r="B200" s="45" t="str">
        <f ca="1">IFERROR(__xludf.DUMMYFUNCTION("""COMPUTED_VALUE"""),"Đã nghỉ")</f>
        <v>Đã nghỉ</v>
      </c>
      <c r="C200" s="46">
        <f ca="1">IFERROR(__xludf.DUMMYFUNCTION("""COMPUTED_VALUE"""),201)</f>
        <v>201</v>
      </c>
      <c r="D200" s="47" t="str">
        <f ca="1">IFERROR(__xludf.DUMMYFUNCTION("""COMPUTED_VALUE"""),"B2024")</f>
        <v>B2024</v>
      </c>
      <c r="E200" s="46" t="str">
        <f ca="1">IFERROR(__xludf.DUMMYFUNCTION("""COMPUTED_VALUE"""),"HUỲNH VĂN DUY")</f>
        <v>HUỲNH VĂN DUY</v>
      </c>
      <c r="F200" s="46" t="str">
        <f ca="1">IFERROR(__xludf.DUMMYFUNCTION("""COMPUTED_VALUE"""),"HUYNH VAN DUY")</f>
        <v>HUYNH VAN DUY</v>
      </c>
      <c r="G200" s="45"/>
      <c r="H200" s="45" t="str">
        <f ca="1">IFERROR(__xludf.DUMMYFUNCTION("""COMPUTED_VALUE"""),"BAKES")</f>
        <v>BAKES</v>
      </c>
      <c r="I200" s="46" t="str">
        <f ca="1">IFERROR(__xludf.DUMMYFUNCTION("""COMPUTED_VALUE"""),"STORE")</f>
        <v>STORE</v>
      </c>
      <c r="J200" s="46" t="str">
        <f ca="1">IFERROR(__xludf.DUMMYFUNCTION("""COMPUTED_VALUE"""),"BAKES D2")</f>
        <v>BAKES D2</v>
      </c>
      <c r="K200" s="46" t="str">
        <f ca="1">IFERROR(__xludf.DUMMYFUNCTION("""COMPUTED_VALUE"""),"STR")</f>
        <v>STR</v>
      </c>
      <c r="L200" s="46" t="str">
        <f ca="1">IFERROR(__xludf.DUMMYFUNCTION("""COMPUTED_VALUE"""),"PTE")</f>
        <v>PTE</v>
      </c>
      <c r="M200" s="46" t="str">
        <f ca="1">IFERROR(__xludf.DUMMYFUNCTION("""COMPUTED_VALUE"""),"Leave")</f>
        <v>Leave</v>
      </c>
      <c r="N200" s="46" t="str">
        <f ca="1">IFERROR(__xludf.DUMMYFUNCTION("""COMPUTED_VALUE"""),"x")</f>
        <v>x</v>
      </c>
    </row>
    <row r="201" spans="1:14">
      <c r="A201" s="45"/>
      <c r="B201" s="45" t="str">
        <f ca="1">IFERROR(__xludf.DUMMYFUNCTION("""COMPUTED_VALUE"""),"Đã nghỉ")</f>
        <v>Đã nghỉ</v>
      </c>
      <c r="C201" s="46">
        <f ca="1">IFERROR(__xludf.DUMMYFUNCTION("""COMPUTED_VALUE"""),202)</f>
        <v>202</v>
      </c>
      <c r="D201" s="47" t="str">
        <f ca="1">IFERROR(__xludf.DUMMYFUNCTION("""COMPUTED_VALUE"""),"B2025")</f>
        <v>B2025</v>
      </c>
      <c r="E201" s="46" t="str">
        <f ca="1">IFERROR(__xludf.DUMMYFUNCTION("""COMPUTED_VALUE"""),"ĐINH TẤN ĐỊNH")</f>
        <v>ĐINH TẤN ĐỊNH</v>
      </c>
      <c r="F201" s="46" t="str">
        <f ca="1">IFERROR(__xludf.DUMMYFUNCTION("""COMPUTED_VALUE"""),"DINH TAN DINH")</f>
        <v>DINH TAN DINH</v>
      </c>
      <c r="G201" s="45">
        <f ca="1">IFERROR(__xludf.DUMMYFUNCTION("""COMPUTED_VALUE"""),38078.625)</f>
        <v>38078.625</v>
      </c>
      <c r="H201" s="45" t="str">
        <f ca="1">IFERROR(__xludf.DUMMYFUNCTION("""COMPUTED_VALUE"""),"BAKES")</f>
        <v>BAKES</v>
      </c>
      <c r="I201" s="46" t="str">
        <f ca="1">IFERROR(__xludf.DUMMYFUNCTION("""COMPUTED_VALUE"""),"STORE")</f>
        <v>STORE</v>
      </c>
      <c r="J201" s="46" t="str">
        <f ca="1">IFERROR(__xludf.DUMMYFUNCTION("""COMPUTED_VALUE"""),"BAKES D2")</f>
        <v>BAKES D2</v>
      </c>
      <c r="K201" s="46" t="str">
        <f ca="1">IFERROR(__xludf.DUMMYFUNCTION("""COMPUTED_VALUE"""),"STR")</f>
        <v>STR</v>
      </c>
      <c r="L201" s="46" t="str">
        <f ca="1">IFERROR(__xludf.DUMMYFUNCTION("""COMPUTED_VALUE"""),"PTE")</f>
        <v>PTE</v>
      </c>
      <c r="M201" s="46" t="str">
        <f ca="1">IFERROR(__xludf.DUMMYFUNCTION("""COMPUTED_VALUE"""),"Leave")</f>
        <v>Leave</v>
      </c>
      <c r="N201" s="46" t="str">
        <f ca="1">IFERROR(__xludf.DUMMYFUNCTION("""COMPUTED_VALUE"""),"x")</f>
        <v>x</v>
      </c>
    </row>
    <row r="202" spans="1:14">
      <c r="A202" s="45"/>
      <c r="B202" s="45" t="str">
        <f ca="1">IFERROR(__xludf.DUMMYFUNCTION("""COMPUTED_VALUE"""),"Đã nghỉ")</f>
        <v>Đã nghỉ</v>
      </c>
      <c r="C202" s="46">
        <f ca="1">IFERROR(__xludf.DUMMYFUNCTION("""COMPUTED_VALUE"""),203)</f>
        <v>203</v>
      </c>
      <c r="D202" s="47" t="str">
        <f ca="1">IFERROR(__xludf.DUMMYFUNCTION("""COMPUTED_VALUE"""),"B2026")</f>
        <v>B2026</v>
      </c>
      <c r="E202" s="46" t="str">
        <f ca="1">IFERROR(__xludf.DUMMYFUNCTION("""COMPUTED_VALUE"""),"LƯU THUẬN GIAO")</f>
        <v>LƯU THUẬN GIAO</v>
      </c>
      <c r="F202" s="46" t="str">
        <f ca="1">IFERROR(__xludf.DUMMYFUNCTION("""COMPUTED_VALUE"""),"LUU THUAN GIAO")</f>
        <v>LUU THUAN GIAO</v>
      </c>
      <c r="G202" s="45">
        <f ca="1">IFERROR(__xludf.DUMMYFUNCTION("""COMPUTED_VALUE"""),38241.5833333333)</f>
        <v>38241.583333333299</v>
      </c>
      <c r="H202" s="45" t="str">
        <f ca="1">IFERROR(__xludf.DUMMYFUNCTION("""COMPUTED_VALUE"""),"BAKES")</f>
        <v>BAKES</v>
      </c>
      <c r="I202" s="46" t="str">
        <f ca="1">IFERROR(__xludf.DUMMYFUNCTION("""COMPUTED_VALUE"""),"STORE")</f>
        <v>STORE</v>
      </c>
      <c r="J202" s="46" t="str">
        <f ca="1">IFERROR(__xludf.DUMMYFUNCTION("""COMPUTED_VALUE"""),"BAKES D2")</f>
        <v>BAKES D2</v>
      </c>
      <c r="K202" s="46" t="str">
        <f ca="1">IFERROR(__xludf.DUMMYFUNCTION("""COMPUTED_VALUE"""),"STR")</f>
        <v>STR</v>
      </c>
      <c r="L202" s="46" t="str">
        <f ca="1">IFERROR(__xludf.DUMMYFUNCTION("""COMPUTED_VALUE"""),"PTE")</f>
        <v>PTE</v>
      </c>
      <c r="M202" s="46" t="str">
        <f ca="1">IFERROR(__xludf.DUMMYFUNCTION("""COMPUTED_VALUE"""),"Leave")</f>
        <v>Leave</v>
      </c>
      <c r="N202" s="46" t="str">
        <f ca="1">IFERROR(__xludf.DUMMYFUNCTION("""COMPUTED_VALUE"""),"x")</f>
        <v>x</v>
      </c>
    </row>
    <row r="203" spans="1:14">
      <c r="A203" s="45">
        <f ca="1">IFERROR(__xludf.DUMMYFUNCTION("""COMPUTED_VALUE"""),45013.5833333333)</f>
        <v>45013.583333333299</v>
      </c>
      <c r="B203" s="45">
        <f ca="1">IFERROR(__xludf.DUMMYFUNCTION("""COMPUTED_VALUE"""),45383.5833333333)</f>
        <v>45383.583333333299</v>
      </c>
      <c r="C203" s="46">
        <f ca="1">IFERROR(__xludf.DUMMYFUNCTION("""COMPUTED_VALUE"""),204)</f>
        <v>204</v>
      </c>
      <c r="D203" s="47" t="str">
        <f ca="1">IFERROR(__xludf.DUMMYFUNCTION("""COMPUTED_VALUE"""),"B2027")</f>
        <v>B2027</v>
      </c>
      <c r="E203" s="46" t="str">
        <f ca="1">IFERROR(__xludf.DUMMYFUNCTION("""COMPUTED_VALUE"""),"LÊ THỊ CẨM TIÊN")</f>
        <v>LÊ THỊ CẨM TIÊN</v>
      </c>
      <c r="F203" s="46" t="str">
        <f ca="1">IFERROR(__xludf.DUMMYFUNCTION("""COMPUTED_VALUE"""),"LE THI CAM TIEN")</f>
        <v>LE THI CAM TIEN</v>
      </c>
      <c r="G203" s="45">
        <f ca="1">IFERROR(__xludf.DUMMYFUNCTION("""COMPUTED_VALUE"""),37983.625)</f>
        <v>37983.625</v>
      </c>
      <c r="H203" s="45" t="str">
        <f ca="1">IFERROR(__xludf.DUMMYFUNCTION("""COMPUTED_VALUE"""),"BAKES")</f>
        <v>BAKES</v>
      </c>
      <c r="I203" s="46" t="str">
        <f ca="1">IFERROR(__xludf.DUMMYFUNCTION("""COMPUTED_VALUE"""),"STORE")</f>
        <v>STORE</v>
      </c>
      <c r="J203" s="46" t="str">
        <f ca="1">IFERROR(__xludf.DUMMYFUNCTION("""COMPUTED_VALUE"""),"BAKES D2")</f>
        <v>BAKES D2</v>
      </c>
      <c r="K203" s="46" t="str">
        <f ca="1">IFERROR(__xludf.DUMMYFUNCTION("""COMPUTED_VALUE"""),"STR")</f>
        <v>STR</v>
      </c>
      <c r="L203" s="46" t="str">
        <f ca="1">IFERROR(__xludf.DUMMYFUNCTION("""COMPUTED_VALUE"""),"PTE")</f>
        <v>PTE</v>
      </c>
      <c r="M203" s="46" t="str">
        <f ca="1">IFERROR(__xludf.DUMMYFUNCTION("""COMPUTED_VALUE"""),"Leave")</f>
        <v>Leave</v>
      </c>
      <c r="N203" s="46" t="str">
        <f ca="1">IFERROR(__xludf.DUMMYFUNCTION("""COMPUTED_VALUE"""),"x")</f>
        <v>x</v>
      </c>
    </row>
    <row r="204" spans="1:14">
      <c r="A204" s="45"/>
      <c r="B204" s="45" t="str">
        <f ca="1">IFERROR(__xludf.DUMMYFUNCTION("""COMPUTED_VALUE"""),"Đã nghỉ")</f>
        <v>Đã nghỉ</v>
      </c>
      <c r="C204" s="46">
        <f ca="1">IFERROR(__xludf.DUMMYFUNCTION("""COMPUTED_VALUE"""),205)</f>
        <v>205</v>
      </c>
      <c r="D204" s="47" t="str">
        <f ca="1">IFERROR(__xludf.DUMMYFUNCTION("""COMPUTED_VALUE"""),"B2028")</f>
        <v>B2028</v>
      </c>
      <c r="E204" s="46" t="str">
        <f ca="1">IFERROR(__xludf.DUMMYFUNCTION("""COMPUTED_VALUE"""),"NGUYỄN THỊ MINH TÂM")</f>
        <v>NGUYỄN THỊ MINH TÂM</v>
      </c>
      <c r="F204" s="46" t="str">
        <f ca="1">IFERROR(__xludf.DUMMYFUNCTION("""COMPUTED_VALUE"""),"NGUYEN THI MINH TAM")</f>
        <v>NGUYEN THI MINH TAM</v>
      </c>
      <c r="G204" s="45"/>
      <c r="H204" s="45" t="str">
        <f ca="1">IFERROR(__xludf.DUMMYFUNCTION("""COMPUTED_VALUE"""),"BAKES")</f>
        <v>BAKES</v>
      </c>
      <c r="I204" s="46" t="str">
        <f ca="1">IFERROR(__xludf.DUMMYFUNCTION("""COMPUTED_VALUE"""),"STORE")</f>
        <v>STORE</v>
      </c>
      <c r="J204" s="46" t="str">
        <f ca="1">IFERROR(__xludf.DUMMYFUNCTION("""COMPUTED_VALUE"""),"BAKES D2")</f>
        <v>BAKES D2</v>
      </c>
      <c r="K204" s="46" t="str">
        <f ca="1">IFERROR(__xludf.DUMMYFUNCTION("""COMPUTED_VALUE"""),"STR")</f>
        <v>STR</v>
      </c>
      <c r="L204" s="46" t="str">
        <f ca="1">IFERROR(__xludf.DUMMYFUNCTION("""COMPUTED_VALUE"""),"PTE")</f>
        <v>PTE</v>
      </c>
      <c r="M204" s="46" t="str">
        <f ca="1">IFERROR(__xludf.DUMMYFUNCTION("""COMPUTED_VALUE"""),"Leave")</f>
        <v>Leave</v>
      </c>
      <c r="N204" s="46" t="str">
        <f ca="1">IFERROR(__xludf.DUMMYFUNCTION("""COMPUTED_VALUE"""),"x")</f>
        <v>x</v>
      </c>
    </row>
    <row r="205" spans="1:14">
      <c r="A205" s="45"/>
      <c r="B205" s="45" t="str">
        <f ca="1">IFERROR(__xludf.DUMMYFUNCTION("""COMPUTED_VALUE"""),"Đã nghỉ")</f>
        <v>Đã nghỉ</v>
      </c>
      <c r="C205" s="46">
        <f ca="1">IFERROR(__xludf.DUMMYFUNCTION("""COMPUTED_VALUE"""),206)</f>
        <v>206</v>
      </c>
      <c r="D205" s="47" t="str">
        <f ca="1">IFERROR(__xludf.DUMMYFUNCTION("""COMPUTED_VALUE"""),"B2029")</f>
        <v>B2029</v>
      </c>
      <c r="E205" s="46" t="str">
        <f ca="1">IFERROR(__xludf.DUMMYFUNCTION("""COMPUTED_VALUE"""),"VÕ TRUNG THÀNH")</f>
        <v>VÕ TRUNG THÀNH</v>
      </c>
      <c r="F205" s="46" t="str">
        <f ca="1">IFERROR(__xludf.DUMMYFUNCTION("""COMPUTED_VALUE"""),"VO TRUNG THANH")</f>
        <v>VO TRUNG THANH</v>
      </c>
      <c r="G205" s="45"/>
      <c r="H205" s="45" t="str">
        <f ca="1">IFERROR(__xludf.DUMMYFUNCTION("""COMPUTED_VALUE"""),"BAKES")</f>
        <v>BAKES</v>
      </c>
      <c r="I205" s="46" t="str">
        <f ca="1">IFERROR(__xludf.DUMMYFUNCTION("""COMPUTED_VALUE"""),"STORE")</f>
        <v>STORE</v>
      </c>
      <c r="J205" s="46" t="str">
        <f ca="1">IFERROR(__xludf.DUMMYFUNCTION("""COMPUTED_VALUE"""),"BAKES D2")</f>
        <v>BAKES D2</v>
      </c>
      <c r="K205" s="46" t="str">
        <f ca="1">IFERROR(__xludf.DUMMYFUNCTION("""COMPUTED_VALUE"""),"STR")</f>
        <v>STR</v>
      </c>
      <c r="L205" s="46" t="str">
        <f ca="1">IFERROR(__xludf.DUMMYFUNCTION("""COMPUTED_VALUE"""),"PTE")</f>
        <v>PTE</v>
      </c>
      <c r="M205" s="46" t="str">
        <f ca="1">IFERROR(__xludf.DUMMYFUNCTION("""COMPUTED_VALUE"""),"Leave")</f>
        <v>Leave</v>
      </c>
      <c r="N205" s="46" t="str">
        <f ca="1">IFERROR(__xludf.DUMMYFUNCTION("""COMPUTED_VALUE"""),"x")</f>
        <v>x</v>
      </c>
    </row>
    <row r="206" spans="1:14">
      <c r="A206" s="45"/>
      <c r="B206" s="45" t="str">
        <f ca="1">IFERROR(__xludf.DUMMYFUNCTION("""COMPUTED_VALUE"""),"Đã nghỉ")</f>
        <v>Đã nghỉ</v>
      </c>
      <c r="C206" s="46">
        <f ca="1">IFERROR(__xludf.DUMMYFUNCTION("""COMPUTED_VALUE"""),207)</f>
        <v>207</v>
      </c>
      <c r="D206" s="47" t="str">
        <f ca="1">IFERROR(__xludf.DUMMYFUNCTION("""COMPUTED_VALUE"""),"B2030")</f>
        <v>B2030</v>
      </c>
      <c r="E206" s="46" t="str">
        <f ca="1">IFERROR(__xludf.DUMMYFUNCTION("""COMPUTED_VALUE"""),"CHÂU THỊ PHƯƠNG THẢO")</f>
        <v>CHÂU THỊ PHƯƠNG THẢO</v>
      </c>
      <c r="F206" s="46" t="str">
        <f ca="1">IFERROR(__xludf.DUMMYFUNCTION("""COMPUTED_VALUE"""),"CHAU THI PHUONG THAO")</f>
        <v>CHAU THI PHUONG THAO</v>
      </c>
      <c r="G206" s="45">
        <f ca="1">IFERROR(__xludf.DUMMYFUNCTION("""COMPUTED_VALUE"""),37568.625)</f>
        <v>37568.625</v>
      </c>
      <c r="H206" s="45" t="str">
        <f ca="1">IFERROR(__xludf.DUMMYFUNCTION("""COMPUTED_VALUE"""),"TLC")</f>
        <v>TLC</v>
      </c>
      <c r="I206" s="46" t="str">
        <f ca="1">IFERROR(__xludf.DUMMYFUNCTION("""COMPUTED_VALUE"""),"STORE")</f>
        <v>STORE</v>
      </c>
      <c r="J206" s="46" t="str">
        <f ca="1">IFERROR(__xludf.DUMMYFUNCTION("""COMPUTED_VALUE"""),"BAKES D2")</f>
        <v>BAKES D2</v>
      </c>
      <c r="K206" s="46" t="str">
        <f ca="1">IFERROR(__xludf.DUMMYFUNCTION("""COMPUTED_VALUE"""),"STR")</f>
        <v>STR</v>
      </c>
      <c r="L206" s="46" t="str">
        <f ca="1">IFERROR(__xludf.DUMMYFUNCTION("""COMPUTED_VALUE"""),"PTE")</f>
        <v>PTE</v>
      </c>
      <c r="M206" s="46" t="str">
        <f ca="1">IFERROR(__xludf.DUMMYFUNCTION("""COMPUTED_VALUE"""),"Leave")</f>
        <v>Leave</v>
      </c>
      <c r="N206" s="46" t="str">
        <f ca="1">IFERROR(__xludf.DUMMYFUNCTION("""COMPUTED_VALUE"""),"x")</f>
        <v>x</v>
      </c>
    </row>
    <row r="207" spans="1:14">
      <c r="A207" s="45"/>
      <c r="B207" s="45" t="str">
        <f ca="1">IFERROR(__xludf.DUMMYFUNCTION("""COMPUTED_VALUE"""),"Đã nghỉ")</f>
        <v>Đã nghỉ</v>
      </c>
      <c r="C207" s="46">
        <f ca="1">IFERROR(__xludf.DUMMYFUNCTION("""COMPUTED_VALUE"""),208)</f>
        <v>208</v>
      </c>
      <c r="D207" s="47" t="str">
        <f ca="1">IFERROR(__xludf.DUMMYFUNCTION("""COMPUTED_VALUE"""),"B2031")</f>
        <v>B2031</v>
      </c>
      <c r="E207" s="46" t="str">
        <f ca="1">IFERROR(__xludf.DUMMYFUNCTION("""COMPUTED_VALUE"""),"NGÔ THỊ CHI NA")</f>
        <v>NGÔ THỊ CHI NA</v>
      </c>
      <c r="F207" s="46" t="str">
        <f ca="1">IFERROR(__xludf.DUMMYFUNCTION("""COMPUTED_VALUE"""),"NGO THI CHI NA")</f>
        <v>NGO THI CHI NA</v>
      </c>
      <c r="G207" s="45"/>
      <c r="H207" s="45" t="str">
        <f ca="1">IFERROR(__xludf.DUMMYFUNCTION("""COMPUTED_VALUE"""),"BAKES")</f>
        <v>BAKES</v>
      </c>
      <c r="I207" s="46" t="str">
        <f ca="1">IFERROR(__xludf.DUMMYFUNCTION("""COMPUTED_VALUE"""),"STORE")</f>
        <v>STORE</v>
      </c>
      <c r="J207" s="46" t="str">
        <f ca="1">IFERROR(__xludf.DUMMYFUNCTION("""COMPUTED_VALUE"""),"BAKES D2")</f>
        <v>BAKES D2</v>
      </c>
      <c r="K207" s="46" t="str">
        <f ca="1">IFERROR(__xludf.DUMMYFUNCTION("""COMPUTED_VALUE"""),"STR")</f>
        <v>STR</v>
      </c>
      <c r="L207" s="46" t="str">
        <f ca="1">IFERROR(__xludf.DUMMYFUNCTION("""COMPUTED_VALUE"""),"PTE")</f>
        <v>PTE</v>
      </c>
      <c r="M207" s="46" t="str">
        <f ca="1">IFERROR(__xludf.DUMMYFUNCTION("""COMPUTED_VALUE"""),"Leave")</f>
        <v>Leave</v>
      </c>
      <c r="N207" s="46" t="str">
        <f ca="1">IFERROR(__xludf.DUMMYFUNCTION("""COMPUTED_VALUE"""),"x")</f>
        <v>x</v>
      </c>
    </row>
    <row r="208" spans="1:14">
      <c r="A208" s="45">
        <f ca="1">IFERROR(__xludf.DUMMYFUNCTION("""COMPUTED_VALUE"""),45006.5833333333)</f>
        <v>45006.583333333299</v>
      </c>
      <c r="B208" s="45"/>
      <c r="C208" s="46">
        <f ca="1">IFERROR(__xludf.DUMMYFUNCTION("""COMPUTED_VALUE"""),209)</f>
        <v>209</v>
      </c>
      <c r="D208" s="47" t="str">
        <f ca="1">IFERROR(__xludf.DUMMYFUNCTION("""COMPUTED_VALUE"""),"B2032")</f>
        <v>B2032</v>
      </c>
      <c r="E208" s="46" t="str">
        <f ca="1">IFERROR(__xludf.DUMMYFUNCTION("""COMPUTED_VALUE"""),"PHẠM LỆ XUÂN")</f>
        <v>PHẠM LỆ XUÂN</v>
      </c>
      <c r="F208" s="46" t="str">
        <f ca="1">IFERROR(__xludf.DUMMYFUNCTION("""COMPUTED_VALUE"""),"PHAM LE XUAN")</f>
        <v>PHAM LE XUAN</v>
      </c>
      <c r="G208" s="45">
        <f ca="1">IFERROR(__xludf.DUMMYFUNCTION("""COMPUTED_VALUE"""),23767.6666666666)</f>
        <v>23767.666666666599</v>
      </c>
      <c r="H208" s="45" t="str">
        <f ca="1">IFERROR(__xludf.DUMMYFUNCTION("""COMPUTED_VALUE"""),"YESHI")</f>
        <v>YESHI</v>
      </c>
      <c r="I208" s="46" t="str">
        <f ca="1">IFERROR(__xludf.DUMMYFUNCTION("""COMPUTED_VALUE"""),"STORE")</f>
        <v>STORE</v>
      </c>
      <c r="J208" s="46" t="str">
        <f ca="1">IFERROR(__xludf.DUMMYFUNCTION("""COMPUTED_VALUE"""),"YESHI D3")</f>
        <v>YESHI D3</v>
      </c>
      <c r="K208" s="46" t="str">
        <f ca="1">IFERROR(__xludf.DUMMYFUNCTION("""COMPUTED_VALUE"""),"CLEANER")</f>
        <v>CLEANER</v>
      </c>
      <c r="L208" s="46" t="str">
        <f ca="1">IFERROR(__xludf.DUMMYFUNCTION("""COMPUTED_VALUE"""),"FTE")</f>
        <v>FTE</v>
      </c>
      <c r="M208" s="46" t="str">
        <f ca="1">IFERROR(__xludf.DUMMYFUNCTION("""COMPUTED_VALUE"""),"On")</f>
        <v>On</v>
      </c>
      <c r="N208" s="46" t="str">
        <f ca="1">IFERROR(__xludf.DUMMYFUNCTION("""COMPUTED_VALUE"""),"đủ")</f>
        <v>đủ</v>
      </c>
    </row>
    <row r="209" spans="1:14">
      <c r="A209" s="45">
        <f ca="1">IFERROR(__xludf.DUMMYFUNCTION("""COMPUTED_VALUE"""),45803.5833333333)</f>
        <v>45803.583333333299</v>
      </c>
      <c r="B209" s="45">
        <f ca="1">IFERROR(__xludf.DUMMYFUNCTION("""COMPUTED_VALUE"""),45819.5833333333)</f>
        <v>45819.583333333299</v>
      </c>
      <c r="C209" s="46">
        <f ca="1">IFERROR(__xludf.DUMMYFUNCTION("""COMPUTED_VALUE"""),210)</f>
        <v>210</v>
      </c>
      <c r="D209" s="47" t="str">
        <f ca="1">IFERROR(__xludf.DUMMYFUNCTION("""COMPUTED_VALUE"""),"B2032X")</f>
        <v>B2032X</v>
      </c>
      <c r="E209" s="46" t="str">
        <f ca="1">IFERROR(__xludf.DUMMYFUNCTION("""COMPUTED_VALUE"""),"PHẠM LỆ XUÂN")</f>
        <v>PHẠM LỆ XUÂN</v>
      </c>
      <c r="F209" s="46" t="str">
        <f ca="1">IFERROR(__xludf.DUMMYFUNCTION("""COMPUTED_VALUE"""),"PHAM LE XUAN")</f>
        <v>PHAM LE XUAN</v>
      </c>
      <c r="G209" s="45">
        <f ca="1">IFERROR(__xludf.DUMMYFUNCTION("""COMPUTED_VALUE"""),23767.6666666666)</f>
        <v>23767.666666666599</v>
      </c>
      <c r="H209" s="45" t="str">
        <f ca="1">IFERROR(__xludf.DUMMYFUNCTION("""COMPUTED_VALUE"""),"MATTE")</f>
        <v>MATTE</v>
      </c>
      <c r="I209" s="46" t="str">
        <f ca="1">IFERROR(__xludf.DUMMYFUNCTION("""COMPUTED_VALUE"""),"STORE")</f>
        <v>STORE</v>
      </c>
      <c r="J209" s="46" t="str">
        <f ca="1">IFERROR(__xludf.DUMMYFUNCTION("""COMPUTED_VALUE"""),"MATTE D3")</f>
        <v>MATTE D3</v>
      </c>
      <c r="K209" s="46" t="str">
        <f ca="1">IFERROR(__xludf.DUMMYFUNCTION("""COMPUTED_VALUE"""),"CLEANER")</f>
        <v>CLEANER</v>
      </c>
      <c r="L209" s="46" t="str">
        <f ca="1">IFERROR(__xludf.DUMMYFUNCTION("""COMPUTED_VALUE"""),"PTE")</f>
        <v>PTE</v>
      </c>
      <c r="M209" s="46" t="str">
        <f ca="1">IFERROR(__xludf.DUMMYFUNCTION("""COMPUTED_VALUE"""),"Leave")</f>
        <v>Leave</v>
      </c>
      <c r="N209" s="46" t="str">
        <f ca="1">IFERROR(__xludf.DUMMYFUNCTION("""COMPUTED_VALUE"""),"đủ")</f>
        <v>đủ</v>
      </c>
    </row>
    <row r="210" spans="1:14">
      <c r="A210" s="45">
        <f ca="1">IFERROR(__xludf.DUMMYFUNCTION("""COMPUTED_VALUE"""),45200.5833333333)</f>
        <v>45200.583333333299</v>
      </c>
      <c r="B210" s="45">
        <f ca="1">IFERROR(__xludf.DUMMYFUNCTION("""COMPUTED_VALUE"""),45761.5833333333)</f>
        <v>45761.583333333299</v>
      </c>
      <c r="C210" s="46">
        <f ca="1">IFERROR(__xludf.DUMMYFUNCTION("""COMPUTED_VALUE"""),211)</f>
        <v>211</v>
      </c>
      <c r="D210" s="47" t="str">
        <f ca="1">IFERROR(__xludf.DUMMYFUNCTION("""COMPUTED_VALUE"""),"B2033")</f>
        <v>B2033</v>
      </c>
      <c r="E210" s="46" t="str">
        <f ca="1">IFERROR(__xludf.DUMMYFUNCTION("""COMPUTED_VALUE"""),"ĐOÀN HỮU LONG")</f>
        <v>ĐOÀN HỮU LONG</v>
      </c>
      <c r="F210" s="46" t="str">
        <f ca="1">IFERROR(__xludf.DUMMYFUNCTION("""COMPUTED_VALUE"""),"DOAN HUU LONG")</f>
        <v>DOAN HUU LONG</v>
      </c>
      <c r="G210" s="45">
        <f ca="1">IFERROR(__xludf.DUMMYFUNCTION("""COMPUTED_VALUE"""),36588.625)</f>
        <v>36588.625</v>
      </c>
      <c r="H210" s="45" t="str">
        <f ca="1">IFERROR(__xludf.DUMMYFUNCTION("""COMPUTED_VALUE"""),"YESHI")</f>
        <v>YESHI</v>
      </c>
      <c r="I210" s="46" t="str">
        <f ca="1">IFERROR(__xludf.DUMMYFUNCTION("""COMPUTED_VALUE"""),"STORE")</f>
        <v>STORE</v>
      </c>
      <c r="J210" s="46" t="str">
        <f ca="1">IFERROR(__xludf.DUMMYFUNCTION("""COMPUTED_VALUE"""),"YESHI D2")</f>
        <v>YESHI D2</v>
      </c>
      <c r="K210" s="46" t="str">
        <f ca="1">IFERROR(__xludf.DUMMYFUNCTION("""COMPUTED_VALUE"""),"BAR")</f>
        <v>BAR</v>
      </c>
      <c r="L210" s="46" t="str">
        <f ca="1">IFERROR(__xludf.DUMMYFUNCTION("""COMPUTED_VALUE"""),"FTE")</f>
        <v>FTE</v>
      </c>
      <c r="M210" s="46" t="str">
        <f ca="1">IFERROR(__xludf.DUMMYFUNCTION("""COMPUTED_VALUE"""),"Leave")</f>
        <v>Leave</v>
      </c>
      <c r="N210" s="46" t="str">
        <f ca="1">IFERROR(__xludf.DUMMYFUNCTION("""COMPUTED_VALUE"""),"x")</f>
        <v>x</v>
      </c>
    </row>
    <row r="211" spans="1:14">
      <c r="A211" s="45"/>
      <c r="B211" s="45" t="str">
        <f ca="1">IFERROR(__xludf.DUMMYFUNCTION("""COMPUTED_VALUE"""),"Đã nghỉ")</f>
        <v>Đã nghỉ</v>
      </c>
      <c r="C211" s="46">
        <f ca="1">IFERROR(__xludf.DUMMYFUNCTION("""COMPUTED_VALUE"""),212)</f>
        <v>212</v>
      </c>
      <c r="D211" s="47" t="str">
        <f ca="1">IFERROR(__xludf.DUMMYFUNCTION("""COMPUTED_VALUE"""),"B2034")</f>
        <v>B2034</v>
      </c>
      <c r="E211" s="46" t="str">
        <f ca="1">IFERROR(__xludf.DUMMYFUNCTION("""COMPUTED_VALUE"""),"LAI BẢO NGÂN")</f>
        <v>LAI BẢO NGÂN</v>
      </c>
      <c r="F211" s="46" t="str">
        <f ca="1">IFERROR(__xludf.DUMMYFUNCTION("""COMPUTED_VALUE"""),"LAI BAO NGAN")</f>
        <v>LAI BAO NGAN</v>
      </c>
      <c r="G211" s="45">
        <f ca="1">IFERROR(__xludf.DUMMYFUNCTION("""COMPUTED_VALUE"""),37621.625)</f>
        <v>37621.625</v>
      </c>
      <c r="H211" s="45" t="str">
        <f ca="1">IFERROR(__xludf.DUMMYFUNCTION("""COMPUTED_VALUE"""),"BAKES")</f>
        <v>BAKES</v>
      </c>
      <c r="I211" s="46" t="str">
        <f ca="1">IFERROR(__xludf.DUMMYFUNCTION("""COMPUTED_VALUE"""),"STORE")</f>
        <v>STORE</v>
      </c>
      <c r="J211" s="46" t="str">
        <f ca="1">IFERROR(__xludf.DUMMYFUNCTION("""COMPUTED_VALUE"""),"BAKES D2")</f>
        <v>BAKES D2</v>
      </c>
      <c r="K211" s="46" t="str">
        <f ca="1">IFERROR(__xludf.DUMMYFUNCTION("""COMPUTED_VALUE"""),"STR")</f>
        <v>STR</v>
      </c>
      <c r="L211" s="46" t="str">
        <f ca="1">IFERROR(__xludf.DUMMYFUNCTION("""COMPUTED_VALUE"""),"PTE")</f>
        <v>PTE</v>
      </c>
      <c r="M211" s="46" t="str">
        <f ca="1">IFERROR(__xludf.DUMMYFUNCTION("""COMPUTED_VALUE"""),"Leave")</f>
        <v>Leave</v>
      </c>
      <c r="N211" s="46" t="str">
        <f ca="1">IFERROR(__xludf.DUMMYFUNCTION("""COMPUTED_VALUE"""),"x")</f>
        <v>x</v>
      </c>
    </row>
    <row r="212" spans="1:14">
      <c r="A212" s="45">
        <f ca="1">IFERROR(__xludf.DUMMYFUNCTION("""COMPUTED_VALUE"""),45152.5833333333)</f>
        <v>45152.583333333299</v>
      </c>
      <c r="B212" s="45">
        <f ca="1">IFERROR(__xludf.DUMMYFUNCTION("""COMPUTED_VALUE"""),45408.5833333333)</f>
        <v>45408.583333333299</v>
      </c>
      <c r="C212" s="46">
        <f ca="1">IFERROR(__xludf.DUMMYFUNCTION("""COMPUTED_VALUE"""),213)</f>
        <v>213</v>
      </c>
      <c r="D212" s="47" t="str">
        <f ca="1">IFERROR(__xludf.DUMMYFUNCTION("""COMPUTED_VALUE"""),"B2035")</f>
        <v>B2035</v>
      </c>
      <c r="E212" s="46" t="str">
        <f ca="1">IFERROR(__xludf.DUMMYFUNCTION("""COMPUTED_VALUE"""),"NGUYỄN PHÚC BẢO KHANG")</f>
        <v>NGUYỄN PHÚC BẢO KHANG</v>
      </c>
      <c r="F212" s="46" t="str">
        <f ca="1">IFERROR(__xludf.DUMMYFUNCTION("""COMPUTED_VALUE"""),"NGUYEN PHUC BAO KHANG")</f>
        <v>NGUYEN PHUC BAO KHANG</v>
      </c>
      <c r="G212" s="45">
        <f ca="1">IFERROR(__xludf.DUMMYFUNCTION("""COMPUTED_VALUE"""),36851.625)</f>
        <v>36851.625</v>
      </c>
      <c r="H212" s="45" t="str">
        <f ca="1">IFERROR(__xludf.DUMMYFUNCTION("""COMPUTED_VALUE"""),"TLC")</f>
        <v>TLC</v>
      </c>
      <c r="I212" s="46" t="str">
        <f ca="1">IFERROR(__xludf.DUMMYFUNCTION("""COMPUTED_VALUE"""),"HO")</f>
        <v>HO</v>
      </c>
      <c r="J212" s="46" t="str">
        <f ca="1">IFERROR(__xludf.DUMMYFUNCTION("""COMPUTED_VALUE"""),"R&amp;D")</f>
        <v>R&amp;D</v>
      </c>
      <c r="K212" s="46" t="str">
        <f ca="1">IFERROR(__xludf.DUMMYFUNCTION("""COMPUTED_VALUE"""),"R&amp;D")</f>
        <v>R&amp;D</v>
      </c>
      <c r="L212" s="46" t="str">
        <f ca="1">IFERROR(__xludf.DUMMYFUNCTION("""COMPUTED_VALUE"""),"FTE")</f>
        <v>FTE</v>
      </c>
      <c r="M212" s="46" t="str">
        <f ca="1">IFERROR(__xludf.DUMMYFUNCTION("""COMPUTED_VALUE"""),"Leave")</f>
        <v>Leave</v>
      </c>
      <c r="N212" s="46" t="str">
        <f ca="1">IFERROR(__xludf.DUMMYFUNCTION("""COMPUTED_VALUE"""),"x")</f>
        <v>x</v>
      </c>
    </row>
    <row r="213" spans="1:14">
      <c r="A213" s="45"/>
      <c r="B213" s="45" t="str">
        <f ca="1">IFERROR(__xludf.DUMMYFUNCTION("""COMPUTED_VALUE"""),"Đã nghỉ")</f>
        <v>Đã nghỉ</v>
      </c>
      <c r="C213" s="46">
        <f ca="1">IFERROR(__xludf.DUMMYFUNCTION("""COMPUTED_VALUE"""),214)</f>
        <v>214</v>
      </c>
      <c r="D213" s="47" t="str">
        <f ca="1">IFERROR(__xludf.DUMMYFUNCTION("""COMPUTED_VALUE"""),"B2036")</f>
        <v>B2036</v>
      </c>
      <c r="E213" s="46" t="str">
        <f ca="1">IFERROR(__xludf.DUMMYFUNCTION("""COMPUTED_VALUE"""),"PHAN TRƯƠNG NHÃ LINH")</f>
        <v>PHAN TRƯƠNG NHÃ LINH</v>
      </c>
      <c r="F213" s="46" t="str">
        <f ca="1">IFERROR(__xludf.DUMMYFUNCTION("""COMPUTED_VALUE"""),"PHAN TRUONG NHA LINH")</f>
        <v>PHAN TRUONG NHA LINH</v>
      </c>
      <c r="G213" s="45">
        <f ca="1">IFERROR(__xludf.DUMMYFUNCTION("""COMPUTED_VALUE"""),37388.5833333333)</f>
        <v>37388.583333333299</v>
      </c>
      <c r="H213" s="45" t="str">
        <f ca="1">IFERROR(__xludf.DUMMYFUNCTION("""COMPUTED_VALUE"""),"TLC")</f>
        <v>TLC</v>
      </c>
      <c r="I213" s="46" t="str">
        <f ca="1">IFERROR(__xludf.DUMMYFUNCTION("""COMPUTED_VALUE"""),"STORE")</f>
        <v>STORE</v>
      </c>
      <c r="J213" s="46" t="str">
        <f ca="1">IFERROR(__xludf.DUMMYFUNCTION("""COMPUTED_VALUE"""),"BAKES D2")</f>
        <v>BAKES D2</v>
      </c>
      <c r="K213" s="46" t="str">
        <f ca="1">IFERROR(__xludf.DUMMYFUNCTION("""COMPUTED_VALUE"""),"STR")</f>
        <v>STR</v>
      </c>
      <c r="L213" s="46" t="str">
        <f ca="1">IFERROR(__xludf.DUMMYFUNCTION("""COMPUTED_VALUE"""),"PTE")</f>
        <v>PTE</v>
      </c>
      <c r="M213" s="46" t="str">
        <f ca="1">IFERROR(__xludf.DUMMYFUNCTION("""COMPUTED_VALUE"""),"Leave")</f>
        <v>Leave</v>
      </c>
      <c r="N213" s="46" t="str">
        <f ca="1">IFERROR(__xludf.DUMMYFUNCTION("""COMPUTED_VALUE"""),"x")</f>
        <v>x</v>
      </c>
    </row>
    <row r="214" spans="1:14">
      <c r="A214" s="45"/>
      <c r="B214" s="45" t="str">
        <f ca="1">IFERROR(__xludf.DUMMYFUNCTION("""COMPUTED_VALUE"""),"Đã nghỉ")</f>
        <v>Đã nghỉ</v>
      </c>
      <c r="C214" s="46">
        <f ca="1">IFERROR(__xludf.DUMMYFUNCTION("""COMPUTED_VALUE"""),215)</f>
        <v>215</v>
      </c>
      <c r="D214" s="47" t="str">
        <f ca="1">IFERROR(__xludf.DUMMYFUNCTION("""COMPUTED_VALUE"""),"B2037")</f>
        <v>B2037</v>
      </c>
      <c r="E214" s="46" t="str">
        <f ca="1">IFERROR(__xludf.DUMMYFUNCTION("""COMPUTED_VALUE"""),"DƯƠNG TUẤN CƯỜNG")</f>
        <v>DƯƠNG TUẤN CƯỜNG</v>
      </c>
      <c r="F214" s="46" t="str">
        <f ca="1">IFERROR(__xludf.DUMMYFUNCTION("""COMPUTED_VALUE"""),"DUONG TUAN CUONG")</f>
        <v>DUONG TUAN CUONG</v>
      </c>
      <c r="G214" s="45"/>
      <c r="H214" s="45" t="str">
        <f ca="1">IFERROR(__xludf.DUMMYFUNCTION("""COMPUTED_VALUE"""),"BAKES")</f>
        <v>BAKES</v>
      </c>
      <c r="I214" s="46" t="str">
        <f ca="1">IFERROR(__xludf.DUMMYFUNCTION("""COMPUTED_VALUE"""),"STORE")</f>
        <v>STORE</v>
      </c>
      <c r="J214" s="46" t="str">
        <f ca="1">IFERROR(__xludf.DUMMYFUNCTION("""COMPUTED_VALUE"""),"BAKES D2")</f>
        <v>BAKES D2</v>
      </c>
      <c r="K214" s="46" t="str">
        <f ca="1">IFERROR(__xludf.DUMMYFUNCTION("""COMPUTED_VALUE"""),"STR")</f>
        <v>STR</v>
      </c>
      <c r="L214" s="46" t="str">
        <f ca="1">IFERROR(__xludf.DUMMYFUNCTION("""COMPUTED_VALUE"""),"PTE")</f>
        <v>PTE</v>
      </c>
      <c r="M214" s="46" t="str">
        <f ca="1">IFERROR(__xludf.DUMMYFUNCTION("""COMPUTED_VALUE"""),"Leave")</f>
        <v>Leave</v>
      </c>
      <c r="N214" s="46" t="str">
        <f ca="1">IFERROR(__xludf.DUMMYFUNCTION("""COMPUTED_VALUE"""),"x")</f>
        <v>x</v>
      </c>
    </row>
    <row r="215" spans="1:14">
      <c r="A215" s="45"/>
      <c r="B215" s="45" t="str">
        <f ca="1">IFERROR(__xludf.DUMMYFUNCTION("""COMPUTED_VALUE"""),"Đã nghỉ")</f>
        <v>Đã nghỉ</v>
      </c>
      <c r="C215" s="46">
        <f ca="1">IFERROR(__xludf.DUMMYFUNCTION("""COMPUTED_VALUE"""),216)</f>
        <v>216</v>
      </c>
      <c r="D215" s="47" t="str">
        <f ca="1">IFERROR(__xludf.DUMMYFUNCTION("""COMPUTED_VALUE"""),"B2039")</f>
        <v>B2039</v>
      </c>
      <c r="E215" s="46" t="str">
        <f ca="1">IFERROR(__xludf.DUMMYFUNCTION("""COMPUTED_VALUE"""),"NGUYỄN TRUNG QUÂN")</f>
        <v>NGUYỄN TRUNG QUÂN</v>
      </c>
      <c r="F215" s="46" t="str">
        <f ca="1">IFERROR(__xludf.DUMMYFUNCTION("""COMPUTED_VALUE"""),"NGUYEN TRUNG QUAN")</f>
        <v>NGUYEN TRUNG QUAN</v>
      </c>
      <c r="G215" s="45">
        <f ca="1">IFERROR(__xludf.DUMMYFUNCTION("""COMPUTED_VALUE"""),37974.625)</f>
        <v>37974.625</v>
      </c>
      <c r="H215" s="45" t="str">
        <f ca="1">IFERROR(__xludf.DUMMYFUNCTION("""COMPUTED_VALUE"""),"BAKES")</f>
        <v>BAKES</v>
      </c>
      <c r="I215" s="46" t="str">
        <f ca="1">IFERROR(__xludf.DUMMYFUNCTION("""COMPUTED_VALUE"""),"STORE")</f>
        <v>STORE</v>
      </c>
      <c r="J215" s="46" t="str">
        <f ca="1">IFERROR(__xludf.DUMMYFUNCTION("""COMPUTED_VALUE"""),"BAKES D2")</f>
        <v>BAKES D2</v>
      </c>
      <c r="K215" s="46" t="str">
        <f ca="1">IFERROR(__xludf.DUMMYFUNCTION("""COMPUTED_VALUE"""),"STR")</f>
        <v>STR</v>
      </c>
      <c r="L215" s="46" t="str">
        <f ca="1">IFERROR(__xludf.DUMMYFUNCTION("""COMPUTED_VALUE"""),"PTE")</f>
        <v>PTE</v>
      </c>
      <c r="M215" s="46" t="str">
        <f ca="1">IFERROR(__xludf.DUMMYFUNCTION("""COMPUTED_VALUE"""),"Leave")</f>
        <v>Leave</v>
      </c>
      <c r="N215" s="46" t="str">
        <f ca="1">IFERROR(__xludf.DUMMYFUNCTION("""COMPUTED_VALUE"""),"x")</f>
        <v>x</v>
      </c>
    </row>
    <row r="216" spans="1:14">
      <c r="A216" s="45">
        <f ca="1">IFERROR(__xludf.DUMMYFUNCTION("""COMPUTED_VALUE"""),45032.5833333333)</f>
        <v>45032.583333333299</v>
      </c>
      <c r="B216" s="45">
        <f ca="1">IFERROR(__xludf.DUMMYFUNCTION("""COMPUTED_VALUE"""),45413.5833333333)</f>
        <v>45413.583333333299</v>
      </c>
      <c r="C216" s="46">
        <f ca="1">IFERROR(__xludf.DUMMYFUNCTION("""COMPUTED_VALUE"""),217)</f>
        <v>217</v>
      </c>
      <c r="D216" s="47" t="str">
        <f ca="1">IFERROR(__xludf.DUMMYFUNCTION("""COMPUTED_VALUE"""),"B2040")</f>
        <v>B2040</v>
      </c>
      <c r="E216" s="46" t="str">
        <f ca="1">IFERROR(__xludf.DUMMYFUNCTION("""COMPUTED_VALUE"""),"TRÁC MINH TÂM")</f>
        <v>TRÁC MINH TÂM</v>
      </c>
      <c r="F216" s="46" t="str">
        <f ca="1">IFERROR(__xludf.DUMMYFUNCTION("""COMPUTED_VALUE"""),"TRAC MINH TAM")</f>
        <v>TRAC MINH TAM</v>
      </c>
      <c r="G216" s="45">
        <f ca="1">IFERROR(__xludf.DUMMYFUNCTION("""COMPUTED_VALUE"""),37003.5833333333)</f>
        <v>37003.583333333299</v>
      </c>
      <c r="H216" s="45" t="str">
        <f ca="1">IFERROR(__xludf.DUMMYFUNCTION("""COMPUTED_VALUE"""),"BAKES")</f>
        <v>BAKES</v>
      </c>
      <c r="I216" s="46" t="str">
        <f ca="1">IFERROR(__xludf.DUMMYFUNCTION("""COMPUTED_VALUE"""),"STORE")</f>
        <v>STORE</v>
      </c>
      <c r="J216" s="46" t="str">
        <f ca="1">IFERROR(__xludf.DUMMYFUNCTION("""COMPUTED_VALUE"""),"BAKES D2")</f>
        <v>BAKES D2</v>
      </c>
      <c r="K216" s="46" t="str">
        <f ca="1">IFERROR(__xludf.DUMMYFUNCTION("""COMPUTED_VALUE"""),"KIT")</f>
        <v>KIT</v>
      </c>
      <c r="L216" s="46" t="str">
        <f ca="1">IFERROR(__xludf.DUMMYFUNCTION("""COMPUTED_VALUE"""),"PTE")</f>
        <v>PTE</v>
      </c>
      <c r="M216" s="46" t="str">
        <f ca="1">IFERROR(__xludf.DUMMYFUNCTION("""COMPUTED_VALUE"""),"Leave")</f>
        <v>Leave</v>
      </c>
      <c r="N216" s="46" t="str">
        <f ca="1">IFERROR(__xludf.DUMMYFUNCTION("""COMPUTED_VALUE"""),"x")</f>
        <v>x</v>
      </c>
    </row>
    <row r="217" spans="1:14">
      <c r="A217" s="45"/>
      <c r="B217" s="45" t="str">
        <f ca="1">IFERROR(__xludf.DUMMYFUNCTION("""COMPUTED_VALUE"""),"Đã nghỉ")</f>
        <v>Đã nghỉ</v>
      </c>
      <c r="C217" s="46">
        <f ca="1">IFERROR(__xludf.DUMMYFUNCTION("""COMPUTED_VALUE"""),218)</f>
        <v>218</v>
      </c>
      <c r="D217" s="47" t="str">
        <f ca="1">IFERROR(__xludf.DUMMYFUNCTION("""COMPUTED_VALUE"""),"B2041")</f>
        <v>B2041</v>
      </c>
      <c r="E217" s="46" t="str">
        <f ca="1">IFERROR(__xludf.DUMMYFUNCTION("""COMPUTED_VALUE"""),"VÕ THỊ MỸ DUYÊN")</f>
        <v>VÕ THỊ MỸ DUYÊN</v>
      </c>
      <c r="F217" s="46" t="str">
        <f ca="1">IFERROR(__xludf.DUMMYFUNCTION("""COMPUTED_VALUE"""),"VO THI MY DUYEN")</f>
        <v>VO THI MY DUYEN</v>
      </c>
      <c r="G217" s="45"/>
      <c r="H217" s="45" t="str">
        <f ca="1">IFERROR(__xludf.DUMMYFUNCTION("""COMPUTED_VALUE"""),"BAKES")</f>
        <v>BAKES</v>
      </c>
      <c r="I217" s="46" t="str">
        <f ca="1">IFERROR(__xludf.DUMMYFUNCTION("""COMPUTED_VALUE"""),"STORE")</f>
        <v>STORE</v>
      </c>
      <c r="J217" s="46" t="str">
        <f ca="1">IFERROR(__xludf.DUMMYFUNCTION("""COMPUTED_VALUE"""),"BAKES D2")</f>
        <v>BAKES D2</v>
      </c>
      <c r="K217" s="46" t="str">
        <f ca="1">IFERROR(__xludf.DUMMYFUNCTION("""COMPUTED_VALUE"""),"KIT")</f>
        <v>KIT</v>
      </c>
      <c r="L217" s="46" t="str">
        <f ca="1">IFERROR(__xludf.DUMMYFUNCTION("""COMPUTED_VALUE"""),"PTE")</f>
        <v>PTE</v>
      </c>
      <c r="M217" s="46" t="str">
        <f ca="1">IFERROR(__xludf.DUMMYFUNCTION("""COMPUTED_VALUE"""),"Leave")</f>
        <v>Leave</v>
      </c>
      <c r="N217" s="46" t="str">
        <f ca="1">IFERROR(__xludf.DUMMYFUNCTION("""COMPUTED_VALUE"""),"x")</f>
        <v>x</v>
      </c>
    </row>
    <row r="218" spans="1:14">
      <c r="A218" s="45"/>
      <c r="B218" s="45" t="str">
        <f ca="1">IFERROR(__xludf.DUMMYFUNCTION("""COMPUTED_VALUE"""),"Đã nghỉ")</f>
        <v>Đã nghỉ</v>
      </c>
      <c r="C218" s="46">
        <f ca="1">IFERROR(__xludf.DUMMYFUNCTION("""COMPUTED_VALUE"""),219)</f>
        <v>219</v>
      </c>
      <c r="D218" s="47" t="str">
        <f ca="1">IFERROR(__xludf.DUMMYFUNCTION("""COMPUTED_VALUE"""),"B2042")</f>
        <v>B2042</v>
      </c>
      <c r="E218" s="46" t="str">
        <f ca="1">IFERROR(__xludf.DUMMYFUNCTION("""COMPUTED_VALUE"""),"LÊ BÁ TRUNG")</f>
        <v>LÊ BÁ TRUNG</v>
      </c>
      <c r="F218" s="46" t="str">
        <f ca="1">IFERROR(__xludf.DUMMYFUNCTION("""COMPUTED_VALUE"""),"LE BA TRUNG")</f>
        <v>LE BA TRUNG</v>
      </c>
      <c r="G218" s="45"/>
      <c r="H218" s="45" t="str">
        <f ca="1">IFERROR(__xludf.DUMMYFUNCTION("""COMPUTED_VALUE"""),"BAKES")</f>
        <v>BAKES</v>
      </c>
      <c r="I218" s="46" t="str">
        <f ca="1">IFERROR(__xludf.DUMMYFUNCTION("""COMPUTED_VALUE"""),"STORE")</f>
        <v>STORE</v>
      </c>
      <c r="J218" s="46" t="str">
        <f ca="1">IFERROR(__xludf.DUMMYFUNCTION("""COMPUTED_VALUE"""),"BAKES D2")</f>
        <v>BAKES D2</v>
      </c>
      <c r="K218" s="46" t="str">
        <f ca="1">IFERROR(__xludf.DUMMYFUNCTION("""COMPUTED_VALUE"""),"STR")</f>
        <v>STR</v>
      </c>
      <c r="L218" s="46" t="str">
        <f ca="1">IFERROR(__xludf.DUMMYFUNCTION("""COMPUTED_VALUE"""),"PTE")</f>
        <v>PTE</v>
      </c>
      <c r="M218" s="46" t="str">
        <f ca="1">IFERROR(__xludf.DUMMYFUNCTION("""COMPUTED_VALUE"""),"Leave")</f>
        <v>Leave</v>
      </c>
      <c r="N218" s="46" t="str">
        <f ca="1">IFERROR(__xludf.DUMMYFUNCTION("""COMPUTED_VALUE"""),"x")</f>
        <v>x</v>
      </c>
    </row>
    <row r="219" spans="1:14">
      <c r="A219" s="45"/>
      <c r="B219" s="45" t="str">
        <f ca="1">IFERROR(__xludf.DUMMYFUNCTION("""COMPUTED_VALUE"""),"Đã nghỉ")</f>
        <v>Đã nghỉ</v>
      </c>
      <c r="C219" s="46">
        <f ca="1">IFERROR(__xludf.DUMMYFUNCTION("""COMPUTED_VALUE"""),220)</f>
        <v>220</v>
      </c>
      <c r="D219" s="47" t="str">
        <f ca="1">IFERROR(__xludf.DUMMYFUNCTION("""COMPUTED_VALUE"""),"B2043")</f>
        <v>B2043</v>
      </c>
      <c r="E219" s="46" t="str">
        <f ca="1">IFERROR(__xludf.DUMMYFUNCTION("""COMPUTED_VALUE"""),"TRẦN LÊ MINH ĐỨC")</f>
        <v>TRẦN LÊ MINH ĐỨC</v>
      </c>
      <c r="F219" s="46" t="str">
        <f ca="1">IFERROR(__xludf.DUMMYFUNCTION("""COMPUTED_VALUE"""),"TRAN LE MINH DUC")</f>
        <v>TRAN LE MINH DUC</v>
      </c>
      <c r="G219" s="45">
        <f ca="1">IFERROR(__xludf.DUMMYFUNCTION("""COMPUTED_VALUE"""),37946.625)</f>
        <v>37946.625</v>
      </c>
      <c r="H219" s="45" t="str">
        <f ca="1">IFERROR(__xludf.DUMMYFUNCTION("""COMPUTED_VALUE"""),"BAKES")</f>
        <v>BAKES</v>
      </c>
      <c r="I219" s="46" t="str">
        <f ca="1">IFERROR(__xludf.DUMMYFUNCTION("""COMPUTED_VALUE"""),"STORE")</f>
        <v>STORE</v>
      </c>
      <c r="J219" s="46" t="str">
        <f ca="1">IFERROR(__xludf.DUMMYFUNCTION("""COMPUTED_VALUE"""),"BAKES D2")</f>
        <v>BAKES D2</v>
      </c>
      <c r="K219" s="46" t="str">
        <f ca="1">IFERROR(__xludf.DUMMYFUNCTION("""COMPUTED_VALUE"""),"KIT")</f>
        <v>KIT</v>
      </c>
      <c r="L219" s="46" t="str">
        <f ca="1">IFERROR(__xludf.DUMMYFUNCTION("""COMPUTED_VALUE"""),"PTE")</f>
        <v>PTE</v>
      </c>
      <c r="M219" s="46" t="str">
        <f ca="1">IFERROR(__xludf.DUMMYFUNCTION("""COMPUTED_VALUE"""),"Leave")</f>
        <v>Leave</v>
      </c>
      <c r="N219" s="46" t="str">
        <f ca="1">IFERROR(__xludf.DUMMYFUNCTION("""COMPUTED_VALUE"""),"x")</f>
        <v>x</v>
      </c>
    </row>
    <row r="220" spans="1:14">
      <c r="A220" s="45">
        <f ca="1">IFERROR(__xludf.DUMMYFUNCTION("""COMPUTED_VALUE"""),45017.5833333333)</f>
        <v>45017.583333333299</v>
      </c>
      <c r="B220" s="45"/>
      <c r="C220" s="46">
        <f ca="1">IFERROR(__xludf.DUMMYFUNCTION("""COMPUTED_VALUE"""),221)</f>
        <v>221</v>
      </c>
      <c r="D220" s="47" t="str">
        <f ca="1">IFERROR(__xludf.DUMMYFUNCTION("""COMPUTED_VALUE"""),"B2045")</f>
        <v>B2045</v>
      </c>
      <c r="E220" s="46" t="str">
        <f ca="1">IFERROR(__xludf.DUMMYFUNCTION("""COMPUTED_VALUE"""),"NGUYỄN TUẤN ANH")</f>
        <v>NGUYỄN TUẤN ANH</v>
      </c>
      <c r="F220" s="46" t="str">
        <f ca="1">IFERROR(__xludf.DUMMYFUNCTION("""COMPUTED_VALUE"""),"NGUYEN TUAN ANH")</f>
        <v>NGUYEN TUAN ANH</v>
      </c>
      <c r="G220" s="45">
        <f ca="1">IFERROR(__xludf.DUMMYFUNCTION("""COMPUTED_VALUE"""),21950.6666666666)</f>
        <v>21950.666666666599</v>
      </c>
      <c r="H220" s="45" t="str">
        <f ca="1">IFERROR(__xludf.DUMMYFUNCTION("""COMPUTED_VALUE"""),"KITCHEN PASTRY")</f>
        <v>KITCHEN PASTRY</v>
      </c>
      <c r="I220" s="46" t="str">
        <f ca="1">IFERROR(__xludf.DUMMYFUNCTION("""COMPUTED_VALUE"""),"KITCHEN PASTRY")</f>
        <v>KITCHEN PASTRY</v>
      </c>
      <c r="J220" s="46" t="str">
        <f ca="1">IFERROR(__xludf.DUMMYFUNCTION("""COMPUTED_VALUE"""),"KITCHEN PASTRY")</f>
        <v>KITCHEN PASTRY</v>
      </c>
      <c r="K220" s="46" t="str">
        <f ca="1">IFERROR(__xludf.DUMMYFUNCTION("""COMPUTED_VALUE"""),"DRIVER")</f>
        <v>DRIVER</v>
      </c>
      <c r="L220" s="46" t="str">
        <f ca="1">IFERROR(__xludf.DUMMYFUNCTION("""COMPUTED_VALUE"""),"FTE")</f>
        <v>FTE</v>
      </c>
      <c r="M220" s="46" t="str">
        <f ca="1">IFERROR(__xludf.DUMMYFUNCTION("""COMPUTED_VALUE"""),"On")</f>
        <v>On</v>
      </c>
      <c r="N220" s="46" t="str">
        <f ca="1">IFERROR(__xludf.DUMMYFUNCTION("""COMPUTED_VALUE"""),"đủ")</f>
        <v>đủ</v>
      </c>
    </row>
    <row r="221" spans="1:14">
      <c r="A221" s="45">
        <f ca="1">IFERROR(__xludf.DUMMYFUNCTION("""COMPUTED_VALUE"""),45017.5833333333)</f>
        <v>45017.583333333299</v>
      </c>
      <c r="B221" s="45"/>
      <c r="C221" s="46">
        <f ca="1">IFERROR(__xludf.DUMMYFUNCTION("""COMPUTED_VALUE"""),222)</f>
        <v>222</v>
      </c>
      <c r="D221" s="47" t="str">
        <f ca="1">IFERROR(__xludf.DUMMYFUNCTION("""COMPUTED_VALUE"""),"B2046")</f>
        <v>B2046</v>
      </c>
      <c r="E221" s="46" t="str">
        <f ca="1">IFERROR(__xludf.DUMMYFUNCTION("""COMPUTED_VALUE"""),"NGUYỄN VĂN ĐIỀN")</f>
        <v>NGUYỄN VĂN ĐIỀN</v>
      </c>
      <c r="F221" s="46" t="str">
        <f ca="1">IFERROR(__xludf.DUMMYFUNCTION("""COMPUTED_VALUE"""),"NGUYEN VAN DIEN")</f>
        <v>NGUYEN VAN DIEN</v>
      </c>
      <c r="G221" s="45">
        <f ca="1">IFERROR(__xludf.DUMMYFUNCTION("""COMPUTED_VALUE"""),24929.6666666666)</f>
        <v>24929.666666666599</v>
      </c>
      <c r="H221" s="45" t="str">
        <f ca="1">IFERROR(__xludf.DUMMYFUNCTION("""COMPUTED_VALUE"""),"KITCHEN PASTRY")</f>
        <v>KITCHEN PASTRY</v>
      </c>
      <c r="I221" s="46" t="str">
        <f ca="1">IFERROR(__xludf.DUMMYFUNCTION("""COMPUTED_VALUE"""),"KITCHEN PASTRY")</f>
        <v>KITCHEN PASTRY</v>
      </c>
      <c r="J221" s="46" t="str">
        <f ca="1">IFERROR(__xludf.DUMMYFUNCTION("""COMPUTED_VALUE"""),"KITCHEN PASTRY")</f>
        <v>KITCHEN PASTRY</v>
      </c>
      <c r="K221" s="46" t="str">
        <f ca="1">IFERROR(__xludf.DUMMYFUNCTION("""COMPUTED_VALUE"""),"DRIVER")</f>
        <v>DRIVER</v>
      </c>
      <c r="L221" s="46" t="str">
        <f ca="1">IFERROR(__xludf.DUMMYFUNCTION("""COMPUTED_VALUE"""),"FTE")</f>
        <v>FTE</v>
      </c>
      <c r="M221" s="46" t="str">
        <f ca="1">IFERROR(__xludf.DUMMYFUNCTION("""COMPUTED_VALUE"""),"On")</f>
        <v>On</v>
      </c>
      <c r="N221" s="46" t="str">
        <f ca="1">IFERROR(__xludf.DUMMYFUNCTION("""COMPUTED_VALUE"""),"đủ")</f>
        <v>đủ</v>
      </c>
    </row>
    <row r="222" spans="1:14">
      <c r="A222" s="45"/>
      <c r="B222" s="45" t="str">
        <f ca="1">IFERROR(__xludf.DUMMYFUNCTION("""COMPUTED_VALUE"""),"Đã nghỉ")</f>
        <v>Đã nghỉ</v>
      </c>
      <c r="C222" s="46">
        <f ca="1">IFERROR(__xludf.DUMMYFUNCTION("""COMPUTED_VALUE"""),223)</f>
        <v>223</v>
      </c>
      <c r="D222" s="47" t="str">
        <f ca="1">IFERROR(__xludf.DUMMYFUNCTION("""COMPUTED_VALUE"""),"B2047")</f>
        <v>B2047</v>
      </c>
      <c r="E222" s="46" t="str">
        <f ca="1">IFERROR(__xludf.DUMMYFUNCTION("""COMPUTED_VALUE"""),"NGUYỄN NGỌC THÌN")</f>
        <v>NGUYỄN NGỌC THÌN</v>
      </c>
      <c r="F222" s="46" t="str">
        <f ca="1">IFERROR(__xludf.DUMMYFUNCTION("""COMPUTED_VALUE"""),"NGUYEN NGOC THIN")</f>
        <v>NGUYEN NGOC THIN</v>
      </c>
      <c r="G222" s="45">
        <f ca="1">IFERROR(__xludf.DUMMYFUNCTION("""COMPUTED_VALUE"""),32243.5833333333)</f>
        <v>32243.583333333299</v>
      </c>
      <c r="H222" s="45" t="str">
        <f ca="1">IFERROR(__xludf.DUMMYFUNCTION("""COMPUTED_VALUE"""),"BAKES")</f>
        <v>BAKES</v>
      </c>
      <c r="I222" s="46" t="str">
        <f ca="1">IFERROR(__xludf.DUMMYFUNCTION("""COMPUTED_VALUE"""),"STORE")</f>
        <v>STORE</v>
      </c>
      <c r="J222" s="46" t="str">
        <f ca="1">IFERROR(__xludf.DUMMYFUNCTION("""COMPUTED_VALUE"""),"BAKES D2")</f>
        <v>BAKES D2</v>
      </c>
      <c r="K222" s="46" t="str">
        <f ca="1">IFERROR(__xludf.DUMMYFUNCTION("""COMPUTED_VALUE"""),"STR")</f>
        <v>STR</v>
      </c>
      <c r="L222" s="46" t="str">
        <f ca="1">IFERROR(__xludf.DUMMYFUNCTION("""COMPUTED_VALUE"""),"PTE")</f>
        <v>PTE</v>
      </c>
      <c r="M222" s="46" t="str">
        <f ca="1">IFERROR(__xludf.DUMMYFUNCTION("""COMPUTED_VALUE"""),"Leave")</f>
        <v>Leave</v>
      </c>
      <c r="N222" s="46" t="str">
        <f ca="1">IFERROR(__xludf.DUMMYFUNCTION("""COMPUTED_VALUE"""),"x")</f>
        <v>x</v>
      </c>
    </row>
    <row r="223" spans="1:14">
      <c r="A223" s="45"/>
      <c r="B223" s="45" t="str">
        <f ca="1">IFERROR(__xludf.DUMMYFUNCTION("""COMPUTED_VALUE"""),"Đã nghỉ")</f>
        <v>Đã nghỉ</v>
      </c>
      <c r="C223" s="46">
        <f ca="1">IFERROR(__xludf.DUMMYFUNCTION("""COMPUTED_VALUE"""),224)</f>
        <v>224</v>
      </c>
      <c r="D223" s="47" t="str">
        <f ca="1">IFERROR(__xludf.DUMMYFUNCTION("""COMPUTED_VALUE"""),"B2048")</f>
        <v>B2048</v>
      </c>
      <c r="E223" s="46" t="str">
        <f ca="1">IFERROR(__xludf.DUMMYFUNCTION("""COMPUTED_VALUE"""),"HUỲNH QUỐC PHONG")</f>
        <v>HUỲNH QUỐC PHONG</v>
      </c>
      <c r="F223" s="46" t="str">
        <f ca="1">IFERROR(__xludf.DUMMYFUNCTION("""COMPUTED_VALUE"""),"HUYNH QUOC PHONG")</f>
        <v>HUYNH QUOC PHONG</v>
      </c>
      <c r="G223" s="45"/>
      <c r="H223" s="45" t="str">
        <f ca="1">IFERROR(__xludf.DUMMYFUNCTION("""COMPUTED_VALUE"""),"BAKES")</f>
        <v>BAKES</v>
      </c>
      <c r="I223" s="46" t="str">
        <f ca="1">IFERROR(__xludf.DUMMYFUNCTION("""COMPUTED_VALUE"""),"STORE")</f>
        <v>STORE</v>
      </c>
      <c r="J223" s="46" t="str">
        <f ca="1">IFERROR(__xludf.DUMMYFUNCTION("""COMPUTED_VALUE"""),"BAKES D2")</f>
        <v>BAKES D2</v>
      </c>
      <c r="K223" s="46" t="str">
        <f ca="1">IFERROR(__xludf.DUMMYFUNCTION("""COMPUTED_VALUE"""),"STR")</f>
        <v>STR</v>
      </c>
      <c r="L223" s="46" t="str">
        <f ca="1">IFERROR(__xludf.DUMMYFUNCTION("""COMPUTED_VALUE"""),"PTE")</f>
        <v>PTE</v>
      </c>
      <c r="M223" s="46" t="str">
        <f ca="1">IFERROR(__xludf.DUMMYFUNCTION("""COMPUTED_VALUE"""),"Leave")</f>
        <v>Leave</v>
      </c>
      <c r="N223" s="46" t="str">
        <f ca="1">IFERROR(__xludf.DUMMYFUNCTION("""COMPUTED_VALUE"""),"x")</f>
        <v>x</v>
      </c>
    </row>
    <row r="224" spans="1:14">
      <c r="A224" s="45">
        <f ca="1">IFERROR(__xludf.DUMMYFUNCTION("""COMPUTED_VALUE"""),45061.5833333333)</f>
        <v>45061.583333333299</v>
      </c>
      <c r="B224" s="45">
        <f ca="1">IFERROR(__xludf.DUMMYFUNCTION("""COMPUTED_VALUE"""),45383.5833333333)</f>
        <v>45383.583333333299</v>
      </c>
      <c r="C224" s="46">
        <f ca="1">IFERROR(__xludf.DUMMYFUNCTION("""COMPUTED_VALUE"""),225)</f>
        <v>225</v>
      </c>
      <c r="D224" s="47" t="str">
        <f ca="1">IFERROR(__xludf.DUMMYFUNCTION("""COMPUTED_VALUE"""),"B2049")</f>
        <v>B2049</v>
      </c>
      <c r="E224" s="46" t="str">
        <f ca="1">IFERROR(__xludf.DUMMYFUNCTION("""COMPUTED_VALUE"""),"VŨ NGỌC THỦY TIÊN")</f>
        <v>VŨ NGỌC THỦY TIÊN</v>
      </c>
      <c r="F224" s="46" t="str">
        <f ca="1">IFERROR(__xludf.DUMMYFUNCTION("""COMPUTED_VALUE"""),"VU NGOC THUY TIEN")</f>
        <v>VU NGOC THUY TIEN</v>
      </c>
      <c r="G224" s="45">
        <f ca="1">IFERROR(__xludf.DUMMYFUNCTION("""COMPUTED_VALUE"""),36717.5833333333)</f>
        <v>36717.583333333299</v>
      </c>
      <c r="H224" s="45" t="str">
        <f ca="1">IFERROR(__xludf.DUMMYFUNCTION("""COMPUTED_VALUE"""),"BAKES")</f>
        <v>BAKES</v>
      </c>
      <c r="I224" s="46" t="str">
        <f ca="1">IFERROR(__xludf.DUMMYFUNCTION("""COMPUTED_VALUE"""),"STORE")</f>
        <v>STORE</v>
      </c>
      <c r="J224" s="46" t="str">
        <f ca="1">IFERROR(__xludf.DUMMYFUNCTION("""COMPUTED_VALUE"""),"BAKES D2")</f>
        <v>BAKES D2</v>
      </c>
      <c r="K224" s="46" t="str">
        <f ca="1">IFERROR(__xludf.DUMMYFUNCTION("""COMPUTED_VALUE"""),"STR")</f>
        <v>STR</v>
      </c>
      <c r="L224" s="46" t="str">
        <f ca="1">IFERROR(__xludf.DUMMYFUNCTION("""COMPUTED_VALUE"""),"PTE")</f>
        <v>PTE</v>
      </c>
      <c r="M224" s="46" t="str">
        <f ca="1">IFERROR(__xludf.DUMMYFUNCTION("""COMPUTED_VALUE"""),"Leave")</f>
        <v>Leave</v>
      </c>
      <c r="N224" s="46" t="str">
        <f ca="1">IFERROR(__xludf.DUMMYFUNCTION("""COMPUTED_VALUE"""),"x")</f>
        <v>x</v>
      </c>
    </row>
    <row r="225" spans="1:14">
      <c r="A225" s="45"/>
      <c r="B225" s="45" t="str">
        <f ca="1">IFERROR(__xludf.DUMMYFUNCTION("""COMPUTED_VALUE"""),"Đã nghỉ")</f>
        <v>Đã nghỉ</v>
      </c>
      <c r="C225" s="46">
        <f ca="1">IFERROR(__xludf.DUMMYFUNCTION("""COMPUTED_VALUE"""),226)</f>
        <v>226</v>
      </c>
      <c r="D225" s="47" t="str">
        <f ca="1">IFERROR(__xludf.DUMMYFUNCTION("""COMPUTED_VALUE"""),"B2050")</f>
        <v>B2050</v>
      </c>
      <c r="E225" s="46" t="str">
        <f ca="1">IFERROR(__xludf.DUMMYFUNCTION("""COMPUTED_VALUE"""),"SƠN THỊ PHƯƠNG DUNG")</f>
        <v>SƠN THỊ PHƯƠNG DUNG</v>
      </c>
      <c r="F225" s="46" t="str">
        <f ca="1">IFERROR(__xludf.DUMMYFUNCTION("""COMPUTED_VALUE"""),"SON THI PHUONG DUNG")</f>
        <v>SON THI PHUONG DUNG</v>
      </c>
      <c r="G225" s="45">
        <f ca="1">IFERROR(__xludf.DUMMYFUNCTION("""COMPUTED_VALUE"""),37670.625)</f>
        <v>37670.625</v>
      </c>
      <c r="H225" s="45" t="str">
        <f ca="1">IFERROR(__xludf.DUMMYFUNCTION("""COMPUTED_VALUE"""),"BAKES")</f>
        <v>BAKES</v>
      </c>
      <c r="I225" s="46" t="str">
        <f ca="1">IFERROR(__xludf.DUMMYFUNCTION("""COMPUTED_VALUE"""),"STORE")</f>
        <v>STORE</v>
      </c>
      <c r="J225" s="46" t="str">
        <f ca="1">IFERROR(__xludf.DUMMYFUNCTION("""COMPUTED_VALUE"""),"BAKES D2")</f>
        <v>BAKES D2</v>
      </c>
      <c r="K225" s="46" t="str">
        <f ca="1">IFERROR(__xludf.DUMMYFUNCTION("""COMPUTED_VALUE"""),"STR")</f>
        <v>STR</v>
      </c>
      <c r="L225" s="46" t="str">
        <f ca="1">IFERROR(__xludf.DUMMYFUNCTION("""COMPUTED_VALUE"""),"PTE")</f>
        <v>PTE</v>
      </c>
      <c r="M225" s="46" t="str">
        <f ca="1">IFERROR(__xludf.DUMMYFUNCTION("""COMPUTED_VALUE"""),"Leave")</f>
        <v>Leave</v>
      </c>
      <c r="N225" s="46" t="str">
        <f ca="1">IFERROR(__xludf.DUMMYFUNCTION("""COMPUTED_VALUE"""),"x")</f>
        <v>x</v>
      </c>
    </row>
    <row r="226" spans="1:14">
      <c r="A226" s="45"/>
      <c r="B226" s="45" t="str">
        <f ca="1">IFERROR(__xludf.DUMMYFUNCTION("""COMPUTED_VALUE"""),"Đã nghỉ")</f>
        <v>Đã nghỉ</v>
      </c>
      <c r="C226" s="46">
        <f ca="1">IFERROR(__xludf.DUMMYFUNCTION("""COMPUTED_VALUE"""),227)</f>
        <v>227</v>
      </c>
      <c r="D226" s="47" t="str">
        <f ca="1">IFERROR(__xludf.DUMMYFUNCTION("""COMPUTED_VALUE"""),"B2051")</f>
        <v>B2051</v>
      </c>
      <c r="E226" s="46" t="str">
        <f ca="1">IFERROR(__xludf.DUMMYFUNCTION("""COMPUTED_VALUE"""),"LÂM PHÚ CƯỜNG")</f>
        <v>LÂM PHÚ CƯỜNG</v>
      </c>
      <c r="F226" s="46" t="str">
        <f ca="1">IFERROR(__xludf.DUMMYFUNCTION("""COMPUTED_VALUE"""),"LAM PHU CUONG")</f>
        <v>LAM PHU CUONG</v>
      </c>
      <c r="G226" s="45"/>
      <c r="H226" s="45" t="str">
        <f ca="1">IFERROR(__xludf.DUMMYFUNCTION("""COMPUTED_VALUE"""),"BAKES")</f>
        <v>BAKES</v>
      </c>
      <c r="I226" s="46" t="str">
        <f ca="1">IFERROR(__xludf.DUMMYFUNCTION("""COMPUTED_VALUE"""),"STORE")</f>
        <v>STORE</v>
      </c>
      <c r="J226" s="46" t="str">
        <f ca="1">IFERROR(__xludf.DUMMYFUNCTION("""COMPUTED_VALUE"""),"BAKES D2")</f>
        <v>BAKES D2</v>
      </c>
      <c r="K226" s="46" t="str">
        <f ca="1">IFERROR(__xludf.DUMMYFUNCTION("""COMPUTED_VALUE"""),"STR")</f>
        <v>STR</v>
      </c>
      <c r="L226" s="46" t="str">
        <f ca="1">IFERROR(__xludf.DUMMYFUNCTION("""COMPUTED_VALUE"""),"PTE")</f>
        <v>PTE</v>
      </c>
      <c r="M226" s="46" t="str">
        <f ca="1">IFERROR(__xludf.DUMMYFUNCTION("""COMPUTED_VALUE"""),"Leave")</f>
        <v>Leave</v>
      </c>
      <c r="N226" s="46" t="str">
        <f ca="1">IFERROR(__xludf.DUMMYFUNCTION("""COMPUTED_VALUE"""),"x")</f>
        <v>x</v>
      </c>
    </row>
    <row r="227" spans="1:14">
      <c r="A227" s="45"/>
      <c r="B227" s="45" t="str">
        <f ca="1">IFERROR(__xludf.DUMMYFUNCTION("""COMPUTED_VALUE"""),"Đã nghỉ")</f>
        <v>Đã nghỉ</v>
      </c>
      <c r="C227" s="46">
        <f ca="1">IFERROR(__xludf.DUMMYFUNCTION("""COMPUTED_VALUE"""),228)</f>
        <v>228</v>
      </c>
      <c r="D227" s="47" t="str">
        <f ca="1">IFERROR(__xludf.DUMMYFUNCTION("""COMPUTED_VALUE"""),"B2052")</f>
        <v>B2052</v>
      </c>
      <c r="E227" s="46" t="str">
        <f ca="1">IFERROR(__xludf.DUMMYFUNCTION("""COMPUTED_VALUE"""),"NGUYỄN PHỤNG TƯỜNG VY")</f>
        <v>NGUYỄN PHỤNG TƯỜNG VY</v>
      </c>
      <c r="F227" s="46" t="str">
        <f ca="1">IFERROR(__xludf.DUMMYFUNCTION("""COMPUTED_VALUE"""),"NGUYEN PHUNG TUONG VY")</f>
        <v>NGUYEN PHUNG TUONG VY</v>
      </c>
      <c r="G227" s="45">
        <f ca="1">IFERROR(__xludf.DUMMYFUNCTION("""COMPUTED_VALUE"""),37311.625)</f>
        <v>37311.625</v>
      </c>
      <c r="H227" s="45" t="str">
        <f ca="1">IFERROR(__xludf.DUMMYFUNCTION("""COMPUTED_VALUE"""),"BAKES")</f>
        <v>BAKES</v>
      </c>
      <c r="I227" s="46" t="str">
        <f ca="1">IFERROR(__xludf.DUMMYFUNCTION("""COMPUTED_VALUE"""),"STORE")</f>
        <v>STORE</v>
      </c>
      <c r="J227" s="46" t="str">
        <f ca="1">IFERROR(__xludf.DUMMYFUNCTION("""COMPUTED_VALUE"""),"BAKES D2")</f>
        <v>BAKES D2</v>
      </c>
      <c r="K227" s="46" t="str">
        <f ca="1">IFERROR(__xludf.DUMMYFUNCTION("""COMPUTED_VALUE"""),"STR")</f>
        <v>STR</v>
      </c>
      <c r="L227" s="46" t="str">
        <f ca="1">IFERROR(__xludf.DUMMYFUNCTION("""COMPUTED_VALUE"""),"PTE")</f>
        <v>PTE</v>
      </c>
      <c r="M227" s="46" t="str">
        <f ca="1">IFERROR(__xludf.DUMMYFUNCTION("""COMPUTED_VALUE"""),"Leave")</f>
        <v>Leave</v>
      </c>
      <c r="N227" s="46" t="str">
        <f ca="1">IFERROR(__xludf.DUMMYFUNCTION("""COMPUTED_VALUE"""),"x")</f>
        <v>x</v>
      </c>
    </row>
    <row r="228" spans="1:14">
      <c r="A228" s="45">
        <f ca="1">IFERROR(__xludf.DUMMYFUNCTION("""COMPUTED_VALUE"""),45084.5833333333)</f>
        <v>45084.583333333299</v>
      </c>
      <c r="B228" s="45">
        <f ca="1">IFERROR(__xludf.DUMMYFUNCTION("""COMPUTED_VALUE"""),45692.625)</f>
        <v>45692.625</v>
      </c>
      <c r="C228" s="46">
        <f ca="1">IFERROR(__xludf.DUMMYFUNCTION("""COMPUTED_VALUE"""),229)</f>
        <v>229</v>
      </c>
      <c r="D228" s="47" t="str">
        <f ca="1">IFERROR(__xludf.DUMMYFUNCTION("""COMPUTED_VALUE"""),"B2053")</f>
        <v>B2053</v>
      </c>
      <c r="E228" s="46" t="str">
        <f ca="1">IFERROR(__xludf.DUMMYFUNCTION("""COMPUTED_VALUE"""),"LÊ TRƯƠNG HỒNG ĐOAN")</f>
        <v>LÊ TRƯƠNG HỒNG ĐOAN</v>
      </c>
      <c r="F228" s="46" t="str">
        <f ca="1">IFERROR(__xludf.DUMMYFUNCTION("""COMPUTED_VALUE"""),"LE TRUONG HONG DOAN")</f>
        <v>LE TRUONG HONG DOAN</v>
      </c>
      <c r="G228" s="45">
        <f ca="1">IFERROR(__xludf.DUMMYFUNCTION("""COMPUTED_VALUE"""),36642.5833333333)</f>
        <v>36642.583333333299</v>
      </c>
      <c r="H228" s="45" t="str">
        <f ca="1">IFERROR(__xludf.DUMMYFUNCTION("""COMPUTED_VALUE"""),"BAKES")</f>
        <v>BAKES</v>
      </c>
      <c r="I228" s="46" t="str">
        <f ca="1">IFERROR(__xludf.DUMMYFUNCTION("""COMPUTED_VALUE"""),"STORE")</f>
        <v>STORE</v>
      </c>
      <c r="J228" s="46" t="str">
        <f ca="1">IFERROR(__xludf.DUMMYFUNCTION("""COMPUTED_VALUE"""),"BAKES D2")</f>
        <v>BAKES D2</v>
      </c>
      <c r="K228" s="46" t="str">
        <f ca="1">IFERROR(__xludf.DUMMYFUNCTION("""COMPUTED_VALUE"""),"BAR")</f>
        <v>BAR</v>
      </c>
      <c r="L228" s="46" t="str">
        <f ca="1">IFERROR(__xludf.DUMMYFUNCTION("""COMPUTED_VALUE"""),"FTE")</f>
        <v>FTE</v>
      </c>
      <c r="M228" s="46" t="str">
        <f ca="1">IFERROR(__xludf.DUMMYFUNCTION("""COMPUTED_VALUE"""),"Leave")</f>
        <v>Leave</v>
      </c>
      <c r="N228" s="46" t="str">
        <f ca="1">IFERROR(__xludf.DUMMYFUNCTION("""COMPUTED_VALUE"""),"x")</f>
        <v>x</v>
      </c>
    </row>
    <row r="229" spans="1:14">
      <c r="A229" s="45"/>
      <c r="B229" s="45" t="str">
        <f ca="1">IFERROR(__xludf.DUMMYFUNCTION("""COMPUTED_VALUE"""),"Đã nghỉ")</f>
        <v>Đã nghỉ</v>
      </c>
      <c r="C229" s="46">
        <f ca="1">IFERROR(__xludf.DUMMYFUNCTION("""COMPUTED_VALUE"""),230)</f>
        <v>230</v>
      </c>
      <c r="D229" s="47" t="str">
        <f ca="1">IFERROR(__xludf.DUMMYFUNCTION("""COMPUTED_VALUE"""),"B2054")</f>
        <v>B2054</v>
      </c>
      <c r="E229" s="46" t="str">
        <f ca="1">IFERROR(__xludf.DUMMYFUNCTION("""COMPUTED_VALUE"""),"TRẦN ĐẠI QUỐC")</f>
        <v>TRẦN ĐẠI QUỐC</v>
      </c>
      <c r="F229" s="46" t="str">
        <f ca="1">IFERROR(__xludf.DUMMYFUNCTION("""COMPUTED_VALUE"""),"TRAN DAI QUOC")</f>
        <v>TRAN DAI QUOC</v>
      </c>
      <c r="G229" s="45"/>
      <c r="H229" s="45" t="str">
        <f ca="1">IFERROR(__xludf.DUMMYFUNCTION("""COMPUTED_VALUE"""),"BAKES")</f>
        <v>BAKES</v>
      </c>
      <c r="I229" s="46" t="str">
        <f ca="1">IFERROR(__xludf.DUMMYFUNCTION("""COMPUTED_VALUE"""),"STORE")</f>
        <v>STORE</v>
      </c>
      <c r="J229" s="46" t="str">
        <f ca="1">IFERROR(__xludf.DUMMYFUNCTION("""COMPUTED_VALUE"""),"BAKES D2")</f>
        <v>BAKES D2</v>
      </c>
      <c r="K229" s="46" t="str">
        <f ca="1">IFERROR(__xludf.DUMMYFUNCTION("""COMPUTED_VALUE"""),"KIT")</f>
        <v>KIT</v>
      </c>
      <c r="L229" s="46" t="str">
        <f ca="1">IFERROR(__xludf.DUMMYFUNCTION("""COMPUTED_VALUE"""),"PTE")</f>
        <v>PTE</v>
      </c>
      <c r="M229" s="46" t="str">
        <f ca="1">IFERROR(__xludf.DUMMYFUNCTION("""COMPUTED_VALUE"""),"Leave")</f>
        <v>Leave</v>
      </c>
      <c r="N229" s="46" t="str">
        <f ca="1">IFERROR(__xludf.DUMMYFUNCTION("""COMPUTED_VALUE"""),"x")</f>
        <v>x</v>
      </c>
    </row>
    <row r="230" spans="1:14">
      <c r="A230" s="45">
        <f ca="1">IFERROR(__xludf.DUMMYFUNCTION("""COMPUTED_VALUE"""),45414.5833333333)</f>
        <v>45414.583333333299</v>
      </c>
      <c r="B230" s="45">
        <f ca="1">IFERROR(__xludf.DUMMYFUNCTION("""COMPUTED_VALUE"""),46092.5833333333)</f>
        <v>46092.583333333299</v>
      </c>
      <c r="C230" s="46">
        <f ca="1">IFERROR(__xludf.DUMMYFUNCTION("""COMPUTED_VALUE"""),231)</f>
        <v>231</v>
      </c>
      <c r="D230" s="47" t="str">
        <f ca="1">IFERROR(__xludf.DUMMYFUNCTION("""COMPUTED_VALUE"""),"B2055")</f>
        <v>B2055</v>
      </c>
      <c r="E230" s="46" t="str">
        <f ca="1">IFERROR(__xludf.DUMMYFUNCTION("""COMPUTED_VALUE"""),"NGUYỄN TRẦN DUY KHANG")</f>
        <v>NGUYỄN TRẦN DUY KHANG</v>
      </c>
      <c r="F230" s="46" t="str">
        <f ca="1">IFERROR(__xludf.DUMMYFUNCTION("""COMPUTED_VALUE"""),"NGUYEN TRAN DUY KHANG")</f>
        <v>NGUYEN TRAN DUY KHANG</v>
      </c>
      <c r="G230" s="45">
        <f ca="1">IFERROR(__xludf.DUMMYFUNCTION("""COMPUTED_VALUE"""),37313.625)</f>
        <v>37313.625</v>
      </c>
      <c r="H230" s="45" t="str">
        <f ca="1">IFERROR(__xludf.DUMMYFUNCTION("""COMPUTED_VALUE"""),"YESHI")</f>
        <v>YESHI</v>
      </c>
      <c r="I230" s="46" t="str">
        <f ca="1">IFERROR(__xludf.DUMMYFUNCTION("""COMPUTED_VALUE"""),"STORE")</f>
        <v>STORE</v>
      </c>
      <c r="J230" s="46" t="str">
        <f ca="1">IFERROR(__xludf.DUMMYFUNCTION("""COMPUTED_VALUE"""),"YESHI D3")</f>
        <v>YESHI D3</v>
      </c>
      <c r="K230" s="46" t="str">
        <f ca="1">IFERROR(__xludf.DUMMYFUNCTION("""COMPUTED_VALUE"""),"KIT")</f>
        <v>KIT</v>
      </c>
      <c r="L230" s="46" t="str">
        <f ca="1">IFERROR(__xludf.DUMMYFUNCTION("""COMPUTED_VALUE"""),"FTE")</f>
        <v>FTE</v>
      </c>
      <c r="M230" s="46" t="str">
        <f ca="1">IFERROR(__xludf.DUMMYFUNCTION("""COMPUTED_VALUE"""),"Leave")</f>
        <v>Leave</v>
      </c>
      <c r="N230" s="46" t="str">
        <f ca="1">IFERROR(__xludf.DUMMYFUNCTION("""COMPUTED_VALUE"""),"đủ")</f>
        <v>đủ</v>
      </c>
    </row>
    <row r="231" spans="1:14">
      <c r="A231" s="45"/>
      <c r="B231" s="45">
        <f ca="1">IFERROR(__xludf.DUMMYFUNCTION("""COMPUTED_VALUE"""),45292.625)</f>
        <v>45292.625</v>
      </c>
      <c r="C231" s="46">
        <f ca="1">IFERROR(__xludf.DUMMYFUNCTION("""COMPUTED_VALUE"""),232)</f>
        <v>232</v>
      </c>
      <c r="D231" s="47" t="str">
        <f ca="1">IFERROR(__xludf.DUMMYFUNCTION("""COMPUTED_VALUE"""),"B2056")</f>
        <v>B2056</v>
      </c>
      <c r="E231" s="46" t="str">
        <f ca="1">IFERROR(__xludf.DUMMYFUNCTION("""COMPUTED_VALUE"""),"NGUYỄN BÁCH KIM NGÂN")</f>
        <v>NGUYỄN BÁCH KIM NGÂN</v>
      </c>
      <c r="F231" s="46" t="str">
        <f ca="1">IFERROR(__xludf.DUMMYFUNCTION("""COMPUTED_VALUE"""),"NGUYEN BACH KIM NGAN")</f>
        <v>NGUYEN BACH KIM NGAN</v>
      </c>
      <c r="G231" s="45">
        <f ca="1">IFERROR(__xludf.DUMMYFUNCTION("""COMPUTED_VALUE"""),38031.625)</f>
        <v>38031.625</v>
      </c>
      <c r="H231" s="45" t="str">
        <f ca="1">IFERROR(__xludf.DUMMYFUNCTION("""COMPUTED_VALUE"""),"BAKES")</f>
        <v>BAKES</v>
      </c>
      <c r="I231" s="46" t="str">
        <f ca="1">IFERROR(__xludf.DUMMYFUNCTION("""COMPUTED_VALUE"""),"STORE")</f>
        <v>STORE</v>
      </c>
      <c r="J231" s="46" t="str">
        <f ca="1">IFERROR(__xludf.DUMMYFUNCTION("""COMPUTED_VALUE"""),"BAKES D2")</f>
        <v>BAKES D2</v>
      </c>
      <c r="K231" s="46" t="str">
        <f ca="1">IFERROR(__xludf.DUMMYFUNCTION("""COMPUTED_VALUE"""),"STR")</f>
        <v>STR</v>
      </c>
      <c r="L231" s="46" t="str">
        <f ca="1">IFERROR(__xludf.DUMMYFUNCTION("""COMPUTED_VALUE"""),"PTE")</f>
        <v>PTE</v>
      </c>
      <c r="M231" s="46" t="str">
        <f ca="1">IFERROR(__xludf.DUMMYFUNCTION("""COMPUTED_VALUE"""),"Leave")</f>
        <v>Leave</v>
      </c>
      <c r="N231" s="46" t="str">
        <f ca="1">IFERROR(__xludf.DUMMYFUNCTION("""COMPUTED_VALUE"""),"x")</f>
        <v>x</v>
      </c>
    </row>
    <row r="232" spans="1:14">
      <c r="A232" s="45"/>
      <c r="B232" s="45" t="str">
        <f ca="1">IFERROR(__xludf.DUMMYFUNCTION("""COMPUTED_VALUE"""),"Đã nghỉ")</f>
        <v>Đã nghỉ</v>
      </c>
      <c r="C232" s="46">
        <f ca="1">IFERROR(__xludf.DUMMYFUNCTION("""COMPUTED_VALUE"""),233)</f>
        <v>233</v>
      </c>
      <c r="D232" s="47" t="str">
        <f ca="1">IFERROR(__xludf.DUMMYFUNCTION("""COMPUTED_VALUE"""),"B2057")</f>
        <v>B2057</v>
      </c>
      <c r="E232" s="46" t="str">
        <f ca="1">IFERROR(__xludf.DUMMYFUNCTION("""COMPUTED_VALUE"""),"LÊ HỒNG HIỂN")</f>
        <v>LÊ HỒNG HIỂN</v>
      </c>
      <c r="F232" s="46" t="str">
        <f ca="1">IFERROR(__xludf.DUMMYFUNCTION("""COMPUTED_VALUE"""),"LE HONG HIEN")</f>
        <v>LE HONG HIEN</v>
      </c>
      <c r="G232" s="45">
        <f ca="1">IFERROR(__xludf.DUMMYFUNCTION("""COMPUTED_VALUE"""),34166.5833333333)</f>
        <v>34166.583333333299</v>
      </c>
      <c r="H232" s="45" t="str">
        <f ca="1">IFERROR(__xludf.DUMMYFUNCTION("""COMPUTED_VALUE"""),"BAKES")</f>
        <v>BAKES</v>
      </c>
      <c r="I232" s="46" t="str">
        <f ca="1">IFERROR(__xludf.DUMMYFUNCTION("""COMPUTED_VALUE"""),"STORE")</f>
        <v>STORE</v>
      </c>
      <c r="J232" s="46" t="str">
        <f ca="1">IFERROR(__xludf.DUMMYFUNCTION("""COMPUTED_VALUE"""),"BAKES D2")</f>
        <v>BAKES D2</v>
      </c>
      <c r="K232" s="46" t="str">
        <f ca="1">IFERROR(__xludf.DUMMYFUNCTION("""COMPUTED_VALUE"""),"KIT")</f>
        <v>KIT</v>
      </c>
      <c r="L232" s="46" t="str">
        <f ca="1">IFERROR(__xludf.DUMMYFUNCTION("""COMPUTED_VALUE"""),"PRO")</f>
        <v>PRO</v>
      </c>
      <c r="M232" s="46" t="str">
        <f ca="1">IFERROR(__xludf.DUMMYFUNCTION("""COMPUTED_VALUE"""),"Leave")</f>
        <v>Leave</v>
      </c>
      <c r="N232" s="46" t="str">
        <f ca="1">IFERROR(__xludf.DUMMYFUNCTION("""COMPUTED_VALUE"""),"x")</f>
        <v>x</v>
      </c>
    </row>
    <row r="233" spans="1:14">
      <c r="A233" s="45"/>
      <c r="B233" s="45" t="str">
        <f ca="1">IFERROR(__xludf.DUMMYFUNCTION("""COMPUTED_VALUE"""),"Đã nghỉ")</f>
        <v>Đã nghỉ</v>
      </c>
      <c r="C233" s="46">
        <f ca="1">IFERROR(__xludf.DUMMYFUNCTION("""COMPUTED_VALUE"""),234)</f>
        <v>234</v>
      </c>
      <c r="D233" s="47" t="str">
        <f ca="1">IFERROR(__xludf.DUMMYFUNCTION("""COMPUTED_VALUE"""),"B2058")</f>
        <v>B2058</v>
      </c>
      <c r="E233" s="46" t="str">
        <f ca="1">IFERROR(__xludf.DUMMYFUNCTION("""COMPUTED_VALUE"""),"NGUYỄN ĐÌNH CƯƠNG")</f>
        <v>NGUYỄN ĐÌNH CƯƠNG</v>
      </c>
      <c r="F233" s="46" t="str">
        <f ca="1">IFERROR(__xludf.DUMMYFUNCTION("""COMPUTED_VALUE"""),"NGUYEN DINH CUONG")</f>
        <v>NGUYEN DINH CUONG</v>
      </c>
      <c r="G233" s="45">
        <f ca="1">IFERROR(__xludf.DUMMYFUNCTION("""COMPUTED_VALUE"""),36123.625)</f>
        <v>36123.625</v>
      </c>
      <c r="H233" s="45" t="str">
        <f ca="1">IFERROR(__xludf.DUMMYFUNCTION("""COMPUTED_VALUE"""),"BAKES")</f>
        <v>BAKES</v>
      </c>
      <c r="I233" s="46" t="str">
        <f ca="1">IFERROR(__xludf.DUMMYFUNCTION("""COMPUTED_VALUE"""),"STORE")</f>
        <v>STORE</v>
      </c>
      <c r="J233" s="46" t="str">
        <f ca="1">IFERROR(__xludf.DUMMYFUNCTION("""COMPUTED_VALUE"""),"BAKES D2")</f>
        <v>BAKES D2</v>
      </c>
      <c r="K233" s="46" t="str">
        <f ca="1">IFERROR(__xludf.DUMMYFUNCTION("""COMPUTED_VALUE"""),"STR")</f>
        <v>STR</v>
      </c>
      <c r="L233" s="46" t="str">
        <f ca="1">IFERROR(__xludf.DUMMYFUNCTION("""COMPUTED_VALUE"""),"PTE")</f>
        <v>PTE</v>
      </c>
      <c r="M233" s="46" t="str">
        <f ca="1">IFERROR(__xludf.DUMMYFUNCTION("""COMPUTED_VALUE"""),"Leave")</f>
        <v>Leave</v>
      </c>
      <c r="N233" s="46" t="str">
        <f ca="1">IFERROR(__xludf.DUMMYFUNCTION("""COMPUTED_VALUE"""),"x")</f>
        <v>x</v>
      </c>
    </row>
    <row r="234" spans="1:14">
      <c r="A234" s="45">
        <f ca="1">IFERROR(__xludf.DUMMYFUNCTION("""COMPUTED_VALUE"""),44776.5833333333)</f>
        <v>44776.583333333299</v>
      </c>
      <c r="B234" s="45">
        <f ca="1">IFERROR(__xludf.DUMMYFUNCTION("""COMPUTED_VALUE"""),45383.5833333333)</f>
        <v>45383.583333333299</v>
      </c>
      <c r="C234" s="46">
        <f ca="1">IFERROR(__xludf.DUMMYFUNCTION("""COMPUTED_VALUE"""),235)</f>
        <v>235</v>
      </c>
      <c r="D234" s="47" t="str">
        <f ca="1">IFERROR(__xludf.DUMMYFUNCTION("""COMPUTED_VALUE"""),"B2059")</f>
        <v>B2059</v>
      </c>
      <c r="E234" s="46" t="str">
        <f ca="1">IFERROR(__xludf.DUMMYFUNCTION("""COMPUTED_VALUE"""),"NGUYỄN THIÊN PHÚC")</f>
        <v>NGUYỄN THIÊN PHÚC</v>
      </c>
      <c r="F234" s="46" t="str">
        <f ca="1">IFERROR(__xludf.DUMMYFUNCTION("""COMPUTED_VALUE"""),"NGUYEN THIEN PHUC")</f>
        <v>NGUYEN THIEN PHUC</v>
      </c>
      <c r="G234" s="45">
        <f ca="1">IFERROR(__xludf.DUMMYFUNCTION("""COMPUTED_VALUE"""),37094.5833333333)</f>
        <v>37094.583333333299</v>
      </c>
      <c r="H234" s="45" t="str">
        <f ca="1">IFERROR(__xludf.DUMMYFUNCTION("""COMPUTED_VALUE"""),"BAKES")</f>
        <v>BAKES</v>
      </c>
      <c r="I234" s="46" t="str">
        <f ca="1">IFERROR(__xludf.DUMMYFUNCTION("""COMPUTED_VALUE"""),"STORE")</f>
        <v>STORE</v>
      </c>
      <c r="J234" s="46" t="str">
        <f ca="1">IFERROR(__xludf.DUMMYFUNCTION("""COMPUTED_VALUE"""),"BAKES D2")</f>
        <v>BAKES D2</v>
      </c>
      <c r="K234" s="46" t="str">
        <f ca="1">IFERROR(__xludf.DUMMYFUNCTION("""COMPUTED_VALUE"""),"STR")</f>
        <v>STR</v>
      </c>
      <c r="L234" s="46" t="str">
        <f ca="1">IFERROR(__xludf.DUMMYFUNCTION("""COMPUTED_VALUE"""),"PTE")</f>
        <v>PTE</v>
      </c>
      <c r="M234" s="46" t="str">
        <f ca="1">IFERROR(__xludf.DUMMYFUNCTION("""COMPUTED_VALUE"""),"Leave")</f>
        <v>Leave</v>
      </c>
      <c r="N234" s="46" t="str">
        <f ca="1">IFERROR(__xludf.DUMMYFUNCTION("""COMPUTED_VALUE"""),"x")</f>
        <v>x</v>
      </c>
    </row>
    <row r="235" spans="1:14">
      <c r="A235" s="45">
        <f ca="1">IFERROR(__xludf.DUMMYFUNCTION("""COMPUTED_VALUE"""),44515.625)</f>
        <v>44515.625</v>
      </c>
      <c r="B235" s="45">
        <f ca="1">IFERROR(__xludf.DUMMYFUNCTION("""COMPUTED_VALUE"""),45523.5833333333)</f>
        <v>45523.583333333299</v>
      </c>
      <c r="C235" s="46">
        <f ca="1">IFERROR(__xludf.DUMMYFUNCTION("""COMPUTED_VALUE"""),236)</f>
        <v>236</v>
      </c>
      <c r="D235" s="47" t="str">
        <f ca="1">IFERROR(__xludf.DUMMYFUNCTION("""COMPUTED_VALUE"""),"B3001")</f>
        <v>B3001</v>
      </c>
      <c r="E235" s="46" t="str">
        <f ca="1">IFERROR(__xludf.DUMMYFUNCTION("""COMPUTED_VALUE"""),"Y THUÂN")</f>
        <v>Y THUÂN</v>
      </c>
      <c r="F235" s="46" t="str">
        <f ca="1">IFERROR(__xludf.DUMMYFUNCTION("""COMPUTED_VALUE"""),"Y THUAN")</f>
        <v>Y THUAN</v>
      </c>
      <c r="G235" s="45">
        <f ca="1">IFERROR(__xludf.DUMMYFUNCTION("""COMPUTED_VALUE"""),36516.625)</f>
        <v>36516.625</v>
      </c>
      <c r="H235" s="45" t="str">
        <f ca="1">IFERROR(__xludf.DUMMYFUNCTION("""COMPUTED_VALUE"""),"KITCHEN PASTRY")</f>
        <v>KITCHEN PASTRY</v>
      </c>
      <c r="I235" s="46" t="str">
        <f ca="1">IFERROR(__xludf.DUMMYFUNCTION("""COMPUTED_VALUE"""),"KITCHEN PASTRY")</f>
        <v>KITCHEN PASTRY</v>
      </c>
      <c r="J235" s="46" t="str">
        <f ca="1">IFERROR(__xludf.DUMMYFUNCTION("""COMPUTED_VALUE"""),"KITCHEN PASTRY")</f>
        <v>KITCHEN PASTRY</v>
      </c>
      <c r="K235" s="46" t="str">
        <f ca="1">IFERROR(__xludf.DUMMYFUNCTION("""COMPUTED_VALUE"""),"PASTRY")</f>
        <v>PASTRY</v>
      </c>
      <c r="L235" s="46" t="str">
        <f ca="1">IFERROR(__xludf.DUMMYFUNCTION("""COMPUTED_VALUE"""),"PTE")</f>
        <v>PTE</v>
      </c>
      <c r="M235" s="46" t="str">
        <f ca="1">IFERROR(__xludf.DUMMYFUNCTION("""COMPUTED_VALUE"""),"Leave")</f>
        <v>Leave</v>
      </c>
      <c r="N235" s="46" t="str">
        <f ca="1">IFERROR(__xludf.DUMMYFUNCTION("""COMPUTED_VALUE"""),"x")</f>
        <v>x</v>
      </c>
    </row>
    <row r="236" spans="1:14">
      <c r="A236" s="45">
        <f ca="1">IFERROR(__xludf.DUMMYFUNCTION("""COMPUTED_VALUE"""),45857.5833333333)</f>
        <v>45857.583333333299</v>
      </c>
      <c r="B236" s="45"/>
      <c r="C236" s="46">
        <f ca="1">IFERROR(__xludf.DUMMYFUNCTION("""COMPUTED_VALUE"""),237)</f>
        <v>237</v>
      </c>
      <c r="D236" s="47" t="str">
        <f ca="1">IFERROR(__xludf.DUMMYFUNCTION("""COMPUTED_VALUE"""),"B3003")</f>
        <v>B3003</v>
      </c>
      <c r="E236" s="46" t="str">
        <f ca="1">IFERROR(__xludf.DUMMYFUNCTION("""COMPUTED_VALUE"""),"HỒ THỊ THU")</f>
        <v>HỒ THỊ THU</v>
      </c>
      <c r="F236" s="46" t="str">
        <f ca="1">IFERROR(__xludf.DUMMYFUNCTION("""COMPUTED_VALUE"""),"HO THI THU")</f>
        <v>HO THI THU</v>
      </c>
      <c r="G236" s="45">
        <f ca="1">IFERROR(__xludf.DUMMYFUNCTION("""COMPUTED_VALUE"""),36780.5833333333)</f>
        <v>36780.583333333299</v>
      </c>
      <c r="H236" s="45" t="str">
        <f ca="1">IFERROR(__xludf.DUMMYFUNCTION("""COMPUTED_VALUE"""),"KITCHEN PASTRY")</f>
        <v>KITCHEN PASTRY</v>
      </c>
      <c r="I236" s="46" t="str">
        <f ca="1">IFERROR(__xludf.DUMMYFUNCTION("""COMPUTED_VALUE"""),"KITCHEN PASTRY")</f>
        <v>KITCHEN PASTRY</v>
      </c>
      <c r="J236" s="46" t="str">
        <f ca="1">IFERROR(__xludf.DUMMYFUNCTION("""COMPUTED_VALUE"""),"KITCHEN PASTRY")</f>
        <v>KITCHEN PASTRY</v>
      </c>
      <c r="K236" s="46" t="str">
        <f ca="1">IFERROR(__xludf.DUMMYFUNCTION("""COMPUTED_VALUE"""),"PASTRY")</f>
        <v>PASTRY</v>
      </c>
      <c r="L236" s="46" t="str">
        <f ca="1">IFERROR(__xludf.DUMMYFUNCTION("""COMPUTED_VALUE"""),"FTE")</f>
        <v>FTE</v>
      </c>
      <c r="M236" s="46" t="str">
        <f ca="1">IFERROR(__xludf.DUMMYFUNCTION("""COMPUTED_VALUE"""),"On")</f>
        <v>On</v>
      </c>
      <c r="N236" s="46" t="str">
        <f ca="1">IFERROR(__xludf.DUMMYFUNCTION("""COMPUTED_VALUE"""),"đủ")</f>
        <v>đủ</v>
      </c>
    </row>
    <row r="237" spans="1:14">
      <c r="A237" s="45">
        <f ca="1">IFERROR(__xludf.DUMMYFUNCTION("""COMPUTED_VALUE"""),44637.5833333333)</f>
        <v>44637.583333333299</v>
      </c>
      <c r="B237" s="45">
        <f ca="1">IFERROR(__xludf.DUMMYFUNCTION("""COMPUTED_VALUE"""),45755.5833333333)</f>
        <v>45755.583333333299</v>
      </c>
      <c r="C237" s="46">
        <f ca="1">IFERROR(__xludf.DUMMYFUNCTION("""COMPUTED_VALUE"""),238)</f>
        <v>238</v>
      </c>
      <c r="D237" s="47" t="str">
        <f ca="1">IFERROR(__xludf.DUMMYFUNCTION("""COMPUTED_VALUE"""),"B3004")</f>
        <v>B3004</v>
      </c>
      <c r="E237" s="46" t="str">
        <f ca="1">IFERROR(__xludf.DUMMYFUNCTION("""COMPUTED_VALUE"""),"VŨ THỊ THẢO")</f>
        <v>VŨ THỊ THẢO</v>
      </c>
      <c r="F237" s="46" t="str">
        <f ca="1">IFERROR(__xludf.DUMMYFUNCTION("""COMPUTED_VALUE"""),"VU THI THAO")</f>
        <v>VU THI THAO</v>
      </c>
      <c r="G237" s="45">
        <f ca="1">IFERROR(__xludf.DUMMYFUNCTION("""COMPUTED_VALUE"""),35282.5833333333)</f>
        <v>35282.583333333299</v>
      </c>
      <c r="H237" s="45" t="str">
        <f ca="1">IFERROR(__xludf.DUMMYFUNCTION("""COMPUTED_VALUE"""),"KITCHEN PASTRY")</f>
        <v>KITCHEN PASTRY</v>
      </c>
      <c r="I237" s="46" t="str">
        <f ca="1">IFERROR(__xludf.DUMMYFUNCTION("""COMPUTED_VALUE"""),"KITCHEN PASTRY")</f>
        <v>KITCHEN PASTRY</v>
      </c>
      <c r="J237" s="46" t="str">
        <f ca="1">IFERROR(__xludf.DUMMYFUNCTION("""COMPUTED_VALUE"""),"KITCHEN PASTRY")</f>
        <v>KITCHEN PASTRY</v>
      </c>
      <c r="K237" s="46" t="str">
        <f ca="1">IFERROR(__xludf.DUMMYFUNCTION("""COMPUTED_VALUE"""),"PASTRY")</f>
        <v>PASTRY</v>
      </c>
      <c r="L237" s="46" t="str">
        <f ca="1">IFERROR(__xludf.DUMMYFUNCTION("""COMPUTED_VALUE"""),"FTE")</f>
        <v>FTE</v>
      </c>
      <c r="M237" s="46" t="str">
        <f ca="1">IFERROR(__xludf.DUMMYFUNCTION("""COMPUTED_VALUE"""),"Leave")</f>
        <v>Leave</v>
      </c>
      <c r="N237" s="46" t="str">
        <f ca="1">IFERROR(__xludf.DUMMYFUNCTION("""COMPUTED_VALUE"""),"x")</f>
        <v>x</v>
      </c>
    </row>
    <row r="238" spans="1:14">
      <c r="A238" s="45"/>
      <c r="B238" s="45" t="str">
        <f ca="1">IFERROR(__xludf.DUMMYFUNCTION("""COMPUTED_VALUE"""),"Đã nghỉ")</f>
        <v>Đã nghỉ</v>
      </c>
      <c r="C238" s="46">
        <f ca="1">IFERROR(__xludf.DUMMYFUNCTION("""COMPUTED_VALUE"""),239)</f>
        <v>239</v>
      </c>
      <c r="D238" s="47" t="str">
        <f ca="1">IFERROR(__xludf.DUMMYFUNCTION("""COMPUTED_VALUE"""),"B3005")</f>
        <v>B3005</v>
      </c>
      <c r="E238" s="46" t="str">
        <f ca="1">IFERROR(__xludf.DUMMYFUNCTION("""COMPUTED_VALUE"""),"NGUYỄN THỊ YẾN TRANG")</f>
        <v>NGUYỄN THỊ YẾN TRANG</v>
      </c>
      <c r="F238" s="46" t="str">
        <f ca="1">IFERROR(__xludf.DUMMYFUNCTION("""COMPUTED_VALUE"""),"NGUYEN THI YEN TRANG")</f>
        <v>NGUYEN THI YEN TRANG</v>
      </c>
      <c r="G238" s="45">
        <f ca="1">IFERROR(__xludf.DUMMYFUNCTION("""COMPUTED_VALUE"""),35595.5833333333)</f>
        <v>35595.583333333299</v>
      </c>
      <c r="H238" s="45" t="str">
        <f ca="1">IFERROR(__xludf.DUMMYFUNCTION("""COMPUTED_VALUE"""),"TLC")</f>
        <v>TLC</v>
      </c>
      <c r="I238" s="46" t="str">
        <f ca="1">IFERROR(__xludf.DUMMYFUNCTION("""COMPUTED_VALUE"""),"STORE")</f>
        <v>STORE</v>
      </c>
      <c r="J238" s="46" t="str">
        <f ca="1">IFERROR(__xludf.DUMMYFUNCTION("""COMPUTED_VALUE"""),"BAKES D2")</f>
        <v>BAKES D2</v>
      </c>
      <c r="K238" s="46" t="str">
        <f ca="1">IFERROR(__xludf.DUMMYFUNCTION("""COMPUTED_VALUE"""),"KIT")</f>
        <v>KIT</v>
      </c>
      <c r="L238" s="46" t="str">
        <f ca="1">IFERROR(__xludf.DUMMYFUNCTION("""COMPUTED_VALUE"""),"PTE")</f>
        <v>PTE</v>
      </c>
      <c r="M238" s="46" t="str">
        <f ca="1">IFERROR(__xludf.DUMMYFUNCTION("""COMPUTED_VALUE"""),"Leave")</f>
        <v>Leave</v>
      </c>
      <c r="N238" s="46" t="str">
        <f ca="1">IFERROR(__xludf.DUMMYFUNCTION("""COMPUTED_VALUE"""),"x")</f>
        <v>x</v>
      </c>
    </row>
    <row r="239" spans="1:14">
      <c r="A239" s="45"/>
      <c r="B239" s="45">
        <f ca="1">IFERROR(__xludf.DUMMYFUNCTION("""COMPUTED_VALUE"""),45292.625)</f>
        <v>45292.625</v>
      </c>
      <c r="C239" s="46">
        <f ca="1">IFERROR(__xludf.DUMMYFUNCTION("""COMPUTED_VALUE"""),240)</f>
        <v>240</v>
      </c>
      <c r="D239" s="47" t="str">
        <f ca="1">IFERROR(__xludf.DUMMYFUNCTION("""COMPUTED_VALUE"""),"B3006")</f>
        <v>B3006</v>
      </c>
      <c r="E239" s="46" t="str">
        <f ca="1">IFERROR(__xludf.DUMMYFUNCTION("""COMPUTED_VALUE"""),"NGUYỄN PHÚC MINH XUÂN")</f>
        <v>NGUYỄN PHÚC MINH XUÂN</v>
      </c>
      <c r="F239" s="46" t="str">
        <f ca="1">IFERROR(__xludf.DUMMYFUNCTION("""COMPUTED_VALUE"""),"NGUYEN PHUC MINH XUAN")</f>
        <v>NGUYEN PHUC MINH XUAN</v>
      </c>
      <c r="G239" s="45">
        <f ca="1">IFERROR(__xludf.DUMMYFUNCTION("""COMPUTED_VALUE"""),36107.625)</f>
        <v>36107.625</v>
      </c>
      <c r="H239" s="45" t="str">
        <f ca="1">IFERROR(__xludf.DUMMYFUNCTION("""COMPUTED_VALUE"""),"TLC")</f>
        <v>TLC</v>
      </c>
      <c r="I239" s="46" t="str">
        <f ca="1">IFERROR(__xludf.DUMMYFUNCTION("""COMPUTED_VALUE"""),"KITCHEN PASTRY")</f>
        <v>KITCHEN PASTRY</v>
      </c>
      <c r="J239" s="46" t="str">
        <f ca="1">IFERROR(__xludf.DUMMYFUNCTION("""COMPUTED_VALUE"""),"KITCHEN PASTRY")</f>
        <v>KITCHEN PASTRY</v>
      </c>
      <c r="K239" s="46" t="str">
        <f ca="1">IFERROR(__xludf.DUMMYFUNCTION("""COMPUTED_VALUE"""),"KIT")</f>
        <v>KIT</v>
      </c>
      <c r="L239" s="46" t="str">
        <f ca="1">IFERROR(__xludf.DUMMYFUNCTION("""COMPUTED_VALUE"""),"PTE")</f>
        <v>PTE</v>
      </c>
      <c r="M239" s="46" t="str">
        <f ca="1">IFERROR(__xludf.DUMMYFUNCTION("""COMPUTED_VALUE"""),"Leave")</f>
        <v>Leave</v>
      </c>
      <c r="N239" s="46" t="str">
        <f ca="1">IFERROR(__xludf.DUMMYFUNCTION("""COMPUTED_VALUE"""),"giấy ksk hết hạn")</f>
        <v>giấy ksk hết hạn</v>
      </c>
    </row>
    <row r="240" spans="1:14">
      <c r="A240" s="45"/>
      <c r="B240" s="45" t="str">
        <f ca="1">IFERROR(__xludf.DUMMYFUNCTION("""COMPUTED_VALUE"""),"Đã nghỉ")</f>
        <v>Đã nghỉ</v>
      </c>
      <c r="C240" s="46">
        <f ca="1">IFERROR(__xludf.DUMMYFUNCTION("""COMPUTED_VALUE"""),241)</f>
        <v>241</v>
      </c>
      <c r="D240" s="47" t="str">
        <f ca="1">IFERROR(__xludf.DUMMYFUNCTION("""COMPUTED_VALUE"""),"B3007")</f>
        <v>B3007</v>
      </c>
      <c r="E240" s="46" t="str">
        <f ca="1">IFERROR(__xludf.DUMMYFUNCTION("""COMPUTED_VALUE"""),"HUỲNH MINH NGHI")</f>
        <v>HUỲNH MINH NGHI</v>
      </c>
      <c r="F240" s="46" t="str">
        <f ca="1">IFERROR(__xludf.DUMMYFUNCTION("""COMPUTED_VALUE"""),"HUYNH MINH NGHI")</f>
        <v>HUYNH MINH NGHI</v>
      </c>
      <c r="G240" s="45">
        <f ca="1">IFERROR(__xludf.DUMMYFUNCTION("""COMPUTED_VALUE"""),37148.5833333333)</f>
        <v>37148.583333333299</v>
      </c>
      <c r="H240" s="45" t="str">
        <f ca="1">IFERROR(__xludf.DUMMYFUNCTION("""COMPUTED_VALUE"""),"TLC")</f>
        <v>TLC</v>
      </c>
      <c r="I240" s="46" t="str">
        <f ca="1">IFERROR(__xludf.DUMMYFUNCTION("""COMPUTED_VALUE"""),"KITCHEN PASTRY")</f>
        <v>KITCHEN PASTRY</v>
      </c>
      <c r="J240" s="46" t="str">
        <f ca="1">IFERROR(__xludf.DUMMYFUNCTION("""COMPUTED_VALUE"""),"KITCHEN PASTRY")</f>
        <v>KITCHEN PASTRY</v>
      </c>
      <c r="K240" s="46" t="str">
        <f ca="1">IFERROR(__xludf.DUMMYFUNCTION("""COMPUTED_VALUE"""),"KIT")</f>
        <v>KIT</v>
      </c>
      <c r="L240" s="46" t="str">
        <f ca="1">IFERROR(__xludf.DUMMYFUNCTION("""COMPUTED_VALUE"""),"PTE")</f>
        <v>PTE</v>
      </c>
      <c r="M240" s="46" t="str">
        <f ca="1">IFERROR(__xludf.DUMMYFUNCTION("""COMPUTED_VALUE"""),"Leave")</f>
        <v>Leave</v>
      </c>
      <c r="N240" s="46" t="str">
        <f ca="1">IFERROR(__xludf.DUMMYFUNCTION("""COMPUTED_VALUE"""),"x")</f>
        <v>x</v>
      </c>
    </row>
    <row r="241" spans="1:14">
      <c r="A241" s="45">
        <f ca="1">IFERROR(__xludf.DUMMYFUNCTION("""COMPUTED_VALUE"""),45007.5833333333)</f>
        <v>45007.583333333299</v>
      </c>
      <c r="B241" s="45">
        <f ca="1">IFERROR(__xludf.DUMMYFUNCTION("""COMPUTED_VALUE"""),45512.5833333333)</f>
        <v>45512.583333333299</v>
      </c>
      <c r="C241" s="46">
        <f ca="1">IFERROR(__xludf.DUMMYFUNCTION("""COMPUTED_VALUE"""),242)</f>
        <v>242</v>
      </c>
      <c r="D241" s="47" t="str">
        <f ca="1">IFERROR(__xludf.DUMMYFUNCTION("""COMPUTED_VALUE"""),"B3008")</f>
        <v>B3008</v>
      </c>
      <c r="E241" s="46" t="str">
        <f ca="1">IFERROR(__xludf.DUMMYFUNCTION("""COMPUTED_VALUE"""),"LÊ THANH TÂM")</f>
        <v>LÊ THANH TÂM</v>
      </c>
      <c r="F241" s="46" t="str">
        <f ca="1">IFERROR(__xludf.DUMMYFUNCTION("""COMPUTED_VALUE"""),"LE THANH TAM")</f>
        <v>LE THANH TAM</v>
      </c>
      <c r="G241" s="45">
        <f ca="1">IFERROR(__xludf.DUMMYFUNCTION("""COMPUTED_VALUE"""),34313.625)</f>
        <v>34313.625</v>
      </c>
      <c r="H241" s="45" t="str">
        <f ca="1">IFERROR(__xludf.DUMMYFUNCTION("""COMPUTED_VALUE"""),"YESHI")</f>
        <v>YESHI</v>
      </c>
      <c r="I241" s="46" t="str">
        <f ca="1">IFERROR(__xludf.DUMMYFUNCTION("""COMPUTED_VALUE"""),"STORE")</f>
        <v>STORE</v>
      </c>
      <c r="J241" s="46" t="str">
        <f ca="1">IFERROR(__xludf.DUMMYFUNCTION("""COMPUTED_VALUE"""),"YESHI D2")</f>
        <v>YESHI D2</v>
      </c>
      <c r="K241" s="46" t="str">
        <f ca="1">IFERROR(__xludf.DUMMYFUNCTION("""COMPUTED_VALUE"""),"KIT")</f>
        <v>KIT</v>
      </c>
      <c r="L241" s="46" t="str">
        <f ca="1">IFERROR(__xludf.DUMMYFUNCTION("""COMPUTED_VALUE"""),"PTE")</f>
        <v>PTE</v>
      </c>
      <c r="M241" s="46" t="str">
        <f ca="1">IFERROR(__xludf.DUMMYFUNCTION("""COMPUTED_VALUE"""),"Leave")</f>
        <v>Leave</v>
      </c>
      <c r="N241" s="46" t="str">
        <f ca="1">IFERROR(__xludf.DUMMYFUNCTION("""COMPUTED_VALUE"""),"x")</f>
        <v>x</v>
      </c>
    </row>
    <row r="242" spans="1:14">
      <c r="A242" s="45">
        <f ca="1">IFERROR(__xludf.DUMMYFUNCTION("""COMPUTED_VALUE"""),45514.5833333333)</f>
        <v>45514.583333333299</v>
      </c>
      <c r="B242" s="45"/>
      <c r="C242" s="46">
        <f ca="1">IFERROR(__xludf.DUMMYFUNCTION("""COMPUTED_VALUE"""),243)</f>
        <v>243</v>
      </c>
      <c r="D242" s="47" t="str">
        <f ca="1">IFERROR(__xludf.DUMMYFUNCTION("""COMPUTED_VALUE"""),"B3009")</f>
        <v>B3009</v>
      </c>
      <c r="E242" s="46" t="str">
        <f ca="1">IFERROR(__xludf.DUMMYFUNCTION("""COMPUTED_VALUE"""),"NGÔ THỊ DIỆU")</f>
        <v>NGÔ THỊ DIỆU</v>
      </c>
      <c r="F242" s="46" t="str">
        <f ca="1">IFERROR(__xludf.DUMMYFUNCTION("""COMPUTED_VALUE"""),"NGO THI DIEU")</f>
        <v>NGO THI DIEU</v>
      </c>
      <c r="G242" s="45">
        <f ca="1">IFERROR(__xludf.DUMMYFUNCTION("""COMPUTED_VALUE"""),37906.5833333333)</f>
        <v>37906.583333333299</v>
      </c>
      <c r="H242" s="45" t="str">
        <f ca="1">IFERROR(__xludf.DUMMYFUNCTION("""COMPUTED_VALUE"""),"KITCHEN PASTRY")</f>
        <v>KITCHEN PASTRY</v>
      </c>
      <c r="I242" s="46" t="str">
        <f ca="1">IFERROR(__xludf.DUMMYFUNCTION("""COMPUTED_VALUE"""),"KITCHEN PASTRY")</f>
        <v>KITCHEN PASTRY</v>
      </c>
      <c r="J242" s="46" t="str">
        <f ca="1">IFERROR(__xludf.DUMMYFUNCTION("""COMPUTED_VALUE"""),"KITCHEN PASTRY")</f>
        <v>KITCHEN PASTRY</v>
      </c>
      <c r="K242" s="46" t="str">
        <f ca="1">IFERROR(__xludf.DUMMYFUNCTION("""COMPUTED_VALUE"""),"PASTRY")</f>
        <v>PASTRY</v>
      </c>
      <c r="L242" s="46" t="str">
        <f ca="1">IFERROR(__xludf.DUMMYFUNCTION("""COMPUTED_VALUE"""),"FTE")</f>
        <v>FTE</v>
      </c>
      <c r="M242" s="46" t="str">
        <f ca="1">IFERROR(__xludf.DUMMYFUNCTION("""COMPUTED_VALUE"""),"On")</f>
        <v>On</v>
      </c>
      <c r="N242" s="46" t="str">
        <f ca="1">IFERROR(__xludf.DUMMYFUNCTION("""COMPUTED_VALUE"""),"đủ")</f>
        <v>đủ</v>
      </c>
    </row>
    <row r="243" spans="1:14">
      <c r="A243" s="45">
        <f ca="1">IFERROR(__xludf.DUMMYFUNCTION("""COMPUTED_VALUE"""),45485.5833333333)</f>
        <v>45485.583333333299</v>
      </c>
      <c r="B243" s="45"/>
      <c r="C243" s="46">
        <f ca="1">IFERROR(__xludf.DUMMYFUNCTION("""COMPUTED_VALUE"""),244)</f>
        <v>244</v>
      </c>
      <c r="D243" s="47" t="str">
        <f ca="1">IFERROR(__xludf.DUMMYFUNCTION("""COMPUTED_VALUE"""),"B3010")</f>
        <v>B3010</v>
      </c>
      <c r="E243" s="46" t="str">
        <f ca="1">IFERROR(__xludf.DUMMYFUNCTION("""COMPUTED_VALUE"""),"NGÔ THỊ DÀNG")</f>
        <v>NGÔ THỊ DÀNG</v>
      </c>
      <c r="F243" s="46" t="str">
        <f ca="1">IFERROR(__xludf.DUMMYFUNCTION("""COMPUTED_VALUE"""),"NGO THI DANG")</f>
        <v>NGO THI DANG</v>
      </c>
      <c r="G243" s="45">
        <f ca="1">IFERROR(__xludf.DUMMYFUNCTION("""COMPUTED_VALUE"""),37906.5833333333)</f>
        <v>37906.583333333299</v>
      </c>
      <c r="H243" s="45" t="str">
        <f ca="1">IFERROR(__xludf.DUMMYFUNCTION("""COMPUTED_VALUE"""),"KITCHEN PASTRY")</f>
        <v>KITCHEN PASTRY</v>
      </c>
      <c r="I243" s="46" t="str">
        <f ca="1">IFERROR(__xludf.DUMMYFUNCTION("""COMPUTED_VALUE"""),"KITCHEN PASTRY")</f>
        <v>KITCHEN PASTRY</v>
      </c>
      <c r="J243" s="46" t="str">
        <f ca="1">IFERROR(__xludf.DUMMYFUNCTION("""COMPUTED_VALUE"""),"KITCHEN PASTRY")</f>
        <v>KITCHEN PASTRY</v>
      </c>
      <c r="K243" s="46" t="str">
        <f ca="1">IFERROR(__xludf.DUMMYFUNCTION("""COMPUTED_VALUE"""),"PASTRY")</f>
        <v>PASTRY</v>
      </c>
      <c r="L243" s="46" t="str">
        <f ca="1">IFERROR(__xludf.DUMMYFUNCTION("""COMPUTED_VALUE"""),"FTE")</f>
        <v>FTE</v>
      </c>
      <c r="M243" s="46" t="str">
        <f ca="1">IFERROR(__xludf.DUMMYFUNCTION("""COMPUTED_VALUE"""),"On")</f>
        <v>On</v>
      </c>
      <c r="N243" s="46" t="str">
        <f ca="1">IFERROR(__xludf.DUMMYFUNCTION("""COMPUTED_VALUE"""),"đủ")</f>
        <v>đủ</v>
      </c>
    </row>
    <row r="244" spans="1:14">
      <c r="A244" s="45">
        <f ca="1">IFERROR(__xludf.DUMMYFUNCTION("""COMPUTED_VALUE"""),43667.5833333333)</f>
        <v>43667.583333333299</v>
      </c>
      <c r="B244" s="45">
        <f ca="1">IFERROR(__xludf.DUMMYFUNCTION("""COMPUTED_VALUE"""),45383.5833333333)</f>
        <v>45383.583333333299</v>
      </c>
      <c r="C244" s="46">
        <f ca="1">IFERROR(__xludf.DUMMYFUNCTION("""COMPUTED_VALUE"""),245)</f>
        <v>245</v>
      </c>
      <c r="D244" s="47" t="str">
        <f ca="1">IFERROR(__xludf.DUMMYFUNCTION("""COMPUTED_VALUE"""),"B3011")</f>
        <v>B3011</v>
      </c>
      <c r="E244" s="46" t="str">
        <f ca="1">IFERROR(__xludf.DUMMYFUNCTION("""COMPUTED_VALUE"""),"NGUYỄN THỊ THÚY VÂN")</f>
        <v>NGUYỄN THỊ THÚY VÂN</v>
      </c>
      <c r="F244" s="46" t="str">
        <f ca="1">IFERROR(__xludf.DUMMYFUNCTION("""COMPUTED_VALUE"""),"NGUYEN THI THUY VAN")</f>
        <v>NGUYEN THI THUY VAN</v>
      </c>
      <c r="G244" s="45">
        <f ca="1">IFERROR(__xludf.DUMMYFUNCTION("""COMPUTED_VALUE"""),30367.625)</f>
        <v>30367.625</v>
      </c>
      <c r="H244" s="45" t="str">
        <f ca="1">IFERROR(__xludf.DUMMYFUNCTION("""COMPUTED_VALUE"""),"TLC")</f>
        <v>TLC</v>
      </c>
      <c r="I244" s="46" t="str">
        <f ca="1">IFERROR(__xludf.DUMMYFUNCTION("""COMPUTED_VALUE"""),"STORE")</f>
        <v>STORE</v>
      </c>
      <c r="J244" s="46" t="str">
        <f ca="1">IFERROR(__xludf.DUMMYFUNCTION("""COMPUTED_VALUE"""),"BAKES D2")</f>
        <v>BAKES D2</v>
      </c>
      <c r="K244" s="46" t="str">
        <f ca="1">IFERROR(__xludf.DUMMYFUNCTION("""COMPUTED_VALUE"""),"STR")</f>
        <v>STR</v>
      </c>
      <c r="L244" s="46" t="str">
        <f ca="1">IFERROR(__xludf.DUMMYFUNCTION("""COMPUTED_VALUE"""),"PTE")</f>
        <v>PTE</v>
      </c>
      <c r="M244" s="46" t="str">
        <f ca="1">IFERROR(__xludf.DUMMYFUNCTION("""COMPUTED_VALUE"""),"Leave")</f>
        <v>Leave</v>
      </c>
      <c r="N244" s="46" t="str">
        <f ca="1">IFERROR(__xludf.DUMMYFUNCTION("""COMPUTED_VALUE"""),"x")</f>
        <v>x</v>
      </c>
    </row>
    <row r="245" spans="1:14">
      <c r="A245" s="45">
        <f ca="1">IFERROR(__xludf.DUMMYFUNCTION("""COMPUTED_VALUE"""),44083.5833333333)</f>
        <v>44083.583333333299</v>
      </c>
      <c r="B245" s="45">
        <f ca="1">IFERROR(__xludf.DUMMYFUNCTION("""COMPUTED_VALUE"""),45778.5833333333)</f>
        <v>45778.583333333299</v>
      </c>
      <c r="C245" s="46">
        <f ca="1">IFERROR(__xludf.DUMMYFUNCTION("""COMPUTED_VALUE"""),246)</f>
        <v>246</v>
      </c>
      <c r="D245" s="47" t="str">
        <f ca="1">IFERROR(__xludf.DUMMYFUNCTION("""COMPUTED_VALUE"""),"B3012")</f>
        <v>B3012</v>
      </c>
      <c r="E245" s="46" t="str">
        <f ca="1">IFERROR(__xludf.DUMMYFUNCTION("""COMPUTED_VALUE"""),"NGUYỄN HUỲNH HUY")</f>
        <v>NGUYỄN HUỲNH HUY</v>
      </c>
      <c r="F245" s="46" t="str">
        <f ca="1">IFERROR(__xludf.DUMMYFUNCTION("""COMPUTED_VALUE"""),"NGUYEN HUYNH HUY")</f>
        <v>NGUYEN HUYNH HUY</v>
      </c>
      <c r="G245" s="45">
        <f ca="1">IFERROR(__xludf.DUMMYFUNCTION("""COMPUTED_VALUE"""),26117.625)</f>
        <v>26117.625</v>
      </c>
      <c r="H245" s="45" t="str">
        <f ca="1">IFERROR(__xludf.DUMMYFUNCTION("""COMPUTED_VALUE"""),"TLC")</f>
        <v>TLC</v>
      </c>
      <c r="I245" s="46" t="str">
        <f ca="1">IFERROR(__xludf.DUMMYFUNCTION("""COMPUTED_VALUE"""),"STORE")</f>
        <v>STORE</v>
      </c>
      <c r="J245" s="46" t="str">
        <f ca="1">IFERROR(__xludf.DUMMYFUNCTION("""COMPUTED_VALUE"""),"BAKES HCR")</f>
        <v>BAKES HCR</v>
      </c>
      <c r="K245" s="46" t="str">
        <f ca="1">IFERROR(__xludf.DUMMYFUNCTION("""COMPUTED_VALUE"""),"CLEANER")</f>
        <v>CLEANER</v>
      </c>
      <c r="L245" s="46" t="str">
        <f ca="1">IFERROR(__xludf.DUMMYFUNCTION("""COMPUTED_VALUE"""),"PTE")</f>
        <v>PTE</v>
      </c>
      <c r="M245" s="46" t="str">
        <f ca="1">IFERROR(__xludf.DUMMYFUNCTION("""COMPUTED_VALUE"""),"Leave")</f>
        <v>Leave</v>
      </c>
      <c r="N245" s="46" t="str">
        <f ca="1">IFERROR(__xludf.DUMMYFUNCTION("""COMPUTED_VALUE"""),"x")</f>
        <v>x</v>
      </c>
    </row>
    <row r="246" spans="1:14">
      <c r="A246" s="45">
        <f ca="1">IFERROR(__xludf.DUMMYFUNCTION("""COMPUTED_VALUE"""),44310.5833333333)</f>
        <v>44310.583333333299</v>
      </c>
      <c r="B246" s="45">
        <f ca="1">IFERROR(__xludf.DUMMYFUNCTION("""COMPUTED_VALUE"""),45783.5833333333)</f>
        <v>45783.583333333299</v>
      </c>
      <c r="C246" s="46">
        <f ca="1">IFERROR(__xludf.DUMMYFUNCTION("""COMPUTED_VALUE"""),247)</f>
        <v>247</v>
      </c>
      <c r="D246" s="47" t="str">
        <f ca="1">IFERROR(__xludf.DUMMYFUNCTION("""COMPUTED_VALUE"""),"B3013")</f>
        <v>B3013</v>
      </c>
      <c r="E246" s="46" t="str">
        <f ca="1">IFERROR(__xludf.DUMMYFUNCTION("""COMPUTED_VALUE"""),"LƯU THỊ NGỌC LOAN")</f>
        <v>LƯU THỊ NGỌC LOAN</v>
      </c>
      <c r="F246" s="46" t="str">
        <f ca="1">IFERROR(__xludf.DUMMYFUNCTION("""COMPUTED_VALUE"""),"LUU THI NGOC LOAN")</f>
        <v>LUU THI NGOC LOAN</v>
      </c>
      <c r="G246" s="45">
        <f ca="1">IFERROR(__xludf.DUMMYFUNCTION("""COMPUTED_VALUE"""),25100.625)</f>
        <v>25100.625</v>
      </c>
      <c r="H246" s="45" t="str">
        <f ca="1">IFERROR(__xludf.DUMMYFUNCTION("""COMPUTED_VALUE"""),"BAKES")</f>
        <v>BAKES</v>
      </c>
      <c r="I246" s="46" t="str">
        <f ca="1">IFERROR(__xludf.DUMMYFUNCTION("""COMPUTED_VALUE"""),"STORE")</f>
        <v>STORE</v>
      </c>
      <c r="J246" s="46" t="str">
        <f ca="1">IFERROR(__xludf.DUMMYFUNCTION("""COMPUTED_VALUE"""),"BAKES D2")</f>
        <v>BAKES D2</v>
      </c>
      <c r="K246" s="46" t="str">
        <f ca="1">IFERROR(__xludf.DUMMYFUNCTION("""COMPUTED_VALUE"""),"CLEANER")</f>
        <v>CLEANER</v>
      </c>
      <c r="L246" s="46" t="str">
        <f ca="1">IFERROR(__xludf.DUMMYFUNCTION("""COMPUTED_VALUE"""),"PTE")</f>
        <v>PTE</v>
      </c>
      <c r="M246" s="46" t="str">
        <f ca="1">IFERROR(__xludf.DUMMYFUNCTION("""COMPUTED_VALUE"""),"Leave")</f>
        <v>Leave</v>
      </c>
      <c r="N246" s="46" t="str">
        <f ca="1">IFERROR(__xludf.DUMMYFUNCTION("""COMPUTED_VALUE"""),"x")</f>
        <v>x</v>
      </c>
    </row>
    <row r="247" spans="1:14">
      <c r="A247" s="45">
        <f ca="1">IFERROR(__xludf.DUMMYFUNCTION("""COMPUTED_VALUE"""),44741.5833333333)</f>
        <v>44741.583333333299</v>
      </c>
      <c r="B247" s="45">
        <f ca="1">IFERROR(__xludf.DUMMYFUNCTION("""COMPUTED_VALUE"""),45649.625)</f>
        <v>45649.625</v>
      </c>
      <c r="C247" s="46">
        <f ca="1">IFERROR(__xludf.DUMMYFUNCTION("""COMPUTED_VALUE"""),248)</f>
        <v>248</v>
      </c>
      <c r="D247" s="47" t="str">
        <f ca="1">IFERROR(__xludf.DUMMYFUNCTION("""COMPUTED_VALUE"""),"B3014")</f>
        <v>B3014</v>
      </c>
      <c r="E247" s="46" t="str">
        <f ca="1">IFERROR(__xludf.DUMMYFUNCTION("""COMPUTED_VALUE"""),"NGUYỄN HÀ VỊ MẪN")</f>
        <v>NGUYỄN HÀ VỊ MẪN</v>
      </c>
      <c r="F247" s="46" t="str">
        <f ca="1">IFERROR(__xludf.DUMMYFUNCTION("""COMPUTED_VALUE"""),"NGUYEN HA VI MAN")</f>
        <v>NGUYEN HA VI MAN</v>
      </c>
      <c r="G247" s="45">
        <f ca="1">IFERROR(__xludf.DUMMYFUNCTION("""COMPUTED_VALUE"""),35965.5833333333)</f>
        <v>35965.583333333299</v>
      </c>
      <c r="H247" s="45" t="str">
        <f ca="1">IFERROR(__xludf.DUMMYFUNCTION("""COMPUTED_VALUE"""),"TLC")</f>
        <v>TLC</v>
      </c>
      <c r="I247" s="46" t="str">
        <f ca="1">IFERROR(__xludf.DUMMYFUNCTION("""COMPUTED_VALUE"""),"STORE")</f>
        <v>STORE</v>
      </c>
      <c r="J247" s="46" t="str">
        <f ca="1">IFERROR(__xludf.DUMMYFUNCTION("""COMPUTED_VALUE"""),"BAKES HCR")</f>
        <v>BAKES HCR</v>
      </c>
      <c r="K247" s="46" t="str">
        <f ca="1">IFERROR(__xludf.DUMMYFUNCTION("""COMPUTED_VALUE"""),"BAR")</f>
        <v>BAR</v>
      </c>
      <c r="L247" s="46" t="str">
        <f ca="1">IFERROR(__xludf.DUMMYFUNCTION("""COMPUTED_VALUE"""),"PTE")</f>
        <v>PTE</v>
      </c>
      <c r="M247" s="46" t="str">
        <f ca="1">IFERROR(__xludf.DUMMYFUNCTION("""COMPUTED_VALUE"""),"Leave")</f>
        <v>Leave</v>
      </c>
      <c r="N247" s="46" t="str">
        <f ca="1">IFERROR(__xludf.DUMMYFUNCTION("""COMPUTED_VALUE"""),"x")</f>
        <v>x</v>
      </c>
    </row>
    <row r="248" spans="1:14">
      <c r="A248" s="45">
        <f ca="1">IFERROR(__xludf.DUMMYFUNCTION("""COMPUTED_VALUE"""),44768.5833333333)</f>
        <v>44768.583333333299</v>
      </c>
      <c r="B248" s="45">
        <f ca="1">IFERROR(__xludf.DUMMYFUNCTION("""COMPUTED_VALUE"""),45658.625)</f>
        <v>45658.625</v>
      </c>
      <c r="C248" s="46">
        <f ca="1">IFERROR(__xludf.DUMMYFUNCTION("""COMPUTED_VALUE"""),249)</f>
        <v>249</v>
      </c>
      <c r="D248" s="47" t="str">
        <f ca="1">IFERROR(__xludf.DUMMYFUNCTION("""COMPUTED_VALUE"""),"B3015")</f>
        <v>B3015</v>
      </c>
      <c r="E248" s="46" t="str">
        <f ca="1">IFERROR(__xludf.DUMMYFUNCTION("""COMPUTED_VALUE"""),"HOÀNG TRỌNG PHƯƠNG")</f>
        <v>HOÀNG TRỌNG PHƯƠNG</v>
      </c>
      <c r="F248" s="46" t="str">
        <f ca="1">IFERROR(__xludf.DUMMYFUNCTION("""COMPUTED_VALUE"""),"HOANG TRONG PHUONG")</f>
        <v>HOANG TRONG PHUONG</v>
      </c>
      <c r="G248" s="45">
        <f ca="1">IFERROR(__xludf.DUMMYFUNCTION("""COMPUTED_VALUE"""),34465.5833333333)</f>
        <v>34465.583333333299</v>
      </c>
      <c r="H248" s="45" t="str">
        <f ca="1">IFERROR(__xludf.DUMMYFUNCTION("""COMPUTED_VALUE"""),"TLC")</f>
        <v>TLC</v>
      </c>
      <c r="I248" s="46" t="str">
        <f ca="1">IFERROR(__xludf.DUMMYFUNCTION("""COMPUTED_VALUE"""),"STORE")</f>
        <v>STORE</v>
      </c>
      <c r="J248" s="46" t="str">
        <f ca="1">IFERROR(__xludf.DUMMYFUNCTION("""COMPUTED_VALUE"""),"BAKES HCR")</f>
        <v>BAKES HCR</v>
      </c>
      <c r="K248" s="46" t="str">
        <f ca="1">IFERROR(__xludf.DUMMYFUNCTION("""COMPUTED_VALUE"""),"BAR")</f>
        <v>BAR</v>
      </c>
      <c r="L248" s="46" t="str">
        <f ca="1">IFERROR(__xludf.DUMMYFUNCTION("""COMPUTED_VALUE"""),"PTE")</f>
        <v>PTE</v>
      </c>
      <c r="M248" s="46" t="str">
        <f ca="1">IFERROR(__xludf.DUMMYFUNCTION("""COMPUTED_VALUE"""),"Leave")</f>
        <v>Leave</v>
      </c>
      <c r="N248" s="46" t="str">
        <f ca="1">IFERROR(__xludf.DUMMYFUNCTION("""COMPUTED_VALUE"""),"x")</f>
        <v>x</v>
      </c>
    </row>
    <row r="249" spans="1:14">
      <c r="A249" s="45"/>
      <c r="B249" s="45">
        <f ca="1">IFERROR(__xludf.DUMMYFUNCTION("""COMPUTED_VALUE"""),45329.625)</f>
        <v>45329.625</v>
      </c>
      <c r="C249" s="46">
        <f ca="1">IFERROR(__xludf.DUMMYFUNCTION("""COMPUTED_VALUE"""),250)</f>
        <v>250</v>
      </c>
      <c r="D249" s="47" t="str">
        <f ca="1">IFERROR(__xludf.DUMMYFUNCTION("""COMPUTED_VALUE"""),"B3018")</f>
        <v>B3018</v>
      </c>
      <c r="E249" s="46" t="str">
        <f ca="1">IFERROR(__xludf.DUMMYFUNCTION("""COMPUTED_VALUE"""),"LÊ HOÀNG NGA")</f>
        <v>LÊ HOÀNG NGA</v>
      </c>
      <c r="F249" s="46" t="str">
        <f ca="1">IFERROR(__xludf.DUMMYFUNCTION("""COMPUTED_VALUE"""),"LE HOANG NGA")</f>
        <v>LE HOANG NGA</v>
      </c>
      <c r="G249" s="45">
        <f ca="1">IFERROR(__xludf.DUMMYFUNCTION("""COMPUTED_VALUE"""),36607.625)</f>
        <v>36607.625</v>
      </c>
      <c r="H249" s="45" t="str">
        <f ca="1">IFERROR(__xludf.DUMMYFUNCTION("""COMPUTED_VALUE"""),"TLC")</f>
        <v>TLC</v>
      </c>
      <c r="I249" s="46" t="str">
        <f ca="1">IFERROR(__xludf.DUMMYFUNCTION("""COMPUTED_VALUE"""),"STORE")</f>
        <v>STORE</v>
      </c>
      <c r="J249" s="46" t="str">
        <f ca="1">IFERROR(__xludf.DUMMYFUNCTION("""COMPUTED_VALUE"""),"BAKES HCR")</f>
        <v>BAKES HCR</v>
      </c>
      <c r="K249" s="46" t="str">
        <f ca="1">IFERROR(__xludf.DUMMYFUNCTION("""COMPUTED_VALUE"""),"STR")</f>
        <v>STR</v>
      </c>
      <c r="L249" s="46" t="str">
        <f ca="1">IFERROR(__xludf.DUMMYFUNCTION("""COMPUTED_VALUE"""),"PTE")</f>
        <v>PTE</v>
      </c>
      <c r="M249" s="46" t="str">
        <f ca="1">IFERROR(__xludf.DUMMYFUNCTION("""COMPUTED_VALUE"""),"Leave")</f>
        <v>Leave</v>
      </c>
      <c r="N249" s="46" t="str">
        <f ca="1">IFERROR(__xludf.DUMMYFUNCTION("""COMPUTED_VALUE"""),"x")</f>
        <v>x</v>
      </c>
    </row>
    <row r="250" spans="1:14">
      <c r="A250" s="45">
        <f ca="1">IFERROR(__xludf.DUMMYFUNCTION("""COMPUTED_VALUE"""),45170.5833333333)</f>
        <v>45170.583333333299</v>
      </c>
      <c r="B250" s="45">
        <f ca="1">IFERROR(__xludf.DUMMYFUNCTION("""COMPUTED_VALUE"""),45879.5833333333)</f>
        <v>45879.583333333299</v>
      </c>
      <c r="C250" s="46">
        <f ca="1">IFERROR(__xludf.DUMMYFUNCTION("""COMPUTED_VALUE"""),251)</f>
        <v>251</v>
      </c>
      <c r="D250" s="47" t="str">
        <f ca="1">IFERROR(__xludf.DUMMYFUNCTION("""COMPUTED_VALUE"""),"B3019")</f>
        <v>B3019</v>
      </c>
      <c r="E250" s="46" t="str">
        <f ca="1">IFERROR(__xludf.DUMMYFUNCTION("""COMPUTED_VALUE"""),"NGUYỄN THỊ KIM NGÂN")</f>
        <v>NGUYỄN THỊ KIM NGÂN</v>
      </c>
      <c r="F250" s="46" t="str">
        <f ca="1">IFERROR(__xludf.DUMMYFUNCTION("""COMPUTED_VALUE"""),"NGUYEN THI KIM NGAN")</f>
        <v>NGUYEN THI KIM NGAN</v>
      </c>
      <c r="G250" s="45">
        <f ca="1">IFERROR(__xludf.DUMMYFUNCTION("""COMPUTED_VALUE"""),35827.625)</f>
        <v>35827.625</v>
      </c>
      <c r="H250" s="45" t="str">
        <f ca="1">IFERROR(__xludf.DUMMYFUNCTION("""COMPUTED_VALUE"""),"TLC")</f>
        <v>TLC</v>
      </c>
      <c r="I250" s="46" t="str">
        <f ca="1">IFERROR(__xludf.DUMMYFUNCTION("""COMPUTED_VALUE"""),"HO")</f>
        <v>HO</v>
      </c>
      <c r="J250" s="46" t="str">
        <f ca="1">IFERROR(__xludf.DUMMYFUNCTION("""COMPUTED_VALUE"""),"CUS")</f>
        <v>CUS</v>
      </c>
      <c r="K250" s="46" t="str">
        <f ca="1">IFERROR(__xludf.DUMMYFUNCTION("""COMPUTED_VALUE"""),"CUS")</f>
        <v>CUS</v>
      </c>
      <c r="L250" s="46" t="str">
        <f ca="1">IFERROR(__xludf.DUMMYFUNCTION("""COMPUTED_VALUE"""),"FTE")</f>
        <v>FTE</v>
      </c>
      <c r="M250" s="46" t="str">
        <f ca="1">IFERROR(__xludf.DUMMYFUNCTION("""COMPUTED_VALUE"""),"Leave")</f>
        <v>Leave</v>
      </c>
      <c r="N250" s="46" t="str">
        <f ca="1">IFERROR(__xludf.DUMMYFUNCTION("""COMPUTED_VALUE"""),"đủ")</f>
        <v>đủ</v>
      </c>
    </row>
    <row r="251" spans="1:14">
      <c r="A251" s="45"/>
      <c r="B251" s="45">
        <f ca="1">IFERROR(__xludf.DUMMYFUNCTION("""COMPUTED_VALUE"""),45329.625)</f>
        <v>45329.625</v>
      </c>
      <c r="C251" s="46">
        <f ca="1">IFERROR(__xludf.DUMMYFUNCTION("""COMPUTED_VALUE"""),252)</f>
        <v>252</v>
      </c>
      <c r="D251" s="47" t="str">
        <f ca="1">IFERROR(__xludf.DUMMYFUNCTION("""COMPUTED_VALUE"""),"B3020")</f>
        <v>B3020</v>
      </c>
      <c r="E251" s="46" t="str">
        <f ca="1">IFERROR(__xludf.DUMMYFUNCTION("""COMPUTED_VALUE"""),"BÙI LÊ KIỀU TRINH")</f>
        <v>BÙI LÊ KIỀU TRINH</v>
      </c>
      <c r="F251" s="46" t="str">
        <f ca="1">IFERROR(__xludf.DUMMYFUNCTION("""COMPUTED_VALUE"""),"BUI LE KIEU TRINH")</f>
        <v>BUI LE KIEU TRINH</v>
      </c>
      <c r="G251" s="45">
        <f ca="1">IFERROR(__xludf.DUMMYFUNCTION("""COMPUTED_VALUE"""),37226.625)</f>
        <v>37226.625</v>
      </c>
      <c r="H251" s="45" t="str">
        <f ca="1">IFERROR(__xludf.DUMMYFUNCTION("""COMPUTED_VALUE"""),"TLC")</f>
        <v>TLC</v>
      </c>
      <c r="I251" s="46" t="str">
        <f ca="1">IFERROR(__xludf.DUMMYFUNCTION("""COMPUTED_VALUE"""),"STORE")</f>
        <v>STORE</v>
      </c>
      <c r="J251" s="46" t="str">
        <f ca="1">IFERROR(__xludf.DUMMYFUNCTION("""COMPUTED_VALUE"""),"BAKES HCR")</f>
        <v>BAKES HCR</v>
      </c>
      <c r="K251" s="46" t="str">
        <f ca="1">IFERROR(__xludf.DUMMYFUNCTION("""COMPUTED_VALUE"""),"STR")</f>
        <v>STR</v>
      </c>
      <c r="L251" s="46" t="str">
        <f ca="1">IFERROR(__xludf.DUMMYFUNCTION("""COMPUTED_VALUE"""),"PTE")</f>
        <v>PTE</v>
      </c>
      <c r="M251" s="46" t="str">
        <f ca="1">IFERROR(__xludf.DUMMYFUNCTION("""COMPUTED_VALUE"""),"Leave")</f>
        <v>Leave</v>
      </c>
      <c r="N251" s="46" t="str">
        <f ca="1">IFERROR(__xludf.DUMMYFUNCTION("""COMPUTED_VALUE"""),"x")</f>
        <v>x</v>
      </c>
    </row>
    <row r="252" spans="1:14">
      <c r="A252" s="45"/>
      <c r="B252" s="45">
        <f ca="1">IFERROR(__xludf.DUMMYFUNCTION("""COMPUTED_VALUE"""),45329.625)</f>
        <v>45329.625</v>
      </c>
      <c r="C252" s="46">
        <f ca="1">IFERROR(__xludf.DUMMYFUNCTION("""COMPUTED_VALUE"""),253)</f>
        <v>253</v>
      </c>
      <c r="D252" s="47" t="str">
        <f ca="1">IFERROR(__xludf.DUMMYFUNCTION("""COMPUTED_VALUE"""),"B3021")</f>
        <v>B3021</v>
      </c>
      <c r="E252" s="46" t="str">
        <f ca="1">IFERROR(__xludf.DUMMYFUNCTION("""COMPUTED_VALUE"""),"TRẦN BẢO NGỌC")</f>
        <v>TRẦN BẢO NGỌC</v>
      </c>
      <c r="F252" s="46" t="str">
        <f ca="1">IFERROR(__xludf.DUMMYFUNCTION("""COMPUTED_VALUE"""),"TRAN BAO NGOC")</f>
        <v>TRAN BAO NGOC</v>
      </c>
      <c r="G252" s="45">
        <f ca="1">IFERROR(__xludf.DUMMYFUNCTION("""COMPUTED_VALUE"""),38281.5833333333)</f>
        <v>38281.583333333299</v>
      </c>
      <c r="H252" s="45" t="str">
        <f ca="1">IFERROR(__xludf.DUMMYFUNCTION("""COMPUTED_VALUE"""),"TLC")</f>
        <v>TLC</v>
      </c>
      <c r="I252" s="46" t="str">
        <f ca="1">IFERROR(__xludf.DUMMYFUNCTION("""COMPUTED_VALUE"""),"STORE")</f>
        <v>STORE</v>
      </c>
      <c r="J252" s="46" t="str">
        <f ca="1">IFERROR(__xludf.DUMMYFUNCTION("""COMPUTED_VALUE"""),"BAKES HCR")</f>
        <v>BAKES HCR</v>
      </c>
      <c r="K252" s="46" t="str">
        <f ca="1">IFERROR(__xludf.DUMMYFUNCTION("""COMPUTED_VALUE"""),"STR")</f>
        <v>STR</v>
      </c>
      <c r="L252" s="46" t="str">
        <f ca="1">IFERROR(__xludf.DUMMYFUNCTION("""COMPUTED_VALUE"""),"PTE")</f>
        <v>PTE</v>
      </c>
      <c r="M252" s="46" t="str">
        <f ca="1">IFERROR(__xludf.DUMMYFUNCTION("""COMPUTED_VALUE"""),"Leave")</f>
        <v>Leave</v>
      </c>
      <c r="N252" s="46" t="str">
        <f ca="1">IFERROR(__xludf.DUMMYFUNCTION("""COMPUTED_VALUE"""),"đủ")</f>
        <v>đủ</v>
      </c>
    </row>
    <row r="253" spans="1:14">
      <c r="A253" s="45"/>
      <c r="B253" s="45" t="str">
        <f ca="1">IFERROR(__xludf.DUMMYFUNCTION("""COMPUTED_VALUE"""),"Đã nghỉ")</f>
        <v>Đã nghỉ</v>
      </c>
      <c r="C253" s="46">
        <f ca="1">IFERROR(__xludf.DUMMYFUNCTION("""COMPUTED_VALUE"""),254)</f>
        <v>254</v>
      </c>
      <c r="D253" s="47" t="str">
        <f ca="1">IFERROR(__xludf.DUMMYFUNCTION("""COMPUTED_VALUE"""),"B3022")</f>
        <v>B3022</v>
      </c>
      <c r="E253" s="46" t="str">
        <f ca="1">IFERROR(__xludf.DUMMYFUNCTION("""COMPUTED_VALUE"""),"TRẦN NGUYỄN CẨM TÚ")</f>
        <v>TRẦN NGUYỄN CẨM TÚ</v>
      </c>
      <c r="F253" s="46" t="str">
        <f ca="1">IFERROR(__xludf.DUMMYFUNCTION("""COMPUTED_VALUE"""),"TRAN NGUYEN CAM TU")</f>
        <v>TRAN NGUYEN CAM TU</v>
      </c>
      <c r="G253" s="45">
        <f ca="1">IFERROR(__xludf.DUMMYFUNCTION("""COMPUTED_VALUE"""),37539.5833333333)</f>
        <v>37539.583333333299</v>
      </c>
      <c r="H253" s="45" t="str">
        <f ca="1">IFERROR(__xludf.DUMMYFUNCTION("""COMPUTED_VALUE"""),"TLC")</f>
        <v>TLC</v>
      </c>
      <c r="I253" s="46" t="str">
        <f ca="1">IFERROR(__xludf.DUMMYFUNCTION("""COMPUTED_VALUE"""),"STORE")</f>
        <v>STORE</v>
      </c>
      <c r="J253" s="46" t="str">
        <f ca="1">IFERROR(__xludf.DUMMYFUNCTION("""COMPUTED_VALUE"""),"BAKES HCR")</f>
        <v>BAKES HCR</v>
      </c>
      <c r="K253" s="46" t="str">
        <f ca="1">IFERROR(__xludf.DUMMYFUNCTION("""COMPUTED_VALUE"""),"STR")</f>
        <v>STR</v>
      </c>
      <c r="L253" s="46" t="str">
        <f ca="1">IFERROR(__xludf.DUMMYFUNCTION("""COMPUTED_VALUE"""),"PTE")</f>
        <v>PTE</v>
      </c>
      <c r="M253" s="46" t="str">
        <f ca="1">IFERROR(__xludf.DUMMYFUNCTION("""COMPUTED_VALUE"""),"Leave")</f>
        <v>Leave</v>
      </c>
      <c r="N253" s="46" t="str">
        <f ca="1">IFERROR(__xludf.DUMMYFUNCTION("""COMPUTED_VALUE"""),"x")</f>
        <v>x</v>
      </c>
    </row>
    <row r="254" spans="1:14">
      <c r="A254" s="45">
        <f ca="1">IFERROR(__xludf.DUMMYFUNCTION("""COMPUTED_VALUE"""),44991.625)</f>
        <v>44991.625</v>
      </c>
      <c r="B254" s="45">
        <f ca="1">IFERROR(__xludf.DUMMYFUNCTION("""COMPUTED_VALUE"""),45793.5833333333)</f>
        <v>45793.583333333299</v>
      </c>
      <c r="C254" s="46">
        <f ca="1">IFERROR(__xludf.DUMMYFUNCTION("""COMPUTED_VALUE"""),255)</f>
        <v>255</v>
      </c>
      <c r="D254" s="47" t="str">
        <f ca="1">IFERROR(__xludf.DUMMYFUNCTION("""COMPUTED_VALUE"""),"B3023")</f>
        <v>B3023</v>
      </c>
      <c r="E254" s="46" t="str">
        <f ca="1">IFERROR(__xludf.DUMMYFUNCTION("""COMPUTED_VALUE"""),"DƯƠNG KHÁNH")</f>
        <v>DƯƠNG KHÁNH</v>
      </c>
      <c r="F254" s="46" t="str">
        <f ca="1">IFERROR(__xludf.DUMMYFUNCTION("""COMPUTED_VALUE"""),"DUONG KHANH")</f>
        <v>DUONG KHANH</v>
      </c>
      <c r="G254" s="45">
        <f ca="1">IFERROR(__xludf.DUMMYFUNCTION("""COMPUTED_VALUE"""),37787.5833333333)</f>
        <v>37787.583333333299</v>
      </c>
      <c r="H254" s="45" t="str">
        <f ca="1">IFERROR(__xludf.DUMMYFUNCTION("""COMPUTED_VALUE"""),"TLC")</f>
        <v>TLC</v>
      </c>
      <c r="I254" s="46" t="str">
        <f ca="1">IFERROR(__xludf.DUMMYFUNCTION("""COMPUTED_VALUE"""),"STORE")</f>
        <v>STORE</v>
      </c>
      <c r="J254" s="46" t="str">
        <f ca="1">IFERROR(__xludf.DUMMYFUNCTION("""COMPUTED_VALUE"""),"BAKES HCR")</f>
        <v>BAKES HCR</v>
      </c>
      <c r="K254" s="46" t="str">
        <f ca="1">IFERROR(__xludf.DUMMYFUNCTION("""COMPUTED_VALUE"""),"WAITSTAFF")</f>
        <v>WAITSTAFF</v>
      </c>
      <c r="L254" s="46" t="str">
        <f ca="1">IFERROR(__xludf.DUMMYFUNCTION("""COMPUTED_VALUE"""),"PTE")</f>
        <v>PTE</v>
      </c>
      <c r="M254" s="46" t="str">
        <f ca="1">IFERROR(__xludf.DUMMYFUNCTION("""COMPUTED_VALUE"""),"Leave")</f>
        <v>Leave</v>
      </c>
      <c r="N254" s="46" t="str">
        <f ca="1">IFERROR(__xludf.DUMMYFUNCTION("""COMPUTED_VALUE"""),"x")</f>
        <v>x</v>
      </c>
    </row>
    <row r="255" spans="1:14">
      <c r="A255" s="45">
        <f ca="1">IFERROR(__xludf.DUMMYFUNCTION("""COMPUTED_VALUE"""),45002.5833333333)</f>
        <v>45002.583333333299</v>
      </c>
      <c r="B255" s="45">
        <f ca="1">IFERROR(__xludf.DUMMYFUNCTION("""COMPUTED_VALUE"""),45817.5833333333)</f>
        <v>45817.583333333299</v>
      </c>
      <c r="C255" s="46">
        <f ca="1">IFERROR(__xludf.DUMMYFUNCTION("""COMPUTED_VALUE"""),256)</f>
        <v>256</v>
      </c>
      <c r="D255" s="47" t="str">
        <f ca="1">IFERROR(__xludf.DUMMYFUNCTION("""COMPUTED_VALUE"""),"B3024")</f>
        <v>B3024</v>
      </c>
      <c r="E255" s="46" t="str">
        <f ca="1">IFERROR(__xludf.DUMMYFUNCTION("""COMPUTED_VALUE"""),"HOÀNG MAI KIM NGÂN")</f>
        <v>HOÀNG MAI KIM NGÂN</v>
      </c>
      <c r="F255" s="46" t="str">
        <f ca="1">IFERROR(__xludf.DUMMYFUNCTION("""COMPUTED_VALUE"""),"HOANG MAI KIM NGAN")</f>
        <v>HOANG MAI KIM NGAN</v>
      </c>
      <c r="G255" s="45">
        <f ca="1">IFERROR(__xludf.DUMMYFUNCTION("""COMPUTED_VALUE"""),38162.5833333333)</f>
        <v>38162.583333333299</v>
      </c>
      <c r="H255" s="45" t="str">
        <f ca="1">IFERROR(__xludf.DUMMYFUNCTION("""COMPUTED_VALUE"""),"TLC")</f>
        <v>TLC</v>
      </c>
      <c r="I255" s="46" t="str">
        <f ca="1">IFERROR(__xludf.DUMMYFUNCTION("""COMPUTED_VALUE"""),"STORE")</f>
        <v>STORE</v>
      </c>
      <c r="J255" s="46" t="str">
        <f ca="1">IFERROR(__xludf.DUMMYFUNCTION("""COMPUTED_VALUE"""),"BAKES HCR")</f>
        <v>BAKES HCR</v>
      </c>
      <c r="K255" s="46" t="str">
        <f ca="1">IFERROR(__xludf.DUMMYFUNCTION("""COMPUTED_VALUE"""),"WAITSTAFF")</f>
        <v>WAITSTAFF</v>
      </c>
      <c r="L255" s="46" t="str">
        <f ca="1">IFERROR(__xludf.DUMMYFUNCTION("""COMPUTED_VALUE"""),"PTE")</f>
        <v>PTE</v>
      </c>
      <c r="M255" s="46" t="str">
        <f ca="1">IFERROR(__xludf.DUMMYFUNCTION("""COMPUTED_VALUE"""),"Leave")</f>
        <v>Leave</v>
      </c>
      <c r="N255" s="46" t="str">
        <f ca="1">IFERROR(__xludf.DUMMYFUNCTION("""COMPUTED_VALUE"""),"x")</f>
        <v>x</v>
      </c>
    </row>
    <row r="256" spans="1:14">
      <c r="A256" s="45"/>
      <c r="B256" s="45" t="str">
        <f ca="1">IFERROR(__xludf.DUMMYFUNCTION("""COMPUTED_VALUE"""),"Đã nghỉ")</f>
        <v>Đã nghỉ</v>
      </c>
      <c r="C256" s="46">
        <f ca="1">IFERROR(__xludf.DUMMYFUNCTION("""COMPUTED_VALUE"""),257)</f>
        <v>257</v>
      </c>
      <c r="D256" s="47" t="str">
        <f ca="1">IFERROR(__xludf.DUMMYFUNCTION("""COMPUTED_VALUE"""),"B3025")</f>
        <v>B3025</v>
      </c>
      <c r="E256" s="46" t="str">
        <f ca="1">IFERROR(__xludf.DUMMYFUNCTION("""COMPUTED_VALUE"""),"GIẢN NGUYỄN ANH SƠN")</f>
        <v>GIẢN NGUYỄN ANH SƠN</v>
      </c>
      <c r="F256" s="46" t="str">
        <f ca="1">IFERROR(__xludf.DUMMYFUNCTION("""COMPUTED_VALUE"""),"GIAN NGUYEN ANH SON")</f>
        <v>GIAN NGUYEN ANH SON</v>
      </c>
      <c r="G256" s="45">
        <f ca="1">IFERROR(__xludf.DUMMYFUNCTION("""COMPUTED_VALUE"""),36836.625)</f>
        <v>36836.625</v>
      </c>
      <c r="H256" s="45" t="str">
        <f ca="1">IFERROR(__xludf.DUMMYFUNCTION("""COMPUTED_VALUE"""),"TLC")</f>
        <v>TLC</v>
      </c>
      <c r="I256" s="46" t="str">
        <f ca="1">IFERROR(__xludf.DUMMYFUNCTION("""COMPUTED_VALUE"""),"KITCHEN PASTRY")</f>
        <v>KITCHEN PASTRY</v>
      </c>
      <c r="J256" s="46" t="str">
        <f ca="1">IFERROR(__xludf.DUMMYFUNCTION("""COMPUTED_VALUE"""),"KITCHEN PASTRY")</f>
        <v>KITCHEN PASTRY</v>
      </c>
      <c r="K256" s="46" t="str">
        <f ca="1">IFERROR(__xludf.DUMMYFUNCTION("""COMPUTED_VALUE"""),"KIT")</f>
        <v>KIT</v>
      </c>
      <c r="L256" s="46" t="str">
        <f ca="1">IFERROR(__xludf.DUMMYFUNCTION("""COMPUTED_VALUE"""),"PTE")</f>
        <v>PTE</v>
      </c>
      <c r="M256" s="46" t="str">
        <f ca="1">IFERROR(__xludf.DUMMYFUNCTION("""COMPUTED_VALUE"""),"Leave")</f>
        <v>Leave</v>
      </c>
      <c r="N256" s="46" t="str">
        <f ca="1">IFERROR(__xludf.DUMMYFUNCTION("""COMPUTED_VALUE"""),"x")</f>
        <v>x</v>
      </c>
    </row>
    <row r="257" spans="1:14">
      <c r="A257" s="45">
        <f ca="1">IFERROR(__xludf.DUMMYFUNCTION("""COMPUTED_VALUE"""),45028.5833333333)</f>
        <v>45028.583333333299</v>
      </c>
      <c r="B257" s="45">
        <f ca="1">IFERROR(__xludf.DUMMYFUNCTION("""COMPUTED_VALUE"""),45444.5833333333)</f>
        <v>45444.583333333299</v>
      </c>
      <c r="C257" s="46">
        <f ca="1">IFERROR(__xludf.DUMMYFUNCTION("""COMPUTED_VALUE"""),258)</f>
        <v>258</v>
      </c>
      <c r="D257" s="47" t="str">
        <f ca="1">IFERROR(__xludf.DUMMYFUNCTION("""COMPUTED_VALUE"""),"B3026")</f>
        <v>B3026</v>
      </c>
      <c r="E257" s="46" t="str">
        <f ca="1">IFERROR(__xludf.DUMMYFUNCTION("""COMPUTED_VALUE"""),"DƯƠNG HẠ NHI")</f>
        <v>DƯƠNG HẠ NHI</v>
      </c>
      <c r="F257" s="46" t="str">
        <f ca="1">IFERROR(__xludf.DUMMYFUNCTION("""COMPUTED_VALUE"""),"DUONG HA NHI")</f>
        <v>DUONG HA NHI</v>
      </c>
      <c r="G257" s="45">
        <f ca="1">IFERROR(__xludf.DUMMYFUNCTION("""COMPUTED_VALUE"""),35202.5833333333)</f>
        <v>35202.583333333299</v>
      </c>
      <c r="H257" s="45" t="str">
        <f ca="1">IFERROR(__xludf.DUMMYFUNCTION("""COMPUTED_VALUE"""),"KITCHEN PASTRY")</f>
        <v>KITCHEN PASTRY</v>
      </c>
      <c r="I257" s="46" t="str">
        <f ca="1">IFERROR(__xludf.DUMMYFUNCTION("""COMPUTED_VALUE"""),"KITCHEN PASTRY")</f>
        <v>KITCHEN PASTRY</v>
      </c>
      <c r="J257" s="46" t="str">
        <f ca="1">IFERROR(__xludf.DUMMYFUNCTION("""COMPUTED_VALUE"""),"KITCHEN PASTRY")</f>
        <v>KITCHEN PASTRY</v>
      </c>
      <c r="K257" s="46" t="str">
        <f ca="1">IFERROR(__xludf.DUMMYFUNCTION("""COMPUTED_VALUE"""),"KIT")</f>
        <v>KIT</v>
      </c>
      <c r="L257" s="46" t="str">
        <f ca="1">IFERROR(__xludf.DUMMYFUNCTION("""COMPUTED_VALUE"""),"PTE")</f>
        <v>PTE</v>
      </c>
      <c r="M257" s="46" t="str">
        <f ca="1">IFERROR(__xludf.DUMMYFUNCTION("""COMPUTED_VALUE"""),"Leave")</f>
        <v>Leave</v>
      </c>
      <c r="N257" s="46" t="str">
        <f ca="1">IFERROR(__xludf.DUMMYFUNCTION("""COMPUTED_VALUE"""),"x")</f>
        <v>x</v>
      </c>
    </row>
    <row r="258" spans="1:14">
      <c r="A258" s="45">
        <f ca="1">IFERROR(__xludf.DUMMYFUNCTION("""COMPUTED_VALUE"""),45026.5833333333)</f>
        <v>45026.583333333299</v>
      </c>
      <c r="B258" s="45">
        <f ca="1">IFERROR(__xludf.DUMMYFUNCTION("""COMPUTED_VALUE"""),45485.5833333333)</f>
        <v>45485.583333333299</v>
      </c>
      <c r="C258" s="46">
        <f ca="1">IFERROR(__xludf.DUMMYFUNCTION("""COMPUTED_VALUE"""),259)</f>
        <v>259</v>
      </c>
      <c r="D258" s="47" t="str">
        <f ca="1">IFERROR(__xludf.DUMMYFUNCTION("""COMPUTED_VALUE"""),"B3027")</f>
        <v>B3027</v>
      </c>
      <c r="E258" s="46" t="str">
        <f ca="1">IFERROR(__xludf.DUMMYFUNCTION("""COMPUTED_VALUE"""),"BÙI QUỐC THIÊN KHÔI")</f>
        <v>BÙI QUỐC THIÊN KHÔI</v>
      </c>
      <c r="F258" s="46" t="str">
        <f ca="1">IFERROR(__xludf.DUMMYFUNCTION("""COMPUTED_VALUE"""),"BUI QUOC THIEN KHOI")</f>
        <v>BUI QUOC THIEN KHOI</v>
      </c>
      <c r="G258" s="45">
        <f ca="1">IFERROR(__xludf.DUMMYFUNCTION("""COMPUTED_VALUE"""),33468.5833333333)</f>
        <v>33468.583333333299</v>
      </c>
      <c r="H258" s="45" t="str">
        <f ca="1">IFERROR(__xludf.DUMMYFUNCTION("""COMPUTED_VALUE"""),"KITCHEN PASTRY")</f>
        <v>KITCHEN PASTRY</v>
      </c>
      <c r="I258" s="46" t="str">
        <f ca="1">IFERROR(__xludf.DUMMYFUNCTION("""COMPUTED_VALUE"""),"KITCHEN PASTRY")</f>
        <v>KITCHEN PASTRY</v>
      </c>
      <c r="J258" s="46" t="str">
        <f ca="1">IFERROR(__xludf.DUMMYFUNCTION("""COMPUTED_VALUE"""),"KITCHEN PASTRY")</f>
        <v>KITCHEN PASTRY</v>
      </c>
      <c r="K258" s="46" t="str">
        <f ca="1">IFERROR(__xludf.DUMMYFUNCTION("""COMPUTED_VALUE"""),"KIT")</f>
        <v>KIT</v>
      </c>
      <c r="L258" s="46" t="str">
        <f ca="1">IFERROR(__xludf.DUMMYFUNCTION("""COMPUTED_VALUE"""),"PTE")</f>
        <v>PTE</v>
      </c>
      <c r="M258" s="46" t="str">
        <f ca="1">IFERROR(__xludf.DUMMYFUNCTION("""COMPUTED_VALUE"""),"Leave")</f>
        <v>Leave</v>
      </c>
      <c r="N258" s="46" t="str">
        <f ca="1">IFERROR(__xludf.DUMMYFUNCTION("""COMPUTED_VALUE"""),"x")</f>
        <v>x</v>
      </c>
    </row>
    <row r="259" spans="1:14">
      <c r="A259" s="45"/>
      <c r="B259" s="45">
        <f ca="1">IFERROR(__xludf.DUMMYFUNCTION("""COMPUTED_VALUE"""),45292.625)</f>
        <v>45292.625</v>
      </c>
      <c r="C259" s="46">
        <f ca="1">IFERROR(__xludf.DUMMYFUNCTION("""COMPUTED_VALUE"""),260)</f>
        <v>260</v>
      </c>
      <c r="D259" s="47" t="str">
        <f ca="1">IFERROR(__xludf.DUMMYFUNCTION("""COMPUTED_VALUE"""),"B3028")</f>
        <v>B3028</v>
      </c>
      <c r="E259" s="46" t="str">
        <f ca="1">IFERROR(__xludf.DUMMYFUNCTION("""COMPUTED_VALUE"""),"PHẠM NGUYÊN THIÊN TRANG")</f>
        <v>PHẠM NGUYÊN THIÊN TRANG</v>
      </c>
      <c r="F259" s="46" t="str">
        <f ca="1">IFERROR(__xludf.DUMMYFUNCTION("""COMPUTED_VALUE"""),"PHAM NGUYEN THIEN TRANG")</f>
        <v>PHAM NGUYEN THIEN TRANG</v>
      </c>
      <c r="G259" s="45">
        <f ca="1">IFERROR(__xludf.DUMMYFUNCTION("""COMPUTED_VALUE"""),34004.625)</f>
        <v>34004.625</v>
      </c>
      <c r="H259" s="45" t="str">
        <f ca="1">IFERROR(__xludf.DUMMYFUNCTION("""COMPUTED_VALUE"""),"TLC")</f>
        <v>TLC</v>
      </c>
      <c r="I259" s="46" t="str">
        <f ca="1">IFERROR(__xludf.DUMMYFUNCTION("""COMPUTED_VALUE"""),"KITCHEN PASTRY")</f>
        <v>KITCHEN PASTRY</v>
      </c>
      <c r="J259" s="46" t="str">
        <f ca="1">IFERROR(__xludf.DUMMYFUNCTION("""COMPUTED_VALUE"""),"KITCHEN PASTRY")</f>
        <v>KITCHEN PASTRY</v>
      </c>
      <c r="K259" s="46" t="str">
        <f ca="1">IFERROR(__xludf.DUMMYFUNCTION("""COMPUTED_VALUE"""),"KIT")</f>
        <v>KIT</v>
      </c>
      <c r="L259" s="46" t="str">
        <f ca="1">IFERROR(__xludf.DUMMYFUNCTION("""COMPUTED_VALUE"""),"PTE")</f>
        <v>PTE</v>
      </c>
      <c r="M259" s="46" t="str">
        <f ca="1">IFERROR(__xludf.DUMMYFUNCTION("""COMPUTED_VALUE"""),"Leave")</f>
        <v>Leave</v>
      </c>
      <c r="N259" s="46" t="str">
        <f ca="1">IFERROR(__xludf.DUMMYFUNCTION("""COMPUTED_VALUE"""),"x")</f>
        <v>x</v>
      </c>
    </row>
    <row r="260" spans="1:14">
      <c r="A260" s="45"/>
      <c r="B260" s="45">
        <f ca="1">IFERROR(__xludf.DUMMYFUNCTION("""COMPUTED_VALUE"""),45292.625)</f>
        <v>45292.625</v>
      </c>
      <c r="C260" s="46">
        <f ca="1">IFERROR(__xludf.DUMMYFUNCTION("""COMPUTED_VALUE"""),261)</f>
        <v>261</v>
      </c>
      <c r="D260" s="47" t="str">
        <f ca="1">IFERROR(__xludf.DUMMYFUNCTION("""COMPUTED_VALUE"""),"B3029")</f>
        <v>B3029</v>
      </c>
      <c r="E260" s="46" t="str">
        <f ca="1">IFERROR(__xludf.DUMMYFUNCTION("""COMPUTED_VALUE"""),"BÙI UYỂN VÂN KHANH")</f>
        <v>BÙI UYỂN VÂN KHANH</v>
      </c>
      <c r="F260" s="46" t="str">
        <f ca="1">IFERROR(__xludf.DUMMYFUNCTION("""COMPUTED_VALUE"""),"BUI UYEN VAN KHANH")</f>
        <v>BUI UYEN VAN KHANH</v>
      </c>
      <c r="G260" s="45">
        <f ca="1">IFERROR(__xludf.DUMMYFUNCTION("""COMPUTED_VALUE"""),35595.5833333333)</f>
        <v>35595.583333333299</v>
      </c>
      <c r="H260" s="45" t="str">
        <f ca="1">IFERROR(__xludf.DUMMYFUNCTION("""COMPUTED_VALUE"""),"TLC")</f>
        <v>TLC</v>
      </c>
      <c r="I260" s="46" t="str">
        <f ca="1">IFERROR(__xludf.DUMMYFUNCTION("""COMPUTED_VALUE"""),"KITCHEN PASTRY")</f>
        <v>KITCHEN PASTRY</v>
      </c>
      <c r="J260" s="46" t="str">
        <f ca="1">IFERROR(__xludf.DUMMYFUNCTION("""COMPUTED_VALUE"""),"KITCHEN PASTRY")</f>
        <v>KITCHEN PASTRY</v>
      </c>
      <c r="K260" s="46" t="str">
        <f ca="1">IFERROR(__xludf.DUMMYFUNCTION("""COMPUTED_VALUE"""),"KIT")</f>
        <v>KIT</v>
      </c>
      <c r="L260" s="46" t="str">
        <f ca="1">IFERROR(__xludf.DUMMYFUNCTION("""COMPUTED_VALUE"""),"PTE")</f>
        <v>PTE</v>
      </c>
      <c r="M260" s="46" t="str">
        <f ca="1">IFERROR(__xludf.DUMMYFUNCTION("""COMPUTED_VALUE"""),"Leave")</f>
        <v>Leave</v>
      </c>
      <c r="N260" s="46" t="str">
        <f ca="1">IFERROR(__xludf.DUMMYFUNCTION("""COMPUTED_VALUE"""),"x")</f>
        <v>x</v>
      </c>
    </row>
    <row r="261" spans="1:14">
      <c r="A261" s="45"/>
      <c r="B261" s="45" t="str">
        <f ca="1">IFERROR(__xludf.DUMMYFUNCTION("""COMPUTED_VALUE"""),"Đã nghỉ")</f>
        <v>Đã nghỉ</v>
      </c>
      <c r="C261" s="46">
        <f ca="1">IFERROR(__xludf.DUMMYFUNCTION("""COMPUTED_VALUE"""),262)</f>
        <v>262</v>
      </c>
      <c r="D261" s="47" t="str">
        <f ca="1">IFERROR(__xludf.DUMMYFUNCTION("""COMPUTED_VALUE"""),"B3030")</f>
        <v>B3030</v>
      </c>
      <c r="E261" s="46" t="str">
        <f ca="1">IFERROR(__xludf.DUMMYFUNCTION("""COMPUTED_VALUE"""),"HỒ THỊ MAI")</f>
        <v>HỒ THỊ MAI</v>
      </c>
      <c r="F261" s="46" t="str">
        <f ca="1">IFERROR(__xludf.DUMMYFUNCTION("""COMPUTED_VALUE"""),"HO THI MAI")</f>
        <v>HO THI MAI</v>
      </c>
      <c r="G261" s="45">
        <f ca="1">IFERROR(__xludf.DUMMYFUNCTION("""COMPUTED_VALUE"""),34783.625)</f>
        <v>34783.625</v>
      </c>
      <c r="H261" s="45" t="str">
        <f ca="1">IFERROR(__xludf.DUMMYFUNCTION("""COMPUTED_VALUE"""),"TLC")</f>
        <v>TLC</v>
      </c>
      <c r="I261" s="46" t="str">
        <f ca="1">IFERROR(__xludf.DUMMYFUNCTION("""COMPUTED_VALUE"""),"KITCHEN PASTRY")</f>
        <v>KITCHEN PASTRY</v>
      </c>
      <c r="J261" s="46" t="str">
        <f ca="1">IFERROR(__xludf.DUMMYFUNCTION("""COMPUTED_VALUE"""),"KITCHEN PASTRY")</f>
        <v>KITCHEN PASTRY</v>
      </c>
      <c r="K261" s="46" t="str">
        <f ca="1">IFERROR(__xludf.DUMMYFUNCTION("""COMPUTED_VALUE"""),"KIT")</f>
        <v>KIT</v>
      </c>
      <c r="L261" s="46" t="str">
        <f ca="1">IFERROR(__xludf.DUMMYFUNCTION("""COMPUTED_VALUE"""),"PTE")</f>
        <v>PTE</v>
      </c>
      <c r="M261" s="46" t="str">
        <f ca="1">IFERROR(__xludf.DUMMYFUNCTION("""COMPUTED_VALUE"""),"Leave")</f>
        <v>Leave</v>
      </c>
      <c r="N261" s="46" t="str">
        <f ca="1">IFERROR(__xludf.DUMMYFUNCTION("""COMPUTED_VALUE"""),"x")</f>
        <v>x</v>
      </c>
    </row>
    <row r="262" spans="1:14">
      <c r="A262" s="45">
        <f ca="1">IFERROR(__xludf.DUMMYFUNCTION("""COMPUTED_VALUE"""),45062.5833333333)</f>
        <v>45062.583333333299</v>
      </c>
      <c r="B262" s="45">
        <f ca="1">IFERROR(__xludf.DUMMYFUNCTION("""COMPUTED_VALUE"""),45756.5833333333)</f>
        <v>45756.583333333299</v>
      </c>
      <c r="C262" s="46">
        <f ca="1">IFERROR(__xludf.DUMMYFUNCTION("""COMPUTED_VALUE"""),263)</f>
        <v>263</v>
      </c>
      <c r="D262" s="47" t="str">
        <f ca="1">IFERROR(__xludf.DUMMYFUNCTION("""COMPUTED_VALUE"""),"B3031")</f>
        <v>B3031</v>
      </c>
      <c r="E262" s="46" t="str">
        <f ca="1">IFERROR(__xludf.DUMMYFUNCTION("""COMPUTED_VALUE"""),"TRẦN VŨ TRƯỜNG GIANG")</f>
        <v>TRẦN VŨ TRƯỜNG GIANG</v>
      </c>
      <c r="F262" s="46" t="str">
        <f ca="1">IFERROR(__xludf.DUMMYFUNCTION("""COMPUTED_VALUE"""),"TRAN VU TRUONG GIANG")</f>
        <v>TRAN VU TRUONG GIANG</v>
      </c>
      <c r="G262" s="45">
        <f ca="1">IFERROR(__xludf.DUMMYFUNCTION("""COMPUTED_VALUE"""),36972.625)</f>
        <v>36972.625</v>
      </c>
      <c r="H262" s="45" t="str">
        <f ca="1">IFERROR(__xludf.DUMMYFUNCTION("""COMPUTED_VALUE"""),"KITCHEN PASTRY")</f>
        <v>KITCHEN PASTRY</v>
      </c>
      <c r="I262" s="46" t="str">
        <f ca="1">IFERROR(__xludf.DUMMYFUNCTION("""COMPUTED_VALUE"""),"KITCHEN PASTRY")</f>
        <v>KITCHEN PASTRY</v>
      </c>
      <c r="J262" s="46" t="str">
        <f ca="1">IFERROR(__xludf.DUMMYFUNCTION("""COMPUTED_VALUE"""),"KITCHEN PASTRY")</f>
        <v>KITCHEN PASTRY</v>
      </c>
      <c r="K262" s="46" t="str">
        <f ca="1">IFERROR(__xludf.DUMMYFUNCTION("""COMPUTED_VALUE"""),"PASTRY")</f>
        <v>PASTRY</v>
      </c>
      <c r="L262" s="46" t="str">
        <f ca="1">IFERROR(__xludf.DUMMYFUNCTION("""COMPUTED_VALUE"""),"PTE")</f>
        <v>PTE</v>
      </c>
      <c r="M262" s="46" t="str">
        <f ca="1">IFERROR(__xludf.DUMMYFUNCTION("""COMPUTED_VALUE"""),"Leave")</f>
        <v>Leave</v>
      </c>
      <c r="N262" s="46" t="str">
        <f ca="1">IFERROR(__xludf.DUMMYFUNCTION("""COMPUTED_VALUE"""),"x")</f>
        <v>x</v>
      </c>
    </row>
    <row r="263" spans="1:14">
      <c r="A263" s="45">
        <f ca="1">IFERROR(__xludf.DUMMYFUNCTION("""COMPUTED_VALUE"""),45604.625)</f>
        <v>45604.625</v>
      </c>
      <c r="B263" s="45">
        <f ca="1">IFERROR(__xludf.DUMMYFUNCTION("""COMPUTED_VALUE"""),45635.625)</f>
        <v>45635.625</v>
      </c>
      <c r="C263" s="46">
        <f ca="1">IFERROR(__xludf.DUMMYFUNCTION("""COMPUTED_VALUE"""),264)</f>
        <v>264</v>
      </c>
      <c r="D263" s="47" t="str">
        <f ca="1">IFERROR(__xludf.DUMMYFUNCTION("""COMPUTED_VALUE"""),"B3032")</f>
        <v>B3032</v>
      </c>
      <c r="E263" s="46" t="str">
        <f ca="1">IFERROR(__xludf.DUMMYFUNCTION("""COMPUTED_VALUE"""),"NGUYỄN THỊ HUỲNH NHƯ")</f>
        <v>NGUYỄN THỊ HUỲNH NHƯ</v>
      </c>
      <c r="F263" s="46" t="str">
        <f ca="1">IFERROR(__xludf.DUMMYFUNCTION("""COMPUTED_VALUE"""),"NGUYEN THI HUYNH NHU")</f>
        <v>NGUYEN THI HUYNH NHU</v>
      </c>
      <c r="G263" s="45">
        <f ca="1">IFERROR(__xludf.DUMMYFUNCTION("""COMPUTED_VALUE"""),37938.625)</f>
        <v>37938.625</v>
      </c>
      <c r="H263" s="45" t="str">
        <f ca="1">IFERROR(__xludf.DUMMYFUNCTION("""COMPUTED_VALUE"""),"BAKES")</f>
        <v>BAKES</v>
      </c>
      <c r="I263" s="46" t="str">
        <f ca="1">IFERROR(__xludf.DUMMYFUNCTION("""COMPUTED_VALUE"""),"STORE")</f>
        <v>STORE</v>
      </c>
      <c r="J263" s="46" t="str">
        <f ca="1">IFERROR(__xludf.DUMMYFUNCTION("""COMPUTED_VALUE"""),"BAKES D7")</f>
        <v>BAKES D7</v>
      </c>
      <c r="K263" s="46" t="str">
        <f ca="1">IFERROR(__xludf.DUMMYFUNCTION("""COMPUTED_VALUE"""),"WAITSTAFF")</f>
        <v>WAITSTAFF</v>
      </c>
      <c r="L263" s="46" t="str">
        <f ca="1">IFERROR(__xludf.DUMMYFUNCTION("""COMPUTED_VALUE"""),"PTE")</f>
        <v>PTE</v>
      </c>
      <c r="M263" s="46" t="str">
        <f ca="1">IFERROR(__xludf.DUMMYFUNCTION("""COMPUTED_VALUE"""),"Leave")</f>
        <v>Leave</v>
      </c>
      <c r="N263" s="46" t="str">
        <f ca="1">IFERROR(__xludf.DUMMYFUNCTION("""COMPUTED_VALUE"""),"đủ")</f>
        <v>đủ</v>
      </c>
    </row>
    <row r="264" spans="1:14">
      <c r="A264" s="45">
        <f ca="1">IFERROR(__xludf.DUMMYFUNCTION("""COMPUTED_VALUE"""),45075.5833333333)</f>
        <v>45075.583333333299</v>
      </c>
      <c r="B264" s="45">
        <f ca="1">IFERROR(__xludf.DUMMYFUNCTION("""COMPUTED_VALUE"""),45479.5833333333)</f>
        <v>45479.583333333299</v>
      </c>
      <c r="C264" s="46">
        <f ca="1">IFERROR(__xludf.DUMMYFUNCTION("""COMPUTED_VALUE"""),265)</f>
        <v>265</v>
      </c>
      <c r="D264" s="47" t="str">
        <f ca="1">IFERROR(__xludf.DUMMYFUNCTION("""COMPUTED_VALUE"""),"B3033")</f>
        <v>B3033</v>
      </c>
      <c r="E264" s="46" t="str">
        <f ca="1">IFERROR(__xludf.DUMMYFUNCTION("""COMPUTED_VALUE"""),"TRƯƠNG KHẢ VY")</f>
        <v>TRƯƠNG KHẢ VY</v>
      </c>
      <c r="F264" s="46" t="str">
        <f ca="1">IFERROR(__xludf.DUMMYFUNCTION("""COMPUTED_VALUE"""),"TRUONG KHA VY")</f>
        <v>TRUONG KHA VY</v>
      </c>
      <c r="G264" s="45">
        <f ca="1">IFERROR(__xludf.DUMMYFUNCTION("""COMPUTED_VALUE"""),37982.625)</f>
        <v>37982.625</v>
      </c>
      <c r="H264" s="45" t="str">
        <f ca="1">IFERROR(__xludf.DUMMYFUNCTION("""COMPUTED_VALUE"""),"TLC")</f>
        <v>TLC</v>
      </c>
      <c r="I264" s="46" t="str">
        <f ca="1">IFERROR(__xludf.DUMMYFUNCTION("""COMPUTED_VALUE"""),"STORE")</f>
        <v>STORE</v>
      </c>
      <c r="J264" s="46" t="str">
        <f ca="1">IFERROR(__xludf.DUMMYFUNCTION("""COMPUTED_VALUE"""),"BAKES HCR")</f>
        <v>BAKES HCR</v>
      </c>
      <c r="K264" s="46" t="str">
        <f ca="1">IFERROR(__xludf.DUMMYFUNCTION("""COMPUTED_VALUE"""),"STR")</f>
        <v>STR</v>
      </c>
      <c r="L264" s="46" t="str">
        <f ca="1">IFERROR(__xludf.DUMMYFUNCTION("""COMPUTED_VALUE"""),"PTE")</f>
        <v>PTE</v>
      </c>
      <c r="M264" s="46" t="str">
        <f ca="1">IFERROR(__xludf.DUMMYFUNCTION("""COMPUTED_VALUE"""),"Leave")</f>
        <v>Leave</v>
      </c>
      <c r="N264" s="46" t="str">
        <f ca="1">IFERROR(__xludf.DUMMYFUNCTION("""COMPUTED_VALUE"""),"x")</f>
        <v>x</v>
      </c>
    </row>
    <row r="265" spans="1:14">
      <c r="A265" s="45">
        <f ca="1">IFERROR(__xludf.DUMMYFUNCTION("""COMPUTED_VALUE"""),45170.5833333333)</f>
        <v>45170.583333333299</v>
      </c>
      <c r="B265" s="45">
        <f ca="1">IFERROR(__xludf.DUMMYFUNCTION("""COMPUTED_VALUE"""),46115.5833333333)</f>
        <v>46115.583333333299</v>
      </c>
      <c r="C265" s="46">
        <f ca="1">IFERROR(__xludf.DUMMYFUNCTION("""COMPUTED_VALUE"""),266)</f>
        <v>266</v>
      </c>
      <c r="D265" s="47" t="str">
        <f ca="1">IFERROR(__xludf.DUMMYFUNCTION("""COMPUTED_VALUE"""),"BIT001")</f>
        <v>BIT001</v>
      </c>
      <c r="E265" s="46" t="str">
        <f ca="1">IFERROR(__xludf.DUMMYFUNCTION("""COMPUTED_VALUE"""),"LÂM THỊ BÍCH TUYỀN")</f>
        <v>LÂM THỊ BÍCH TUYỀN</v>
      </c>
      <c r="F265" s="46" t="str">
        <f ca="1">IFERROR(__xludf.DUMMYFUNCTION("""COMPUTED_VALUE"""),"LAM THI BICH TUYEN")</f>
        <v>LAM THI BICH TUYEN</v>
      </c>
      <c r="G265" s="45">
        <f ca="1">IFERROR(__xludf.DUMMYFUNCTION("""COMPUTED_VALUE"""),35310.5833333333)</f>
        <v>35310.583333333299</v>
      </c>
      <c r="H265" s="45" t="str">
        <f ca="1">IFERROR(__xludf.DUMMYFUNCTION("""COMPUTED_VALUE"""),"TLC")</f>
        <v>TLC</v>
      </c>
      <c r="I265" s="46" t="str">
        <f ca="1">IFERROR(__xludf.DUMMYFUNCTION("""COMPUTED_VALUE"""),"HO")</f>
        <v>HO</v>
      </c>
      <c r="J265" s="46" t="str">
        <f ca="1">IFERROR(__xludf.DUMMYFUNCTION("""COMPUTED_VALUE"""),"PET")</f>
        <v>PET</v>
      </c>
      <c r="K265" s="46" t="str">
        <f ca="1">IFERROR(__xludf.DUMMYFUNCTION("""COMPUTED_VALUE"""),"PET")</f>
        <v>PET</v>
      </c>
      <c r="L265" s="46" t="str">
        <f ca="1">IFERROR(__xludf.DUMMYFUNCTION("""COMPUTED_VALUE"""),"FTE")</f>
        <v>FTE</v>
      </c>
      <c r="M265" s="46" t="str">
        <f ca="1">IFERROR(__xludf.DUMMYFUNCTION("""COMPUTED_VALUE"""),"Leave")</f>
        <v>Leave</v>
      </c>
      <c r="N265" s="46" t="str">
        <f ca="1">IFERROR(__xludf.DUMMYFUNCTION("""COMPUTED_VALUE"""),"đủ")</f>
        <v>đủ</v>
      </c>
    </row>
    <row r="266" spans="1:14">
      <c r="A266" s="45">
        <f ca="1">IFERROR(__xludf.DUMMYFUNCTION("""COMPUTED_VALUE"""),44697.5833333333)</f>
        <v>44697.583333333299</v>
      </c>
      <c r="B266" s="45"/>
      <c r="C266" s="46">
        <f ca="1">IFERROR(__xludf.DUMMYFUNCTION("""COMPUTED_VALUE"""),267)</f>
        <v>267</v>
      </c>
      <c r="D266" s="47" t="str">
        <f ca="1">IFERROR(__xludf.DUMMYFUNCTION("""COMPUTED_VALUE"""),"BIT002")</f>
        <v>BIT002</v>
      </c>
      <c r="E266" s="46" t="str">
        <f ca="1">IFERROR(__xludf.DUMMYFUNCTION("""COMPUTED_VALUE"""),"TRẦN HỒNG NGỌC")</f>
        <v>TRẦN HỒNG NGỌC</v>
      </c>
      <c r="F266" s="46" t="str">
        <f ca="1">IFERROR(__xludf.DUMMYFUNCTION("""COMPUTED_VALUE"""),"TRAN HONG NGOC")</f>
        <v>TRAN HONG NGOC</v>
      </c>
      <c r="G266" s="45">
        <f ca="1">IFERROR(__xludf.DUMMYFUNCTION("""COMPUTED_VALUE"""),36892.625)</f>
        <v>36892.625</v>
      </c>
      <c r="H266" s="45" t="str">
        <f ca="1">IFERROR(__xludf.DUMMYFUNCTION("""COMPUTED_VALUE"""),"TLC")</f>
        <v>TLC</v>
      </c>
      <c r="I266" s="46" t="str">
        <f ca="1">IFERROR(__xludf.DUMMYFUNCTION("""COMPUTED_VALUE"""),"STORE")</f>
        <v>STORE</v>
      </c>
      <c r="J266" s="46" t="str">
        <f ca="1">IFERROR(__xludf.DUMMYFUNCTION("""COMPUTED_VALUE"""),"BLANK LOUNGE")</f>
        <v>BLANK LOUNGE</v>
      </c>
      <c r="K266" s="46" t="str">
        <f ca="1">IFERROR(__xludf.DUMMYFUNCTION("""COMPUTED_VALUE"""),"BAR")</f>
        <v>BAR</v>
      </c>
      <c r="L266" s="46" t="str">
        <f ca="1">IFERROR(__xludf.DUMMYFUNCTION("""COMPUTED_VALUE"""),"FTE")</f>
        <v>FTE</v>
      </c>
      <c r="M266" s="46" t="str">
        <f ca="1">IFERROR(__xludf.DUMMYFUNCTION("""COMPUTED_VALUE"""),"On")</f>
        <v>On</v>
      </c>
      <c r="N266" s="46" t="str">
        <f ca="1">IFERROR(__xludf.DUMMYFUNCTION("""COMPUTED_VALUE"""),"đủ")</f>
        <v>đủ</v>
      </c>
    </row>
    <row r="267" spans="1:14">
      <c r="A267" s="45"/>
      <c r="B267" s="45">
        <f ca="1">IFERROR(__xludf.DUMMYFUNCTION("""COMPUTED_VALUE"""),45292.625)</f>
        <v>45292.625</v>
      </c>
      <c r="C267" s="46">
        <f ca="1">IFERROR(__xludf.DUMMYFUNCTION("""COMPUTED_VALUE"""),268)</f>
        <v>268</v>
      </c>
      <c r="D267" s="47" t="str">
        <f ca="1">IFERROR(__xludf.DUMMYFUNCTION("""COMPUTED_VALUE"""),"BIT003")</f>
        <v>BIT003</v>
      </c>
      <c r="E267" s="46" t="str">
        <f ca="1">IFERROR(__xludf.DUMMYFUNCTION("""COMPUTED_VALUE"""),"TRẦN THỊ BẢO HÂN")</f>
        <v>TRẦN THỊ BẢO HÂN</v>
      </c>
      <c r="F267" s="46" t="str">
        <f ca="1">IFERROR(__xludf.DUMMYFUNCTION("""COMPUTED_VALUE"""),"TRAN THI BAO HAN")</f>
        <v>TRAN THI BAO HAN</v>
      </c>
      <c r="G267" s="45">
        <f ca="1">IFERROR(__xludf.DUMMYFUNCTION("""COMPUTED_VALUE"""),37558.625)</f>
        <v>37558.625</v>
      </c>
      <c r="H267" s="45" t="str">
        <f ca="1">IFERROR(__xludf.DUMMYFUNCTION("""COMPUTED_VALUE"""),"TLC")</f>
        <v>TLC</v>
      </c>
      <c r="I267" s="46" t="str">
        <f ca="1">IFERROR(__xludf.DUMMYFUNCTION("""COMPUTED_VALUE"""),"STORE")</f>
        <v>STORE</v>
      </c>
      <c r="J267" s="46" t="str">
        <f ca="1">IFERROR(__xludf.DUMMYFUNCTION("""COMPUTED_VALUE"""),"BITEXCO")</f>
        <v>BITEXCO</v>
      </c>
      <c r="K267" s="46" t="str">
        <f ca="1">IFERROR(__xludf.DUMMYFUNCTION("""COMPUTED_VALUE"""),"STR")</f>
        <v>STR</v>
      </c>
      <c r="L267" s="46" t="str">
        <f ca="1">IFERROR(__xludf.DUMMYFUNCTION("""COMPUTED_VALUE"""),"PTE")</f>
        <v>PTE</v>
      </c>
      <c r="M267" s="46" t="str">
        <f ca="1">IFERROR(__xludf.DUMMYFUNCTION("""COMPUTED_VALUE"""),"Leave")</f>
        <v>Leave</v>
      </c>
      <c r="N267" s="46" t="str">
        <f ca="1">IFERROR(__xludf.DUMMYFUNCTION("""COMPUTED_VALUE"""),"x")</f>
        <v>x</v>
      </c>
    </row>
    <row r="268" spans="1:14">
      <c r="A268" s="45"/>
      <c r="B268" s="45">
        <f ca="1">IFERROR(__xludf.DUMMYFUNCTION("""COMPUTED_VALUE"""),45292.625)</f>
        <v>45292.625</v>
      </c>
      <c r="C268" s="46">
        <f ca="1">IFERROR(__xludf.DUMMYFUNCTION("""COMPUTED_VALUE"""),269)</f>
        <v>269</v>
      </c>
      <c r="D268" s="47" t="str">
        <f ca="1">IFERROR(__xludf.DUMMYFUNCTION("""COMPUTED_VALUE"""),"BIT004")</f>
        <v>BIT004</v>
      </c>
      <c r="E268" s="46" t="str">
        <f ca="1">IFERROR(__xludf.DUMMYFUNCTION("""COMPUTED_VALUE"""),"LÂM TÂM NHƯ")</f>
        <v>LÂM TÂM NHƯ</v>
      </c>
      <c r="F268" s="46" t="str">
        <f ca="1">IFERROR(__xludf.DUMMYFUNCTION("""COMPUTED_VALUE"""),"LAM TAM NHU")</f>
        <v>LAM TAM NHU</v>
      </c>
      <c r="G268" s="45">
        <f ca="1">IFERROR(__xludf.DUMMYFUNCTION("""COMPUTED_VALUE"""),37880.5833333333)</f>
        <v>37880.583333333299</v>
      </c>
      <c r="H268" s="45" t="str">
        <f ca="1">IFERROR(__xludf.DUMMYFUNCTION("""COMPUTED_VALUE"""),"TLC")</f>
        <v>TLC</v>
      </c>
      <c r="I268" s="46" t="str">
        <f ca="1">IFERROR(__xludf.DUMMYFUNCTION("""COMPUTED_VALUE"""),"STORE")</f>
        <v>STORE</v>
      </c>
      <c r="J268" s="46" t="str">
        <f ca="1">IFERROR(__xludf.DUMMYFUNCTION("""COMPUTED_VALUE"""),"BITEXCO")</f>
        <v>BITEXCO</v>
      </c>
      <c r="K268" s="46" t="str">
        <f ca="1">IFERROR(__xludf.DUMMYFUNCTION("""COMPUTED_VALUE"""),"STR")</f>
        <v>STR</v>
      </c>
      <c r="L268" s="46" t="str">
        <f ca="1">IFERROR(__xludf.DUMMYFUNCTION("""COMPUTED_VALUE"""),"PTE")</f>
        <v>PTE</v>
      </c>
      <c r="M268" s="46" t="str">
        <f ca="1">IFERROR(__xludf.DUMMYFUNCTION("""COMPUTED_VALUE"""),"Leave")</f>
        <v>Leave</v>
      </c>
      <c r="N268" s="46" t="str">
        <f ca="1">IFERROR(__xludf.DUMMYFUNCTION("""COMPUTED_VALUE"""),"x")</f>
        <v>x</v>
      </c>
    </row>
    <row r="269" spans="1:14">
      <c r="A269" s="45"/>
      <c r="B269" s="45">
        <f ca="1">IFERROR(__xludf.DUMMYFUNCTION("""COMPUTED_VALUE"""),45292.625)</f>
        <v>45292.625</v>
      </c>
      <c r="C269" s="46">
        <f ca="1">IFERROR(__xludf.DUMMYFUNCTION("""COMPUTED_VALUE"""),270)</f>
        <v>270</v>
      </c>
      <c r="D269" s="47" t="str">
        <f ca="1">IFERROR(__xludf.DUMMYFUNCTION("""COMPUTED_VALUE"""),"BIT005")</f>
        <v>BIT005</v>
      </c>
      <c r="E269" s="46" t="str">
        <f ca="1">IFERROR(__xludf.DUMMYFUNCTION("""COMPUTED_VALUE"""),"NGUYỄN THANH PHONG")</f>
        <v>NGUYỄN THANH PHONG</v>
      </c>
      <c r="F269" s="46" t="str">
        <f ca="1">IFERROR(__xludf.DUMMYFUNCTION("""COMPUTED_VALUE"""),"NGUYEN THANH PHONG")</f>
        <v>NGUYEN THANH PHONG</v>
      </c>
      <c r="G269" s="45">
        <f ca="1">IFERROR(__xludf.DUMMYFUNCTION("""COMPUTED_VALUE"""),37902.5833333333)</f>
        <v>37902.583333333299</v>
      </c>
      <c r="H269" s="45" t="str">
        <f ca="1">IFERROR(__xludf.DUMMYFUNCTION("""COMPUTED_VALUE"""),"TLC")</f>
        <v>TLC</v>
      </c>
      <c r="I269" s="46" t="str">
        <f ca="1">IFERROR(__xludf.DUMMYFUNCTION("""COMPUTED_VALUE"""),"STORE")</f>
        <v>STORE</v>
      </c>
      <c r="J269" s="46" t="str">
        <f ca="1">IFERROR(__xludf.DUMMYFUNCTION("""COMPUTED_VALUE"""),"BITEXCO")</f>
        <v>BITEXCO</v>
      </c>
      <c r="K269" s="46" t="str">
        <f ca="1">IFERROR(__xludf.DUMMYFUNCTION("""COMPUTED_VALUE"""),"STR")</f>
        <v>STR</v>
      </c>
      <c r="L269" s="46" t="str">
        <f ca="1">IFERROR(__xludf.DUMMYFUNCTION("""COMPUTED_VALUE"""),"PTE")</f>
        <v>PTE</v>
      </c>
      <c r="M269" s="46" t="str">
        <f ca="1">IFERROR(__xludf.DUMMYFUNCTION("""COMPUTED_VALUE"""),"Leave")</f>
        <v>Leave</v>
      </c>
      <c r="N269" s="46" t="str">
        <f ca="1">IFERROR(__xludf.DUMMYFUNCTION("""COMPUTED_VALUE"""),"x")</f>
        <v>x</v>
      </c>
    </row>
    <row r="270" spans="1:14">
      <c r="A270" s="45"/>
      <c r="B270" s="45">
        <f ca="1">IFERROR(__xludf.DUMMYFUNCTION("""COMPUTED_VALUE"""),45292.625)</f>
        <v>45292.625</v>
      </c>
      <c r="C270" s="46">
        <f ca="1">IFERROR(__xludf.DUMMYFUNCTION("""COMPUTED_VALUE"""),271)</f>
        <v>271</v>
      </c>
      <c r="D270" s="47" t="str">
        <f ca="1">IFERROR(__xludf.DUMMYFUNCTION("""COMPUTED_VALUE"""),"BIT006")</f>
        <v>BIT006</v>
      </c>
      <c r="E270" s="46" t="str">
        <f ca="1">IFERROR(__xludf.DUMMYFUNCTION("""COMPUTED_VALUE"""),"TRẦN QUỐC HUY")</f>
        <v>TRẦN QUỐC HUY</v>
      </c>
      <c r="F270" s="46" t="str">
        <f ca="1">IFERROR(__xludf.DUMMYFUNCTION("""COMPUTED_VALUE"""),"TRAN QUOC HUY")</f>
        <v>TRAN QUOC HUY</v>
      </c>
      <c r="G270" s="45">
        <f ca="1">IFERROR(__xludf.DUMMYFUNCTION("""COMPUTED_VALUE"""),37570.625)</f>
        <v>37570.625</v>
      </c>
      <c r="H270" s="45" t="str">
        <f ca="1">IFERROR(__xludf.DUMMYFUNCTION("""COMPUTED_VALUE"""),"TLC")</f>
        <v>TLC</v>
      </c>
      <c r="I270" s="46" t="str">
        <f ca="1">IFERROR(__xludf.DUMMYFUNCTION("""COMPUTED_VALUE"""),"STORE")</f>
        <v>STORE</v>
      </c>
      <c r="J270" s="46" t="str">
        <f ca="1">IFERROR(__xludf.DUMMYFUNCTION("""COMPUTED_VALUE"""),"BITEXCO")</f>
        <v>BITEXCO</v>
      </c>
      <c r="K270" s="46" t="str">
        <f ca="1">IFERROR(__xludf.DUMMYFUNCTION("""COMPUTED_VALUE"""),"STR")</f>
        <v>STR</v>
      </c>
      <c r="L270" s="46" t="str">
        <f ca="1">IFERROR(__xludf.DUMMYFUNCTION("""COMPUTED_VALUE"""),"PTE")</f>
        <v>PTE</v>
      </c>
      <c r="M270" s="46" t="str">
        <f ca="1">IFERROR(__xludf.DUMMYFUNCTION("""COMPUTED_VALUE"""),"Leave")</f>
        <v>Leave</v>
      </c>
      <c r="N270" s="46" t="str">
        <f ca="1">IFERROR(__xludf.DUMMYFUNCTION("""COMPUTED_VALUE"""),"x")</f>
        <v>x</v>
      </c>
    </row>
    <row r="271" spans="1:14">
      <c r="A271" s="45"/>
      <c r="B271" s="45" t="str">
        <f ca="1">IFERROR(__xludf.DUMMYFUNCTION("""COMPUTED_VALUE"""),"Đã nghỉ")</f>
        <v>Đã nghỉ</v>
      </c>
      <c r="C271" s="46">
        <f ca="1">IFERROR(__xludf.DUMMYFUNCTION("""COMPUTED_VALUE"""),272)</f>
        <v>272</v>
      </c>
      <c r="D271" s="47" t="str">
        <f ca="1">IFERROR(__xludf.DUMMYFUNCTION("""COMPUTED_VALUE"""),"BIT007")</f>
        <v>BIT007</v>
      </c>
      <c r="E271" s="46" t="str">
        <f ca="1">IFERROR(__xludf.DUMMYFUNCTION("""COMPUTED_VALUE"""),"LÂM NHỰT HÀO")</f>
        <v>LÂM NHỰT HÀO</v>
      </c>
      <c r="F271" s="46" t="str">
        <f ca="1">IFERROR(__xludf.DUMMYFUNCTION("""COMPUTED_VALUE"""),"LAM NHUT HAO")</f>
        <v>LAM NHUT HAO</v>
      </c>
      <c r="G271" s="45"/>
      <c r="H271" s="45" t="str">
        <f ca="1">IFERROR(__xludf.DUMMYFUNCTION("""COMPUTED_VALUE"""),"TLC")</f>
        <v>TLC</v>
      </c>
      <c r="I271" s="46" t="str">
        <f ca="1">IFERROR(__xludf.DUMMYFUNCTION("""COMPUTED_VALUE"""),"STORE")</f>
        <v>STORE</v>
      </c>
      <c r="J271" s="46" t="str">
        <f ca="1">IFERROR(__xludf.DUMMYFUNCTION("""COMPUTED_VALUE"""),"BITEXCO")</f>
        <v>BITEXCO</v>
      </c>
      <c r="K271" s="46" t="str">
        <f ca="1">IFERROR(__xludf.DUMMYFUNCTION("""COMPUTED_VALUE"""),"STR")</f>
        <v>STR</v>
      </c>
      <c r="L271" s="46" t="str">
        <f ca="1">IFERROR(__xludf.DUMMYFUNCTION("""COMPUTED_VALUE"""),"PTE")</f>
        <v>PTE</v>
      </c>
      <c r="M271" s="46" t="str">
        <f ca="1">IFERROR(__xludf.DUMMYFUNCTION("""COMPUTED_VALUE"""),"Leave")</f>
        <v>Leave</v>
      </c>
      <c r="N271" s="46" t="str">
        <f ca="1">IFERROR(__xludf.DUMMYFUNCTION("""COMPUTED_VALUE"""),"x")</f>
        <v>x</v>
      </c>
    </row>
    <row r="272" spans="1:14">
      <c r="A272" s="45"/>
      <c r="B272" s="45" t="str">
        <f ca="1">IFERROR(__xludf.DUMMYFUNCTION("""COMPUTED_VALUE"""),"Đã nghỉ")</f>
        <v>Đã nghỉ</v>
      </c>
      <c r="C272" s="46">
        <f ca="1">IFERROR(__xludf.DUMMYFUNCTION("""COMPUTED_VALUE"""),273)</f>
        <v>273</v>
      </c>
      <c r="D272" s="47" t="str">
        <f ca="1">IFERROR(__xludf.DUMMYFUNCTION("""COMPUTED_VALUE"""),"BMA")</f>
        <v>BMA</v>
      </c>
      <c r="E272" s="46" t="str">
        <f ca="1">IFERROR(__xludf.DUMMYFUNCTION("""COMPUTED_VALUE"""),"BÙI MINH ANH")</f>
        <v>BÙI MINH ANH</v>
      </c>
      <c r="F272" s="46" t="str">
        <f ca="1">IFERROR(__xludf.DUMMYFUNCTION("""COMPUTED_VALUE"""),"BUI MINH ANH")</f>
        <v>BUI MINH ANH</v>
      </c>
      <c r="G272" s="45">
        <f ca="1">IFERROR(__xludf.DUMMYFUNCTION("""COMPUTED_VALUE"""),36376.5833333333)</f>
        <v>36376.583333333299</v>
      </c>
      <c r="H272" s="45" t="str">
        <f ca="1">IFERROR(__xludf.DUMMYFUNCTION("""COMPUTED_VALUE"""),"SHADOW")</f>
        <v>SHADOW</v>
      </c>
      <c r="I272" s="46" t="str">
        <f ca="1">IFERROR(__xludf.DUMMYFUNCTION("""COMPUTED_VALUE"""),"STORE")</f>
        <v>STORE</v>
      </c>
      <c r="J272" s="46" t="str">
        <f ca="1">IFERROR(__xludf.DUMMYFUNCTION("""COMPUTED_VALUE"""),"BAKES PASTEUR")</f>
        <v>BAKES PASTEUR</v>
      </c>
      <c r="K272" s="46" t="str">
        <f ca="1">IFERROR(__xludf.DUMMYFUNCTION("""COMPUTED_VALUE"""),"STR")</f>
        <v>STR</v>
      </c>
      <c r="L272" s="46" t="str">
        <f ca="1">IFERROR(__xludf.DUMMYFUNCTION("""COMPUTED_VALUE"""),"PTE")</f>
        <v>PTE</v>
      </c>
      <c r="M272" s="46" t="str">
        <f ca="1">IFERROR(__xludf.DUMMYFUNCTION("""COMPUTED_VALUE"""),"Leave")</f>
        <v>Leave</v>
      </c>
      <c r="N272" s="46" t="str">
        <f ca="1">IFERROR(__xludf.DUMMYFUNCTION("""COMPUTED_VALUE"""),"x")</f>
        <v>x</v>
      </c>
    </row>
    <row r="273" spans="1:14">
      <c r="A273" s="45">
        <f ca="1">IFERROR(__xludf.DUMMYFUNCTION("""COMPUTED_VALUE"""),41501.5833333333)</f>
        <v>41501.583333333299</v>
      </c>
      <c r="B273" s="45"/>
      <c r="C273" s="46">
        <f ca="1">IFERROR(__xludf.DUMMYFUNCTION("""COMPUTED_VALUE"""),274)</f>
        <v>274</v>
      </c>
      <c r="D273" s="47" t="str">
        <f ca="1">IFERROR(__xludf.DUMMYFUNCTION("""COMPUTED_VALUE"""),"C0001")</f>
        <v>C0001</v>
      </c>
      <c r="E273" s="46" t="str">
        <f ca="1">IFERROR(__xludf.DUMMYFUNCTION("""COMPUTED_VALUE"""),"LÊ TUÂN")</f>
        <v>LÊ TUÂN</v>
      </c>
      <c r="F273" s="46" t="str">
        <f ca="1">IFERROR(__xludf.DUMMYFUNCTION("""COMPUTED_VALUE"""),"LE TUAN")</f>
        <v>LE TUAN</v>
      </c>
      <c r="G273" s="45">
        <f ca="1">IFERROR(__xludf.DUMMYFUNCTION("""COMPUTED_VALUE"""),31331.5833333333)</f>
        <v>31331.583333333299</v>
      </c>
      <c r="H273" s="45" t="str">
        <f ca="1">IFERROR(__xludf.DUMMYFUNCTION("""COMPUTED_VALUE"""),"TLC")</f>
        <v>TLC</v>
      </c>
      <c r="I273" s="46" t="str">
        <f ca="1">IFERROR(__xludf.DUMMYFUNCTION("""COMPUTED_VALUE"""),"HO")</f>
        <v>HO</v>
      </c>
      <c r="J273" s="46" t="str">
        <f ca="1">IFERROR(__xludf.DUMMYFUNCTION("""COMPUTED_VALUE"""),"BOD")</f>
        <v>BOD</v>
      </c>
      <c r="K273" s="46" t="str">
        <f ca="1">IFERROR(__xludf.DUMMYFUNCTION("""COMPUTED_VALUE"""),"BOD")</f>
        <v>BOD</v>
      </c>
      <c r="L273" s="46" t="str">
        <f ca="1">IFERROR(__xludf.DUMMYFUNCTION("""COMPUTED_VALUE"""),"FTE")</f>
        <v>FTE</v>
      </c>
      <c r="M273" s="46" t="str">
        <f ca="1">IFERROR(__xludf.DUMMYFUNCTION("""COMPUTED_VALUE"""),"On")</f>
        <v>On</v>
      </c>
      <c r="N273" s="46" t="str">
        <f ca="1">IFERROR(__xludf.DUMMYFUNCTION("""COMPUTED_VALUE"""),"đủ")</f>
        <v>đủ</v>
      </c>
    </row>
    <row r="274" spans="1:14">
      <c r="A274" s="45">
        <f ca="1">IFERROR(__xludf.DUMMYFUNCTION("""COMPUTED_VALUE"""),45870.5833333333)</f>
        <v>45870.583333333299</v>
      </c>
      <c r="B274" s="45"/>
      <c r="C274" s="46">
        <f ca="1">IFERROR(__xludf.DUMMYFUNCTION("""COMPUTED_VALUE"""),275)</f>
        <v>275</v>
      </c>
      <c r="D274" s="47" t="str">
        <f ca="1">IFERROR(__xludf.DUMMYFUNCTION("""COMPUTED_VALUE"""),"C0001X")</f>
        <v>C0001X</v>
      </c>
      <c r="E274" s="46" t="str">
        <f ca="1">IFERROR(__xludf.DUMMYFUNCTION("""COMPUTED_VALUE"""),"LÊ TUÂN")</f>
        <v>LÊ TUÂN</v>
      </c>
      <c r="F274" s="46" t="str">
        <f ca="1">IFERROR(__xludf.DUMMYFUNCTION("""COMPUTED_VALUE"""),"LE TUAN")</f>
        <v>LE TUAN</v>
      </c>
      <c r="G274" s="45">
        <f ca="1">IFERROR(__xludf.DUMMYFUNCTION("""COMPUTED_VALUE"""),31331.5833333333)</f>
        <v>31331.583333333299</v>
      </c>
      <c r="H274" s="45" t="str">
        <f ca="1">IFERROR(__xludf.DUMMYFUNCTION("""COMPUTED_VALUE"""),"YESHI")</f>
        <v>YESHI</v>
      </c>
      <c r="I274" s="46" t="str">
        <f ca="1">IFERROR(__xludf.DUMMYFUNCTION("""COMPUTED_VALUE"""),"HO")</f>
        <v>HO</v>
      </c>
      <c r="J274" s="46" t="str">
        <f ca="1">IFERROR(__xludf.DUMMYFUNCTION("""COMPUTED_VALUE"""),"BOD")</f>
        <v>BOD</v>
      </c>
      <c r="K274" s="46" t="str">
        <f ca="1">IFERROR(__xludf.DUMMYFUNCTION("""COMPUTED_VALUE"""),"BOD")</f>
        <v>BOD</v>
      </c>
      <c r="L274" s="46" t="str">
        <f ca="1">IFERROR(__xludf.DUMMYFUNCTION("""COMPUTED_VALUE"""),"FTE")</f>
        <v>FTE</v>
      </c>
      <c r="M274" s="46" t="str">
        <f ca="1">IFERROR(__xludf.DUMMYFUNCTION("""COMPUTED_VALUE"""),"On")</f>
        <v>On</v>
      </c>
      <c r="N274" s="46" t="str">
        <f ca="1">IFERROR(__xludf.DUMMYFUNCTION("""COMPUTED_VALUE"""),"đủ")</f>
        <v>đủ</v>
      </c>
    </row>
    <row r="275" spans="1:14">
      <c r="A275" s="45">
        <f ca="1">IFERROR(__xludf.DUMMYFUNCTION("""COMPUTED_VALUE"""),43095.625)</f>
        <v>43095.625</v>
      </c>
      <c r="B275" s="45"/>
      <c r="C275" s="46">
        <f ca="1">IFERROR(__xludf.DUMMYFUNCTION("""COMPUTED_VALUE"""),276)</f>
        <v>276</v>
      </c>
      <c r="D275" s="47" t="str">
        <f ca="1">IFERROR(__xludf.DUMMYFUNCTION("""COMPUTED_VALUE"""),"C0003")</f>
        <v>C0003</v>
      </c>
      <c r="E275" s="46" t="str">
        <f ca="1">IFERROR(__xludf.DUMMYFUNCTION("""COMPUTED_VALUE"""),"NGUYỄN THỤY PHƯƠNG ANH")</f>
        <v>NGUYỄN THỤY PHƯƠNG ANH</v>
      </c>
      <c r="F275" s="46" t="str">
        <f ca="1">IFERROR(__xludf.DUMMYFUNCTION("""COMPUTED_VALUE"""),"NGUYEN THUY PHUONG ANH")</f>
        <v>NGUYEN THUY PHUONG ANH</v>
      </c>
      <c r="G275" s="45">
        <f ca="1">IFERROR(__xludf.DUMMYFUNCTION("""COMPUTED_VALUE"""),33342.5833333333)</f>
        <v>33342.583333333299</v>
      </c>
      <c r="H275" s="45" t="str">
        <f ca="1">IFERROR(__xludf.DUMMYFUNCTION("""COMPUTED_VALUE"""),"TLC")</f>
        <v>TLC</v>
      </c>
      <c r="I275" s="46" t="str">
        <f ca="1">IFERROR(__xludf.DUMMYFUNCTION("""COMPUTED_VALUE"""),"HO")</f>
        <v>HO</v>
      </c>
      <c r="J275" s="46" t="str">
        <f ca="1">IFERROR(__xludf.DUMMYFUNCTION("""COMPUTED_VALUE"""),"BOD")</f>
        <v>BOD</v>
      </c>
      <c r="K275" s="46" t="str">
        <f ca="1">IFERROR(__xludf.DUMMYFUNCTION("""COMPUTED_VALUE"""),"BOD")</f>
        <v>BOD</v>
      </c>
      <c r="L275" s="46" t="str">
        <f ca="1">IFERROR(__xludf.DUMMYFUNCTION("""COMPUTED_VALUE"""),"FTE")</f>
        <v>FTE</v>
      </c>
      <c r="M275" s="46" t="str">
        <f ca="1">IFERROR(__xludf.DUMMYFUNCTION("""COMPUTED_VALUE"""),"On")</f>
        <v>On</v>
      </c>
      <c r="N275" s="46" t="str">
        <f ca="1">IFERROR(__xludf.DUMMYFUNCTION("""COMPUTED_VALUE"""),"đủ")</f>
        <v>đủ</v>
      </c>
    </row>
    <row r="276" spans="1:14">
      <c r="A276" s="45">
        <f ca="1">IFERROR(__xludf.DUMMYFUNCTION("""COMPUTED_VALUE"""),45870.5833333333)</f>
        <v>45870.583333333299</v>
      </c>
      <c r="B276" s="45"/>
      <c r="C276" s="46">
        <f ca="1">IFERROR(__xludf.DUMMYFUNCTION("""COMPUTED_VALUE"""),277)</f>
        <v>277</v>
      </c>
      <c r="D276" s="47" t="str">
        <f ca="1">IFERROR(__xludf.DUMMYFUNCTION("""COMPUTED_VALUE"""),"C0003X")</f>
        <v>C0003X</v>
      </c>
      <c r="E276" s="46" t="str">
        <f ca="1">IFERROR(__xludf.DUMMYFUNCTION("""COMPUTED_VALUE"""),"NGUYỄN THỤY PHƯƠNG ANH")</f>
        <v>NGUYỄN THỤY PHƯƠNG ANH</v>
      </c>
      <c r="F276" s="46" t="str">
        <f ca="1">IFERROR(__xludf.DUMMYFUNCTION("""COMPUTED_VALUE"""),"NGUYEN THUY PHUONG ANH")</f>
        <v>NGUYEN THUY PHUONG ANH</v>
      </c>
      <c r="G276" s="45">
        <f ca="1">IFERROR(__xludf.DUMMYFUNCTION("""COMPUTED_VALUE"""),33342.5833333333)</f>
        <v>33342.583333333299</v>
      </c>
      <c r="H276" s="45" t="str">
        <f ca="1">IFERROR(__xludf.DUMMYFUNCTION("""COMPUTED_VALUE"""),"YESHI")</f>
        <v>YESHI</v>
      </c>
      <c r="I276" s="46" t="str">
        <f ca="1">IFERROR(__xludf.DUMMYFUNCTION("""COMPUTED_VALUE"""),"HO")</f>
        <v>HO</v>
      </c>
      <c r="J276" s="46" t="str">
        <f ca="1">IFERROR(__xludf.DUMMYFUNCTION("""COMPUTED_VALUE"""),"BOD")</f>
        <v>BOD</v>
      </c>
      <c r="K276" s="46" t="str">
        <f ca="1">IFERROR(__xludf.DUMMYFUNCTION("""COMPUTED_VALUE"""),"BOD")</f>
        <v>BOD</v>
      </c>
      <c r="L276" s="46" t="str">
        <f ca="1">IFERROR(__xludf.DUMMYFUNCTION("""COMPUTED_VALUE"""),"FTE")</f>
        <v>FTE</v>
      </c>
      <c r="M276" s="46" t="str">
        <f ca="1">IFERROR(__xludf.DUMMYFUNCTION("""COMPUTED_VALUE"""),"On")</f>
        <v>On</v>
      </c>
      <c r="N276" s="46" t="str">
        <f ca="1">IFERROR(__xludf.DUMMYFUNCTION("""COMPUTED_VALUE"""),"đủ")</f>
        <v>đủ</v>
      </c>
    </row>
    <row r="277" spans="1:14">
      <c r="A277" s="45">
        <f ca="1">IFERROR(__xludf.DUMMYFUNCTION("""COMPUTED_VALUE"""),43291.5833333333)</f>
        <v>43291.583333333299</v>
      </c>
      <c r="B277" s="45">
        <f ca="1">IFERROR(__xludf.DUMMYFUNCTION("""COMPUTED_VALUE"""),45779.5833333333)</f>
        <v>45779.583333333299</v>
      </c>
      <c r="C277" s="46">
        <f ca="1">IFERROR(__xludf.DUMMYFUNCTION("""COMPUTED_VALUE"""),278)</f>
        <v>278</v>
      </c>
      <c r="D277" s="47" t="str">
        <f ca="1">IFERROR(__xludf.DUMMYFUNCTION("""COMPUTED_VALUE"""),"C0004")</f>
        <v>C0004</v>
      </c>
      <c r="E277" s="46" t="str">
        <f ca="1">IFERROR(__xludf.DUMMYFUNCTION("""COMPUTED_VALUE"""),"LÊ HUỲNH ANH THƯ")</f>
        <v>LÊ HUỲNH ANH THƯ</v>
      </c>
      <c r="F277" s="46" t="str">
        <f ca="1">IFERROR(__xludf.DUMMYFUNCTION("""COMPUTED_VALUE"""),"LE HUYNH ANH THU")</f>
        <v>LE HUYNH ANH THU</v>
      </c>
      <c r="G277" s="45">
        <f ca="1">IFERROR(__xludf.DUMMYFUNCTION("""COMPUTED_VALUE"""),33971.625)</f>
        <v>33971.625</v>
      </c>
      <c r="H277" s="45" t="str">
        <f ca="1">IFERROR(__xludf.DUMMYFUNCTION("""COMPUTED_VALUE"""),"CREATIVE")</f>
        <v>CREATIVE</v>
      </c>
      <c r="I277" s="46" t="str">
        <f ca="1">IFERROR(__xludf.DUMMYFUNCTION("""COMPUTED_VALUE"""),"HO")</f>
        <v>HO</v>
      </c>
      <c r="J277" s="46" t="str">
        <f ca="1">IFERROR(__xludf.DUMMYFUNCTION("""COMPUTED_VALUE"""),"SPA")</f>
        <v>SPA</v>
      </c>
      <c r="K277" s="46" t="str">
        <f ca="1">IFERROR(__xludf.DUMMYFUNCTION("""COMPUTED_VALUE"""),"SPA")</f>
        <v>SPA</v>
      </c>
      <c r="L277" s="46" t="str">
        <f ca="1">IFERROR(__xludf.DUMMYFUNCTION("""COMPUTED_VALUE"""),"FTE")</f>
        <v>FTE</v>
      </c>
      <c r="M277" s="46" t="str">
        <f ca="1">IFERROR(__xludf.DUMMYFUNCTION("""COMPUTED_VALUE"""),"Leave")</f>
        <v>Leave</v>
      </c>
      <c r="N277" s="46" t="str">
        <f ca="1">IFERROR(__xludf.DUMMYFUNCTION("""COMPUTED_VALUE"""),"x")</f>
        <v>x</v>
      </c>
    </row>
    <row r="278" spans="1:14">
      <c r="A278" s="45">
        <f ca="1">IFERROR(__xludf.DUMMYFUNCTION("""COMPUTED_VALUE"""),43571.5833333333)</f>
        <v>43571.583333333299</v>
      </c>
      <c r="B278" s="45"/>
      <c r="C278" s="46">
        <f ca="1">IFERROR(__xludf.DUMMYFUNCTION("""COMPUTED_VALUE"""),279)</f>
        <v>279</v>
      </c>
      <c r="D278" s="47" t="str">
        <f ca="1">IFERROR(__xludf.DUMMYFUNCTION("""COMPUTED_VALUE"""),"C0006")</f>
        <v>C0006</v>
      </c>
      <c r="E278" s="46" t="str">
        <f ca="1">IFERROR(__xludf.DUMMYFUNCTION("""COMPUTED_VALUE"""),"LÊ BÁ QUỐC HÙNG")</f>
        <v>LÊ BÁ QUỐC HÙNG</v>
      </c>
      <c r="F278" s="46" t="str">
        <f ca="1">IFERROR(__xludf.DUMMYFUNCTION("""COMPUTED_VALUE"""),"LE BA QUOC HUNG")</f>
        <v>LE BA QUOC HUNG</v>
      </c>
      <c r="G278" s="45">
        <f ca="1">IFERROR(__xludf.DUMMYFUNCTION("""COMPUTED_VALUE"""),33867.5833333333)</f>
        <v>33867.583333333299</v>
      </c>
      <c r="H278" s="45" t="str">
        <f ca="1">IFERROR(__xludf.DUMMYFUNCTION("""COMPUTED_VALUE"""),"CREATIVE")</f>
        <v>CREATIVE</v>
      </c>
      <c r="I278" s="46" t="str">
        <f ca="1">IFERROR(__xludf.DUMMYFUNCTION("""COMPUTED_VALUE"""),"HO")</f>
        <v>HO</v>
      </c>
      <c r="J278" s="46" t="str">
        <f ca="1">IFERROR(__xludf.DUMMYFUNCTION("""COMPUTED_VALUE"""),"IAT")</f>
        <v>IAT</v>
      </c>
      <c r="K278" s="46" t="str">
        <f ca="1">IFERROR(__xludf.DUMMYFUNCTION("""COMPUTED_VALUE"""),"IAT")</f>
        <v>IAT</v>
      </c>
      <c r="L278" s="46" t="str">
        <f ca="1">IFERROR(__xludf.DUMMYFUNCTION("""COMPUTED_VALUE"""),"FTE")</f>
        <v>FTE</v>
      </c>
      <c r="M278" s="46" t="str">
        <f ca="1">IFERROR(__xludf.DUMMYFUNCTION("""COMPUTED_VALUE"""),"On")</f>
        <v>On</v>
      </c>
      <c r="N278" s="46" t="str">
        <f ca="1">IFERROR(__xludf.DUMMYFUNCTION("""COMPUTED_VALUE"""),"đủ")</f>
        <v>đủ</v>
      </c>
    </row>
    <row r="279" spans="1:14">
      <c r="A279" s="45">
        <f ca="1">IFERROR(__xludf.DUMMYFUNCTION("""COMPUTED_VALUE"""),43766.5833333333)</f>
        <v>43766.583333333299</v>
      </c>
      <c r="B279" s="45"/>
      <c r="C279" s="46">
        <f ca="1">IFERROR(__xludf.DUMMYFUNCTION("""COMPUTED_VALUE"""),280)</f>
        <v>280</v>
      </c>
      <c r="D279" s="47" t="str">
        <f ca="1">IFERROR(__xludf.DUMMYFUNCTION("""COMPUTED_VALUE"""),"C0008")</f>
        <v>C0008</v>
      </c>
      <c r="E279" s="46" t="str">
        <f ca="1">IFERROR(__xludf.DUMMYFUNCTION("""COMPUTED_VALUE"""),"ĐẶNG THỊ THANH TRÂM")</f>
        <v>ĐẶNG THỊ THANH TRÂM</v>
      </c>
      <c r="F279" s="46" t="str">
        <f ca="1">IFERROR(__xludf.DUMMYFUNCTION("""COMPUTED_VALUE"""),"DANG THI THANH TRAM")</f>
        <v>DANG THI THANH TRAM</v>
      </c>
      <c r="G279" s="45">
        <f ca="1">IFERROR(__xludf.DUMMYFUNCTION("""COMPUTED_VALUE"""),35246.5833333333)</f>
        <v>35246.583333333299</v>
      </c>
      <c r="H279" s="45" t="str">
        <f ca="1">IFERROR(__xludf.DUMMYFUNCTION("""COMPUTED_VALUE"""),"TLC")</f>
        <v>TLC</v>
      </c>
      <c r="I279" s="46" t="str">
        <f ca="1">IFERROR(__xludf.DUMMYFUNCTION("""COMPUTED_VALUE"""),"HO")</f>
        <v>HO</v>
      </c>
      <c r="J279" s="46" t="str">
        <f ca="1">IFERROR(__xludf.DUMMYFUNCTION("""COMPUTED_VALUE"""),"CE")</f>
        <v>CE</v>
      </c>
      <c r="K279" s="46" t="str">
        <f ca="1">IFERROR(__xludf.DUMMYFUNCTION("""COMPUTED_VALUE"""),"CE")</f>
        <v>CE</v>
      </c>
      <c r="L279" s="46" t="str">
        <f ca="1">IFERROR(__xludf.DUMMYFUNCTION("""COMPUTED_VALUE"""),"FTE")</f>
        <v>FTE</v>
      </c>
      <c r="M279" s="46" t="str">
        <f ca="1">IFERROR(__xludf.DUMMYFUNCTION("""COMPUTED_VALUE"""),"On")</f>
        <v>On</v>
      </c>
      <c r="N279" s="46" t="str">
        <f ca="1">IFERROR(__xludf.DUMMYFUNCTION("""COMPUTED_VALUE"""),"đủ")</f>
        <v>đủ</v>
      </c>
    </row>
    <row r="280" spans="1:14">
      <c r="A280" s="45">
        <f ca="1">IFERROR(__xludf.DUMMYFUNCTION("""COMPUTED_VALUE"""),43934.5833333333)</f>
        <v>43934.583333333299</v>
      </c>
      <c r="B280" s="45" t="str">
        <f ca="1">IFERROR(__xludf.DUMMYFUNCTION("""COMPUTED_VALUE"""),"Đã nghỉ")</f>
        <v>Đã nghỉ</v>
      </c>
      <c r="C280" s="46">
        <f ca="1">IFERROR(__xludf.DUMMYFUNCTION("""COMPUTED_VALUE"""),281)</f>
        <v>281</v>
      </c>
      <c r="D280" s="47" t="str">
        <f ca="1">IFERROR(__xludf.DUMMYFUNCTION("""COMPUTED_VALUE"""),"C0010")</f>
        <v>C0010</v>
      </c>
      <c r="E280" s="46" t="str">
        <f ca="1">IFERROR(__xludf.DUMMYFUNCTION("""COMPUTED_VALUE"""),"ĐINH QUỲNH BẢO TRANG")</f>
        <v>ĐINH QUỲNH BẢO TRANG</v>
      </c>
      <c r="F280" s="46" t="str">
        <f ca="1">IFERROR(__xludf.DUMMYFUNCTION("""COMPUTED_VALUE"""),"DINH QUYNH BAO TRANG")</f>
        <v>DINH QUYNH BAO TRANG</v>
      </c>
      <c r="G280" s="45">
        <f ca="1">IFERROR(__xludf.DUMMYFUNCTION("""COMPUTED_VALUE"""),34830.5833333333)</f>
        <v>34830.583333333299</v>
      </c>
      <c r="H280" s="45" t="str">
        <f ca="1">IFERROR(__xludf.DUMMYFUNCTION("""COMPUTED_VALUE"""),"CREATIVE")</f>
        <v>CREATIVE</v>
      </c>
      <c r="I280" s="46" t="str">
        <f ca="1">IFERROR(__xludf.DUMMYFUNCTION("""COMPUTED_VALUE"""),"HO")</f>
        <v>HO</v>
      </c>
      <c r="J280" s="46" t="str">
        <f ca="1">IFERROR(__xludf.DUMMYFUNCTION("""COMPUTED_VALUE"""),"GRA")</f>
        <v>GRA</v>
      </c>
      <c r="K280" s="46" t="str">
        <f ca="1">IFERROR(__xludf.DUMMYFUNCTION("""COMPUTED_VALUE"""),"GRA")</f>
        <v>GRA</v>
      </c>
      <c r="L280" s="46" t="str">
        <f ca="1">IFERROR(__xludf.DUMMYFUNCTION("""COMPUTED_VALUE"""),"FTE")</f>
        <v>FTE</v>
      </c>
      <c r="M280" s="46" t="str">
        <f ca="1">IFERROR(__xludf.DUMMYFUNCTION("""COMPUTED_VALUE"""),"Leave")</f>
        <v>Leave</v>
      </c>
      <c r="N280" s="46" t="str">
        <f ca="1">IFERROR(__xludf.DUMMYFUNCTION("""COMPUTED_VALUE"""),"x")</f>
        <v>x</v>
      </c>
    </row>
    <row r="281" spans="1:14">
      <c r="A281" s="45">
        <f ca="1">IFERROR(__xludf.DUMMYFUNCTION("""COMPUTED_VALUE"""),44207.625)</f>
        <v>44207.625</v>
      </c>
      <c r="B281" s="45">
        <f ca="1">IFERROR(__xludf.DUMMYFUNCTION("""COMPUTED_VALUE"""),45535.5833333333)</f>
        <v>45535.583333333299</v>
      </c>
      <c r="C281" s="46">
        <f ca="1">IFERROR(__xludf.DUMMYFUNCTION("""COMPUTED_VALUE"""),282)</f>
        <v>282</v>
      </c>
      <c r="D281" s="47" t="str">
        <f ca="1">IFERROR(__xludf.DUMMYFUNCTION("""COMPUTED_VALUE"""),"C0012")</f>
        <v>C0012</v>
      </c>
      <c r="E281" s="46" t="str">
        <f ca="1">IFERROR(__xludf.DUMMYFUNCTION("""COMPUTED_VALUE"""),"LÂM NGUYỄN TẤN DUY")</f>
        <v>LÂM NGUYỄN TẤN DUY</v>
      </c>
      <c r="F281" s="46" t="str">
        <f ca="1">IFERROR(__xludf.DUMMYFUNCTION("""COMPUTED_VALUE"""),"LAM NGUYEN TAN DUY")</f>
        <v>LAM NGUYEN TAN DUY</v>
      </c>
      <c r="G281" s="45">
        <f ca="1">IFERROR(__xludf.DUMMYFUNCTION("""COMPUTED_VALUE"""),36014.5833333333)</f>
        <v>36014.583333333299</v>
      </c>
      <c r="H281" s="45" t="str">
        <f ca="1">IFERROR(__xludf.DUMMYFUNCTION("""COMPUTED_VALUE"""),"CREATIVE")</f>
        <v>CREATIVE</v>
      </c>
      <c r="I281" s="46" t="str">
        <f ca="1">IFERROR(__xludf.DUMMYFUNCTION("""COMPUTED_VALUE"""),"HO")</f>
        <v>HO</v>
      </c>
      <c r="J281" s="46" t="str">
        <f ca="1">IFERROR(__xludf.DUMMYFUNCTION("""COMPUTED_VALUE"""),"SPD")</f>
        <v>SPD</v>
      </c>
      <c r="K281" s="46" t="str">
        <f ca="1">IFERROR(__xludf.DUMMYFUNCTION("""COMPUTED_VALUE"""),"SPD")</f>
        <v>SPD</v>
      </c>
      <c r="L281" s="46" t="str">
        <f ca="1">IFERROR(__xludf.DUMMYFUNCTION("""COMPUTED_VALUE"""),"FTE")</f>
        <v>FTE</v>
      </c>
      <c r="M281" s="46" t="str">
        <f ca="1">IFERROR(__xludf.DUMMYFUNCTION("""COMPUTED_VALUE"""),"Leave")</f>
        <v>Leave</v>
      </c>
      <c r="N281" s="46" t="str">
        <f ca="1">IFERROR(__xludf.DUMMYFUNCTION("""COMPUTED_VALUE"""),"x")</f>
        <v>x</v>
      </c>
    </row>
    <row r="282" spans="1:14">
      <c r="A282" s="45"/>
      <c r="B282" s="45" t="str">
        <f ca="1">IFERROR(__xludf.DUMMYFUNCTION("""COMPUTED_VALUE"""),"Đã nghỉ")</f>
        <v>Đã nghỉ</v>
      </c>
      <c r="C282" s="46">
        <f ca="1">IFERROR(__xludf.DUMMYFUNCTION("""COMPUTED_VALUE"""),283)</f>
        <v>283</v>
      </c>
      <c r="D282" s="47" t="str">
        <f ca="1">IFERROR(__xludf.DUMMYFUNCTION("""COMPUTED_VALUE"""),"C0013")</f>
        <v>C0013</v>
      </c>
      <c r="E282" s="46" t="str">
        <f ca="1">IFERROR(__xludf.DUMMYFUNCTION("""COMPUTED_VALUE"""),"NGUYỄN THANH TUẤN")</f>
        <v>NGUYỄN THANH TUẤN</v>
      </c>
      <c r="F282" s="46" t="str">
        <f ca="1">IFERROR(__xludf.DUMMYFUNCTION("""COMPUTED_VALUE"""),"NGUYEN THANH TUAN")</f>
        <v>NGUYEN THANH TUAN</v>
      </c>
      <c r="G282" s="45">
        <f ca="1">IFERROR(__xludf.DUMMYFUNCTION("""COMPUTED_VALUE"""),35994.5833333333)</f>
        <v>35994.583333333299</v>
      </c>
      <c r="H282" s="45" t="str">
        <f ca="1">IFERROR(__xludf.DUMMYFUNCTION("""COMPUTED_VALUE"""),"CREATIVE")</f>
        <v>CREATIVE</v>
      </c>
      <c r="I282" s="46" t="str">
        <f ca="1">IFERROR(__xludf.DUMMYFUNCTION("""COMPUTED_VALUE"""),"HO")</f>
        <v>HO</v>
      </c>
      <c r="J282" s="46" t="str">
        <f ca="1">IFERROR(__xludf.DUMMYFUNCTION("""COMPUTED_VALUE"""),"STU")</f>
        <v>STU</v>
      </c>
      <c r="K282" s="46" t="str">
        <f ca="1">IFERROR(__xludf.DUMMYFUNCTION("""COMPUTED_VALUE"""),"STU")</f>
        <v>STU</v>
      </c>
      <c r="L282" s="46" t="str">
        <f ca="1">IFERROR(__xludf.DUMMYFUNCTION("""COMPUTED_VALUE"""),"FTE")</f>
        <v>FTE</v>
      </c>
      <c r="M282" s="46" t="str">
        <f ca="1">IFERROR(__xludf.DUMMYFUNCTION("""COMPUTED_VALUE"""),"Leave")</f>
        <v>Leave</v>
      </c>
      <c r="N282" s="46" t="str">
        <f ca="1">IFERROR(__xludf.DUMMYFUNCTION("""COMPUTED_VALUE"""),"x")</f>
        <v>x</v>
      </c>
    </row>
    <row r="283" spans="1:14">
      <c r="A283" s="45">
        <f ca="1">IFERROR(__xludf.DUMMYFUNCTION("""COMPUTED_VALUE"""),44249.625)</f>
        <v>44249.625</v>
      </c>
      <c r="B283" s="45">
        <f ca="1">IFERROR(__xludf.DUMMYFUNCTION("""COMPUTED_VALUE"""),45685.625)</f>
        <v>45685.625</v>
      </c>
      <c r="C283" s="46">
        <f ca="1">IFERROR(__xludf.DUMMYFUNCTION("""COMPUTED_VALUE"""),284)</f>
        <v>284</v>
      </c>
      <c r="D283" s="47" t="str">
        <f ca="1">IFERROR(__xludf.DUMMYFUNCTION("""COMPUTED_VALUE"""),"C0014")</f>
        <v>C0014</v>
      </c>
      <c r="E283" s="46" t="str">
        <f ca="1">IFERROR(__xludf.DUMMYFUNCTION("""COMPUTED_VALUE"""),"HÀ ANH TUẤN")</f>
        <v>HÀ ANH TUẤN</v>
      </c>
      <c r="F283" s="46" t="str">
        <f ca="1">IFERROR(__xludf.DUMMYFUNCTION("""COMPUTED_VALUE"""),"HA ANH TUAN")</f>
        <v>HA ANH TUAN</v>
      </c>
      <c r="G283" s="45">
        <f ca="1">IFERROR(__xludf.DUMMYFUNCTION("""COMPUTED_VALUE"""),34657.625)</f>
        <v>34657.625</v>
      </c>
      <c r="H283" s="45" t="str">
        <f ca="1">IFERROR(__xludf.DUMMYFUNCTION("""COMPUTED_VALUE"""),"CREATIVE")</f>
        <v>CREATIVE</v>
      </c>
      <c r="I283" s="46" t="str">
        <f ca="1">IFERROR(__xludf.DUMMYFUNCTION("""COMPUTED_VALUE"""),"HO")</f>
        <v>HO</v>
      </c>
      <c r="J283" s="46" t="str">
        <f ca="1">IFERROR(__xludf.DUMMYFUNCTION("""COMPUTED_VALUE"""),"GRA")</f>
        <v>GRA</v>
      </c>
      <c r="K283" s="46" t="str">
        <f ca="1">IFERROR(__xludf.DUMMYFUNCTION("""COMPUTED_VALUE"""),"GRA")</f>
        <v>GRA</v>
      </c>
      <c r="L283" s="46" t="str">
        <f ca="1">IFERROR(__xludf.DUMMYFUNCTION("""COMPUTED_VALUE"""),"FTE")</f>
        <v>FTE</v>
      </c>
      <c r="M283" s="46" t="str">
        <f ca="1">IFERROR(__xludf.DUMMYFUNCTION("""COMPUTED_VALUE"""),"Leave")</f>
        <v>Leave</v>
      </c>
      <c r="N283" s="46" t="str">
        <f ca="1">IFERROR(__xludf.DUMMYFUNCTION("""COMPUTED_VALUE"""),"x")</f>
        <v>x</v>
      </c>
    </row>
    <row r="284" spans="1:14">
      <c r="A284" s="45">
        <f ca="1">IFERROR(__xludf.DUMMYFUNCTION("""COMPUTED_VALUE"""),44298.5833333333)</f>
        <v>44298.583333333299</v>
      </c>
      <c r="B284" s="45"/>
      <c r="C284" s="46">
        <f ca="1">IFERROR(__xludf.DUMMYFUNCTION("""COMPUTED_VALUE"""),285)</f>
        <v>285</v>
      </c>
      <c r="D284" s="47" t="str">
        <f ca="1">IFERROR(__xludf.DUMMYFUNCTION("""COMPUTED_VALUE"""),"C0015")</f>
        <v>C0015</v>
      </c>
      <c r="E284" s="46" t="str">
        <f ca="1">IFERROR(__xludf.DUMMYFUNCTION("""COMPUTED_VALUE"""),"NGUYỄN THỊ NGỌC ÁNH")</f>
        <v>NGUYỄN THỊ NGỌC ÁNH</v>
      </c>
      <c r="F284" s="46" t="str">
        <f ca="1">IFERROR(__xludf.DUMMYFUNCTION("""COMPUTED_VALUE"""),"NGUYEN THI NGOC ANH")</f>
        <v>NGUYEN THI NGOC ANH</v>
      </c>
      <c r="G284" s="45">
        <f ca="1">IFERROR(__xludf.DUMMYFUNCTION("""COMPUTED_VALUE"""),33101.5833333333)</f>
        <v>33101.583333333299</v>
      </c>
      <c r="H284" s="45" t="str">
        <f ca="1">IFERROR(__xludf.DUMMYFUNCTION("""COMPUTED_VALUE"""),"CREATIVE")</f>
        <v>CREATIVE</v>
      </c>
      <c r="I284" s="46" t="str">
        <f ca="1">IFERROR(__xludf.DUMMYFUNCTION("""COMPUTED_VALUE"""),"HO")</f>
        <v>HO</v>
      </c>
      <c r="J284" s="46" t="str">
        <f ca="1">IFERROR(__xludf.DUMMYFUNCTION("""COMPUTED_VALUE"""),"SPD")</f>
        <v>SPD</v>
      </c>
      <c r="K284" s="46" t="str">
        <f ca="1">IFERROR(__xludf.DUMMYFUNCTION("""COMPUTED_VALUE"""),"SPD")</f>
        <v>SPD</v>
      </c>
      <c r="L284" s="46" t="str">
        <f ca="1">IFERROR(__xludf.DUMMYFUNCTION("""COMPUTED_VALUE"""),"FTE")</f>
        <v>FTE</v>
      </c>
      <c r="M284" s="46" t="str">
        <f ca="1">IFERROR(__xludf.DUMMYFUNCTION("""COMPUTED_VALUE"""),"On")</f>
        <v>On</v>
      </c>
      <c r="N284" s="46" t="str">
        <f ca="1">IFERROR(__xludf.DUMMYFUNCTION("""COMPUTED_VALUE"""),"đủ")</f>
        <v>đủ</v>
      </c>
    </row>
    <row r="285" spans="1:14">
      <c r="A285" s="45">
        <f ca="1">IFERROR(__xludf.DUMMYFUNCTION("""COMPUTED_VALUE"""),44305.5833333333)</f>
        <v>44305.583333333299</v>
      </c>
      <c r="B285" s="45">
        <f ca="1">IFERROR(__xludf.DUMMYFUNCTION("""COMPUTED_VALUE"""),45108.5833333333)</f>
        <v>45108.583333333299</v>
      </c>
      <c r="C285" s="46">
        <f ca="1">IFERROR(__xludf.DUMMYFUNCTION("""COMPUTED_VALUE"""),286)</f>
        <v>286</v>
      </c>
      <c r="D285" s="47" t="str">
        <f ca="1">IFERROR(__xludf.DUMMYFUNCTION("""COMPUTED_VALUE"""),"C0016")</f>
        <v>C0016</v>
      </c>
      <c r="E285" s="46" t="str">
        <f ca="1">IFERROR(__xludf.DUMMYFUNCTION("""COMPUTED_VALUE"""),"ĐỖ TRUNG TÍN")</f>
        <v>ĐỖ TRUNG TÍN</v>
      </c>
      <c r="F285" s="46" t="str">
        <f ca="1">IFERROR(__xludf.DUMMYFUNCTION("""COMPUTED_VALUE"""),"DO TRUNG TIN")</f>
        <v>DO TRUNG TIN</v>
      </c>
      <c r="G285" s="45">
        <f ca="1">IFERROR(__xludf.DUMMYFUNCTION("""COMPUTED_VALUE"""),34441.5833333333)</f>
        <v>34441.583333333299</v>
      </c>
      <c r="H285" s="45" t="str">
        <f ca="1">IFERROR(__xludf.DUMMYFUNCTION("""COMPUTED_VALUE"""),"CREATIVE")</f>
        <v>CREATIVE</v>
      </c>
      <c r="I285" s="46" t="str">
        <f ca="1">IFERROR(__xludf.DUMMYFUNCTION("""COMPUTED_VALUE"""),"HO")</f>
        <v>HO</v>
      </c>
      <c r="J285" s="46" t="str">
        <f ca="1">IFERROR(__xludf.DUMMYFUNCTION("""COMPUTED_VALUE"""),"PRO")</f>
        <v>PRO</v>
      </c>
      <c r="K285" s="46" t="str">
        <f ca="1">IFERROR(__xludf.DUMMYFUNCTION("""COMPUTED_VALUE"""),"PRO")</f>
        <v>PRO</v>
      </c>
      <c r="L285" s="46" t="str">
        <f ca="1">IFERROR(__xludf.DUMMYFUNCTION("""COMPUTED_VALUE"""),"FTE")</f>
        <v>FTE</v>
      </c>
      <c r="M285" s="46" t="str">
        <f ca="1">IFERROR(__xludf.DUMMYFUNCTION("""COMPUTED_VALUE"""),"Leave")</f>
        <v>Leave</v>
      </c>
      <c r="N285" s="46" t="str">
        <f ca="1">IFERROR(__xludf.DUMMYFUNCTION("""COMPUTED_VALUE"""),"x")</f>
        <v>x</v>
      </c>
    </row>
    <row r="286" spans="1:14">
      <c r="A286" s="45">
        <f ca="1">IFERROR(__xludf.DUMMYFUNCTION("""COMPUTED_VALUE"""),44501.5833333333)</f>
        <v>44501.583333333299</v>
      </c>
      <c r="B286" s="45"/>
      <c r="C286" s="46">
        <f ca="1">IFERROR(__xludf.DUMMYFUNCTION("""COMPUTED_VALUE"""),287)</f>
        <v>287</v>
      </c>
      <c r="D286" s="47" t="str">
        <f ca="1">IFERROR(__xludf.DUMMYFUNCTION("""COMPUTED_VALUE"""),"C0019")</f>
        <v>C0019</v>
      </c>
      <c r="E286" s="46" t="str">
        <f ca="1">IFERROR(__xludf.DUMMYFUNCTION("""COMPUTED_VALUE"""),"PHAN NGUYỄN KIM XUÂN")</f>
        <v>PHAN NGUYỄN KIM XUÂN</v>
      </c>
      <c r="F286" s="46" t="str">
        <f ca="1">IFERROR(__xludf.DUMMYFUNCTION("""COMPUTED_VALUE"""),"PHAN NGUYEN KIM XUAN")</f>
        <v>PHAN NGUYEN KIM XUAN</v>
      </c>
      <c r="G286" s="45">
        <f ca="1">IFERROR(__xludf.DUMMYFUNCTION("""COMPUTED_VALUE"""),34524.5833333333)</f>
        <v>34524.583333333299</v>
      </c>
      <c r="H286" s="45" t="str">
        <f ca="1">IFERROR(__xludf.DUMMYFUNCTION("""COMPUTED_VALUE"""),"CREATIVE")</f>
        <v>CREATIVE</v>
      </c>
      <c r="I286" s="46" t="str">
        <f ca="1">IFERROR(__xludf.DUMMYFUNCTION("""COMPUTED_VALUE"""),"HO")</f>
        <v>HO</v>
      </c>
      <c r="J286" s="46" t="str">
        <f ca="1">IFERROR(__xludf.DUMMYFUNCTION("""COMPUTED_VALUE"""),"BDT")</f>
        <v>BDT</v>
      </c>
      <c r="K286" s="46" t="str">
        <f ca="1">IFERROR(__xludf.DUMMYFUNCTION("""COMPUTED_VALUE"""),"BDT")</f>
        <v>BDT</v>
      </c>
      <c r="L286" s="46" t="str">
        <f ca="1">IFERROR(__xludf.DUMMYFUNCTION("""COMPUTED_VALUE"""),"FTE")</f>
        <v>FTE</v>
      </c>
      <c r="M286" s="46" t="str">
        <f ca="1">IFERROR(__xludf.DUMMYFUNCTION("""COMPUTED_VALUE"""),"On")</f>
        <v>On</v>
      </c>
      <c r="N286" s="46" t="str">
        <f ca="1">IFERROR(__xludf.DUMMYFUNCTION("""COMPUTED_VALUE"""),"đủ")</f>
        <v>đủ</v>
      </c>
    </row>
    <row r="287" spans="1:14">
      <c r="A287" s="45">
        <f ca="1">IFERROR(__xludf.DUMMYFUNCTION("""COMPUTED_VALUE"""),44518.625)</f>
        <v>44518.625</v>
      </c>
      <c r="B287" s="45"/>
      <c r="C287" s="46">
        <f ca="1">IFERROR(__xludf.DUMMYFUNCTION("""COMPUTED_VALUE"""),288)</f>
        <v>288</v>
      </c>
      <c r="D287" s="47" t="str">
        <f ca="1">IFERROR(__xludf.DUMMYFUNCTION("""COMPUTED_VALUE"""),"C0020")</f>
        <v>C0020</v>
      </c>
      <c r="E287" s="46" t="str">
        <f ca="1">IFERROR(__xludf.DUMMYFUNCTION("""COMPUTED_VALUE"""),"NGÔ NGỌC MINH THÙY")</f>
        <v>NGÔ NGỌC MINH THÙY</v>
      </c>
      <c r="F287" s="46" t="str">
        <f ca="1">IFERROR(__xludf.DUMMYFUNCTION("""COMPUTED_VALUE"""),"NGO NGOC MINH THUY")</f>
        <v>NGO NGOC MINH THUY</v>
      </c>
      <c r="G287" s="45">
        <f ca="1">IFERROR(__xludf.DUMMYFUNCTION("""COMPUTED_VALUE"""),35593.5833333333)</f>
        <v>35593.583333333299</v>
      </c>
      <c r="H287" s="45" t="str">
        <f ca="1">IFERROR(__xludf.DUMMYFUNCTION("""COMPUTED_VALUE"""),"CREATIVE")</f>
        <v>CREATIVE</v>
      </c>
      <c r="I287" s="46" t="str">
        <f ca="1">IFERROR(__xludf.DUMMYFUNCTION("""COMPUTED_VALUE"""),"HO")</f>
        <v>HO</v>
      </c>
      <c r="J287" s="46" t="str">
        <f ca="1">IFERROR(__xludf.DUMMYFUNCTION("""COMPUTED_VALUE"""),"IAT")</f>
        <v>IAT</v>
      </c>
      <c r="K287" s="46" t="str">
        <f ca="1">IFERROR(__xludf.DUMMYFUNCTION("""COMPUTED_VALUE"""),"IAT")</f>
        <v>IAT</v>
      </c>
      <c r="L287" s="46" t="str">
        <f ca="1">IFERROR(__xludf.DUMMYFUNCTION("""COMPUTED_VALUE"""),"FTE")</f>
        <v>FTE</v>
      </c>
      <c r="M287" s="46" t="str">
        <f ca="1">IFERROR(__xludf.DUMMYFUNCTION("""COMPUTED_VALUE"""),"On")</f>
        <v>On</v>
      </c>
      <c r="N287" s="46" t="str">
        <f ca="1">IFERROR(__xludf.DUMMYFUNCTION("""COMPUTED_VALUE"""),"đủ")</f>
        <v>đủ</v>
      </c>
    </row>
    <row r="288" spans="1:14">
      <c r="A288" s="45">
        <f ca="1">IFERROR(__xludf.DUMMYFUNCTION("""COMPUTED_VALUE"""),44543.625)</f>
        <v>44543.625</v>
      </c>
      <c r="B288" s="45"/>
      <c r="C288" s="46">
        <f ca="1">IFERROR(__xludf.DUMMYFUNCTION("""COMPUTED_VALUE"""),289)</f>
        <v>289</v>
      </c>
      <c r="D288" s="47" t="str">
        <f ca="1">IFERROR(__xludf.DUMMYFUNCTION("""COMPUTED_VALUE"""),"C0022")</f>
        <v>C0022</v>
      </c>
      <c r="E288" s="46" t="str">
        <f ca="1">IFERROR(__xludf.DUMMYFUNCTION("""COMPUTED_VALUE"""),"BÙI VÂN ANH")</f>
        <v>BÙI VÂN ANH</v>
      </c>
      <c r="F288" s="46" t="str">
        <f ca="1">IFERROR(__xludf.DUMMYFUNCTION("""COMPUTED_VALUE"""),"BUI VAN ANH")</f>
        <v>BUI VAN ANH</v>
      </c>
      <c r="G288" s="45">
        <f ca="1">IFERROR(__xludf.DUMMYFUNCTION("""COMPUTED_VALUE"""),36221.625)</f>
        <v>36221.625</v>
      </c>
      <c r="H288" s="45" t="str">
        <f ca="1">IFERROR(__xludf.DUMMYFUNCTION("""COMPUTED_VALUE"""),"CREATIVE")</f>
        <v>CREATIVE</v>
      </c>
      <c r="I288" s="46" t="str">
        <f ca="1">IFERROR(__xludf.DUMMYFUNCTION("""COMPUTED_VALUE"""),"HO")</f>
        <v>HO</v>
      </c>
      <c r="J288" s="46" t="str">
        <f ca="1">IFERROR(__xludf.DUMMYFUNCTION("""COMPUTED_VALUE"""),"CMT")</f>
        <v>CMT</v>
      </c>
      <c r="K288" s="46" t="str">
        <f ca="1">IFERROR(__xludf.DUMMYFUNCTION("""COMPUTED_VALUE"""),"CMT")</f>
        <v>CMT</v>
      </c>
      <c r="L288" s="46" t="str">
        <f ca="1">IFERROR(__xludf.DUMMYFUNCTION("""COMPUTED_VALUE"""),"FTE")</f>
        <v>FTE</v>
      </c>
      <c r="M288" s="46" t="str">
        <f ca="1">IFERROR(__xludf.DUMMYFUNCTION("""COMPUTED_VALUE"""),"On")</f>
        <v>On</v>
      </c>
      <c r="N288" s="46" t="str">
        <f ca="1">IFERROR(__xludf.DUMMYFUNCTION("""COMPUTED_VALUE"""),"đủ")</f>
        <v>đủ</v>
      </c>
    </row>
    <row r="289" spans="1:14">
      <c r="A289" s="45">
        <f ca="1">IFERROR(__xludf.DUMMYFUNCTION("""COMPUTED_VALUE"""),44543.625)</f>
        <v>44543.625</v>
      </c>
      <c r="B289" s="45">
        <f ca="1">IFERROR(__xludf.DUMMYFUNCTION("""COMPUTED_VALUE"""),45171.5833333333)</f>
        <v>45171.583333333299</v>
      </c>
      <c r="C289" s="46">
        <f ca="1">IFERROR(__xludf.DUMMYFUNCTION("""COMPUTED_VALUE"""),290)</f>
        <v>290</v>
      </c>
      <c r="D289" s="47" t="str">
        <f ca="1">IFERROR(__xludf.DUMMYFUNCTION("""COMPUTED_VALUE"""),"C0023")</f>
        <v>C0023</v>
      </c>
      <c r="E289" s="46" t="str">
        <f ca="1">IFERROR(__xludf.DUMMYFUNCTION("""COMPUTED_VALUE"""),"HUỲNH BÁ LỘC")</f>
        <v>HUỲNH BÁ LỘC</v>
      </c>
      <c r="F289" s="46" t="str">
        <f ca="1">IFERROR(__xludf.DUMMYFUNCTION("""COMPUTED_VALUE"""),"HUYNH BA LOC")</f>
        <v>HUYNH BA LOC</v>
      </c>
      <c r="G289" s="45">
        <f ca="1">IFERROR(__xludf.DUMMYFUNCTION("""COMPUTED_VALUE"""),33295.625)</f>
        <v>33295.625</v>
      </c>
      <c r="H289" s="45" t="str">
        <f ca="1">IFERROR(__xludf.DUMMYFUNCTION("""COMPUTED_VALUE"""),"CREATIVE")</f>
        <v>CREATIVE</v>
      </c>
      <c r="I289" s="46" t="str">
        <f ca="1">IFERROR(__xludf.DUMMYFUNCTION("""COMPUTED_VALUE"""),"HO")</f>
        <v>HO</v>
      </c>
      <c r="J289" s="46" t="str">
        <f ca="1">IFERROR(__xludf.DUMMYFUNCTION("""COMPUTED_VALUE"""),"STU")</f>
        <v>STU</v>
      </c>
      <c r="K289" s="46" t="str">
        <f ca="1">IFERROR(__xludf.DUMMYFUNCTION("""COMPUTED_VALUE"""),"STU")</f>
        <v>STU</v>
      </c>
      <c r="L289" s="46" t="str">
        <f ca="1">IFERROR(__xludf.DUMMYFUNCTION("""COMPUTED_VALUE"""),"FTE")</f>
        <v>FTE</v>
      </c>
      <c r="M289" s="46" t="str">
        <f ca="1">IFERROR(__xludf.DUMMYFUNCTION("""COMPUTED_VALUE"""),"Leave")</f>
        <v>Leave</v>
      </c>
      <c r="N289" s="46" t="str">
        <f ca="1">IFERROR(__xludf.DUMMYFUNCTION("""COMPUTED_VALUE"""),"x")</f>
        <v>x</v>
      </c>
    </row>
    <row r="290" spans="1:14">
      <c r="A290" s="45">
        <f ca="1">IFERROR(__xludf.DUMMYFUNCTION("""COMPUTED_VALUE"""),44545.625)</f>
        <v>44545.625</v>
      </c>
      <c r="B290" s="45">
        <f ca="1">IFERROR(__xludf.DUMMYFUNCTION("""COMPUTED_VALUE"""),45346.625)</f>
        <v>45346.625</v>
      </c>
      <c r="C290" s="46">
        <f ca="1">IFERROR(__xludf.DUMMYFUNCTION("""COMPUTED_VALUE"""),291)</f>
        <v>291</v>
      </c>
      <c r="D290" s="47" t="str">
        <f ca="1">IFERROR(__xludf.DUMMYFUNCTION("""COMPUTED_VALUE"""),"C0024")</f>
        <v>C0024</v>
      </c>
      <c r="E290" s="46" t="str">
        <f ca="1">IFERROR(__xludf.DUMMYFUNCTION("""COMPUTED_VALUE"""),"LÊ ĐỨC THỌ")</f>
        <v>LÊ ĐỨC THỌ</v>
      </c>
      <c r="F290" s="46" t="str">
        <f ca="1">IFERROR(__xludf.DUMMYFUNCTION("""COMPUTED_VALUE"""),"LE DUC THO")</f>
        <v>LE DUC THO</v>
      </c>
      <c r="G290" s="45">
        <f ca="1">IFERROR(__xludf.DUMMYFUNCTION("""COMPUTED_VALUE"""),34278.625)</f>
        <v>34278.625</v>
      </c>
      <c r="H290" s="45" t="str">
        <f ca="1">IFERROR(__xludf.DUMMYFUNCTION("""COMPUTED_VALUE"""),"CREATIVE")</f>
        <v>CREATIVE</v>
      </c>
      <c r="I290" s="46" t="str">
        <f ca="1">IFERROR(__xludf.DUMMYFUNCTION("""COMPUTED_VALUE"""),"HO")</f>
        <v>HO</v>
      </c>
      <c r="J290" s="46" t="str">
        <f ca="1">IFERROR(__xludf.DUMMYFUNCTION("""COMPUTED_VALUE"""),"PRO")</f>
        <v>PRO</v>
      </c>
      <c r="K290" s="46" t="str">
        <f ca="1">IFERROR(__xludf.DUMMYFUNCTION("""COMPUTED_VALUE"""),"PRO")</f>
        <v>PRO</v>
      </c>
      <c r="L290" s="46" t="str">
        <f ca="1">IFERROR(__xludf.DUMMYFUNCTION("""COMPUTED_VALUE"""),"FTE")</f>
        <v>FTE</v>
      </c>
      <c r="M290" s="46" t="str">
        <f ca="1">IFERROR(__xludf.DUMMYFUNCTION("""COMPUTED_VALUE"""),"Leave")</f>
        <v>Leave</v>
      </c>
      <c r="N290" s="46" t="str">
        <f ca="1">IFERROR(__xludf.DUMMYFUNCTION("""COMPUTED_VALUE"""),"x")</f>
        <v>x</v>
      </c>
    </row>
    <row r="291" spans="1:14">
      <c r="A291" s="45">
        <f ca="1">IFERROR(__xludf.DUMMYFUNCTION("""COMPUTED_VALUE"""),44601.625)</f>
        <v>44601.625</v>
      </c>
      <c r="B291" s="45"/>
      <c r="C291" s="46">
        <f ca="1">IFERROR(__xludf.DUMMYFUNCTION("""COMPUTED_VALUE"""),292)</f>
        <v>292</v>
      </c>
      <c r="D291" s="47" t="str">
        <f ca="1">IFERROR(__xludf.DUMMYFUNCTION("""COMPUTED_VALUE"""),"C0025")</f>
        <v>C0025</v>
      </c>
      <c r="E291" s="46" t="str">
        <f ca="1">IFERROR(__xludf.DUMMYFUNCTION("""COMPUTED_VALUE"""),"NGUYỄN BẢO TRANG")</f>
        <v>NGUYỄN BẢO TRANG</v>
      </c>
      <c r="F291" s="46" t="str">
        <f ca="1">IFERROR(__xludf.DUMMYFUNCTION("""COMPUTED_VALUE"""),"NGUYEN BAO TRANG")</f>
        <v>NGUYEN BAO TRANG</v>
      </c>
      <c r="G291" s="45">
        <f ca="1">IFERROR(__xludf.DUMMYFUNCTION("""COMPUTED_VALUE"""),36322.5833333333)</f>
        <v>36322.583333333299</v>
      </c>
      <c r="H291" s="45" t="str">
        <f ca="1">IFERROR(__xludf.DUMMYFUNCTION("""COMPUTED_VALUE"""),"TLC")</f>
        <v>TLC</v>
      </c>
      <c r="I291" s="46" t="str">
        <f ca="1">IFERROR(__xludf.DUMMYFUNCTION("""COMPUTED_VALUE"""),"HO")</f>
        <v>HO</v>
      </c>
      <c r="J291" s="46" t="str">
        <f ca="1">IFERROR(__xludf.DUMMYFUNCTION("""COMPUTED_VALUE"""),"BE")</f>
        <v>BE</v>
      </c>
      <c r="K291" s="46" t="str">
        <f ca="1">IFERROR(__xludf.DUMMYFUNCTION("""COMPUTED_VALUE"""),"BE")</f>
        <v>BE</v>
      </c>
      <c r="L291" s="46" t="str">
        <f ca="1">IFERROR(__xludf.DUMMYFUNCTION("""COMPUTED_VALUE"""),"FTE")</f>
        <v>FTE</v>
      </c>
      <c r="M291" s="46" t="str">
        <f ca="1">IFERROR(__xludf.DUMMYFUNCTION("""COMPUTED_VALUE"""),"On")</f>
        <v>On</v>
      </c>
      <c r="N291" s="46" t="str">
        <f ca="1">IFERROR(__xludf.DUMMYFUNCTION("""COMPUTED_VALUE"""),"đủ")</f>
        <v>đủ</v>
      </c>
    </row>
    <row r="292" spans="1:14">
      <c r="A292" s="45">
        <f ca="1">IFERROR(__xludf.DUMMYFUNCTION("""COMPUTED_VALUE"""),44606.625)</f>
        <v>44606.625</v>
      </c>
      <c r="B292" s="45"/>
      <c r="C292" s="46">
        <f ca="1">IFERROR(__xludf.DUMMYFUNCTION("""COMPUTED_VALUE"""),293)</f>
        <v>293</v>
      </c>
      <c r="D292" s="47" t="str">
        <f ca="1">IFERROR(__xludf.DUMMYFUNCTION("""COMPUTED_VALUE"""),"C0026")</f>
        <v>C0026</v>
      </c>
      <c r="E292" s="46" t="str">
        <f ca="1">IFERROR(__xludf.DUMMYFUNCTION("""COMPUTED_VALUE"""),"TRẦN CAO MINH UYÊN")</f>
        <v>TRẦN CAO MINH UYÊN</v>
      </c>
      <c r="F292" s="46" t="str">
        <f ca="1">IFERROR(__xludf.DUMMYFUNCTION("""COMPUTED_VALUE"""),"TRAN CAO MINH UYEN")</f>
        <v>TRAN CAO MINH UYEN</v>
      </c>
      <c r="G292" s="45">
        <f ca="1">IFERROR(__xludf.DUMMYFUNCTION("""COMPUTED_VALUE"""),35392.625)</f>
        <v>35392.625</v>
      </c>
      <c r="H292" s="45" t="str">
        <f ca="1">IFERROR(__xludf.DUMMYFUNCTION("""COMPUTED_VALUE"""),"TLC")</f>
        <v>TLC</v>
      </c>
      <c r="I292" s="46" t="str">
        <f ca="1">IFERROR(__xludf.DUMMYFUNCTION("""COMPUTED_VALUE"""),"HO")</f>
        <v>HO</v>
      </c>
      <c r="J292" s="46" t="str">
        <f ca="1">IFERROR(__xludf.DUMMYFUNCTION("""COMPUTED_VALUE"""),"BE")</f>
        <v>BE</v>
      </c>
      <c r="K292" s="46" t="str">
        <f ca="1">IFERROR(__xludf.DUMMYFUNCTION("""COMPUTED_VALUE"""),"BE")</f>
        <v>BE</v>
      </c>
      <c r="L292" s="46" t="str">
        <f ca="1">IFERROR(__xludf.DUMMYFUNCTION("""COMPUTED_VALUE"""),"FTE")</f>
        <v>FTE</v>
      </c>
      <c r="M292" s="46" t="str">
        <f ca="1">IFERROR(__xludf.DUMMYFUNCTION("""COMPUTED_VALUE"""),"On")</f>
        <v>On</v>
      </c>
      <c r="N292" s="46" t="str">
        <f ca="1">IFERROR(__xludf.DUMMYFUNCTION("""COMPUTED_VALUE"""),"đủ")</f>
        <v>đủ</v>
      </c>
    </row>
    <row r="293" spans="1:14">
      <c r="A293" s="45">
        <f ca="1">IFERROR(__xludf.DUMMYFUNCTION("""COMPUTED_VALUE"""),45748.5833333333)</f>
        <v>45748.583333333299</v>
      </c>
      <c r="B293" s="45"/>
      <c r="C293" s="46">
        <f ca="1">IFERROR(__xludf.DUMMYFUNCTION("""COMPUTED_VALUE"""),294)</f>
        <v>294</v>
      </c>
      <c r="D293" s="47" t="str">
        <f ca="1">IFERROR(__xludf.DUMMYFUNCTION("""COMPUTED_VALUE"""),"C0026X")</f>
        <v>C0026X</v>
      </c>
      <c r="E293" s="46" t="str">
        <f ca="1">IFERROR(__xludf.DUMMYFUNCTION("""COMPUTED_VALUE"""),"TRẦN CAO MINH UYÊN")</f>
        <v>TRẦN CAO MINH UYÊN</v>
      </c>
      <c r="F293" s="46" t="str">
        <f ca="1">IFERROR(__xludf.DUMMYFUNCTION("""COMPUTED_VALUE"""),"TRAN CAO MINH UYEN")</f>
        <v>TRAN CAO MINH UYEN</v>
      </c>
      <c r="G293" s="45">
        <f ca="1">IFERROR(__xludf.DUMMYFUNCTION("""COMPUTED_VALUE"""),35392.625)</f>
        <v>35392.625</v>
      </c>
      <c r="H293" s="45" t="str">
        <f ca="1">IFERROR(__xludf.DUMMYFUNCTION("""COMPUTED_VALUE"""),"MATTE")</f>
        <v>MATTE</v>
      </c>
      <c r="I293" s="46" t="str">
        <f ca="1">IFERROR(__xludf.DUMMYFUNCTION("""COMPUTED_VALUE"""),"HO")</f>
        <v>HO</v>
      </c>
      <c r="J293" s="46" t="str">
        <f ca="1">IFERROR(__xludf.DUMMYFUNCTION("""COMPUTED_VALUE"""),"BOD")</f>
        <v>BOD</v>
      </c>
      <c r="K293" s="46" t="str">
        <f ca="1">IFERROR(__xludf.DUMMYFUNCTION("""COMPUTED_VALUE"""),"BOD")</f>
        <v>BOD</v>
      </c>
      <c r="L293" s="46" t="str">
        <f ca="1">IFERROR(__xludf.DUMMYFUNCTION("""COMPUTED_VALUE"""),"FTE")</f>
        <v>FTE</v>
      </c>
      <c r="M293" s="46" t="str">
        <f ca="1">IFERROR(__xludf.DUMMYFUNCTION("""COMPUTED_VALUE"""),"On")</f>
        <v>On</v>
      </c>
      <c r="N293" s="46" t="str">
        <f ca="1">IFERROR(__xludf.DUMMYFUNCTION("""COMPUTED_VALUE"""),"đủ")</f>
        <v>đủ</v>
      </c>
    </row>
    <row r="294" spans="1:14">
      <c r="A294" s="45">
        <f ca="1">IFERROR(__xludf.DUMMYFUNCTION("""COMPUTED_VALUE"""),44676.5833333333)</f>
        <v>44676.583333333299</v>
      </c>
      <c r="B294" s="45"/>
      <c r="C294" s="46">
        <f ca="1">IFERROR(__xludf.DUMMYFUNCTION("""COMPUTED_VALUE"""),295)</f>
        <v>295</v>
      </c>
      <c r="D294" s="47" t="str">
        <f ca="1">IFERROR(__xludf.DUMMYFUNCTION("""COMPUTED_VALUE"""),"C0032")</f>
        <v>C0032</v>
      </c>
      <c r="E294" s="46" t="str">
        <f ca="1">IFERROR(__xludf.DUMMYFUNCTION("""COMPUTED_VALUE"""),"TRẦN GIA TÚ")</f>
        <v>TRẦN GIA TÚ</v>
      </c>
      <c r="F294" s="46" t="str">
        <f ca="1">IFERROR(__xludf.DUMMYFUNCTION("""COMPUTED_VALUE"""),"TRAN GIA TU")</f>
        <v>TRAN GIA TU</v>
      </c>
      <c r="G294" s="45">
        <f ca="1">IFERROR(__xludf.DUMMYFUNCTION("""COMPUTED_VALUE"""),34332.625)</f>
        <v>34332.625</v>
      </c>
      <c r="H294" s="45" t="str">
        <f ca="1">IFERROR(__xludf.DUMMYFUNCTION("""COMPUTED_VALUE"""),"CREATIVE")</f>
        <v>CREATIVE</v>
      </c>
      <c r="I294" s="46" t="str">
        <f ca="1">IFERROR(__xludf.DUMMYFUNCTION("""COMPUTED_VALUE"""),"HO")</f>
        <v>HO</v>
      </c>
      <c r="J294" s="46" t="str">
        <f ca="1">IFERROR(__xludf.DUMMYFUNCTION("""COMPUTED_VALUE"""),"IAT")</f>
        <v>IAT</v>
      </c>
      <c r="K294" s="46" t="str">
        <f ca="1">IFERROR(__xludf.DUMMYFUNCTION("""COMPUTED_VALUE"""),"IAT")</f>
        <v>IAT</v>
      </c>
      <c r="L294" s="46" t="str">
        <f ca="1">IFERROR(__xludf.DUMMYFUNCTION("""COMPUTED_VALUE"""),"FTE")</f>
        <v>FTE</v>
      </c>
      <c r="M294" s="46" t="str">
        <f ca="1">IFERROR(__xludf.DUMMYFUNCTION("""COMPUTED_VALUE"""),"On")</f>
        <v>On</v>
      </c>
      <c r="N294" s="46" t="str">
        <f ca="1">IFERROR(__xludf.DUMMYFUNCTION("""COMPUTED_VALUE"""),"đủ")</f>
        <v>đủ</v>
      </c>
    </row>
    <row r="295" spans="1:14">
      <c r="A295" s="45">
        <f ca="1">IFERROR(__xludf.DUMMYFUNCTION("""COMPUTED_VALUE"""),44685.5833333333)</f>
        <v>44685.583333333299</v>
      </c>
      <c r="B295" s="45"/>
      <c r="C295" s="46">
        <f ca="1">IFERROR(__xludf.DUMMYFUNCTION("""COMPUTED_VALUE"""),296)</f>
        <v>296</v>
      </c>
      <c r="D295" s="47" t="str">
        <f ca="1">IFERROR(__xludf.DUMMYFUNCTION("""COMPUTED_VALUE"""),"C0033")</f>
        <v>C0033</v>
      </c>
      <c r="E295" s="46" t="str">
        <f ca="1">IFERROR(__xludf.DUMMYFUNCTION("""COMPUTED_VALUE"""),"VÕ THỦY TRÚC")</f>
        <v>VÕ THỦY TRÚC</v>
      </c>
      <c r="F295" s="46" t="str">
        <f ca="1">IFERROR(__xludf.DUMMYFUNCTION("""COMPUTED_VALUE"""),"VO THUY TRUC")</f>
        <v>VO THUY TRUC</v>
      </c>
      <c r="G295" s="45">
        <f ca="1">IFERROR(__xludf.DUMMYFUNCTION("""COMPUTED_VALUE"""),35138.625)</f>
        <v>35138.625</v>
      </c>
      <c r="H295" s="45" t="str">
        <f ca="1">IFERROR(__xludf.DUMMYFUNCTION("""COMPUTED_VALUE"""),"TLC")</f>
        <v>TLC</v>
      </c>
      <c r="I295" s="46" t="str">
        <f ca="1">IFERROR(__xludf.DUMMYFUNCTION("""COMPUTED_VALUE"""),"HO")</f>
        <v>HO</v>
      </c>
      <c r="J295" s="46" t="str">
        <f ca="1">IFERROR(__xludf.DUMMYFUNCTION("""COMPUTED_VALUE"""),"CE")</f>
        <v>CE</v>
      </c>
      <c r="K295" s="46" t="str">
        <f ca="1">IFERROR(__xludf.DUMMYFUNCTION("""COMPUTED_VALUE"""),"CE")</f>
        <v>CE</v>
      </c>
      <c r="L295" s="46" t="str">
        <f ca="1">IFERROR(__xludf.DUMMYFUNCTION("""COMPUTED_VALUE"""),"FTE")</f>
        <v>FTE</v>
      </c>
      <c r="M295" s="46" t="str">
        <f ca="1">IFERROR(__xludf.DUMMYFUNCTION("""COMPUTED_VALUE"""),"On")</f>
        <v>On</v>
      </c>
      <c r="N295" s="46" t="str">
        <f ca="1">IFERROR(__xludf.DUMMYFUNCTION("""COMPUTED_VALUE"""),"đủ")</f>
        <v>đủ</v>
      </c>
    </row>
    <row r="296" spans="1:14">
      <c r="A296" s="45">
        <f ca="1">IFERROR(__xludf.DUMMYFUNCTION("""COMPUTED_VALUE"""),44690.5833333333)</f>
        <v>44690.583333333299</v>
      </c>
      <c r="B296" s="45">
        <f ca="1">IFERROR(__xludf.DUMMYFUNCTION("""COMPUTED_VALUE"""),45367.5833333333)</f>
        <v>45367.583333333299</v>
      </c>
      <c r="C296" s="46">
        <f ca="1">IFERROR(__xludf.DUMMYFUNCTION("""COMPUTED_VALUE"""),297)</f>
        <v>297</v>
      </c>
      <c r="D296" s="47" t="str">
        <f ca="1">IFERROR(__xludf.DUMMYFUNCTION("""COMPUTED_VALUE"""),"C0034")</f>
        <v>C0034</v>
      </c>
      <c r="E296" s="46" t="str">
        <f ca="1">IFERROR(__xludf.DUMMYFUNCTION("""COMPUTED_VALUE"""),"PHẠM DUY CHƯƠNG")</f>
        <v>PHẠM DUY CHƯƠNG</v>
      </c>
      <c r="F296" s="46" t="str">
        <f ca="1">IFERROR(__xludf.DUMMYFUNCTION("""COMPUTED_VALUE"""),"PHAM DUY CHUONG")</f>
        <v>PHAM DUY CHUONG</v>
      </c>
      <c r="G296" s="45">
        <f ca="1">IFERROR(__xludf.DUMMYFUNCTION("""COMPUTED_VALUE"""),36488.625)</f>
        <v>36488.625</v>
      </c>
      <c r="H296" s="45" t="str">
        <f ca="1">IFERROR(__xludf.DUMMYFUNCTION("""COMPUTED_VALUE"""),"CREATIVE")</f>
        <v>CREATIVE</v>
      </c>
      <c r="I296" s="46" t="str">
        <f ca="1">IFERROR(__xludf.DUMMYFUNCTION("""COMPUTED_VALUE"""),"HO")</f>
        <v>HO</v>
      </c>
      <c r="J296" s="46" t="str">
        <f ca="1">IFERROR(__xludf.DUMMYFUNCTION("""COMPUTED_VALUE"""),"STU")</f>
        <v>STU</v>
      </c>
      <c r="K296" s="46" t="str">
        <f ca="1">IFERROR(__xludf.DUMMYFUNCTION("""COMPUTED_VALUE"""),"STU")</f>
        <v>STU</v>
      </c>
      <c r="L296" s="46" t="str">
        <f ca="1">IFERROR(__xludf.DUMMYFUNCTION("""COMPUTED_VALUE"""),"FTE")</f>
        <v>FTE</v>
      </c>
      <c r="M296" s="46" t="str">
        <f ca="1">IFERROR(__xludf.DUMMYFUNCTION("""COMPUTED_VALUE"""),"Leave")</f>
        <v>Leave</v>
      </c>
      <c r="N296" s="46" t="str">
        <f ca="1">IFERROR(__xludf.DUMMYFUNCTION("""COMPUTED_VALUE"""),"x")</f>
        <v>x</v>
      </c>
    </row>
    <row r="297" spans="1:14">
      <c r="A297" s="45">
        <f ca="1">IFERROR(__xludf.DUMMYFUNCTION("""COMPUTED_VALUE"""),44704.5833333333)</f>
        <v>44704.583333333299</v>
      </c>
      <c r="B297" s="45">
        <f ca="1">IFERROR(__xludf.DUMMYFUNCTION("""COMPUTED_VALUE"""),45436.5833333333)</f>
        <v>45436.583333333299</v>
      </c>
      <c r="C297" s="46">
        <f ca="1">IFERROR(__xludf.DUMMYFUNCTION("""COMPUTED_VALUE"""),298)</f>
        <v>298</v>
      </c>
      <c r="D297" s="47" t="str">
        <f ca="1">IFERROR(__xludf.DUMMYFUNCTION("""COMPUTED_VALUE"""),"C0035")</f>
        <v>C0035</v>
      </c>
      <c r="E297" s="46" t="str">
        <f ca="1">IFERROR(__xludf.DUMMYFUNCTION("""COMPUTED_VALUE"""),"CHÂU THANH TÂM")</f>
        <v>CHÂU THANH TÂM</v>
      </c>
      <c r="F297" s="46" t="str">
        <f ca="1">IFERROR(__xludf.DUMMYFUNCTION("""COMPUTED_VALUE"""),"CHAU THANH TAM")</f>
        <v>CHAU THANH TAM</v>
      </c>
      <c r="G297" s="45">
        <f ca="1">IFERROR(__xludf.DUMMYFUNCTION("""COMPUTED_VALUE"""),34595.5833333333)</f>
        <v>34595.583333333299</v>
      </c>
      <c r="H297" s="45" t="str">
        <f ca="1">IFERROR(__xludf.DUMMYFUNCTION("""COMPUTED_VALUE"""),"CREATIVE")</f>
        <v>CREATIVE</v>
      </c>
      <c r="I297" s="46" t="str">
        <f ca="1">IFERROR(__xludf.DUMMYFUNCTION("""COMPUTED_VALUE"""),"HO")</f>
        <v>HO</v>
      </c>
      <c r="J297" s="46" t="str">
        <f ca="1">IFERROR(__xludf.DUMMYFUNCTION("""COMPUTED_VALUE"""),"PUR")</f>
        <v>PUR</v>
      </c>
      <c r="K297" s="46" t="str">
        <f ca="1">IFERROR(__xludf.DUMMYFUNCTION("""COMPUTED_VALUE"""),"PUR")</f>
        <v>PUR</v>
      </c>
      <c r="L297" s="46" t="str">
        <f ca="1">IFERROR(__xludf.DUMMYFUNCTION("""COMPUTED_VALUE"""),"FTE")</f>
        <v>FTE</v>
      </c>
      <c r="M297" s="46" t="str">
        <f ca="1">IFERROR(__xludf.DUMMYFUNCTION("""COMPUTED_VALUE"""),"Leave")</f>
        <v>Leave</v>
      </c>
      <c r="N297" s="46" t="str">
        <f ca="1">IFERROR(__xludf.DUMMYFUNCTION("""COMPUTED_VALUE"""),"x")</f>
        <v>x</v>
      </c>
    </row>
    <row r="298" spans="1:14">
      <c r="A298" s="45">
        <f ca="1">IFERROR(__xludf.DUMMYFUNCTION("""COMPUTED_VALUE"""),44725.5833333333)</f>
        <v>44725.583333333299</v>
      </c>
      <c r="B298" s="45">
        <f ca="1">IFERROR(__xludf.DUMMYFUNCTION("""COMPUTED_VALUE"""),45360.625)</f>
        <v>45360.625</v>
      </c>
      <c r="C298" s="46">
        <f ca="1">IFERROR(__xludf.DUMMYFUNCTION("""COMPUTED_VALUE"""),299)</f>
        <v>299</v>
      </c>
      <c r="D298" s="47" t="str">
        <f ca="1">IFERROR(__xludf.DUMMYFUNCTION("""COMPUTED_VALUE"""),"C0038")</f>
        <v>C0038</v>
      </c>
      <c r="E298" s="46" t="str">
        <f ca="1">IFERROR(__xludf.DUMMYFUNCTION("""COMPUTED_VALUE"""),"TRẦN ĐÔNG NGHI")</f>
        <v>TRẦN ĐÔNG NGHI</v>
      </c>
      <c r="F298" s="46" t="str">
        <f ca="1">IFERROR(__xludf.DUMMYFUNCTION("""COMPUTED_VALUE"""),"TRAN DONG NGHI")</f>
        <v>TRAN DONG NGHI</v>
      </c>
      <c r="G298" s="45">
        <f ca="1">IFERROR(__xludf.DUMMYFUNCTION("""COMPUTED_VALUE"""),36872.625)</f>
        <v>36872.625</v>
      </c>
      <c r="H298" s="45" t="str">
        <f ca="1">IFERROR(__xludf.DUMMYFUNCTION("""COMPUTED_VALUE"""),"CREATIVE")</f>
        <v>CREATIVE</v>
      </c>
      <c r="I298" s="46" t="str">
        <f ca="1">IFERROR(__xludf.DUMMYFUNCTION("""COMPUTED_VALUE"""),"HO")</f>
        <v>HO</v>
      </c>
      <c r="J298" s="46" t="str">
        <f ca="1">IFERROR(__xludf.DUMMYFUNCTION("""COMPUTED_VALUE"""),"GRA")</f>
        <v>GRA</v>
      </c>
      <c r="K298" s="46" t="str">
        <f ca="1">IFERROR(__xludf.DUMMYFUNCTION("""COMPUTED_VALUE"""),"GRA")</f>
        <v>GRA</v>
      </c>
      <c r="L298" s="46" t="str">
        <f ca="1">IFERROR(__xludf.DUMMYFUNCTION("""COMPUTED_VALUE"""),"FTE")</f>
        <v>FTE</v>
      </c>
      <c r="M298" s="46" t="str">
        <f ca="1">IFERROR(__xludf.DUMMYFUNCTION("""COMPUTED_VALUE"""),"Leave")</f>
        <v>Leave</v>
      </c>
      <c r="N298" s="46" t="str">
        <f ca="1">IFERROR(__xludf.DUMMYFUNCTION("""COMPUTED_VALUE"""),"x")</f>
        <v>x</v>
      </c>
    </row>
    <row r="299" spans="1:14">
      <c r="A299" s="45">
        <f ca="1">IFERROR(__xludf.DUMMYFUNCTION("""COMPUTED_VALUE"""),44718.5833333333)</f>
        <v>44718.583333333299</v>
      </c>
      <c r="B299" s="45">
        <f ca="1">IFERROR(__xludf.DUMMYFUNCTION("""COMPUTED_VALUE"""),45412.5833333333)</f>
        <v>45412.583333333299</v>
      </c>
      <c r="C299" s="46">
        <f ca="1">IFERROR(__xludf.DUMMYFUNCTION("""COMPUTED_VALUE"""),300)</f>
        <v>300</v>
      </c>
      <c r="D299" s="47" t="str">
        <f ca="1">IFERROR(__xludf.DUMMYFUNCTION("""COMPUTED_VALUE"""),"C0039")</f>
        <v>C0039</v>
      </c>
      <c r="E299" s="46" t="str">
        <f ca="1">IFERROR(__xludf.DUMMYFUNCTION("""COMPUTED_VALUE"""),"NGÔ THỤY THU HƯƠNG")</f>
        <v>NGÔ THỤY THU HƯƠNG</v>
      </c>
      <c r="F299" s="46" t="str">
        <f ca="1">IFERROR(__xludf.DUMMYFUNCTION("""COMPUTED_VALUE"""),"NGO THUY THU HUONG")</f>
        <v>NGO THUY THU HUONG</v>
      </c>
      <c r="G299" s="45">
        <f ca="1">IFERROR(__xludf.DUMMYFUNCTION("""COMPUTED_VALUE"""),35843.625)</f>
        <v>35843.625</v>
      </c>
      <c r="H299" s="45" t="str">
        <f ca="1">IFERROR(__xludf.DUMMYFUNCTION("""COMPUTED_VALUE"""),"CREATIVE")</f>
        <v>CREATIVE</v>
      </c>
      <c r="I299" s="46" t="str">
        <f ca="1">IFERROR(__xludf.DUMMYFUNCTION("""COMPUTED_VALUE"""),"HO")</f>
        <v>HO</v>
      </c>
      <c r="J299" s="46" t="str">
        <f ca="1">IFERROR(__xludf.DUMMYFUNCTION("""COMPUTED_VALUE"""),"GRA")</f>
        <v>GRA</v>
      </c>
      <c r="K299" s="46" t="str">
        <f ca="1">IFERROR(__xludf.DUMMYFUNCTION("""COMPUTED_VALUE"""),"GRA")</f>
        <v>GRA</v>
      </c>
      <c r="L299" s="46" t="str">
        <f ca="1">IFERROR(__xludf.DUMMYFUNCTION("""COMPUTED_VALUE"""),"FTE")</f>
        <v>FTE</v>
      </c>
      <c r="M299" s="46" t="str">
        <f ca="1">IFERROR(__xludf.DUMMYFUNCTION("""COMPUTED_VALUE"""),"Leave")</f>
        <v>Leave</v>
      </c>
      <c r="N299" s="46" t="str">
        <f ca="1">IFERROR(__xludf.DUMMYFUNCTION("""COMPUTED_VALUE"""),"x")</f>
        <v>x</v>
      </c>
    </row>
    <row r="300" spans="1:14">
      <c r="A300" s="45">
        <f ca="1">IFERROR(__xludf.DUMMYFUNCTION("""COMPUTED_VALUE"""),44727.5833333333)</f>
        <v>44727.583333333299</v>
      </c>
      <c r="B300" s="45">
        <f ca="1">IFERROR(__xludf.DUMMYFUNCTION("""COMPUTED_VALUE"""),45231.5833333333)</f>
        <v>45231.583333333299</v>
      </c>
      <c r="C300" s="46">
        <f ca="1">IFERROR(__xludf.DUMMYFUNCTION("""COMPUTED_VALUE"""),301)</f>
        <v>301</v>
      </c>
      <c r="D300" s="47" t="str">
        <f ca="1">IFERROR(__xludf.DUMMYFUNCTION("""COMPUTED_VALUE"""),"C0040")</f>
        <v>C0040</v>
      </c>
      <c r="E300" s="46" t="str">
        <f ca="1">IFERROR(__xludf.DUMMYFUNCTION("""COMPUTED_VALUE"""),"TRẦN HOÀNG TUẤN")</f>
        <v>TRẦN HOÀNG TUẤN</v>
      </c>
      <c r="F300" s="46" t="str">
        <f ca="1">IFERROR(__xludf.DUMMYFUNCTION("""COMPUTED_VALUE"""),"TRAN HOANG TUAN")</f>
        <v>TRAN HOANG TUAN</v>
      </c>
      <c r="G300" s="45">
        <f ca="1">IFERROR(__xludf.DUMMYFUNCTION("""COMPUTED_VALUE"""),34361.625)</f>
        <v>34361.625</v>
      </c>
      <c r="H300" s="45" t="str">
        <f ca="1">IFERROR(__xludf.DUMMYFUNCTION("""COMPUTED_VALUE"""),"CREATIVE")</f>
        <v>CREATIVE</v>
      </c>
      <c r="I300" s="46" t="str">
        <f ca="1">IFERROR(__xludf.DUMMYFUNCTION("""COMPUTED_VALUE"""),"HO")</f>
        <v>HO</v>
      </c>
      <c r="J300" s="46" t="str">
        <f ca="1">IFERROR(__xludf.DUMMYFUNCTION("""COMPUTED_VALUE"""),"SPA")</f>
        <v>SPA</v>
      </c>
      <c r="K300" s="46" t="str">
        <f ca="1">IFERROR(__xludf.DUMMYFUNCTION("""COMPUTED_VALUE"""),"SPA")</f>
        <v>SPA</v>
      </c>
      <c r="L300" s="46" t="str">
        <f ca="1">IFERROR(__xludf.DUMMYFUNCTION("""COMPUTED_VALUE"""),"FTE")</f>
        <v>FTE</v>
      </c>
      <c r="M300" s="46" t="str">
        <f ca="1">IFERROR(__xludf.DUMMYFUNCTION("""COMPUTED_VALUE"""),"Leave")</f>
        <v>Leave</v>
      </c>
      <c r="N300" s="46" t="str">
        <f ca="1">IFERROR(__xludf.DUMMYFUNCTION("""COMPUTED_VALUE"""),"x")</f>
        <v>x</v>
      </c>
    </row>
    <row r="301" spans="1:14">
      <c r="A301" s="45">
        <f ca="1">IFERROR(__xludf.DUMMYFUNCTION("""COMPUTED_VALUE"""),44733.5833333333)</f>
        <v>44733.583333333299</v>
      </c>
      <c r="B301" s="45">
        <f ca="1">IFERROR(__xludf.DUMMYFUNCTION("""COMPUTED_VALUE"""),45913.5833333333)</f>
        <v>45913.583333333299</v>
      </c>
      <c r="C301" s="46">
        <f ca="1">IFERROR(__xludf.DUMMYFUNCTION("""COMPUTED_VALUE"""),302)</f>
        <v>302</v>
      </c>
      <c r="D301" s="47" t="str">
        <f ca="1">IFERROR(__xludf.DUMMYFUNCTION("""COMPUTED_VALUE"""),"C0041")</f>
        <v>C0041</v>
      </c>
      <c r="E301" s="46" t="str">
        <f ca="1">IFERROR(__xludf.DUMMYFUNCTION("""COMPUTED_VALUE"""),"ĐOÀN NAM MỸ")</f>
        <v>ĐOÀN NAM MỸ</v>
      </c>
      <c r="F301" s="46" t="str">
        <f ca="1">IFERROR(__xludf.DUMMYFUNCTION("""COMPUTED_VALUE"""),"DOAN NAM MY")</f>
        <v>DOAN NAM MY</v>
      </c>
      <c r="G301" s="45">
        <f ca="1">IFERROR(__xludf.DUMMYFUNCTION("""COMPUTED_VALUE"""),33537.5833333333)</f>
        <v>33537.583333333299</v>
      </c>
      <c r="H301" s="45" t="str">
        <f ca="1">IFERROR(__xludf.DUMMYFUNCTION("""COMPUTED_VALUE"""),"TLC")</f>
        <v>TLC</v>
      </c>
      <c r="I301" s="46" t="str">
        <f ca="1">IFERROR(__xludf.DUMMYFUNCTION("""COMPUTED_VALUE"""),"HO")</f>
        <v>HO</v>
      </c>
      <c r="J301" s="46" t="str">
        <f ca="1">IFERROR(__xludf.DUMMYFUNCTION("""COMPUTED_VALUE"""),"FIN")</f>
        <v>FIN</v>
      </c>
      <c r="K301" s="46" t="str">
        <f ca="1">IFERROR(__xludf.DUMMYFUNCTION("""COMPUTED_VALUE"""),"FIN")</f>
        <v>FIN</v>
      </c>
      <c r="L301" s="46" t="str">
        <f ca="1">IFERROR(__xludf.DUMMYFUNCTION("""COMPUTED_VALUE"""),"FTE")</f>
        <v>FTE</v>
      </c>
      <c r="M301" s="46" t="str">
        <f ca="1">IFERROR(__xludf.DUMMYFUNCTION("""COMPUTED_VALUE"""),"Leave")</f>
        <v>Leave</v>
      </c>
      <c r="N301" s="46" t="str">
        <f ca="1">IFERROR(__xludf.DUMMYFUNCTION("""COMPUTED_VALUE"""),"đủ")</f>
        <v>đủ</v>
      </c>
    </row>
    <row r="302" spans="1:14">
      <c r="A302" s="45">
        <f ca="1">IFERROR(__xludf.DUMMYFUNCTION("""COMPUTED_VALUE"""),44746.5833333333)</f>
        <v>44746.583333333299</v>
      </c>
      <c r="B302" s="45" t="str">
        <f ca="1">IFERROR(__xludf.DUMMYFUNCTION("""COMPUTED_VALUE"""),"Đã nghỉ")</f>
        <v>Đã nghỉ</v>
      </c>
      <c r="C302" s="46">
        <f ca="1">IFERROR(__xludf.DUMMYFUNCTION("""COMPUTED_VALUE"""),303)</f>
        <v>303</v>
      </c>
      <c r="D302" s="47" t="str">
        <f ca="1">IFERROR(__xludf.DUMMYFUNCTION("""COMPUTED_VALUE"""),"C0043")</f>
        <v>C0043</v>
      </c>
      <c r="E302" s="46" t="str">
        <f ca="1">IFERROR(__xludf.DUMMYFUNCTION("""COMPUTED_VALUE"""),"JUN KOHMURA")</f>
        <v>JUN KOHMURA</v>
      </c>
      <c r="F302" s="46" t="str">
        <f ca="1">IFERROR(__xludf.DUMMYFUNCTION("""COMPUTED_VALUE"""),"JUN KOHMURA")</f>
        <v>JUN KOHMURA</v>
      </c>
      <c r="G302" s="45">
        <f ca="1">IFERROR(__xludf.DUMMYFUNCTION("""COMPUTED_VALUE"""),34141.5833333333)</f>
        <v>34141.583333333299</v>
      </c>
      <c r="H302" s="45" t="str">
        <f ca="1">IFERROR(__xludf.DUMMYFUNCTION("""COMPUTED_VALUE"""),"CREATIVE")</f>
        <v>CREATIVE</v>
      </c>
      <c r="I302" s="46" t="str">
        <f ca="1">IFERROR(__xludf.DUMMYFUNCTION("""COMPUTED_VALUE"""),"HO")</f>
        <v>HO</v>
      </c>
      <c r="J302" s="46" t="str">
        <f ca="1">IFERROR(__xludf.DUMMYFUNCTION("""COMPUTED_VALUE"""),"GRA")</f>
        <v>GRA</v>
      </c>
      <c r="K302" s="46" t="str">
        <f ca="1">IFERROR(__xludf.DUMMYFUNCTION("""COMPUTED_VALUE"""),"GRA")</f>
        <v>GRA</v>
      </c>
      <c r="L302" s="46" t="str">
        <f ca="1">IFERROR(__xludf.DUMMYFUNCTION("""COMPUTED_VALUE"""),"FTE")</f>
        <v>FTE</v>
      </c>
      <c r="M302" s="46" t="str">
        <f ca="1">IFERROR(__xludf.DUMMYFUNCTION("""COMPUTED_VALUE"""),"Leave")</f>
        <v>Leave</v>
      </c>
      <c r="N302" s="46" t="str">
        <f ca="1">IFERROR(__xludf.DUMMYFUNCTION("""COMPUTED_VALUE"""),"x")</f>
        <v>x</v>
      </c>
    </row>
    <row r="303" spans="1:14">
      <c r="A303" s="45">
        <f ca="1">IFERROR(__xludf.DUMMYFUNCTION("""COMPUTED_VALUE"""),44757.5833333333)</f>
        <v>44757.583333333299</v>
      </c>
      <c r="B303" s="45">
        <f ca="1">IFERROR(__xludf.DUMMYFUNCTION("""COMPUTED_VALUE"""),45870.5833333333)</f>
        <v>45870.583333333299</v>
      </c>
      <c r="C303" s="46">
        <f ca="1">IFERROR(__xludf.DUMMYFUNCTION("""COMPUTED_VALUE"""),304)</f>
        <v>304</v>
      </c>
      <c r="D303" s="47" t="str">
        <f ca="1">IFERROR(__xludf.DUMMYFUNCTION("""COMPUTED_VALUE"""),"C0047")</f>
        <v>C0047</v>
      </c>
      <c r="E303" s="46" t="str">
        <f ca="1">IFERROR(__xludf.DUMMYFUNCTION("""COMPUTED_VALUE"""),"TRẦN HOÀNG PHÚC THỊNH")</f>
        <v>TRẦN HOÀNG PHÚC THỊNH</v>
      </c>
      <c r="F303" s="46" t="str">
        <f ca="1">IFERROR(__xludf.DUMMYFUNCTION("""COMPUTED_VALUE"""),"TRAN HOANG PHUC THINH")</f>
        <v>TRAN HOANG PHUC THINH</v>
      </c>
      <c r="G303" s="45">
        <f ca="1">IFERROR(__xludf.DUMMYFUNCTION("""COMPUTED_VALUE"""),36547.625)</f>
        <v>36547.625</v>
      </c>
      <c r="H303" s="45" t="str">
        <f ca="1">IFERROR(__xludf.DUMMYFUNCTION("""COMPUTED_VALUE"""),"CREATIVE")</f>
        <v>CREATIVE</v>
      </c>
      <c r="I303" s="46" t="str">
        <f ca="1">IFERROR(__xludf.DUMMYFUNCTION("""COMPUTED_VALUE"""),"HO")</f>
        <v>HO</v>
      </c>
      <c r="J303" s="46" t="str">
        <f ca="1">IFERROR(__xludf.DUMMYFUNCTION("""COMPUTED_VALUE"""),"BDT")</f>
        <v>BDT</v>
      </c>
      <c r="K303" s="46" t="str">
        <f ca="1">IFERROR(__xludf.DUMMYFUNCTION("""COMPUTED_VALUE"""),"BDT")</f>
        <v>BDT</v>
      </c>
      <c r="L303" s="46" t="str">
        <f ca="1">IFERROR(__xludf.DUMMYFUNCTION("""COMPUTED_VALUE"""),"FTE")</f>
        <v>FTE</v>
      </c>
      <c r="M303" s="46" t="str">
        <f ca="1">IFERROR(__xludf.DUMMYFUNCTION("""COMPUTED_VALUE"""),"Leave")</f>
        <v>Leave</v>
      </c>
      <c r="N303" s="46" t="str">
        <f ca="1">IFERROR(__xludf.DUMMYFUNCTION("""COMPUTED_VALUE"""),"x")</f>
        <v>x</v>
      </c>
    </row>
    <row r="304" spans="1:14">
      <c r="A304" s="45">
        <f ca="1">IFERROR(__xludf.DUMMYFUNCTION("""COMPUTED_VALUE"""),44781.5833333333)</f>
        <v>44781.583333333299</v>
      </c>
      <c r="B304" s="45">
        <f ca="1">IFERROR(__xludf.DUMMYFUNCTION("""COMPUTED_VALUE"""),45463.5833333333)</f>
        <v>45463.583333333299</v>
      </c>
      <c r="C304" s="46">
        <f ca="1">IFERROR(__xludf.DUMMYFUNCTION("""COMPUTED_VALUE"""),305)</f>
        <v>305</v>
      </c>
      <c r="D304" s="47" t="str">
        <f ca="1">IFERROR(__xludf.DUMMYFUNCTION("""COMPUTED_VALUE"""),"C0048")</f>
        <v>C0048</v>
      </c>
      <c r="E304" s="46" t="str">
        <f ca="1">IFERROR(__xludf.DUMMYFUNCTION("""COMPUTED_VALUE"""),"HỒ THỊ NGỌC LINH")</f>
        <v>HỒ THỊ NGỌC LINH</v>
      </c>
      <c r="F304" s="46" t="str">
        <f ca="1">IFERROR(__xludf.DUMMYFUNCTION("""COMPUTED_VALUE"""),"HO THI NGOC LINH")</f>
        <v>HO THI NGOC LINH</v>
      </c>
      <c r="G304" s="45">
        <f ca="1">IFERROR(__xludf.DUMMYFUNCTION("""COMPUTED_VALUE"""),35026.625)</f>
        <v>35026.625</v>
      </c>
      <c r="H304" s="45" t="str">
        <f ca="1">IFERROR(__xludf.DUMMYFUNCTION("""COMPUTED_VALUE"""),"SHADOW")</f>
        <v>SHADOW</v>
      </c>
      <c r="I304" s="46" t="str">
        <f ca="1">IFERROR(__xludf.DUMMYFUNCTION("""COMPUTED_VALUE"""),"HO")</f>
        <v>HO</v>
      </c>
      <c r="J304" s="46" t="str">
        <f ca="1">IFERROR(__xludf.DUMMYFUNCTION("""COMPUTED_VALUE"""),"FIN")</f>
        <v>FIN</v>
      </c>
      <c r="K304" s="46" t="str">
        <f ca="1">IFERROR(__xludf.DUMMYFUNCTION("""COMPUTED_VALUE"""),"FIN")</f>
        <v>FIN</v>
      </c>
      <c r="L304" s="46" t="str">
        <f ca="1">IFERROR(__xludf.DUMMYFUNCTION("""COMPUTED_VALUE"""),"FTE")</f>
        <v>FTE</v>
      </c>
      <c r="M304" s="46" t="str">
        <f ca="1">IFERROR(__xludf.DUMMYFUNCTION("""COMPUTED_VALUE"""),"Leave")</f>
        <v>Leave</v>
      </c>
      <c r="N304" s="46" t="str">
        <f ca="1">IFERROR(__xludf.DUMMYFUNCTION("""COMPUTED_VALUE"""),"x")</f>
        <v>x</v>
      </c>
    </row>
    <row r="305" spans="1:14">
      <c r="A305" s="45"/>
      <c r="B305" s="45" t="str">
        <f ca="1">IFERROR(__xludf.DUMMYFUNCTION("""COMPUTED_VALUE"""),"Đã nghỉ")</f>
        <v>Đã nghỉ</v>
      </c>
      <c r="C305" s="46">
        <f ca="1">IFERROR(__xludf.DUMMYFUNCTION("""COMPUTED_VALUE"""),306)</f>
        <v>306</v>
      </c>
      <c r="D305" s="47" t="str">
        <f ca="1">IFERROR(__xludf.DUMMYFUNCTION("""COMPUTED_VALUE"""),"C0049")</f>
        <v>C0049</v>
      </c>
      <c r="E305" s="46" t="str">
        <f ca="1">IFERROR(__xludf.DUMMYFUNCTION("""COMPUTED_VALUE"""),"HUỲNH NGUYỄN MINH TRANG")</f>
        <v>HUỲNH NGUYỄN MINH TRANG</v>
      </c>
      <c r="F305" s="46" t="str">
        <f ca="1">IFERROR(__xludf.DUMMYFUNCTION("""COMPUTED_VALUE"""),"HUYNH NGUYEN MINH TRANG")</f>
        <v>HUYNH NGUYEN MINH TRANG</v>
      </c>
      <c r="G305" s="45">
        <f ca="1">IFERROR(__xludf.DUMMYFUNCTION("""COMPUTED_VALUE"""),34716.625)</f>
        <v>34716.625</v>
      </c>
      <c r="H305" s="45" t="str">
        <f ca="1">IFERROR(__xludf.DUMMYFUNCTION("""COMPUTED_VALUE"""),"CREATIVE")</f>
        <v>CREATIVE</v>
      </c>
      <c r="I305" s="46" t="str">
        <f ca="1">IFERROR(__xludf.DUMMYFUNCTION("""COMPUTED_VALUE"""),"HO")</f>
        <v>HO</v>
      </c>
      <c r="J305" s="46" t="str">
        <f ca="1">IFERROR(__xludf.DUMMYFUNCTION("""COMPUTED_VALUE"""),"INT")</f>
        <v>INT</v>
      </c>
      <c r="K305" s="46" t="str">
        <f ca="1">IFERROR(__xludf.DUMMYFUNCTION("""COMPUTED_VALUE"""),"INT")</f>
        <v>INT</v>
      </c>
      <c r="L305" s="46" t="str">
        <f ca="1">IFERROR(__xludf.DUMMYFUNCTION("""COMPUTED_VALUE"""),"FTE")</f>
        <v>FTE</v>
      </c>
      <c r="M305" s="46" t="str">
        <f ca="1">IFERROR(__xludf.DUMMYFUNCTION("""COMPUTED_VALUE"""),"Leave")</f>
        <v>Leave</v>
      </c>
      <c r="N305" s="46" t="str">
        <f ca="1">IFERROR(__xludf.DUMMYFUNCTION("""COMPUTED_VALUE"""),"x")</f>
        <v>x</v>
      </c>
    </row>
    <row r="306" spans="1:14">
      <c r="A306" s="45">
        <f ca="1">IFERROR(__xludf.DUMMYFUNCTION("""COMPUTED_VALUE"""),44819.5833333333)</f>
        <v>44819.583333333299</v>
      </c>
      <c r="B306" s="45">
        <f ca="1">IFERROR(__xludf.DUMMYFUNCTION("""COMPUTED_VALUE"""),45479.5833333333)</f>
        <v>45479.583333333299</v>
      </c>
      <c r="C306" s="46">
        <f ca="1">IFERROR(__xludf.DUMMYFUNCTION("""COMPUTED_VALUE"""),307)</f>
        <v>307</v>
      </c>
      <c r="D306" s="47" t="str">
        <f ca="1">IFERROR(__xludf.DUMMYFUNCTION("""COMPUTED_VALUE"""),"C0052")</f>
        <v>C0052</v>
      </c>
      <c r="E306" s="46" t="str">
        <f ca="1">IFERROR(__xludf.DUMMYFUNCTION("""COMPUTED_VALUE"""),"LÊ THỊ HOA TRANH")</f>
        <v>LÊ THỊ HOA TRANH</v>
      </c>
      <c r="F306" s="46" t="str">
        <f ca="1">IFERROR(__xludf.DUMMYFUNCTION("""COMPUTED_VALUE"""),"LE THI HOA TRANH")</f>
        <v>LE THI HOA TRANH</v>
      </c>
      <c r="G306" s="45">
        <f ca="1">IFERROR(__xludf.DUMMYFUNCTION("""COMPUTED_VALUE"""),34745.625)</f>
        <v>34745.625</v>
      </c>
      <c r="H306" s="45" t="str">
        <f ca="1">IFERROR(__xludf.DUMMYFUNCTION("""COMPUTED_VALUE"""),"CREATIVE")</f>
        <v>CREATIVE</v>
      </c>
      <c r="I306" s="46" t="str">
        <f ca="1">IFERROR(__xludf.DUMMYFUNCTION("""COMPUTED_VALUE"""),"HO")</f>
        <v>HO</v>
      </c>
      <c r="J306" s="46" t="str">
        <f ca="1">IFERROR(__xludf.DUMMYFUNCTION("""COMPUTED_VALUE"""),"FIN")</f>
        <v>FIN</v>
      </c>
      <c r="K306" s="46" t="str">
        <f ca="1">IFERROR(__xludf.DUMMYFUNCTION("""COMPUTED_VALUE"""),"FIN")</f>
        <v>FIN</v>
      </c>
      <c r="L306" s="46" t="str">
        <f ca="1">IFERROR(__xludf.DUMMYFUNCTION("""COMPUTED_VALUE"""),"FTE")</f>
        <v>FTE</v>
      </c>
      <c r="M306" s="46" t="str">
        <f ca="1">IFERROR(__xludf.DUMMYFUNCTION("""COMPUTED_VALUE"""),"Leave")</f>
        <v>Leave</v>
      </c>
      <c r="N306" s="46" t="str">
        <f ca="1">IFERROR(__xludf.DUMMYFUNCTION("""COMPUTED_VALUE"""),"x")</f>
        <v>x</v>
      </c>
    </row>
    <row r="307" spans="1:14">
      <c r="A307" s="45">
        <f ca="1">IFERROR(__xludf.DUMMYFUNCTION("""COMPUTED_VALUE"""),44844.5833333333)</f>
        <v>44844.583333333299</v>
      </c>
      <c r="B307" s="45" t="str">
        <f ca="1">IFERROR(__xludf.DUMMYFUNCTION("""COMPUTED_VALUE"""),"Đã nghỉ")</f>
        <v>Đã nghỉ</v>
      </c>
      <c r="C307" s="46">
        <f ca="1">IFERROR(__xludf.DUMMYFUNCTION("""COMPUTED_VALUE"""),308)</f>
        <v>308</v>
      </c>
      <c r="D307" s="47" t="str">
        <f ca="1">IFERROR(__xludf.DUMMYFUNCTION("""COMPUTED_VALUE"""),"C0053")</f>
        <v>C0053</v>
      </c>
      <c r="E307" s="46" t="str">
        <f ca="1">IFERROR(__xludf.DUMMYFUNCTION("""COMPUTED_VALUE"""),"TRẦN THỊ HƯỜNG")</f>
        <v>TRẦN THỊ HƯỜNG</v>
      </c>
      <c r="F307" s="46" t="str">
        <f ca="1">IFERROR(__xludf.DUMMYFUNCTION("""COMPUTED_VALUE"""),"TRAN THI HUONG")</f>
        <v>TRAN THI HUONG</v>
      </c>
      <c r="G307" s="45">
        <f ca="1">IFERROR(__xludf.DUMMYFUNCTION("""COMPUTED_VALUE"""),30436.5833333333)</f>
        <v>30436.583333333299</v>
      </c>
      <c r="H307" s="45" t="str">
        <f ca="1">IFERROR(__xludf.DUMMYFUNCTION("""COMPUTED_VALUE"""),"CREATIVE")</f>
        <v>CREATIVE</v>
      </c>
      <c r="I307" s="46" t="str">
        <f ca="1">IFERROR(__xludf.DUMMYFUNCTION("""COMPUTED_VALUE"""),"HO")</f>
        <v>HO</v>
      </c>
      <c r="J307" s="46" t="str">
        <f ca="1">IFERROR(__xludf.DUMMYFUNCTION("""COMPUTED_VALUE"""),"HRD")</f>
        <v>HRD</v>
      </c>
      <c r="K307" s="46" t="str">
        <f ca="1">IFERROR(__xludf.DUMMYFUNCTION("""COMPUTED_VALUE"""),"HRD")</f>
        <v>HRD</v>
      </c>
      <c r="L307" s="46" t="str">
        <f ca="1">IFERROR(__xludf.DUMMYFUNCTION("""COMPUTED_VALUE"""),"FTE")</f>
        <v>FTE</v>
      </c>
      <c r="M307" s="46" t="str">
        <f ca="1">IFERROR(__xludf.DUMMYFUNCTION("""COMPUTED_VALUE"""),"Leave")</f>
        <v>Leave</v>
      </c>
      <c r="N307" s="46" t="str">
        <f ca="1">IFERROR(__xludf.DUMMYFUNCTION("""COMPUTED_VALUE"""),"x")</f>
        <v>x</v>
      </c>
    </row>
    <row r="308" spans="1:14">
      <c r="A308" s="45">
        <f ca="1">IFERROR(__xludf.DUMMYFUNCTION("""COMPUTED_VALUE"""),44860.5833333333)</f>
        <v>44860.583333333299</v>
      </c>
      <c r="B308" s="45" t="str">
        <f ca="1">IFERROR(__xludf.DUMMYFUNCTION("""COMPUTED_VALUE"""),"Đã nghỉ")</f>
        <v>Đã nghỉ</v>
      </c>
      <c r="C308" s="46">
        <f ca="1">IFERROR(__xludf.DUMMYFUNCTION("""COMPUTED_VALUE"""),309)</f>
        <v>309</v>
      </c>
      <c r="D308" s="47" t="str">
        <f ca="1">IFERROR(__xludf.DUMMYFUNCTION("""COMPUTED_VALUE"""),"C0054")</f>
        <v>C0054</v>
      </c>
      <c r="E308" s="46" t="str">
        <f ca="1">IFERROR(__xludf.DUMMYFUNCTION("""COMPUTED_VALUE"""),"NGUYỄN THỊ HUYỀN MY")</f>
        <v>NGUYỄN THỊ HUYỀN MY</v>
      </c>
      <c r="F308" s="46" t="str">
        <f ca="1">IFERROR(__xludf.DUMMYFUNCTION("""COMPUTED_VALUE"""),"NGUYEN THI HUYEN MY")</f>
        <v>NGUYEN THI HUYEN MY</v>
      </c>
      <c r="G308" s="45">
        <f ca="1">IFERROR(__xludf.DUMMYFUNCTION("""COMPUTED_VALUE"""),34104.5833333333)</f>
        <v>34104.583333333299</v>
      </c>
      <c r="H308" s="45" t="str">
        <f ca="1">IFERROR(__xludf.DUMMYFUNCTION("""COMPUTED_VALUE"""),"CREATIVE")</f>
        <v>CREATIVE</v>
      </c>
      <c r="I308" s="46" t="str">
        <f ca="1">IFERROR(__xludf.DUMMYFUNCTION("""COMPUTED_VALUE"""),"HO")</f>
        <v>HO</v>
      </c>
      <c r="J308" s="46" t="str">
        <f ca="1">IFERROR(__xludf.DUMMYFUNCTION("""COMPUTED_VALUE"""),"HRD")</f>
        <v>HRD</v>
      </c>
      <c r="K308" s="46" t="str">
        <f ca="1">IFERROR(__xludf.DUMMYFUNCTION("""COMPUTED_VALUE"""),"HRD")</f>
        <v>HRD</v>
      </c>
      <c r="L308" s="46" t="str">
        <f ca="1">IFERROR(__xludf.DUMMYFUNCTION("""COMPUTED_VALUE"""),"FTE")</f>
        <v>FTE</v>
      </c>
      <c r="M308" s="46" t="str">
        <f ca="1">IFERROR(__xludf.DUMMYFUNCTION("""COMPUTED_VALUE"""),"Leave")</f>
        <v>Leave</v>
      </c>
      <c r="N308" s="46" t="str">
        <f ca="1">IFERROR(__xludf.DUMMYFUNCTION("""COMPUTED_VALUE"""),"x")</f>
        <v>x</v>
      </c>
    </row>
    <row r="309" spans="1:14">
      <c r="A309" s="45">
        <f ca="1">IFERROR(__xludf.DUMMYFUNCTION("""COMPUTED_VALUE"""),44867.5833333333)</f>
        <v>44867.583333333299</v>
      </c>
      <c r="B309" s="45" t="str">
        <f ca="1">IFERROR(__xludf.DUMMYFUNCTION("""COMPUTED_VALUE"""),"Đã nghỉ")</f>
        <v>Đã nghỉ</v>
      </c>
      <c r="C309" s="46">
        <f ca="1">IFERROR(__xludf.DUMMYFUNCTION("""COMPUTED_VALUE"""),310)</f>
        <v>310</v>
      </c>
      <c r="D309" s="47" t="str">
        <f ca="1">IFERROR(__xludf.DUMMYFUNCTION("""COMPUTED_VALUE"""),"C0055")</f>
        <v>C0055</v>
      </c>
      <c r="E309" s="46" t="str">
        <f ca="1">IFERROR(__xludf.DUMMYFUNCTION("""COMPUTED_VALUE"""),"PHẠM THỊ THU NHUNG")</f>
        <v>PHẠM THỊ THU NHUNG</v>
      </c>
      <c r="F309" s="46" t="str">
        <f ca="1">IFERROR(__xludf.DUMMYFUNCTION("""COMPUTED_VALUE"""),"PHAM THI THU NHUNG")</f>
        <v>PHAM THI THU NHUNG</v>
      </c>
      <c r="G309" s="45">
        <f ca="1">IFERROR(__xludf.DUMMYFUNCTION("""COMPUTED_VALUE"""),34677.625)</f>
        <v>34677.625</v>
      </c>
      <c r="H309" s="45" t="str">
        <f ca="1">IFERROR(__xludf.DUMMYFUNCTION("""COMPUTED_VALUE"""),"CREATIVE")</f>
        <v>CREATIVE</v>
      </c>
      <c r="I309" s="46" t="str">
        <f ca="1">IFERROR(__xludf.DUMMYFUNCTION("""COMPUTED_VALUE"""),"HO")</f>
        <v>HO</v>
      </c>
      <c r="J309" s="46" t="str">
        <f ca="1">IFERROR(__xludf.DUMMYFUNCTION("""COMPUTED_VALUE"""),"HRD")</f>
        <v>HRD</v>
      </c>
      <c r="K309" s="46" t="str">
        <f ca="1">IFERROR(__xludf.DUMMYFUNCTION("""COMPUTED_VALUE"""),"HRD")</f>
        <v>HRD</v>
      </c>
      <c r="L309" s="46" t="str">
        <f ca="1">IFERROR(__xludf.DUMMYFUNCTION("""COMPUTED_VALUE"""),"FTE")</f>
        <v>FTE</v>
      </c>
      <c r="M309" s="46" t="str">
        <f ca="1">IFERROR(__xludf.DUMMYFUNCTION("""COMPUTED_VALUE"""),"Leave")</f>
        <v>Leave</v>
      </c>
      <c r="N309" s="46" t="str">
        <f ca="1">IFERROR(__xludf.DUMMYFUNCTION("""COMPUTED_VALUE"""),"x")</f>
        <v>x</v>
      </c>
    </row>
    <row r="310" spans="1:14">
      <c r="A310" s="45"/>
      <c r="B310" s="45" t="str">
        <f ca="1">IFERROR(__xludf.DUMMYFUNCTION("""COMPUTED_VALUE"""),"Đã nghỉ")</f>
        <v>Đã nghỉ</v>
      </c>
      <c r="C310" s="46">
        <f ca="1">IFERROR(__xludf.DUMMYFUNCTION("""COMPUTED_VALUE"""),311)</f>
        <v>311</v>
      </c>
      <c r="D310" s="47" t="str">
        <f ca="1">IFERROR(__xludf.DUMMYFUNCTION("""COMPUTED_VALUE"""),"C0057")</f>
        <v>C0057</v>
      </c>
      <c r="E310" s="46" t="str">
        <f ca="1">IFERROR(__xludf.DUMMYFUNCTION("""COMPUTED_VALUE"""),"NGUYỄN HẢI LINH")</f>
        <v>NGUYỄN HẢI LINH</v>
      </c>
      <c r="F310" s="46" t="str">
        <f ca="1">IFERROR(__xludf.DUMMYFUNCTION("""COMPUTED_VALUE"""),"NGUYEN HAI LINH")</f>
        <v>NGUYEN HAI LINH</v>
      </c>
      <c r="G310" s="45">
        <f ca="1">IFERROR(__xludf.DUMMYFUNCTION("""COMPUTED_VALUE"""),35991.5833333333)</f>
        <v>35991.583333333299</v>
      </c>
      <c r="H310" s="45" t="str">
        <f ca="1">IFERROR(__xludf.DUMMYFUNCTION("""COMPUTED_VALUE"""),"TLC")</f>
        <v>TLC</v>
      </c>
      <c r="I310" s="46" t="str">
        <f ca="1">IFERROR(__xludf.DUMMYFUNCTION("""COMPUTED_VALUE"""),"HO")</f>
        <v>HO</v>
      </c>
      <c r="J310" s="46" t="str">
        <f ca="1">IFERROR(__xludf.DUMMYFUNCTION("""COMPUTED_VALUE"""),"STU")</f>
        <v>STU</v>
      </c>
      <c r="K310" s="46" t="str">
        <f ca="1">IFERROR(__xludf.DUMMYFUNCTION("""COMPUTED_VALUE"""),"STU")</f>
        <v>STU</v>
      </c>
      <c r="L310" s="46" t="str">
        <f ca="1">IFERROR(__xludf.DUMMYFUNCTION("""COMPUTED_VALUE"""),"SER")</f>
        <v>SER</v>
      </c>
      <c r="M310" s="46" t="str">
        <f ca="1">IFERROR(__xludf.DUMMYFUNCTION("""COMPUTED_VALUE"""),"Leave")</f>
        <v>Leave</v>
      </c>
      <c r="N310" s="46" t="str">
        <f ca="1">IFERROR(__xludf.DUMMYFUNCTION("""COMPUTED_VALUE"""),"x")</f>
        <v>x</v>
      </c>
    </row>
    <row r="311" spans="1:14">
      <c r="A311" s="45">
        <f ca="1">IFERROR(__xludf.DUMMYFUNCTION("""COMPUTED_VALUE"""),44928.625)</f>
        <v>44928.625</v>
      </c>
      <c r="B311" s="45">
        <f ca="1">IFERROR(__xludf.DUMMYFUNCTION("""COMPUTED_VALUE"""),45231.5833333333)</f>
        <v>45231.583333333299</v>
      </c>
      <c r="C311" s="46">
        <f ca="1">IFERROR(__xludf.DUMMYFUNCTION("""COMPUTED_VALUE"""),312)</f>
        <v>312</v>
      </c>
      <c r="D311" s="47" t="str">
        <f ca="1">IFERROR(__xludf.DUMMYFUNCTION("""COMPUTED_VALUE"""),"C0058")</f>
        <v>C0058</v>
      </c>
      <c r="E311" s="46" t="str">
        <f ca="1">IFERROR(__xludf.DUMMYFUNCTION("""COMPUTED_VALUE"""),"NGUYỄN MINH NHẬT")</f>
        <v>NGUYỄN MINH NHẬT</v>
      </c>
      <c r="F311" s="46" t="str">
        <f ca="1">IFERROR(__xludf.DUMMYFUNCTION("""COMPUTED_VALUE"""),"NGUYEN MINH NHAT")</f>
        <v>NGUYEN MINH NHAT</v>
      </c>
      <c r="G311" s="45">
        <f ca="1">IFERROR(__xludf.DUMMYFUNCTION("""COMPUTED_VALUE"""),36673.5833333333)</f>
        <v>36673.583333333299</v>
      </c>
      <c r="H311" s="45" t="str">
        <f ca="1">IFERROR(__xludf.DUMMYFUNCTION("""COMPUTED_VALUE"""),"CREATIVE")</f>
        <v>CREATIVE</v>
      </c>
      <c r="I311" s="46" t="str">
        <f ca="1">IFERROR(__xludf.DUMMYFUNCTION("""COMPUTED_VALUE"""),"HO")</f>
        <v>HO</v>
      </c>
      <c r="J311" s="46" t="str">
        <f ca="1">IFERROR(__xludf.DUMMYFUNCTION("""COMPUTED_VALUE"""),"HRD")</f>
        <v>HRD</v>
      </c>
      <c r="K311" s="46" t="str">
        <f ca="1">IFERROR(__xludf.DUMMYFUNCTION("""COMPUTED_VALUE"""),"HRD")</f>
        <v>HRD</v>
      </c>
      <c r="L311" s="46" t="str">
        <f ca="1">IFERROR(__xludf.DUMMYFUNCTION("""COMPUTED_VALUE"""),"FTE")</f>
        <v>FTE</v>
      </c>
      <c r="M311" s="46" t="str">
        <f ca="1">IFERROR(__xludf.DUMMYFUNCTION("""COMPUTED_VALUE"""),"Leave")</f>
        <v>Leave</v>
      </c>
      <c r="N311" s="46" t="str">
        <f ca="1">IFERROR(__xludf.DUMMYFUNCTION("""COMPUTED_VALUE"""),"x")</f>
        <v>x</v>
      </c>
    </row>
    <row r="312" spans="1:14">
      <c r="A312" s="45">
        <f ca="1">IFERROR(__xludf.DUMMYFUNCTION("""COMPUTED_VALUE"""),44928.625)</f>
        <v>44928.625</v>
      </c>
      <c r="B312" s="45">
        <f ca="1">IFERROR(__xludf.DUMMYFUNCTION("""COMPUTED_VALUE"""),45383.5833333333)</f>
        <v>45383.583333333299</v>
      </c>
      <c r="C312" s="46">
        <f ca="1">IFERROR(__xludf.DUMMYFUNCTION("""COMPUTED_VALUE"""),313)</f>
        <v>313</v>
      </c>
      <c r="D312" s="47" t="str">
        <f ca="1">IFERROR(__xludf.DUMMYFUNCTION("""COMPUTED_VALUE"""),"C0059")</f>
        <v>C0059</v>
      </c>
      <c r="E312" s="46" t="str">
        <f ca="1">IFERROR(__xludf.DUMMYFUNCTION("""COMPUTED_VALUE"""),"ĐỖ TRƯỜNG MINH")</f>
        <v>ĐỖ TRƯỜNG MINH</v>
      </c>
      <c r="F312" s="46" t="str">
        <f ca="1">IFERROR(__xludf.DUMMYFUNCTION("""COMPUTED_VALUE"""),"DO TRUONG MINH")</f>
        <v>DO TRUONG MINH</v>
      </c>
      <c r="G312" s="45">
        <f ca="1">IFERROR(__xludf.DUMMYFUNCTION("""COMPUTED_VALUE"""),30475.5833333333)</f>
        <v>30475.583333333299</v>
      </c>
      <c r="H312" s="45" t="str">
        <f ca="1">IFERROR(__xludf.DUMMYFUNCTION("""COMPUTED_VALUE"""),"CREATIVE")</f>
        <v>CREATIVE</v>
      </c>
      <c r="I312" s="46" t="str">
        <f ca="1">IFERROR(__xludf.DUMMYFUNCTION("""COMPUTED_VALUE"""),"HO")</f>
        <v>HO</v>
      </c>
      <c r="J312" s="46" t="str">
        <f ca="1">IFERROR(__xludf.DUMMYFUNCTION("""COMPUTED_VALUE"""),"SPA")</f>
        <v>SPA</v>
      </c>
      <c r="K312" s="46" t="str">
        <f ca="1">IFERROR(__xludf.DUMMYFUNCTION("""COMPUTED_VALUE"""),"SPA")</f>
        <v>SPA</v>
      </c>
      <c r="L312" s="46" t="str">
        <f ca="1">IFERROR(__xludf.DUMMYFUNCTION("""COMPUTED_VALUE"""),"FTE")</f>
        <v>FTE</v>
      </c>
      <c r="M312" s="46" t="str">
        <f ca="1">IFERROR(__xludf.DUMMYFUNCTION("""COMPUTED_VALUE"""),"Leave")</f>
        <v>Leave</v>
      </c>
      <c r="N312" s="46" t="str">
        <f ca="1">IFERROR(__xludf.DUMMYFUNCTION("""COMPUTED_VALUE"""),"x")</f>
        <v>x</v>
      </c>
    </row>
    <row r="313" spans="1:14">
      <c r="A313" s="45">
        <f ca="1">IFERROR(__xludf.DUMMYFUNCTION("""COMPUTED_VALUE"""),44928.625)</f>
        <v>44928.625</v>
      </c>
      <c r="B313" s="45"/>
      <c r="C313" s="46">
        <f ca="1">IFERROR(__xludf.DUMMYFUNCTION("""COMPUTED_VALUE"""),314)</f>
        <v>314</v>
      </c>
      <c r="D313" s="47" t="str">
        <f ca="1">IFERROR(__xludf.DUMMYFUNCTION("""COMPUTED_VALUE"""),"C0060")</f>
        <v>C0060</v>
      </c>
      <c r="E313" s="46" t="str">
        <f ca="1">IFERROR(__xludf.DUMMYFUNCTION("""COMPUTED_VALUE"""),"TRẦN THẢO VY")</f>
        <v>TRẦN THẢO VY</v>
      </c>
      <c r="F313" s="46" t="str">
        <f ca="1">IFERROR(__xludf.DUMMYFUNCTION("""COMPUTED_VALUE"""),"TRAN THAO VY")</f>
        <v>TRAN THAO VY</v>
      </c>
      <c r="G313" s="45">
        <f ca="1">IFERROR(__xludf.DUMMYFUNCTION("""COMPUTED_VALUE"""),35291.5833333333)</f>
        <v>35291.583333333299</v>
      </c>
      <c r="H313" s="45" t="str">
        <f ca="1">IFERROR(__xludf.DUMMYFUNCTION("""COMPUTED_VALUE"""),"TLC")</f>
        <v>TLC</v>
      </c>
      <c r="I313" s="46" t="str">
        <f ca="1">IFERROR(__xludf.DUMMYFUNCTION("""COMPUTED_VALUE"""),"HO")</f>
        <v>HO</v>
      </c>
      <c r="J313" s="46" t="str">
        <f ca="1">IFERROR(__xludf.DUMMYFUNCTION("""COMPUTED_VALUE"""),"FIN")</f>
        <v>FIN</v>
      </c>
      <c r="K313" s="46" t="str">
        <f ca="1">IFERROR(__xludf.DUMMYFUNCTION("""COMPUTED_VALUE"""),"FIN")</f>
        <v>FIN</v>
      </c>
      <c r="L313" s="46" t="str">
        <f ca="1">IFERROR(__xludf.DUMMYFUNCTION("""COMPUTED_VALUE"""),"FTE")</f>
        <v>FTE</v>
      </c>
      <c r="M313" s="46" t="str">
        <f ca="1">IFERROR(__xludf.DUMMYFUNCTION("""COMPUTED_VALUE"""),"On")</f>
        <v>On</v>
      </c>
      <c r="N313" s="46" t="str">
        <f ca="1">IFERROR(__xludf.DUMMYFUNCTION("""COMPUTED_VALUE"""),"đủ")</f>
        <v>đủ</v>
      </c>
    </row>
    <row r="314" spans="1:14">
      <c r="A314" s="45">
        <f ca="1">IFERROR(__xludf.DUMMYFUNCTION("""COMPUTED_VALUE"""),44970.625)</f>
        <v>44970.625</v>
      </c>
      <c r="B314" s="45">
        <f ca="1">IFERROR(__xludf.DUMMYFUNCTION("""COMPUTED_VALUE"""),45395.5833333333)</f>
        <v>45395.583333333299</v>
      </c>
      <c r="C314" s="46">
        <f ca="1">IFERROR(__xludf.DUMMYFUNCTION("""COMPUTED_VALUE"""),315)</f>
        <v>315</v>
      </c>
      <c r="D314" s="47" t="str">
        <f ca="1">IFERROR(__xludf.DUMMYFUNCTION("""COMPUTED_VALUE"""),"C0061")</f>
        <v>C0061</v>
      </c>
      <c r="E314" s="46" t="str">
        <f ca="1">IFERROR(__xludf.DUMMYFUNCTION("""COMPUTED_VALUE"""),"HOÀNG THỊ BÍCH ANH")</f>
        <v>HOÀNG THỊ BÍCH ANH</v>
      </c>
      <c r="F314" s="46" t="str">
        <f ca="1">IFERROR(__xludf.DUMMYFUNCTION("""COMPUTED_VALUE"""),"HOANG THI BICH ANH")</f>
        <v>HOANG THI BICH ANH</v>
      </c>
      <c r="G314" s="45">
        <f ca="1">IFERROR(__xludf.DUMMYFUNCTION("""COMPUTED_VALUE"""),36139.625)</f>
        <v>36139.625</v>
      </c>
      <c r="H314" s="45" t="str">
        <f ca="1">IFERROR(__xludf.DUMMYFUNCTION("""COMPUTED_VALUE"""),"CREATIVE")</f>
        <v>CREATIVE</v>
      </c>
      <c r="I314" s="46" t="str">
        <f ca="1">IFERROR(__xludf.DUMMYFUNCTION("""COMPUTED_VALUE"""),"HO")</f>
        <v>HO</v>
      </c>
      <c r="J314" s="46" t="str">
        <f ca="1">IFERROR(__xludf.DUMMYFUNCTION("""COMPUTED_VALUE"""),"FIN")</f>
        <v>FIN</v>
      </c>
      <c r="K314" s="46" t="str">
        <f ca="1">IFERROR(__xludf.DUMMYFUNCTION("""COMPUTED_VALUE"""),"FIN")</f>
        <v>FIN</v>
      </c>
      <c r="L314" s="46" t="str">
        <f ca="1">IFERROR(__xludf.DUMMYFUNCTION("""COMPUTED_VALUE"""),"FTE")</f>
        <v>FTE</v>
      </c>
      <c r="M314" s="46" t="str">
        <f ca="1">IFERROR(__xludf.DUMMYFUNCTION("""COMPUTED_VALUE"""),"Leave")</f>
        <v>Leave</v>
      </c>
      <c r="N314" s="46" t="str">
        <f ca="1">IFERROR(__xludf.DUMMYFUNCTION("""COMPUTED_VALUE"""),"x")</f>
        <v>x</v>
      </c>
    </row>
    <row r="315" spans="1:14">
      <c r="A315" s="45">
        <f ca="1">IFERROR(__xludf.DUMMYFUNCTION("""COMPUTED_VALUE"""),44977.625)</f>
        <v>44977.625</v>
      </c>
      <c r="B315" s="45" t="str">
        <f ca="1">IFERROR(__xludf.DUMMYFUNCTION("""COMPUTED_VALUE"""),"Đã nghỉ")</f>
        <v>Đã nghỉ</v>
      </c>
      <c r="C315" s="46">
        <f ca="1">IFERROR(__xludf.DUMMYFUNCTION("""COMPUTED_VALUE"""),316)</f>
        <v>316</v>
      </c>
      <c r="D315" s="47" t="str">
        <f ca="1">IFERROR(__xludf.DUMMYFUNCTION("""COMPUTED_VALUE"""),"C0062")</f>
        <v>C0062</v>
      </c>
      <c r="E315" s="46" t="str">
        <f ca="1">IFERROR(__xludf.DUMMYFUNCTION("""COMPUTED_VALUE"""),"NGUYỄN THỊ TRÀ GIANG")</f>
        <v>NGUYỄN THỊ TRÀ GIANG</v>
      </c>
      <c r="F315" s="46" t="str">
        <f ca="1">IFERROR(__xludf.DUMMYFUNCTION("""COMPUTED_VALUE"""),"NGUYEN THI TRA GIANG")</f>
        <v>NGUYEN THI TRA GIANG</v>
      </c>
      <c r="G315" s="45">
        <f ca="1">IFERROR(__xludf.DUMMYFUNCTION("""COMPUTED_VALUE"""),35627.5833333333)</f>
        <v>35627.583333333299</v>
      </c>
      <c r="H315" s="45" t="str">
        <f ca="1">IFERROR(__xludf.DUMMYFUNCTION("""COMPUTED_VALUE"""),"CREATIVE")</f>
        <v>CREATIVE</v>
      </c>
      <c r="I315" s="46" t="str">
        <f ca="1">IFERROR(__xludf.DUMMYFUNCTION("""COMPUTED_VALUE"""),"HO")</f>
        <v>HO</v>
      </c>
      <c r="J315" s="46" t="str">
        <f ca="1">IFERROR(__xludf.DUMMYFUNCTION("""COMPUTED_VALUE"""),"GRA")</f>
        <v>GRA</v>
      </c>
      <c r="K315" s="46" t="str">
        <f ca="1">IFERROR(__xludf.DUMMYFUNCTION("""COMPUTED_VALUE"""),"GRA")</f>
        <v>GRA</v>
      </c>
      <c r="L315" s="46" t="str">
        <f ca="1">IFERROR(__xludf.DUMMYFUNCTION("""COMPUTED_VALUE"""),"SER")</f>
        <v>SER</v>
      </c>
      <c r="M315" s="46" t="str">
        <f ca="1">IFERROR(__xludf.DUMMYFUNCTION("""COMPUTED_VALUE"""),"Leave")</f>
        <v>Leave</v>
      </c>
      <c r="N315" s="46" t="str">
        <f ca="1">IFERROR(__xludf.DUMMYFUNCTION("""COMPUTED_VALUE"""),"x")</f>
        <v>x</v>
      </c>
    </row>
    <row r="316" spans="1:14">
      <c r="A316" s="45">
        <f ca="1">IFERROR(__xludf.DUMMYFUNCTION("""COMPUTED_VALUE"""),44991.625)</f>
        <v>44991.625</v>
      </c>
      <c r="B316" s="45">
        <f ca="1">IFERROR(__xludf.DUMMYFUNCTION("""COMPUTED_VALUE"""),45186.5833333333)</f>
        <v>45186.583333333299</v>
      </c>
      <c r="C316" s="46">
        <f ca="1">IFERROR(__xludf.DUMMYFUNCTION("""COMPUTED_VALUE"""),317)</f>
        <v>317</v>
      </c>
      <c r="D316" s="47" t="str">
        <f ca="1">IFERROR(__xludf.DUMMYFUNCTION("""COMPUTED_VALUE"""),"C0063")</f>
        <v>C0063</v>
      </c>
      <c r="E316" s="46" t="str">
        <f ca="1">IFERROR(__xludf.DUMMYFUNCTION("""COMPUTED_VALUE"""),"NGUYỄN THỊ BÉ HAI")</f>
        <v>NGUYỄN THỊ BÉ HAI</v>
      </c>
      <c r="F316" s="46" t="str">
        <f ca="1">IFERROR(__xludf.DUMMYFUNCTION("""COMPUTED_VALUE"""),"NGUYEN THI BE HAI")</f>
        <v>NGUYEN THI BE HAI</v>
      </c>
      <c r="G316" s="45">
        <f ca="1">IFERROR(__xludf.DUMMYFUNCTION("""COMPUTED_VALUE"""),31852.625)</f>
        <v>31852.625</v>
      </c>
      <c r="H316" s="45" t="str">
        <f ca="1">IFERROR(__xludf.DUMMYFUNCTION("""COMPUTED_VALUE"""),"CREATIVE")</f>
        <v>CREATIVE</v>
      </c>
      <c r="I316" s="46" t="str">
        <f ca="1">IFERROR(__xludf.DUMMYFUNCTION("""COMPUTED_VALUE"""),"HO")</f>
        <v>HO</v>
      </c>
      <c r="J316" s="46" t="str">
        <f ca="1">IFERROR(__xludf.DUMMYFUNCTION("""COMPUTED_VALUE"""),"PUR")</f>
        <v>PUR</v>
      </c>
      <c r="K316" s="46" t="str">
        <f ca="1">IFERROR(__xludf.DUMMYFUNCTION("""COMPUTED_VALUE"""),"PUR")</f>
        <v>PUR</v>
      </c>
      <c r="L316" s="46" t="str">
        <f ca="1">IFERROR(__xludf.DUMMYFUNCTION("""COMPUTED_VALUE"""),"FTE")</f>
        <v>FTE</v>
      </c>
      <c r="M316" s="46" t="str">
        <f ca="1">IFERROR(__xludf.DUMMYFUNCTION("""COMPUTED_VALUE"""),"Leave")</f>
        <v>Leave</v>
      </c>
      <c r="N316" s="46" t="str">
        <f ca="1">IFERROR(__xludf.DUMMYFUNCTION("""COMPUTED_VALUE"""),"x")</f>
        <v>x</v>
      </c>
    </row>
    <row r="317" spans="1:14">
      <c r="A317" s="45">
        <f ca="1">IFERROR(__xludf.DUMMYFUNCTION("""COMPUTED_VALUE"""),44991.625)</f>
        <v>44991.625</v>
      </c>
      <c r="B317" s="45">
        <f ca="1">IFERROR(__xludf.DUMMYFUNCTION("""COMPUTED_VALUE"""),45790.5833333333)</f>
        <v>45790.583333333299</v>
      </c>
      <c r="C317" s="46">
        <f ca="1">IFERROR(__xludf.DUMMYFUNCTION("""COMPUTED_VALUE"""),318)</f>
        <v>318</v>
      </c>
      <c r="D317" s="47" t="str">
        <f ca="1">IFERROR(__xludf.DUMMYFUNCTION("""COMPUTED_VALUE"""),"C0064")</f>
        <v>C0064</v>
      </c>
      <c r="E317" s="46" t="str">
        <f ca="1">IFERROR(__xludf.DUMMYFUNCTION("""COMPUTED_VALUE"""),"NGUYỄN THIÊN THANH")</f>
        <v>NGUYỄN THIÊN THANH</v>
      </c>
      <c r="F317" s="46" t="str">
        <f ca="1">IFERROR(__xludf.DUMMYFUNCTION("""COMPUTED_VALUE"""),"NGUYEN THIEN THANH")</f>
        <v>NGUYEN THIEN THANH</v>
      </c>
      <c r="G317" s="45">
        <f ca="1">IFERROR(__xludf.DUMMYFUNCTION("""COMPUTED_VALUE"""),35641.5833333333)</f>
        <v>35641.583333333299</v>
      </c>
      <c r="H317" s="45" t="str">
        <f ca="1">IFERROR(__xludf.DUMMYFUNCTION("""COMPUTED_VALUE"""),"CREATIVE")</f>
        <v>CREATIVE</v>
      </c>
      <c r="I317" s="46" t="str">
        <f ca="1">IFERROR(__xludf.DUMMYFUNCTION("""COMPUTED_VALUE"""),"HO")</f>
        <v>HO</v>
      </c>
      <c r="J317" s="46" t="str">
        <f ca="1">IFERROR(__xludf.DUMMYFUNCTION("""COMPUTED_VALUE"""),"SPA")</f>
        <v>SPA</v>
      </c>
      <c r="K317" s="46" t="str">
        <f ca="1">IFERROR(__xludf.DUMMYFUNCTION("""COMPUTED_VALUE"""),"SPA")</f>
        <v>SPA</v>
      </c>
      <c r="L317" s="46" t="str">
        <f ca="1">IFERROR(__xludf.DUMMYFUNCTION("""COMPUTED_VALUE"""),"FTE")</f>
        <v>FTE</v>
      </c>
      <c r="M317" s="46" t="str">
        <f ca="1">IFERROR(__xludf.DUMMYFUNCTION("""COMPUTED_VALUE"""),"Leave")</f>
        <v>Leave</v>
      </c>
      <c r="N317" s="46" t="str">
        <f ca="1">IFERROR(__xludf.DUMMYFUNCTION("""COMPUTED_VALUE"""),"x")</f>
        <v>x</v>
      </c>
    </row>
    <row r="318" spans="1:14">
      <c r="A318" s="45">
        <f ca="1">IFERROR(__xludf.DUMMYFUNCTION("""COMPUTED_VALUE"""),45510.5833333333)</f>
        <v>45510.583333333299</v>
      </c>
      <c r="B318" s="45"/>
      <c r="C318" s="46">
        <f ca="1">IFERROR(__xludf.DUMMYFUNCTION("""COMPUTED_VALUE"""),319)</f>
        <v>319</v>
      </c>
      <c r="D318" s="47" t="str">
        <f ca="1">IFERROR(__xludf.DUMMYFUNCTION("""COMPUTED_VALUE"""),"C0065")</f>
        <v>C0065</v>
      </c>
      <c r="E318" s="46" t="str">
        <f ca="1">IFERROR(__xludf.DUMMYFUNCTION("""COMPUTED_VALUE"""),"NGUYỄN PHƯƠNG TRINH")</f>
        <v>NGUYỄN PHƯƠNG TRINH</v>
      </c>
      <c r="F318" s="46" t="str">
        <f ca="1">IFERROR(__xludf.DUMMYFUNCTION("""COMPUTED_VALUE"""),"NGUYEN PHUONG TRINH")</f>
        <v>NGUYEN PHUONG TRINH</v>
      </c>
      <c r="G318" s="45">
        <f ca="1">IFERROR(__xludf.DUMMYFUNCTION("""COMPUTED_VALUE"""),36020.5833333333)</f>
        <v>36020.583333333299</v>
      </c>
      <c r="H318" s="45" t="str">
        <f ca="1">IFERROR(__xludf.DUMMYFUNCTION("""COMPUTED_VALUE"""),"TLC")</f>
        <v>TLC</v>
      </c>
      <c r="I318" s="46" t="str">
        <f ca="1">IFERROR(__xludf.DUMMYFUNCTION("""COMPUTED_VALUE"""),"HO")</f>
        <v>HO</v>
      </c>
      <c r="J318" s="46" t="str">
        <f ca="1">IFERROR(__xludf.DUMMYFUNCTION("""COMPUTED_VALUE"""),"CE")</f>
        <v>CE</v>
      </c>
      <c r="K318" s="46" t="str">
        <f ca="1">IFERROR(__xludf.DUMMYFUNCTION("""COMPUTED_VALUE"""),"CE")</f>
        <v>CE</v>
      </c>
      <c r="L318" s="46" t="str">
        <f ca="1">IFERROR(__xludf.DUMMYFUNCTION("""COMPUTED_VALUE"""),"FTE")</f>
        <v>FTE</v>
      </c>
      <c r="M318" s="46" t="str">
        <f ca="1">IFERROR(__xludf.DUMMYFUNCTION("""COMPUTED_VALUE"""),"On")</f>
        <v>On</v>
      </c>
      <c r="N318" s="46" t="str">
        <f ca="1">IFERROR(__xludf.DUMMYFUNCTION("""COMPUTED_VALUE"""),"đủ")</f>
        <v>đủ</v>
      </c>
    </row>
    <row r="319" spans="1:14">
      <c r="A319" s="45">
        <f ca="1">IFERROR(__xludf.DUMMYFUNCTION("""COMPUTED_VALUE"""),45005.5833333333)</f>
        <v>45005.583333333299</v>
      </c>
      <c r="B319" s="45">
        <f ca="1">IFERROR(__xludf.DUMMYFUNCTION("""COMPUTED_VALUE"""),45383.5833333333)</f>
        <v>45383.583333333299</v>
      </c>
      <c r="C319" s="46">
        <f ca="1">IFERROR(__xludf.DUMMYFUNCTION("""COMPUTED_VALUE"""),320)</f>
        <v>320</v>
      </c>
      <c r="D319" s="47" t="str">
        <f ca="1">IFERROR(__xludf.DUMMYFUNCTION("""COMPUTED_VALUE"""),"C0066")</f>
        <v>C0066</v>
      </c>
      <c r="E319" s="46" t="str">
        <f ca="1">IFERROR(__xludf.DUMMYFUNCTION("""COMPUTED_VALUE"""),"NGUYỄN HOÀNG PHƯƠNG THẢO")</f>
        <v>NGUYỄN HOÀNG PHƯƠNG THẢO</v>
      </c>
      <c r="F319" s="46" t="str">
        <f ca="1">IFERROR(__xludf.DUMMYFUNCTION("""COMPUTED_VALUE"""),"NGUYEN HOANG PHUONG THAO")</f>
        <v>NGUYEN HOANG PHUONG THAO</v>
      </c>
      <c r="G319" s="45">
        <f ca="1">IFERROR(__xludf.DUMMYFUNCTION("""COMPUTED_VALUE"""),36527.625)</f>
        <v>36527.625</v>
      </c>
      <c r="H319" s="45" t="str">
        <f ca="1">IFERROR(__xludf.DUMMYFUNCTION("""COMPUTED_VALUE"""),"CREATIVE")</f>
        <v>CREATIVE</v>
      </c>
      <c r="I319" s="46" t="str">
        <f ca="1">IFERROR(__xludf.DUMMYFUNCTION("""COMPUTED_VALUE"""),"HO")</f>
        <v>HO</v>
      </c>
      <c r="J319" s="46" t="str">
        <f ca="1">IFERROR(__xludf.DUMMYFUNCTION("""COMPUTED_VALUE"""),"SPD")</f>
        <v>SPD</v>
      </c>
      <c r="K319" s="46" t="str">
        <f ca="1">IFERROR(__xludf.DUMMYFUNCTION("""COMPUTED_VALUE"""),"SPD")</f>
        <v>SPD</v>
      </c>
      <c r="L319" s="46" t="str">
        <f ca="1">IFERROR(__xludf.DUMMYFUNCTION("""COMPUTED_VALUE"""),"FTE")</f>
        <v>FTE</v>
      </c>
      <c r="M319" s="46" t="str">
        <f ca="1">IFERROR(__xludf.DUMMYFUNCTION("""COMPUTED_VALUE"""),"Leave")</f>
        <v>Leave</v>
      </c>
      <c r="N319" s="46" t="str">
        <f ca="1">IFERROR(__xludf.DUMMYFUNCTION("""COMPUTED_VALUE"""),"x")</f>
        <v>x</v>
      </c>
    </row>
    <row r="320" spans="1:14">
      <c r="A320" s="45">
        <f ca="1">IFERROR(__xludf.DUMMYFUNCTION("""COMPUTED_VALUE"""),45033.5833333333)</f>
        <v>45033.583333333299</v>
      </c>
      <c r="B320" s="45">
        <f ca="1">IFERROR(__xludf.DUMMYFUNCTION("""COMPUTED_VALUE"""),46128.5833333333)</f>
        <v>46128.583333333299</v>
      </c>
      <c r="C320" s="46">
        <f ca="1">IFERROR(__xludf.DUMMYFUNCTION("""COMPUTED_VALUE"""),321)</f>
        <v>321</v>
      </c>
      <c r="D320" s="47" t="str">
        <f ca="1">IFERROR(__xludf.DUMMYFUNCTION("""COMPUTED_VALUE"""),"C0067")</f>
        <v>C0067</v>
      </c>
      <c r="E320" s="46" t="str">
        <f ca="1">IFERROR(__xludf.DUMMYFUNCTION("""COMPUTED_VALUE"""),"LÊ THỊ THÙY LINH")</f>
        <v>LÊ THỊ THÙY LINH</v>
      </c>
      <c r="F320" s="46" t="str">
        <f ca="1">IFERROR(__xludf.DUMMYFUNCTION("""COMPUTED_VALUE"""),"LE THI THUY LINH")</f>
        <v>LE THI THUY LINH</v>
      </c>
      <c r="G320" s="45">
        <f ca="1">IFERROR(__xludf.DUMMYFUNCTION("""COMPUTED_VALUE"""),34129.5833333333)</f>
        <v>34129.583333333299</v>
      </c>
      <c r="H320" s="45" t="str">
        <f ca="1">IFERROR(__xludf.DUMMYFUNCTION("""COMPUTED_VALUE"""),"CREATIVE")</f>
        <v>CREATIVE</v>
      </c>
      <c r="I320" s="46" t="str">
        <f ca="1">IFERROR(__xludf.DUMMYFUNCTION("""COMPUTED_VALUE"""),"HO")</f>
        <v>HO</v>
      </c>
      <c r="J320" s="46" t="str">
        <f ca="1">IFERROR(__xludf.DUMMYFUNCTION("""COMPUTED_VALUE"""),"IAT")</f>
        <v>IAT</v>
      </c>
      <c r="K320" s="46" t="str">
        <f ca="1">IFERROR(__xludf.DUMMYFUNCTION("""COMPUTED_VALUE"""),"IAT")</f>
        <v>IAT</v>
      </c>
      <c r="L320" s="46" t="str">
        <f ca="1">IFERROR(__xludf.DUMMYFUNCTION("""COMPUTED_VALUE"""),"FTE")</f>
        <v>FTE</v>
      </c>
      <c r="M320" s="46" t="str">
        <f ca="1">IFERROR(__xludf.DUMMYFUNCTION("""COMPUTED_VALUE"""),"Leave")</f>
        <v>Leave</v>
      </c>
      <c r="N320" s="46" t="str">
        <f ca="1">IFERROR(__xludf.DUMMYFUNCTION("""COMPUTED_VALUE"""),"đủ")</f>
        <v>đủ</v>
      </c>
    </row>
    <row r="321" spans="1:14">
      <c r="A321" s="45">
        <f ca="1">IFERROR(__xludf.DUMMYFUNCTION("""COMPUTED_VALUE"""),45054.5833333333)</f>
        <v>45054.583333333299</v>
      </c>
      <c r="B321" s="45" t="str">
        <f ca="1">IFERROR(__xludf.DUMMYFUNCTION("""COMPUTED_VALUE"""),"Đã nghỉ")</f>
        <v>Đã nghỉ</v>
      </c>
      <c r="C321" s="46">
        <f ca="1">IFERROR(__xludf.DUMMYFUNCTION("""COMPUTED_VALUE"""),322)</f>
        <v>322</v>
      </c>
      <c r="D321" s="47" t="str">
        <f ca="1">IFERROR(__xludf.DUMMYFUNCTION("""COMPUTED_VALUE"""),"C0068")</f>
        <v>C0068</v>
      </c>
      <c r="E321" s="46" t="str">
        <f ca="1">IFERROR(__xludf.DUMMYFUNCTION("""COMPUTED_VALUE"""),"HOÀNG NGUYÊN NGỌC")</f>
        <v>HOÀNG NGUYÊN NGỌC</v>
      </c>
      <c r="F321" s="46" t="str">
        <f ca="1">IFERROR(__xludf.DUMMYFUNCTION("""COMPUTED_VALUE"""),"HOANG NGUYEN NGOC")</f>
        <v>HOANG NGUYEN NGOC</v>
      </c>
      <c r="G321" s="45">
        <f ca="1">IFERROR(__xludf.DUMMYFUNCTION("""COMPUTED_VALUE"""),36714.5833333333)</f>
        <v>36714.583333333299</v>
      </c>
      <c r="H321" s="45" t="str">
        <f ca="1">IFERROR(__xludf.DUMMYFUNCTION("""COMPUTED_VALUE"""),"CREATIVE")</f>
        <v>CREATIVE</v>
      </c>
      <c r="I321" s="46" t="str">
        <f ca="1">IFERROR(__xludf.DUMMYFUNCTION("""COMPUTED_VALUE"""),"HO")</f>
        <v>HO</v>
      </c>
      <c r="J321" s="46" t="str">
        <f ca="1">IFERROR(__xludf.DUMMYFUNCTION("""COMPUTED_VALUE"""),"HRD")</f>
        <v>HRD</v>
      </c>
      <c r="K321" s="46" t="str">
        <f ca="1">IFERROR(__xludf.DUMMYFUNCTION("""COMPUTED_VALUE"""),"HRD")</f>
        <v>HRD</v>
      </c>
      <c r="L321" s="46" t="str">
        <f ca="1">IFERROR(__xludf.DUMMYFUNCTION("""COMPUTED_VALUE"""),"PRO")</f>
        <v>PRO</v>
      </c>
      <c r="M321" s="46" t="str">
        <f ca="1">IFERROR(__xludf.DUMMYFUNCTION("""COMPUTED_VALUE"""),"Leave")</f>
        <v>Leave</v>
      </c>
      <c r="N321" s="46" t="str">
        <f ca="1">IFERROR(__xludf.DUMMYFUNCTION("""COMPUTED_VALUE"""),"x")</f>
        <v>x</v>
      </c>
    </row>
    <row r="322" spans="1:14">
      <c r="A322" s="45">
        <f ca="1">IFERROR(__xludf.DUMMYFUNCTION("""COMPUTED_VALUE"""),45054.5833333333)</f>
        <v>45054.583333333299</v>
      </c>
      <c r="B322" s="45">
        <f ca="1">IFERROR(__xludf.DUMMYFUNCTION("""COMPUTED_VALUE"""),45352.625)</f>
        <v>45352.625</v>
      </c>
      <c r="C322" s="46">
        <f ca="1">IFERROR(__xludf.DUMMYFUNCTION("""COMPUTED_VALUE"""),323)</f>
        <v>323</v>
      </c>
      <c r="D322" s="47" t="str">
        <f ca="1">IFERROR(__xludf.DUMMYFUNCTION("""COMPUTED_VALUE"""),"C0069")</f>
        <v>C0069</v>
      </c>
      <c r="E322" s="46" t="str">
        <f ca="1">IFERROR(__xludf.DUMMYFUNCTION("""COMPUTED_VALUE"""),"ĐỖ THỊ HUYỀN ANH")</f>
        <v>ĐỖ THỊ HUYỀN ANH</v>
      </c>
      <c r="F322" s="46" t="str">
        <f ca="1">IFERROR(__xludf.DUMMYFUNCTION("""COMPUTED_VALUE"""),"DO THI HUYEN ANH")</f>
        <v>DO THI HUYEN ANH</v>
      </c>
      <c r="G322" s="45">
        <f ca="1">IFERROR(__xludf.DUMMYFUNCTION("""COMPUTED_VALUE"""),35316.5833333333)</f>
        <v>35316.583333333299</v>
      </c>
      <c r="H322" s="45" t="str">
        <f ca="1">IFERROR(__xludf.DUMMYFUNCTION("""COMPUTED_VALUE"""),"CREATIVE")</f>
        <v>CREATIVE</v>
      </c>
      <c r="I322" s="46" t="str">
        <f ca="1">IFERROR(__xludf.DUMMYFUNCTION("""COMPUTED_VALUE"""),"HO")</f>
        <v>HO</v>
      </c>
      <c r="J322" s="46" t="str">
        <f ca="1">IFERROR(__xludf.DUMMYFUNCTION("""COMPUTED_VALUE"""),"SPD")</f>
        <v>SPD</v>
      </c>
      <c r="K322" s="46" t="str">
        <f ca="1">IFERROR(__xludf.DUMMYFUNCTION("""COMPUTED_VALUE"""),"SPD")</f>
        <v>SPD</v>
      </c>
      <c r="L322" s="46" t="str">
        <f ca="1">IFERROR(__xludf.DUMMYFUNCTION("""COMPUTED_VALUE"""),"FTE")</f>
        <v>FTE</v>
      </c>
      <c r="M322" s="46" t="str">
        <f ca="1">IFERROR(__xludf.DUMMYFUNCTION("""COMPUTED_VALUE"""),"Leave")</f>
        <v>Leave</v>
      </c>
      <c r="N322" s="46" t="str">
        <f ca="1">IFERROR(__xludf.DUMMYFUNCTION("""COMPUTED_VALUE"""),"x")</f>
        <v>x</v>
      </c>
    </row>
    <row r="323" spans="1:14">
      <c r="A323" s="45">
        <f ca="1">IFERROR(__xludf.DUMMYFUNCTION("""COMPUTED_VALUE"""),45054.5833333333)</f>
        <v>45054.583333333299</v>
      </c>
      <c r="B323" s="45" t="str">
        <f ca="1">IFERROR(__xludf.DUMMYFUNCTION("""COMPUTED_VALUE"""),"Đã nghỉ")</f>
        <v>Đã nghỉ</v>
      </c>
      <c r="C323" s="46">
        <f ca="1">IFERROR(__xludf.DUMMYFUNCTION("""COMPUTED_VALUE"""),324)</f>
        <v>324</v>
      </c>
      <c r="D323" s="47" t="str">
        <f ca="1">IFERROR(__xludf.DUMMYFUNCTION("""COMPUTED_VALUE"""),"C0070")</f>
        <v>C0070</v>
      </c>
      <c r="E323" s="46" t="str">
        <f ca="1">IFERROR(__xludf.DUMMYFUNCTION("""COMPUTED_VALUE"""),"DANIEL DO MINH RAMOS")</f>
        <v>DANIEL DO MINH RAMOS</v>
      </c>
      <c r="F323" s="46" t="str">
        <f ca="1">IFERROR(__xludf.DUMMYFUNCTION("""COMPUTED_VALUE"""),"DANIEL DO MINH RAMOS")</f>
        <v>DANIEL DO MINH RAMOS</v>
      </c>
      <c r="G323" s="45">
        <f ca="1">IFERROR(__xludf.DUMMYFUNCTION("""COMPUTED_VALUE"""),35272.5833333333)</f>
        <v>35272.583333333299</v>
      </c>
      <c r="H323" s="45" t="str">
        <f ca="1">IFERROR(__xludf.DUMMYFUNCTION("""COMPUTED_VALUE"""),"CREATIVE")</f>
        <v>CREATIVE</v>
      </c>
      <c r="I323" s="46" t="str">
        <f ca="1">IFERROR(__xludf.DUMMYFUNCTION("""COMPUTED_VALUE"""),"HO")</f>
        <v>HO</v>
      </c>
      <c r="J323" s="46" t="str">
        <f ca="1">IFERROR(__xludf.DUMMYFUNCTION("""COMPUTED_VALUE"""),"SPD")</f>
        <v>SPD</v>
      </c>
      <c r="K323" s="46" t="str">
        <f ca="1">IFERROR(__xludf.DUMMYFUNCTION("""COMPUTED_VALUE"""),"SPD")</f>
        <v>SPD</v>
      </c>
      <c r="L323" s="46" t="str">
        <f ca="1">IFERROR(__xludf.DUMMYFUNCTION("""COMPUTED_VALUE"""),"PRO")</f>
        <v>PRO</v>
      </c>
      <c r="M323" s="46" t="str">
        <f ca="1">IFERROR(__xludf.DUMMYFUNCTION("""COMPUTED_VALUE"""),"Leave")</f>
        <v>Leave</v>
      </c>
      <c r="N323" s="46" t="str">
        <f ca="1">IFERROR(__xludf.DUMMYFUNCTION("""COMPUTED_VALUE"""),"x")</f>
        <v>x</v>
      </c>
    </row>
    <row r="324" spans="1:14">
      <c r="A324" s="45">
        <f ca="1">IFERROR(__xludf.DUMMYFUNCTION("""COMPUTED_VALUE"""),45054.5833333333)</f>
        <v>45054.583333333299</v>
      </c>
      <c r="B324" s="45" t="str">
        <f ca="1">IFERROR(__xludf.DUMMYFUNCTION("""COMPUTED_VALUE"""),"Đã nghỉ")</f>
        <v>Đã nghỉ</v>
      </c>
      <c r="C324" s="46">
        <f ca="1">IFERROR(__xludf.DUMMYFUNCTION("""COMPUTED_VALUE"""),325)</f>
        <v>325</v>
      </c>
      <c r="D324" s="47" t="str">
        <f ca="1">IFERROR(__xludf.DUMMYFUNCTION("""COMPUTED_VALUE"""),"C0071")</f>
        <v>C0071</v>
      </c>
      <c r="E324" s="46" t="str">
        <f ca="1">IFERROR(__xludf.DUMMYFUNCTION("""COMPUTED_VALUE"""),"TRƯƠNG MINH CHÂU")</f>
        <v>TRƯƠNG MINH CHÂU</v>
      </c>
      <c r="F324" s="46" t="str">
        <f ca="1">IFERROR(__xludf.DUMMYFUNCTION("""COMPUTED_VALUE"""),"TRUONG MINH CHAU")</f>
        <v>TRUONG MINH CHAU</v>
      </c>
      <c r="G324" s="45">
        <f ca="1">IFERROR(__xludf.DUMMYFUNCTION("""COMPUTED_VALUE"""),29336.625)</f>
        <v>29336.625</v>
      </c>
      <c r="H324" s="45" t="str">
        <f ca="1">IFERROR(__xludf.DUMMYFUNCTION("""COMPUTED_VALUE"""),"CREATIVE")</f>
        <v>CREATIVE</v>
      </c>
      <c r="I324" s="46" t="str">
        <f ca="1">IFERROR(__xludf.DUMMYFUNCTION("""COMPUTED_VALUE"""),"HO")</f>
        <v>HO</v>
      </c>
      <c r="J324" s="46" t="str">
        <f ca="1">IFERROR(__xludf.DUMMYFUNCTION("""COMPUTED_VALUE"""),"HRD")</f>
        <v>HRD</v>
      </c>
      <c r="K324" s="46" t="str">
        <f ca="1">IFERROR(__xludf.DUMMYFUNCTION("""COMPUTED_VALUE"""),"HRD")</f>
        <v>HRD</v>
      </c>
      <c r="L324" s="46" t="str">
        <f ca="1">IFERROR(__xludf.DUMMYFUNCTION("""COMPUTED_VALUE"""),"PRO")</f>
        <v>PRO</v>
      </c>
      <c r="M324" s="46" t="str">
        <f ca="1">IFERROR(__xludf.DUMMYFUNCTION("""COMPUTED_VALUE"""),"Leave")</f>
        <v>Leave</v>
      </c>
      <c r="N324" s="46" t="str">
        <f ca="1">IFERROR(__xludf.DUMMYFUNCTION("""COMPUTED_VALUE"""),"x")</f>
        <v>x</v>
      </c>
    </row>
    <row r="325" spans="1:14">
      <c r="A325" s="45">
        <f ca="1">IFERROR(__xludf.DUMMYFUNCTION("""COMPUTED_VALUE"""),45078.5833333333)</f>
        <v>45078.583333333299</v>
      </c>
      <c r="B325" s="45">
        <f ca="1">IFERROR(__xludf.DUMMYFUNCTION("""COMPUTED_VALUE"""),45393.5833333333)</f>
        <v>45393.583333333299</v>
      </c>
      <c r="C325" s="46">
        <f ca="1">IFERROR(__xludf.DUMMYFUNCTION("""COMPUTED_VALUE"""),326)</f>
        <v>326</v>
      </c>
      <c r="D325" s="47" t="str">
        <f ca="1">IFERROR(__xludf.DUMMYFUNCTION("""COMPUTED_VALUE"""),"C0072")</f>
        <v>C0072</v>
      </c>
      <c r="E325" s="46" t="str">
        <f ca="1">IFERROR(__xludf.DUMMYFUNCTION("""COMPUTED_VALUE"""),"LÊ VY")</f>
        <v>LÊ VY</v>
      </c>
      <c r="F325" s="46" t="str">
        <f ca="1">IFERROR(__xludf.DUMMYFUNCTION("""COMPUTED_VALUE"""),"LE VY")</f>
        <v>LE VY</v>
      </c>
      <c r="G325" s="45">
        <f ca="1">IFERROR(__xludf.DUMMYFUNCTION("""COMPUTED_VALUE"""),35411.625)</f>
        <v>35411.625</v>
      </c>
      <c r="H325" s="45" t="str">
        <f ca="1">IFERROR(__xludf.DUMMYFUNCTION("""COMPUTED_VALUE"""),"CREATIVE")</f>
        <v>CREATIVE</v>
      </c>
      <c r="I325" s="46" t="str">
        <f ca="1">IFERROR(__xludf.DUMMYFUNCTION("""COMPUTED_VALUE"""),"HO")</f>
        <v>HO</v>
      </c>
      <c r="J325" s="46" t="str">
        <f ca="1">IFERROR(__xludf.DUMMYFUNCTION("""COMPUTED_VALUE"""),"FIN")</f>
        <v>FIN</v>
      </c>
      <c r="K325" s="46" t="str">
        <f ca="1">IFERROR(__xludf.DUMMYFUNCTION("""COMPUTED_VALUE"""),"FIN")</f>
        <v>FIN</v>
      </c>
      <c r="L325" s="46" t="str">
        <f ca="1">IFERROR(__xludf.DUMMYFUNCTION("""COMPUTED_VALUE"""),"FTE")</f>
        <v>FTE</v>
      </c>
      <c r="M325" s="46" t="str">
        <f ca="1">IFERROR(__xludf.DUMMYFUNCTION("""COMPUTED_VALUE"""),"Leave")</f>
        <v>Leave</v>
      </c>
      <c r="N325" s="46" t="str">
        <f ca="1">IFERROR(__xludf.DUMMYFUNCTION("""COMPUTED_VALUE"""),"x")</f>
        <v>x</v>
      </c>
    </row>
    <row r="326" spans="1:14">
      <c r="A326" s="45">
        <f ca="1">IFERROR(__xludf.DUMMYFUNCTION("""COMPUTED_VALUE"""),45126.5833333333)</f>
        <v>45126.583333333299</v>
      </c>
      <c r="B326" s="45">
        <f ca="1">IFERROR(__xludf.DUMMYFUNCTION("""COMPUTED_VALUE"""),45292.625)</f>
        <v>45292.625</v>
      </c>
      <c r="C326" s="46">
        <f ca="1">IFERROR(__xludf.DUMMYFUNCTION("""COMPUTED_VALUE"""),327)</f>
        <v>327</v>
      </c>
      <c r="D326" s="47" t="str">
        <f ca="1">IFERROR(__xludf.DUMMYFUNCTION("""COMPUTED_VALUE"""),"C0073")</f>
        <v>C0073</v>
      </c>
      <c r="E326" s="46" t="str">
        <f ca="1">IFERROR(__xludf.DUMMYFUNCTION("""COMPUTED_VALUE"""),"VŨ THỊ HƯƠNG GIANG")</f>
        <v>VŨ THỊ HƯƠNG GIANG</v>
      </c>
      <c r="F326" s="46" t="str">
        <f ca="1">IFERROR(__xludf.DUMMYFUNCTION("""COMPUTED_VALUE"""),"VU THI HUONG GIANG")</f>
        <v>VU THI HUONG GIANG</v>
      </c>
      <c r="G326" s="45">
        <f ca="1">IFERROR(__xludf.DUMMYFUNCTION("""COMPUTED_VALUE"""),35992.5833333333)</f>
        <v>35992.583333333299</v>
      </c>
      <c r="H326" s="45" t="str">
        <f ca="1">IFERROR(__xludf.DUMMYFUNCTION("""COMPUTED_VALUE"""),"BAKES")</f>
        <v>BAKES</v>
      </c>
      <c r="I326" s="46" t="str">
        <f ca="1">IFERROR(__xludf.DUMMYFUNCTION("""COMPUTED_VALUE"""),"STORE")</f>
        <v>STORE</v>
      </c>
      <c r="J326" s="46" t="str">
        <f ca="1">IFERROR(__xludf.DUMMYFUNCTION("""COMPUTED_VALUE"""),"BAKES D2")</f>
        <v>BAKES D2</v>
      </c>
      <c r="K326" s="46" t="str">
        <f ca="1">IFERROR(__xludf.DUMMYFUNCTION("""COMPUTED_VALUE"""),"STR")</f>
        <v>STR</v>
      </c>
      <c r="L326" s="46" t="str">
        <f ca="1">IFERROR(__xludf.DUMMYFUNCTION("""COMPUTED_VALUE"""),"PTE")</f>
        <v>PTE</v>
      </c>
      <c r="M326" s="46" t="str">
        <f ca="1">IFERROR(__xludf.DUMMYFUNCTION("""COMPUTED_VALUE"""),"Leave")</f>
        <v>Leave</v>
      </c>
      <c r="N326" s="46" t="str">
        <f ca="1">IFERROR(__xludf.DUMMYFUNCTION("""COMPUTED_VALUE"""),"x")</f>
        <v>x</v>
      </c>
    </row>
    <row r="327" spans="1:14">
      <c r="A327" s="45">
        <f ca="1">IFERROR(__xludf.DUMMYFUNCTION("""COMPUTED_VALUE"""),45110.5833333333)</f>
        <v>45110.583333333299</v>
      </c>
      <c r="B327" s="45">
        <f ca="1">IFERROR(__xludf.DUMMYFUNCTION("""COMPUTED_VALUE"""),45668.625)</f>
        <v>45668.625</v>
      </c>
      <c r="C327" s="46">
        <f ca="1">IFERROR(__xludf.DUMMYFUNCTION("""COMPUTED_VALUE"""),328)</f>
        <v>328</v>
      </c>
      <c r="D327" s="47" t="str">
        <f ca="1">IFERROR(__xludf.DUMMYFUNCTION("""COMPUTED_VALUE"""),"C0074")</f>
        <v>C0074</v>
      </c>
      <c r="E327" s="46" t="str">
        <f ca="1">IFERROR(__xludf.DUMMYFUNCTION("""COMPUTED_VALUE"""),"TRẦN HỮU NHÂN")</f>
        <v>TRẦN HỮU NHÂN</v>
      </c>
      <c r="F327" s="46" t="str">
        <f ca="1">IFERROR(__xludf.DUMMYFUNCTION("""COMPUTED_VALUE"""),"TRAN HUU NHAN")</f>
        <v>TRAN HUU NHAN</v>
      </c>
      <c r="G327" s="45">
        <f ca="1">IFERROR(__xludf.DUMMYFUNCTION("""COMPUTED_VALUE"""),34842.5833333333)</f>
        <v>34842.583333333299</v>
      </c>
      <c r="H327" s="45" t="str">
        <f ca="1">IFERROR(__xludf.DUMMYFUNCTION("""COMPUTED_VALUE"""),"CREATIVE")</f>
        <v>CREATIVE</v>
      </c>
      <c r="I327" s="46" t="str">
        <f ca="1">IFERROR(__xludf.DUMMYFUNCTION("""COMPUTED_VALUE"""),"HO")</f>
        <v>HO</v>
      </c>
      <c r="J327" s="46" t="str">
        <f ca="1">IFERROR(__xludf.DUMMYFUNCTION("""COMPUTED_VALUE"""),"HRD")</f>
        <v>HRD</v>
      </c>
      <c r="K327" s="46" t="str">
        <f ca="1">IFERROR(__xludf.DUMMYFUNCTION("""COMPUTED_VALUE"""),"HRD")</f>
        <v>HRD</v>
      </c>
      <c r="L327" s="46" t="str">
        <f ca="1">IFERROR(__xludf.DUMMYFUNCTION("""COMPUTED_VALUE"""),"FTE")</f>
        <v>FTE</v>
      </c>
      <c r="M327" s="46" t="str">
        <f ca="1">IFERROR(__xludf.DUMMYFUNCTION("""COMPUTED_VALUE"""),"Leave")</f>
        <v>Leave</v>
      </c>
      <c r="N327" s="46" t="str">
        <f ca="1">IFERROR(__xludf.DUMMYFUNCTION("""COMPUTED_VALUE"""),"x")</f>
        <v>x</v>
      </c>
    </row>
    <row r="328" spans="1:14">
      <c r="A328" s="45">
        <f ca="1">IFERROR(__xludf.DUMMYFUNCTION("""COMPUTED_VALUE"""),45110.5833333333)</f>
        <v>45110.583333333299</v>
      </c>
      <c r="B328" s="45">
        <f ca="1">IFERROR(__xludf.DUMMYFUNCTION("""COMPUTED_VALUE"""),45206.5833333333)</f>
        <v>45206.583333333299</v>
      </c>
      <c r="C328" s="46">
        <f ca="1">IFERROR(__xludf.DUMMYFUNCTION("""COMPUTED_VALUE"""),329)</f>
        <v>329</v>
      </c>
      <c r="D328" s="47" t="str">
        <f ca="1">IFERROR(__xludf.DUMMYFUNCTION("""COMPUTED_VALUE"""),"C0075")</f>
        <v>C0075</v>
      </c>
      <c r="E328" s="46" t="str">
        <f ca="1">IFERROR(__xludf.DUMMYFUNCTION("""COMPUTED_VALUE"""),"NGUYỄN HOÀNG NHẬT")</f>
        <v>NGUYỄN HOÀNG NHẬT</v>
      </c>
      <c r="F328" s="46" t="str">
        <f ca="1">IFERROR(__xludf.DUMMYFUNCTION("""COMPUTED_VALUE"""),"NGUYEN HOANG NHAT")</f>
        <v>NGUYEN HOANG NHAT</v>
      </c>
      <c r="G328" s="45">
        <f ca="1">IFERROR(__xludf.DUMMYFUNCTION("""COMPUTED_VALUE"""),33478.5833333333)</f>
        <v>33478.583333333299</v>
      </c>
      <c r="H328" s="45" t="str">
        <f ca="1">IFERROR(__xludf.DUMMYFUNCTION("""COMPUTED_VALUE"""),"CREATIVE")</f>
        <v>CREATIVE</v>
      </c>
      <c r="I328" s="46" t="str">
        <f ca="1">IFERROR(__xludf.DUMMYFUNCTION("""COMPUTED_VALUE"""),"HO")</f>
        <v>HO</v>
      </c>
      <c r="J328" s="46" t="str">
        <f ca="1">IFERROR(__xludf.DUMMYFUNCTION("""COMPUTED_VALUE"""),"HRD")</f>
        <v>HRD</v>
      </c>
      <c r="K328" s="46" t="str">
        <f ca="1">IFERROR(__xludf.DUMMYFUNCTION("""COMPUTED_VALUE"""),"HRD")</f>
        <v>HRD</v>
      </c>
      <c r="L328" s="46" t="str">
        <f ca="1">IFERROR(__xludf.DUMMYFUNCTION("""COMPUTED_VALUE"""),"FTE")</f>
        <v>FTE</v>
      </c>
      <c r="M328" s="46" t="str">
        <f ca="1">IFERROR(__xludf.DUMMYFUNCTION("""COMPUTED_VALUE"""),"Leave")</f>
        <v>Leave</v>
      </c>
      <c r="N328" s="46" t="str">
        <f ca="1">IFERROR(__xludf.DUMMYFUNCTION("""COMPUTED_VALUE"""),"x")</f>
        <v>x</v>
      </c>
    </row>
    <row r="329" spans="1:14">
      <c r="A329" s="45">
        <f ca="1">IFERROR(__xludf.DUMMYFUNCTION("""COMPUTED_VALUE"""),45117.5833333333)</f>
        <v>45117.583333333299</v>
      </c>
      <c r="B329" s="45"/>
      <c r="C329" s="46">
        <f ca="1">IFERROR(__xludf.DUMMYFUNCTION("""COMPUTED_VALUE"""),330)</f>
        <v>330</v>
      </c>
      <c r="D329" s="47" t="str">
        <f ca="1">IFERROR(__xludf.DUMMYFUNCTION("""COMPUTED_VALUE"""),"C0076")</f>
        <v>C0076</v>
      </c>
      <c r="E329" s="46" t="str">
        <f ca="1">IFERROR(__xludf.DUMMYFUNCTION("""COMPUTED_VALUE"""),"NGUYỄN THỊ THANH VY")</f>
        <v>NGUYỄN THỊ THANH VY</v>
      </c>
      <c r="F329" s="46" t="str">
        <f ca="1">IFERROR(__xludf.DUMMYFUNCTION("""COMPUTED_VALUE"""),"NGUYEN THI THANH VY")</f>
        <v>NGUYEN THI THANH VY</v>
      </c>
      <c r="G329" s="45">
        <f ca="1">IFERROR(__xludf.DUMMYFUNCTION("""COMPUTED_VALUE"""),31975.5833333333)</f>
        <v>31975.583333333299</v>
      </c>
      <c r="H329" s="45" t="str">
        <f ca="1">IFERROR(__xludf.DUMMYFUNCTION("""COMPUTED_VALUE"""),"TLC")</f>
        <v>TLC</v>
      </c>
      <c r="I329" s="46" t="str">
        <f ca="1">IFERROR(__xludf.DUMMYFUNCTION("""COMPUTED_VALUE"""),"HO")</f>
        <v>HO</v>
      </c>
      <c r="J329" s="46" t="str">
        <f ca="1">IFERROR(__xludf.DUMMYFUNCTION("""COMPUTED_VALUE"""),"HRD")</f>
        <v>HRD</v>
      </c>
      <c r="K329" s="46" t="str">
        <f ca="1">IFERROR(__xludf.DUMMYFUNCTION("""COMPUTED_VALUE"""),"HRD")</f>
        <v>HRD</v>
      </c>
      <c r="L329" s="46" t="str">
        <f ca="1">IFERROR(__xludf.DUMMYFUNCTION("""COMPUTED_VALUE"""),"FTE")</f>
        <v>FTE</v>
      </c>
      <c r="M329" s="46" t="str">
        <f ca="1">IFERROR(__xludf.DUMMYFUNCTION("""COMPUTED_VALUE"""),"On")</f>
        <v>On</v>
      </c>
      <c r="N329" s="46" t="str">
        <f ca="1">IFERROR(__xludf.DUMMYFUNCTION("""COMPUTED_VALUE"""),"đủ")</f>
        <v>đủ</v>
      </c>
    </row>
    <row r="330" spans="1:14">
      <c r="A330" s="45">
        <f ca="1">IFERROR(__xludf.DUMMYFUNCTION("""COMPUTED_VALUE"""),45110.5833333333)</f>
        <v>45110.583333333299</v>
      </c>
      <c r="B330" s="45" t="str">
        <f ca="1">IFERROR(__xludf.DUMMYFUNCTION("""COMPUTED_VALUE"""),"Đã nghỉ")</f>
        <v>Đã nghỉ</v>
      </c>
      <c r="C330" s="46">
        <f ca="1">IFERROR(__xludf.DUMMYFUNCTION("""COMPUTED_VALUE"""),331)</f>
        <v>331</v>
      </c>
      <c r="D330" s="47" t="str">
        <f ca="1">IFERROR(__xludf.DUMMYFUNCTION("""COMPUTED_VALUE"""),"C0077")</f>
        <v>C0077</v>
      </c>
      <c r="E330" s="46" t="str">
        <f ca="1">IFERROR(__xludf.DUMMYFUNCTION("""COMPUTED_VALUE"""),"NGUYỄN NGỌC HỮU")</f>
        <v>NGUYỄN NGỌC HỮU</v>
      </c>
      <c r="F330" s="46" t="str">
        <f ca="1">IFERROR(__xludf.DUMMYFUNCTION("""COMPUTED_VALUE"""),"NGUYEN NGOC HUU")</f>
        <v>NGUYEN NGOC HUU</v>
      </c>
      <c r="G330" s="45"/>
      <c r="H330" s="45" t="str">
        <f ca="1">IFERROR(__xludf.DUMMYFUNCTION("""COMPUTED_VALUE"""),"BAKES")</f>
        <v>BAKES</v>
      </c>
      <c r="I330" s="46" t="str">
        <f ca="1">IFERROR(__xludf.DUMMYFUNCTION("""COMPUTED_VALUE"""),"STORE")</f>
        <v>STORE</v>
      </c>
      <c r="J330" s="46" t="str">
        <f ca="1">IFERROR(__xludf.DUMMYFUNCTION("""COMPUTED_VALUE"""),"BAKES D2")</f>
        <v>BAKES D2</v>
      </c>
      <c r="K330" s="46" t="str">
        <f ca="1">IFERROR(__xludf.DUMMYFUNCTION("""COMPUTED_VALUE"""),"Management team")</f>
        <v>Management team</v>
      </c>
      <c r="L330" s="46" t="str">
        <f ca="1">IFERROR(__xludf.DUMMYFUNCTION("""COMPUTED_VALUE"""),"PRO")</f>
        <v>PRO</v>
      </c>
      <c r="M330" s="46" t="str">
        <f ca="1">IFERROR(__xludf.DUMMYFUNCTION("""COMPUTED_VALUE"""),"Leave")</f>
        <v>Leave</v>
      </c>
      <c r="N330" s="46" t="str">
        <f ca="1">IFERROR(__xludf.DUMMYFUNCTION("""COMPUTED_VALUE"""),"x")</f>
        <v>x</v>
      </c>
    </row>
    <row r="331" spans="1:14">
      <c r="A331" s="45">
        <f ca="1">IFERROR(__xludf.DUMMYFUNCTION("""COMPUTED_VALUE"""),45110.5833333333)</f>
        <v>45110.583333333299</v>
      </c>
      <c r="B331" s="45" t="str">
        <f ca="1">IFERROR(__xludf.DUMMYFUNCTION("""COMPUTED_VALUE"""),"Đã nghỉ")</f>
        <v>Đã nghỉ</v>
      </c>
      <c r="C331" s="46">
        <f ca="1">IFERROR(__xludf.DUMMYFUNCTION("""COMPUTED_VALUE"""),332)</f>
        <v>332</v>
      </c>
      <c r="D331" s="47" t="str">
        <f ca="1">IFERROR(__xludf.DUMMYFUNCTION("""COMPUTED_VALUE"""),"C0078")</f>
        <v>C0078</v>
      </c>
      <c r="E331" s="46" t="str">
        <f ca="1">IFERROR(__xludf.DUMMYFUNCTION("""COMPUTED_VALUE"""),"LÊ THỊ MINH TRANG")</f>
        <v>LÊ THỊ MINH TRANG</v>
      </c>
      <c r="F331" s="46" t="str">
        <f ca="1">IFERROR(__xludf.DUMMYFUNCTION("""COMPUTED_VALUE"""),"LE THI MINH TRANG")</f>
        <v>LE THI MINH TRANG</v>
      </c>
      <c r="G331" s="45">
        <f ca="1">IFERROR(__xludf.DUMMYFUNCTION("""COMPUTED_VALUE"""),36258.5833333333)</f>
        <v>36258.583333333299</v>
      </c>
      <c r="H331" s="45" t="str">
        <f ca="1">IFERROR(__xludf.DUMMYFUNCTION("""COMPUTED_VALUE"""),"TLC")</f>
        <v>TLC</v>
      </c>
      <c r="I331" s="46" t="str">
        <f ca="1">IFERROR(__xludf.DUMMYFUNCTION("""COMPUTED_VALUE"""),"HO")</f>
        <v>HO</v>
      </c>
      <c r="J331" s="46" t="str">
        <f ca="1">IFERROR(__xludf.DUMMYFUNCTION("""COMPUTED_VALUE"""),"SAL")</f>
        <v>SAL</v>
      </c>
      <c r="K331" s="46" t="str">
        <f ca="1">IFERROR(__xludf.DUMMYFUNCTION("""COMPUTED_VALUE"""),"SAL")</f>
        <v>SAL</v>
      </c>
      <c r="L331" s="46" t="str">
        <f ca="1">IFERROR(__xludf.DUMMYFUNCTION("""COMPUTED_VALUE"""),"PRO")</f>
        <v>PRO</v>
      </c>
      <c r="M331" s="46" t="str">
        <f ca="1">IFERROR(__xludf.DUMMYFUNCTION("""COMPUTED_VALUE"""),"Leave")</f>
        <v>Leave</v>
      </c>
      <c r="N331" s="46" t="str">
        <f ca="1">IFERROR(__xludf.DUMMYFUNCTION("""COMPUTED_VALUE"""),"x")</f>
        <v>x</v>
      </c>
    </row>
    <row r="332" spans="1:14">
      <c r="A332" s="45">
        <f ca="1">IFERROR(__xludf.DUMMYFUNCTION("""COMPUTED_VALUE"""),45127.5833333333)</f>
        <v>45127.583333333299</v>
      </c>
      <c r="B332" s="45" t="str">
        <f ca="1">IFERROR(__xludf.DUMMYFUNCTION("""COMPUTED_VALUE"""),"Đã nghỉ")</f>
        <v>Đã nghỉ</v>
      </c>
      <c r="C332" s="46">
        <f ca="1">IFERROR(__xludf.DUMMYFUNCTION("""COMPUTED_VALUE"""),333)</f>
        <v>333</v>
      </c>
      <c r="D332" s="47" t="str">
        <f ca="1">IFERROR(__xludf.DUMMYFUNCTION("""COMPUTED_VALUE"""),"C0079")</f>
        <v>C0079</v>
      </c>
      <c r="E332" s="46" t="str">
        <f ca="1">IFERROR(__xludf.DUMMYFUNCTION("""COMPUTED_VALUE"""),"NGUYỄN THỊ CHÚC SANG")</f>
        <v>NGUYỄN THỊ CHÚC SANG</v>
      </c>
      <c r="F332" s="46" t="str">
        <f ca="1">IFERROR(__xludf.DUMMYFUNCTION("""COMPUTED_VALUE"""),"NGUYEN THI CHUC SANG")</f>
        <v>NGUYEN THI CHUC SANG</v>
      </c>
      <c r="G332" s="45">
        <f ca="1">IFERROR(__xludf.DUMMYFUNCTION("""COMPUTED_VALUE"""),37824.5833333333)</f>
        <v>37824.583333333299</v>
      </c>
      <c r="H332" s="45" t="str">
        <f ca="1">IFERROR(__xludf.DUMMYFUNCTION("""COMPUTED_VALUE"""),"BAKES")</f>
        <v>BAKES</v>
      </c>
      <c r="I332" s="46" t="str">
        <f ca="1">IFERROR(__xludf.DUMMYFUNCTION("""COMPUTED_VALUE"""),"STORE")</f>
        <v>STORE</v>
      </c>
      <c r="J332" s="46" t="str">
        <f ca="1">IFERROR(__xludf.DUMMYFUNCTION("""COMPUTED_VALUE"""),"BAKES D2")</f>
        <v>BAKES D2</v>
      </c>
      <c r="K332" s="46" t="str">
        <f ca="1">IFERROR(__xludf.DUMMYFUNCTION("""COMPUTED_VALUE"""),"KIT")</f>
        <v>KIT</v>
      </c>
      <c r="L332" s="46" t="str">
        <f ca="1">IFERROR(__xludf.DUMMYFUNCTION("""COMPUTED_VALUE"""),"PTE")</f>
        <v>PTE</v>
      </c>
      <c r="M332" s="46" t="str">
        <f ca="1">IFERROR(__xludf.DUMMYFUNCTION("""COMPUTED_VALUE"""),"Leave")</f>
        <v>Leave</v>
      </c>
      <c r="N332" s="46" t="str">
        <f ca="1">IFERROR(__xludf.DUMMYFUNCTION("""COMPUTED_VALUE"""),"x")</f>
        <v>x</v>
      </c>
    </row>
    <row r="333" spans="1:14">
      <c r="A333" s="45">
        <f ca="1">IFERROR(__xludf.DUMMYFUNCTION("""COMPUTED_VALUE"""),45127.5833333333)</f>
        <v>45127.583333333299</v>
      </c>
      <c r="B333" s="45" t="str">
        <f ca="1">IFERROR(__xludf.DUMMYFUNCTION("""COMPUTED_VALUE"""),"Đã nghỉ")</f>
        <v>Đã nghỉ</v>
      </c>
      <c r="C333" s="46">
        <f ca="1">IFERROR(__xludf.DUMMYFUNCTION("""COMPUTED_VALUE"""),334)</f>
        <v>334</v>
      </c>
      <c r="D333" s="47" t="str">
        <f ca="1">IFERROR(__xludf.DUMMYFUNCTION("""COMPUTED_VALUE"""),"C0080")</f>
        <v>C0080</v>
      </c>
      <c r="E333" s="46" t="str">
        <f ca="1">IFERROR(__xludf.DUMMYFUNCTION("""COMPUTED_VALUE"""),"NGUYỄN NHẬT VY")</f>
        <v>NGUYỄN NHẬT VY</v>
      </c>
      <c r="F333" s="46" t="str">
        <f ca="1">IFERROR(__xludf.DUMMYFUNCTION("""COMPUTED_VALUE"""),"NGUYEN NHAT VY")</f>
        <v>NGUYEN NHAT VY</v>
      </c>
      <c r="G333" s="45">
        <f ca="1">IFERROR(__xludf.DUMMYFUNCTION("""COMPUTED_VALUE"""),36585.625)</f>
        <v>36585.625</v>
      </c>
      <c r="H333" s="45" t="str">
        <f ca="1">IFERROR(__xludf.DUMMYFUNCTION("""COMPUTED_VALUE"""),"BAKES")</f>
        <v>BAKES</v>
      </c>
      <c r="I333" s="46" t="str">
        <f ca="1">IFERROR(__xludf.DUMMYFUNCTION("""COMPUTED_VALUE"""),"STORE")</f>
        <v>STORE</v>
      </c>
      <c r="J333" s="46" t="str">
        <f ca="1">IFERROR(__xludf.DUMMYFUNCTION("""COMPUTED_VALUE"""),"BAKES D2")</f>
        <v>BAKES D2</v>
      </c>
      <c r="K333" s="46" t="str">
        <f ca="1">IFERROR(__xludf.DUMMYFUNCTION("""COMPUTED_VALUE"""),"KIT")</f>
        <v>KIT</v>
      </c>
      <c r="L333" s="46" t="str">
        <f ca="1">IFERROR(__xludf.DUMMYFUNCTION("""COMPUTED_VALUE"""),"PTE")</f>
        <v>PTE</v>
      </c>
      <c r="M333" s="46" t="str">
        <f ca="1">IFERROR(__xludf.DUMMYFUNCTION("""COMPUTED_VALUE"""),"Leave")</f>
        <v>Leave</v>
      </c>
      <c r="N333" s="46" t="str">
        <f ca="1">IFERROR(__xludf.DUMMYFUNCTION("""COMPUTED_VALUE"""),"đủ")</f>
        <v>đủ</v>
      </c>
    </row>
    <row r="334" spans="1:14">
      <c r="A334" s="45">
        <f ca="1">IFERROR(__xludf.DUMMYFUNCTION("""COMPUTED_VALUE"""),45127.5833333333)</f>
        <v>45127.583333333299</v>
      </c>
      <c r="B334" s="45" t="str">
        <f ca="1">IFERROR(__xludf.DUMMYFUNCTION("""COMPUTED_VALUE"""),"Đã nghỉ")</f>
        <v>Đã nghỉ</v>
      </c>
      <c r="C334" s="46">
        <f ca="1">IFERROR(__xludf.DUMMYFUNCTION("""COMPUTED_VALUE"""),335)</f>
        <v>335</v>
      </c>
      <c r="D334" s="47" t="str">
        <f ca="1">IFERROR(__xludf.DUMMYFUNCTION("""COMPUTED_VALUE"""),"C0081")</f>
        <v>C0081</v>
      </c>
      <c r="E334" s="46" t="str">
        <f ca="1">IFERROR(__xludf.DUMMYFUNCTION("""COMPUTED_VALUE"""),"TRẦN VĂN VĨNH")</f>
        <v>TRẦN VĂN VĨNH</v>
      </c>
      <c r="F334" s="46" t="str">
        <f ca="1">IFERROR(__xludf.DUMMYFUNCTION("""COMPUTED_VALUE"""),"TRAN VAN VINH")</f>
        <v>TRAN VAN VINH</v>
      </c>
      <c r="G334" s="45">
        <f ca="1">IFERROR(__xludf.DUMMYFUNCTION("""COMPUTED_VALUE"""),35412.625)</f>
        <v>35412.625</v>
      </c>
      <c r="H334" s="45" t="str">
        <f ca="1">IFERROR(__xludf.DUMMYFUNCTION("""COMPUTED_VALUE"""),"BAKES")</f>
        <v>BAKES</v>
      </c>
      <c r="I334" s="46" t="str">
        <f ca="1">IFERROR(__xludf.DUMMYFUNCTION("""COMPUTED_VALUE"""),"STORE")</f>
        <v>STORE</v>
      </c>
      <c r="J334" s="46" t="str">
        <f ca="1">IFERROR(__xludf.DUMMYFUNCTION("""COMPUTED_VALUE"""),"BAKES D2")</f>
        <v>BAKES D2</v>
      </c>
      <c r="K334" s="46" t="str">
        <f ca="1">IFERROR(__xludf.DUMMYFUNCTION("""COMPUTED_VALUE"""),"KIT")</f>
        <v>KIT</v>
      </c>
      <c r="L334" s="46" t="str">
        <f ca="1">IFERROR(__xludf.DUMMYFUNCTION("""COMPUTED_VALUE"""),"PTE")</f>
        <v>PTE</v>
      </c>
      <c r="M334" s="46" t="str">
        <f ca="1">IFERROR(__xludf.DUMMYFUNCTION("""COMPUTED_VALUE"""),"Leave")</f>
        <v>Leave</v>
      </c>
      <c r="N334" s="46" t="str">
        <f ca="1">IFERROR(__xludf.DUMMYFUNCTION("""COMPUTED_VALUE"""),"x")</f>
        <v>x</v>
      </c>
    </row>
    <row r="335" spans="1:14">
      <c r="A335" s="45">
        <f ca="1">IFERROR(__xludf.DUMMYFUNCTION("""COMPUTED_VALUE"""),45127.5833333333)</f>
        <v>45127.583333333299</v>
      </c>
      <c r="B335" s="45">
        <f ca="1">IFERROR(__xludf.DUMMYFUNCTION("""COMPUTED_VALUE"""),45823.5833333333)</f>
        <v>45823.583333333299</v>
      </c>
      <c r="C335" s="46">
        <f ca="1">IFERROR(__xludf.DUMMYFUNCTION("""COMPUTED_VALUE"""),336)</f>
        <v>336</v>
      </c>
      <c r="D335" s="47" t="str">
        <f ca="1">IFERROR(__xludf.DUMMYFUNCTION("""COMPUTED_VALUE"""),"C0082")</f>
        <v>C0082</v>
      </c>
      <c r="E335" s="46" t="str">
        <f ca="1">IFERROR(__xludf.DUMMYFUNCTION("""COMPUTED_VALUE"""),"PHAN THỊ THỦY NGỌC")</f>
        <v>PHAN THỊ THỦY NGỌC</v>
      </c>
      <c r="F335" s="46" t="str">
        <f ca="1">IFERROR(__xludf.DUMMYFUNCTION("""COMPUTED_VALUE"""),"PHAN THI THUY NGOC")</f>
        <v>PHAN THI THUY NGOC</v>
      </c>
      <c r="G335" s="45">
        <f ca="1">IFERROR(__xludf.DUMMYFUNCTION("""COMPUTED_VALUE"""),38096.5833333333)</f>
        <v>38096.583333333299</v>
      </c>
      <c r="H335" s="45" t="str">
        <f ca="1">IFERROR(__xludf.DUMMYFUNCTION("""COMPUTED_VALUE"""),"TLC")</f>
        <v>TLC</v>
      </c>
      <c r="I335" s="46" t="str">
        <f ca="1">IFERROR(__xludf.DUMMYFUNCTION("""COMPUTED_VALUE"""),"STORE")</f>
        <v>STORE</v>
      </c>
      <c r="J335" s="46" t="str">
        <f ca="1">IFERROR(__xludf.DUMMYFUNCTION("""COMPUTED_VALUE"""),"BLANK LOUNGE")</f>
        <v>BLANK LOUNGE</v>
      </c>
      <c r="K335" s="46" t="str">
        <f ca="1">IFERROR(__xludf.DUMMYFUNCTION("""COMPUTED_VALUE"""),"WAITSTAFF")</f>
        <v>WAITSTAFF</v>
      </c>
      <c r="L335" s="46" t="str">
        <f ca="1">IFERROR(__xludf.DUMMYFUNCTION("""COMPUTED_VALUE"""),"PTE")</f>
        <v>PTE</v>
      </c>
      <c r="M335" s="46" t="str">
        <f ca="1">IFERROR(__xludf.DUMMYFUNCTION("""COMPUTED_VALUE"""),"Leave")</f>
        <v>Leave</v>
      </c>
      <c r="N335" s="46" t="str">
        <f ca="1">IFERROR(__xludf.DUMMYFUNCTION("""COMPUTED_VALUE"""),"x")</f>
        <v>x</v>
      </c>
    </row>
    <row r="336" spans="1:14">
      <c r="A336" s="45">
        <f ca="1">IFERROR(__xludf.DUMMYFUNCTION("""COMPUTED_VALUE"""),45201.5833333333)</f>
        <v>45201.583333333299</v>
      </c>
      <c r="B336" s="45">
        <f ca="1">IFERROR(__xludf.DUMMYFUNCTION("""COMPUTED_VALUE"""),45293.625)</f>
        <v>45293.625</v>
      </c>
      <c r="C336" s="46">
        <f ca="1">IFERROR(__xludf.DUMMYFUNCTION("""COMPUTED_VALUE"""),337)</f>
        <v>337</v>
      </c>
      <c r="D336" s="47" t="str">
        <f ca="1">IFERROR(__xludf.DUMMYFUNCTION("""COMPUTED_VALUE"""),"C0083")</f>
        <v>C0083</v>
      </c>
      <c r="E336" s="46" t="str">
        <f ca="1">IFERROR(__xludf.DUMMYFUNCTION("""COMPUTED_VALUE"""),"ĐỖ NGỌC LINH")</f>
        <v>ĐỖ NGỌC LINH</v>
      </c>
      <c r="F336" s="46" t="str">
        <f ca="1">IFERROR(__xludf.DUMMYFUNCTION("""COMPUTED_VALUE"""),"DO NGOC LINH")</f>
        <v>DO NGOC LINH</v>
      </c>
      <c r="G336" s="45">
        <f ca="1">IFERROR(__xludf.DUMMYFUNCTION("""COMPUTED_VALUE"""),37996.625)</f>
        <v>37996.625</v>
      </c>
      <c r="H336" s="45" t="str">
        <f ca="1">IFERROR(__xludf.DUMMYFUNCTION("""COMPUTED_VALUE"""),"KITCHEN PASTRY")</f>
        <v>KITCHEN PASTRY</v>
      </c>
      <c r="I336" s="46" t="str">
        <f ca="1">IFERROR(__xludf.DUMMYFUNCTION("""COMPUTED_VALUE"""),"KITCHEN PASTRY")</f>
        <v>KITCHEN PASTRY</v>
      </c>
      <c r="J336" s="46" t="str">
        <f ca="1">IFERROR(__xludf.DUMMYFUNCTION("""COMPUTED_VALUE"""),"KITCHEN PASTRY")</f>
        <v>KITCHEN PASTRY</v>
      </c>
      <c r="K336" s="46" t="str">
        <f ca="1">IFERROR(__xludf.DUMMYFUNCTION("""COMPUTED_VALUE"""),"KIT")</f>
        <v>KIT</v>
      </c>
      <c r="L336" s="46" t="str">
        <f ca="1">IFERROR(__xludf.DUMMYFUNCTION("""COMPUTED_VALUE"""),"PTE")</f>
        <v>PTE</v>
      </c>
      <c r="M336" s="46" t="str">
        <f ca="1">IFERROR(__xludf.DUMMYFUNCTION("""COMPUTED_VALUE"""),"Leave")</f>
        <v>Leave</v>
      </c>
      <c r="N336" s="46" t="str">
        <f ca="1">IFERROR(__xludf.DUMMYFUNCTION("""COMPUTED_VALUE"""),"x")</f>
        <v>x</v>
      </c>
    </row>
    <row r="337" spans="1:14">
      <c r="A337" s="45">
        <f ca="1">IFERROR(__xludf.DUMMYFUNCTION("""COMPUTED_VALUE"""),45127.5833333333)</f>
        <v>45127.583333333299</v>
      </c>
      <c r="B337" s="45">
        <f ca="1">IFERROR(__xludf.DUMMYFUNCTION("""COMPUTED_VALUE"""),45222.5833333333)</f>
        <v>45222.583333333299</v>
      </c>
      <c r="C337" s="46">
        <f ca="1">IFERROR(__xludf.DUMMYFUNCTION("""COMPUTED_VALUE"""),338)</f>
        <v>338</v>
      </c>
      <c r="D337" s="47" t="str">
        <f ca="1">IFERROR(__xludf.DUMMYFUNCTION("""COMPUTED_VALUE"""),"C0084")</f>
        <v>C0084</v>
      </c>
      <c r="E337" s="46" t="str">
        <f ca="1">IFERROR(__xludf.DUMMYFUNCTION("""COMPUTED_VALUE"""),"HUỲNH LÂM CÁT TUYỀN")</f>
        <v>HUỲNH LÂM CÁT TUYỀN</v>
      </c>
      <c r="F337" s="46" t="str">
        <f ca="1">IFERROR(__xludf.DUMMYFUNCTION("""COMPUTED_VALUE"""),"HUYNH LAM CAT TUYEN")</f>
        <v>HUYNH LAM CAT TUYEN</v>
      </c>
      <c r="G337" s="45">
        <f ca="1">IFERROR(__xludf.DUMMYFUNCTION("""COMPUTED_VALUE"""),37772.5833333333)</f>
        <v>37772.583333333299</v>
      </c>
      <c r="H337" s="45" t="str">
        <f ca="1">IFERROR(__xludf.DUMMYFUNCTION("""COMPUTED_VALUE"""),"SHADOW")</f>
        <v>SHADOW</v>
      </c>
      <c r="I337" s="46" t="str">
        <f ca="1">IFERROR(__xludf.DUMMYFUNCTION("""COMPUTED_VALUE"""),"STORE")</f>
        <v>STORE</v>
      </c>
      <c r="J337" s="46" t="str">
        <f ca="1">IFERROR(__xludf.DUMMYFUNCTION("""COMPUTED_VALUE"""),"BAKES PASTEUR")</f>
        <v>BAKES PASTEUR</v>
      </c>
      <c r="K337" s="46" t="str">
        <f ca="1">IFERROR(__xludf.DUMMYFUNCTION("""COMPUTED_VALUE"""),"STR")</f>
        <v>STR</v>
      </c>
      <c r="L337" s="46" t="str">
        <f ca="1">IFERROR(__xludf.DUMMYFUNCTION("""COMPUTED_VALUE"""),"PTE")</f>
        <v>PTE</v>
      </c>
      <c r="M337" s="46" t="str">
        <f ca="1">IFERROR(__xludf.DUMMYFUNCTION("""COMPUTED_VALUE"""),"Leave")</f>
        <v>Leave</v>
      </c>
      <c r="N337" s="46" t="str">
        <f ca="1">IFERROR(__xludf.DUMMYFUNCTION("""COMPUTED_VALUE"""),"x")</f>
        <v>x</v>
      </c>
    </row>
    <row r="338" spans="1:14">
      <c r="A338" s="45">
        <f ca="1">IFERROR(__xludf.DUMMYFUNCTION("""COMPUTED_VALUE"""),45127.5833333333)</f>
        <v>45127.583333333299</v>
      </c>
      <c r="B338" s="45" t="str">
        <f ca="1">IFERROR(__xludf.DUMMYFUNCTION("""COMPUTED_VALUE"""),"Đã nghỉ")</f>
        <v>Đã nghỉ</v>
      </c>
      <c r="C338" s="46">
        <f ca="1">IFERROR(__xludf.DUMMYFUNCTION("""COMPUTED_VALUE"""),339)</f>
        <v>339</v>
      </c>
      <c r="D338" s="47" t="str">
        <f ca="1">IFERROR(__xludf.DUMMYFUNCTION("""COMPUTED_VALUE"""),"C0085")</f>
        <v>C0085</v>
      </c>
      <c r="E338" s="46" t="str">
        <f ca="1">IFERROR(__xludf.DUMMYFUNCTION("""COMPUTED_VALUE"""),"VŨ BẢO TRÚC LY")</f>
        <v>VŨ BẢO TRÚC LY</v>
      </c>
      <c r="F338" s="46" t="str">
        <f ca="1">IFERROR(__xludf.DUMMYFUNCTION("""COMPUTED_VALUE"""),"VU BAO TRUC LY")</f>
        <v>VU BAO TRUC LY</v>
      </c>
      <c r="G338" s="45">
        <f ca="1">IFERROR(__xludf.DUMMYFUNCTION("""COMPUTED_VALUE"""),38119.5833333333)</f>
        <v>38119.583333333299</v>
      </c>
      <c r="H338" s="45" t="str">
        <f ca="1">IFERROR(__xludf.DUMMYFUNCTION("""COMPUTED_VALUE"""),"BAKES")</f>
        <v>BAKES</v>
      </c>
      <c r="I338" s="46" t="str">
        <f ca="1">IFERROR(__xludf.DUMMYFUNCTION("""COMPUTED_VALUE"""),"STORE")</f>
        <v>STORE</v>
      </c>
      <c r="J338" s="46" t="str">
        <f ca="1">IFERROR(__xludf.DUMMYFUNCTION("""COMPUTED_VALUE"""),"BAKES D2")</f>
        <v>BAKES D2</v>
      </c>
      <c r="K338" s="46" t="str">
        <f ca="1">IFERROR(__xludf.DUMMYFUNCTION("""COMPUTED_VALUE"""),"KIT")</f>
        <v>KIT</v>
      </c>
      <c r="L338" s="46" t="str">
        <f ca="1">IFERROR(__xludf.DUMMYFUNCTION("""COMPUTED_VALUE"""),"PTE")</f>
        <v>PTE</v>
      </c>
      <c r="M338" s="46" t="str">
        <f ca="1">IFERROR(__xludf.DUMMYFUNCTION("""COMPUTED_VALUE"""),"Leave")</f>
        <v>Leave</v>
      </c>
      <c r="N338" s="46" t="str">
        <f ca="1">IFERROR(__xludf.DUMMYFUNCTION("""COMPUTED_VALUE"""),"x")</f>
        <v>x</v>
      </c>
    </row>
    <row r="339" spans="1:14">
      <c r="A339" s="45">
        <f ca="1">IFERROR(__xludf.DUMMYFUNCTION("""COMPUTED_VALUE"""),45127.5833333333)</f>
        <v>45127.583333333299</v>
      </c>
      <c r="B339" s="45" t="str">
        <f ca="1">IFERROR(__xludf.DUMMYFUNCTION("""COMPUTED_VALUE"""),"Đã nghỉ")</f>
        <v>Đã nghỉ</v>
      </c>
      <c r="C339" s="46">
        <f ca="1">IFERROR(__xludf.DUMMYFUNCTION("""COMPUTED_VALUE"""),340)</f>
        <v>340</v>
      </c>
      <c r="D339" s="47" t="str">
        <f ca="1">IFERROR(__xludf.DUMMYFUNCTION("""COMPUTED_VALUE"""),"C0086")</f>
        <v>C0086</v>
      </c>
      <c r="E339" s="46" t="str">
        <f ca="1">IFERROR(__xludf.DUMMYFUNCTION("""COMPUTED_VALUE"""),"TRẦN ĐẮC KHẢI")</f>
        <v>TRẦN ĐẮC KHẢI</v>
      </c>
      <c r="F339" s="46" t="str">
        <f ca="1">IFERROR(__xludf.DUMMYFUNCTION("""COMPUTED_VALUE"""),"TRAN DAC KHAI")</f>
        <v>TRAN DAC KHAI</v>
      </c>
      <c r="G339" s="45">
        <f ca="1">IFERROR(__xludf.DUMMYFUNCTION("""COMPUTED_VALUE"""),37994.625)</f>
        <v>37994.625</v>
      </c>
      <c r="H339" s="45" t="str">
        <f ca="1">IFERROR(__xludf.DUMMYFUNCTION("""COMPUTED_VALUE"""),"BAKES")</f>
        <v>BAKES</v>
      </c>
      <c r="I339" s="46" t="str">
        <f ca="1">IFERROR(__xludf.DUMMYFUNCTION("""COMPUTED_VALUE"""),"STORE")</f>
        <v>STORE</v>
      </c>
      <c r="J339" s="46" t="str">
        <f ca="1">IFERROR(__xludf.DUMMYFUNCTION("""COMPUTED_VALUE"""),"BAKES D2")</f>
        <v>BAKES D2</v>
      </c>
      <c r="K339" s="46" t="str">
        <f ca="1">IFERROR(__xludf.DUMMYFUNCTION("""COMPUTED_VALUE"""),"KIT")</f>
        <v>KIT</v>
      </c>
      <c r="L339" s="46" t="str">
        <f ca="1">IFERROR(__xludf.DUMMYFUNCTION("""COMPUTED_VALUE"""),"PTE")</f>
        <v>PTE</v>
      </c>
      <c r="M339" s="46" t="str">
        <f ca="1">IFERROR(__xludf.DUMMYFUNCTION("""COMPUTED_VALUE"""),"Leave")</f>
        <v>Leave</v>
      </c>
      <c r="N339" s="46" t="str">
        <f ca="1">IFERROR(__xludf.DUMMYFUNCTION("""COMPUTED_VALUE"""),"x")</f>
        <v>x</v>
      </c>
    </row>
    <row r="340" spans="1:14">
      <c r="A340" s="45">
        <f ca="1">IFERROR(__xludf.DUMMYFUNCTION("""COMPUTED_VALUE"""),45483.5833333333)</f>
        <v>45483.583333333299</v>
      </c>
      <c r="B340" s="45">
        <f ca="1">IFERROR(__xludf.DUMMYFUNCTION("""COMPUTED_VALUE"""),45551.5833333333)</f>
        <v>45551.583333333299</v>
      </c>
      <c r="C340" s="46">
        <f ca="1">IFERROR(__xludf.DUMMYFUNCTION("""COMPUTED_VALUE"""),341)</f>
        <v>341</v>
      </c>
      <c r="D340" s="47" t="str">
        <f ca="1">IFERROR(__xludf.DUMMYFUNCTION("""COMPUTED_VALUE"""),"C0087")</f>
        <v>C0087</v>
      </c>
      <c r="E340" s="46" t="str">
        <f ca="1">IFERROR(__xludf.DUMMYFUNCTION("""COMPUTED_VALUE"""),"TRƯƠNG VÕ BẢO HÂN")</f>
        <v>TRƯƠNG VÕ BẢO HÂN</v>
      </c>
      <c r="F340" s="46" t="str">
        <f ca="1">IFERROR(__xludf.DUMMYFUNCTION("""COMPUTED_VALUE"""),"TRUONG VO BAO HAN")</f>
        <v>TRUONG VO BAO HAN</v>
      </c>
      <c r="G340" s="45">
        <f ca="1">IFERROR(__xludf.DUMMYFUNCTION("""COMPUTED_VALUE"""),37571.625)</f>
        <v>37571.625</v>
      </c>
      <c r="H340" s="45" t="str">
        <f ca="1">IFERROR(__xludf.DUMMYFUNCTION("""COMPUTED_VALUE"""),"MOONCAKE")</f>
        <v>MOONCAKE</v>
      </c>
      <c r="I340" s="46" t="str">
        <f ca="1">IFERROR(__xludf.DUMMYFUNCTION("""COMPUTED_VALUE"""),"KITCHEN PASTRY")</f>
        <v>KITCHEN PASTRY</v>
      </c>
      <c r="J340" s="46" t="str">
        <f ca="1">IFERROR(__xludf.DUMMYFUNCTION("""COMPUTED_VALUE"""),"KITCHEN PASTRY")</f>
        <v>KITCHEN PASTRY</v>
      </c>
      <c r="K340" s="46" t="str">
        <f ca="1">IFERROR(__xludf.DUMMYFUNCTION("""COMPUTED_VALUE"""),"PASTRY")</f>
        <v>PASTRY</v>
      </c>
      <c r="L340" s="46" t="str">
        <f ca="1">IFERROR(__xludf.DUMMYFUNCTION("""COMPUTED_VALUE"""),"PTE")</f>
        <v>PTE</v>
      </c>
      <c r="M340" s="46" t="str">
        <f ca="1">IFERROR(__xludf.DUMMYFUNCTION("""COMPUTED_VALUE"""),"Leave")</f>
        <v>Leave</v>
      </c>
      <c r="N340" s="46" t="str">
        <f ca="1">IFERROR(__xludf.DUMMYFUNCTION("""COMPUTED_VALUE"""),"x")</f>
        <v>x</v>
      </c>
    </row>
    <row r="341" spans="1:14">
      <c r="A341" s="45">
        <f ca="1">IFERROR(__xludf.DUMMYFUNCTION("""COMPUTED_VALUE"""),45127.5833333333)</f>
        <v>45127.583333333299</v>
      </c>
      <c r="B341" s="45" t="str">
        <f ca="1">IFERROR(__xludf.DUMMYFUNCTION("""COMPUTED_VALUE"""),"Đã nghỉ")</f>
        <v>Đã nghỉ</v>
      </c>
      <c r="C341" s="46">
        <f ca="1">IFERROR(__xludf.DUMMYFUNCTION("""COMPUTED_VALUE"""),342)</f>
        <v>342</v>
      </c>
      <c r="D341" s="47" t="str">
        <f ca="1">IFERROR(__xludf.DUMMYFUNCTION("""COMPUTED_VALUE"""),"C0088")</f>
        <v>C0088</v>
      </c>
      <c r="E341" s="46" t="str">
        <f ca="1">IFERROR(__xludf.DUMMYFUNCTION("""COMPUTED_VALUE"""),"TRẦN NGỌC MỸ TRÂN")</f>
        <v>TRẦN NGỌC MỸ TRÂN</v>
      </c>
      <c r="F341" s="46" t="str">
        <f ca="1">IFERROR(__xludf.DUMMYFUNCTION("""COMPUTED_VALUE"""),"TRAN NGOC MY TRAN")</f>
        <v>TRAN NGOC MY TRAN</v>
      </c>
      <c r="G341" s="45">
        <f ca="1">IFERROR(__xludf.DUMMYFUNCTION("""COMPUTED_VALUE"""),37442.5833333333)</f>
        <v>37442.583333333299</v>
      </c>
      <c r="H341" s="45" t="str">
        <f ca="1">IFERROR(__xludf.DUMMYFUNCTION("""COMPUTED_VALUE"""),"BAKES")</f>
        <v>BAKES</v>
      </c>
      <c r="I341" s="46" t="str">
        <f ca="1">IFERROR(__xludf.DUMMYFUNCTION("""COMPUTED_VALUE"""),"STORE")</f>
        <v>STORE</v>
      </c>
      <c r="J341" s="46" t="str">
        <f ca="1">IFERROR(__xludf.DUMMYFUNCTION("""COMPUTED_VALUE"""),"BAKES D2")</f>
        <v>BAKES D2</v>
      </c>
      <c r="K341" s="46" t="str">
        <f ca="1">IFERROR(__xludf.DUMMYFUNCTION("""COMPUTED_VALUE"""),"KIT")</f>
        <v>KIT</v>
      </c>
      <c r="L341" s="46" t="str">
        <f ca="1">IFERROR(__xludf.DUMMYFUNCTION("""COMPUTED_VALUE"""),"PTE")</f>
        <v>PTE</v>
      </c>
      <c r="M341" s="46" t="str">
        <f ca="1">IFERROR(__xludf.DUMMYFUNCTION("""COMPUTED_VALUE"""),"Leave")</f>
        <v>Leave</v>
      </c>
      <c r="N341" s="46" t="str">
        <f ca="1">IFERROR(__xludf.DUMMYFUNCTION("""COMPUTED_VALUE"""),"x")</f>
        <v>x</v>
      </c>
    </row>
    <row r="342" spans="1:14">
      <c r="A342" s="45">
        <f ca="1">IFERROR(__xludf.DUMMYFUNCTION("""COMPUTED_VALUE"""),45201.5833333333)</f>
        <v>45201.583333333299</v>
      </c>
      <c r="B342" s="45">
        <f ca="1">IFERROR(__xludf.DUMMYFUNCTION("""COMPUTED_VALUE"""),45574.5833333333)</f>
        <v>45574.583333333299</v>
      </c>
      <c r="C342" s="46">
        <f ca="1">IFERROR(__xludf.DUMMYFUNCTION("""COMPUTED_VALUE"""),343)</f>
        <v>343</v>
      </c>
      <c r="D342" s="47" t="str">
        <f ca="1">IFERROR(__xludf.DUMMYFUNCTION("""COMPUTED_VALUE"""),"C0089")</f>
        <v>C0089</v>
      </c>
      <c r="E342" s="46" t="str">
        <f ca="1">IFERROR(__xludf.DUMMYFUNCTION("""COMPUTED_VALUE"""),"NGUYỄN QUỲNH ANH")</f>
        <v>NGUYỄN QUỲNH ANH</v>
      </c>
      <c r="F342" s="46" t="str">
        <f ca="1">IFERROR(__xludf.DUMMYFUNCTION("""COMPUTED_VALUE"""),"NGUYEN QUYNH ANH")</f>
        <v>NGUYEN QUYNH ANH</v>
      </c>
      <c r="G342" s="45">
        <f ca="1">IFERROR(__xludf.DUMMYFUNCTION("""COMPUTED_VALUE"""),36315.5833333333)</f>
        <v>36315.583333333299</v>
      </c>
      <c r="H342" s="45" t="str">
        <f ca="1">IFERROR(__xludf.DUMMYFUNCTION("""COMPUTED_VALUE"""),"KITCHEN PASTRY")</f>
        <v>KITCHEN PASTRY</v>
      </c>
      <c r="I342" s="46" t="str">
        <f ca="1">IFERROR(__xludf.DUMMYFUNCTION("""COMPUTED_VALUE"""),"KITCHEN PASTRY")</f>
        <v>KITCHEN PASTRY</v>
      </c>
      <c r="J342" s="46" t="str">
        <f ca="1">IFERROR(__xludf.DUMMYFUNCTION("""COMPUTED_VALUE"""),"KITCHEN PASTRY")</f>
        <v>KITCHEN PASTRY</v>
      </c>
      <c r="K342" s="46" t="str">
        <f ca="1">IFERROR(__xludf.DUMMYFUNCTION("""COMPUTED_VALUE"""),"PASTRY")</f>
        <v>PASTRY</v>
      </c>
      <c r="L342" s="46" t="str">
        <f ca="1">IFERROR(__xludf.DUMMYFUNCTION("""COMPUTED_VALUE"""),"PTE")</f>
        <v>PTE</v>
      </c>
      <c r="M342" s="46" t="str">
        <f ca="1">IFERROR(__xludf.DUMMYFUNCTION("""COMPUTED_VALUE"""),"Leave")</f>
        <v>Leave</v>
      </c>
      <c r="N342" s="46" t="str">
        <f ca="1">IFERROR(__xludf.DUMMYFUNCTION("""COMPUTED_VALUE"""),"x")</f>
        <v>x</v>
      </c>
    </row>
    <row r="343" spans="1:14">
      <c r="A343" s="45">
        <f ca="1">IFERROR(__xludf.DUMMYFUNCTION("""COMPUTED_VALUE"""),45638.625)</f>
        <v>45638.625</v>
      </c>
      <c r="B343" s="45">
        <f ca="1">IFERROR(__xludf.DUMMYFUNCTION("""COMPUTED_VALUE"""),45651.625)</f>
        <v>45651.625</v>
      </c>
      <c r="C343" s="46">
        <f ca="1">IFERROR(__xludf.DUMMYFUNCTION("""COMPUTED_VALUE"""),344)</f>
        <v>344</v>
      </c>
      <c r="D343" s="47" t="str">
        <f ca="1">IFERROR(__xludf.DUMMYFUNCTION("""COMPUTED_VALUE"""),"C0090")</f>
        <v>C0090</v>
      </c>
      <c r="E343" s="46" t="str">
        <f ca="1">IFERROR(__xludf.DUMMYFUNCTION("""COMPUTED_VALUE"""),"HỒ MẠNH HOÀNG")</f>
        <v>HỒ MẠNH HOÀNG</v>
      </c>
      <c r="F343" s="46" t="str">
        <f ca="1">IFERROR(__xludf.DUMMYFUNCTION("""COMPUTED_VALUE"""),"HO MANH HOANG")</f>
        <v>HO MANH HOANG</v>
      </c>
      <c r="G343" s="45">
        <f ca="1">IFERROR(__xludf.DUMMYFUNCTION("""COMPUTED_VALUE"""),38141.5833333333)</f>
        <v>38141.583333333299</v>
      </c>
      <c r="H343" s="45" t="str">
        <f ca="1">IFERROR(__xludf.DUMMYFUNCTION("""COMPUTED_VALUE"""),"XMAS")</f>
        <v>XMAS</v>
      </c>
      <c r="I343" s="46" t="str">
        <f ca="1">IFERROR(__xludf.DUMMYFUNCTION("""COMPUTED_VALUE"""),"KITCHEN PASTRY")</f>
        <v>KITCHEN PASTRY</v>
      </c>
      <c r="J343" s="46" t="str">
        <f ca="1">IFERROR(__xludf.DUMMYFUNCTION("""COMPUTED_VALUE"""),"KITCHEN PASTRY")</f>
        <v>KITCHEN PASTRY</v>
      </c>
      <c r="K343" s="46" t="str">
        <f ca="1">IFERROR(__xludf.DUMMYFUNCTION("""COMPUTED_VALUE"""),"KIT")</f>
        <v>KIT</v>
      </c>
      <c r="L343" s="46" t="str">
        <f ca="1">IFERROR(__xludf.DUMMYFUNCTION("""COMPUTED_VALUE"""),"PTE")</f>
        <v>PTE</v>
      </c>
      <c r="M343" s="46" t="str">
        <f ca="1">IFERROR(__xludf.DUMMYFUNCTION("""COMPUTED_VALUE"""),"Leave")</f>
        <v>Leave</v>
      </c>
      <c r="N343" s="46" t="str">
        <f ca="1">IFERROR(__xludf.DUMMYFUNCTION("""COMPUTED_VALUE"""),"CCCD công chứng")</f>
        <v>CCCD công chứng</v>
      </c>
    </row>
    <row r="344" spans="1:14">
      <c r="A344" s="45">
        <f ca="1">IFERROR(__xludf.DUMMYFUNCTION("""COMPUTED_VALUE"""),45127.5833333333)</f>
        <v>45127.583333333299</v>
      </c>
      <c r="B344" s="45" t="str">
        <f ca="1">IFERROR(__xludf.DUMMYFUNCTION("""COMPUTED_VALUE"""),"Đã nghỉ")</f>
        <v>Đã nghỉ</v>
      </c>
      <c r="C344" s="46">
        <f ca="1">IFERROR(__xludf.DUMMYFUNCTION("""COMPUTED_VALUE"""),345)</f>
        <v>345</v>
      </c>
      <c r="D344" s="47" t="str">
        <f ca="1">IFERROR(__xludf.DUMMYFUNCTION("""COMPUTED_VALUE"""),"C0091")</f>
        <v>C0091</v>
      </c>
      <c r="E344" s="46" t="str">
        <f ca="1">IFERROR(__xludf.DUMMYFUNCTION("""COMPUTED_VALUE"""),"VÕ LÊ BẢO TRÂM")</f>
        <v>VÕ LÊ BẢO TRÂM</v>
      </c>
      <c r="F344" s="46" t="str">
        <f ca="1">IFERROR(__xludf.DUMMYFUNCTION("""COMPUTED_VALUE"""),"VO LE BAO TRAM")</f>
        <v>VO LE BAO TRAM</v>
      </c>
      <c r="G344" s="45">
        <f ca="1">IFERROR(__xludf.DUMMYFUNCTION("""COMPUTED_VALUE"""),38081.625)</f>
        <v>38081.625</v>
      </c>
      <c r="H344" s="45" t="str">
        <f ca="1">IFERROR(__xludf.DUMMYFUNCTION("""COMPUTED_VALUE"""),"BAKES")</f>
        <v>BAKES</v>
      </c>
      <c r="I344" s="46" t="str">
        <f ca="1">IFERROR(__xludf.DUMMYFUNCTION("""COMPUTED_VALUE"""),"STORE")</f>
        <v>STORE</v>
      </c>
      <c r="J344" s="46" t="str">
        <f ca="1">IFERROR(__xludf.DUMMYFUNCTION("""COMPUTED_VALUE"""),"BAKES D2")</f>
        <v>BAKES D2</v>
      </c>
      <c r="K344" s="46" t="str">
        <f ca="1">IFERROR(__xludf.DUMMYFUNCTION("""COMPUTED_VALUE"""),"KIT")</f>
        <v>KIT</v>
      </c>
      <c r="L344" s="46" t="str">
        <f ca="1">IFERROR(__xludf.DUMMYFUNCTION("""COMPUTED_VALUE"""),"PTE")</f>
        <v>PTE</v>
      </c>
      <c r="M344" s="46" t="str">
        <f ca="1">IFERROR(__xludf.DUMMYFUNCTION("""COMPUTED_VALUE"""),"Leave")</f>
        <v>Leave</v>
      </c>
      <c r="N344" s="46" t="str">
        <f ca="1">IFERROR(__xludf.DUMMYFUNCTION("""COMPUTED_VALUE"""),"x")</f>
        <v>x</v>
      </c>
    </row>
    <row r="345" spans="1:14">
      <c r="A345" s="45">
        <f ca="1">IFERROR(__xludf.DUMMYFUNCTION("""COMPUTED_VALUE"""),45127.5833333333)</f>
        <v>45127.583333333299</v>
      </c>
      <c r="B345" s="45" t="str">
        <f ca="1">IFERROR(__xludf.DUMMYFUNCTION("""COMPUTED_VALUE"""),"Đã nghỉ")</f>
        <v>Đã nghỉ</v>
      </c>
      <c r="C345" s="46">
        <f ca="1">IFERROR(__xludf.DUMMYFUNCTION("""COMPUTED_VALUE"""),346)</f>
        <v>346</v>
      </c>
      <c r="D345" s="47" t="str">
        <f ca="1">IFERROR(__xludf.DUMMYFUNCTION("""COMPUTED_VALUE"""),"C0092")</f>
        <v>C0092</v>
      </c>
      <c r="E345" s="46" t="str">
        <f ca="1">IFERROR(__xludf.DUMMYFUNCTION("""COMPUTED_VALUE"""),"NGUYỄN THANH TRÚC")</f>
        <v>NGUYỄN THANH TRÚC</v>
      </c>
      <c r="F345" s="46" t="str">
        <f ca="1">IFERROR(__xludf.DUMMYFUNCTION("""COMPUTED_VALUE"""),"NGUYEN THANH TRUC")</f>
        <v>NGUYEN THANH TRUC</v>
      </c>
      <c r="G345" s="45">
        <f ca="1">IFERROR(__xludf.DUMMYFUNCTION("""COMPUTED_VALUE"""),37375.5833333333)</f>
        <v>37375.583333333299</v>
      </c>
      <c r="H345" s="45" t="str">
        <f ca="1">IFERROR(__xludf.DUMMYFUNCTION("""COMPUTED_VALUE"""),"BAKES")</f>
        <v>BAKES</v>
      </c>
      <c r="I345" s="46" t="str">
        <f ca="1">IFERROR(__xludf.DUMMYFUNCTION("""COMPUTED_VALUE"""),"STORE")</f>
        <v>STORE</v>
      </c>
      <c r="J345" s="46" t="str">
        <f ca="1">IFERROR(__xludf.DUMMYFUNCTION("""COMPUTED_VALUE"""),"BAKES D2")</f>
        <v>BAKES D2</v>
      </c>
      <c r="K345" s="46" t="str">
        <f ca="1">IFERROR(__xludf.DUMMYFUNCTION("""COMPUTED_VALUE"""),"KIT")</f>
        <v>KIT</v>
      </c>
      <c r="L345" s="46" t="str">
        <f ca="1">IFERROR(__xludf.DUMMYFUNCTION("""COMPUTED_VALUE"""),"PTE")</f>
        <v>PTE</v>
      </c>
      <c r="M345" s="46" t="str">
        <f ca="1">IFERROR(__xludf.DUMMYFUNCTION("""COMPUTED_VALUE"""),"Leave")</f>
        <v>Leave</v>
      </c>
      <c r="N345" s="46" t="str">
        <f ca="1">IFERROR(__xludf.DUMMYFUNCTION("""COMPUTED_VALUE"""),"x")</f>
        <v>x</v>
      </c>
    </row>
    <row r="346" spans="1:14">
      <c r="A346" s="45">
        <f ca="1">IFERROR(__xludf.DUMMYFUNCTION("""COMPUTED_VALUE"""),45127.5833333333)</f>
        <v>45127.583333333299</v>
      </c>
      <c r="B346" s="45" t="str">
        <f ca="1">IFERROR(__xludf.DUMMYFUNCTION("""COMPUTED_VALUE"""),"Đã nghỉ")</f>
        <v>Đã nghỉ</v>
      </c>
      <c r="C346" s="46">
        <f ca="1">IFERROR(__xludf.DUMMYFUNCTION("""COMPUTED_VALUE"""),347)</f>
        <v>347</v>
      </c>
      <c r="D346" s="47" t="str">
        <f ca="1">IFERROR(__xludf.DUMMYFUNCTION("""COMPUTED_VALUE"""),"C0093")</f>
        <v>C0093</v>
      </c>
      <c r="E346" s="46" t="str">
        <f ca="1">IFERROR(__xludf.DUMMYFUNCTION("""COMPUTED_VALUE"""),"TRẦN NGỌC HƯƠNG GIANG")</f>
        <v>TRẦN NGỌC HƯƠNG GIANG</v>
      </c>
      <c r="F346" s="46" t="str">
        <f ca="1">IFERROR(__xludf.DUMMYFUNCTION("""COMPUTED_VALUE"""),"TRAN NGOC HUONG GIANG")</f>
        <v>TRAN NGOC HUONG GIANG</v>
      </c>
      <c r="G346" s="45">
        <f ca="1">IFERROR(__xludf.DUMMYFUNCTION("""COMPUTED_VALUE"""),36792.5833333333)</f>
        <v>36792.583333333299</v>
      </c>
      <c r="H346" s="45" t="str">
        <f ca="1">IFERROR(__xludf.DUMMYFUNCTION("""COMPUTED_VALUE"""),"BAKES")</f>
        <v>BAKES</v>
      </c>
      <c r="I346" s="46" t="str">
        <f ca="1">IFERROR(__xludf.DUMMYFUNCTION("""COMPUTED_VALUE"""),"STORE")</f>
        <v>STORE</v>
      </c>
      <c r="J346" s="46" t="str">
        <f ca="1">IFERROR(__xludf.DUMMYFUNCTION("""COMPUTED_VALUE"""),"BAKES D2")</f>
        <v>BAKES D2</v>
      </c>
      <c r="K346" s="46" t="str">
        <f ca="1">IFERROR(__xludf.DUMMYFUNCTION("""COMPUTED_VALUE"""),"KIT")</f>
        <v>KIT</v>
      </c>
      <c r="L346" s="46" t="str">
        <f ca="1">IFERROR(__xludf.DUMMYFUNCTION("""COMPUTED_VALUE"""),"PTE")</f>
        <v>PTE</v>
      </c>
      <c r="M346" s="46" t="str">
        <f ca="1">IFERROR(__xludf.DUMMYFUNCTION("""COMPUTED_VALUE"""),"Leave")</f>
        <v>Leave</v>
      </c>
      <c r="N346" s="46" t="str">
        <f ca="1">IFERROR(__xludf.DUMMYFUNCTION("""COMPUTED_VALUE"""),"x")</f>
        <v>x</v>
      </c>
    </row>
    <row r="347" spans="1:14">
      <c r="A347" s="45">
        <f ca="1">IFERROR(__xludf.DUMMYFUNCTION("""COMPUTED_VALUE"""),45127.5833333333)</f>
        <v>45127.583333333299</v>
      </c>
      <c r="B347" s="45" t="str">
        <f ca="1">IFERROR(__xludf.DUMMYFUNCTION("""COMPUTED_VALUE"""),"Đã nghỉ")</f>
        <v>Đã nghỉ</v>
      </c>
      <c r="C347" s="46">
        <f ca="1">IFERROR(__xludf.DUMMYFUNCTION("""COMPUTED_VALUE"""),348)</f>
        <v>348</v>
      </c>
      <c r="D347" s="47" t="str">
        <f ca="1">IFERROR(__xludf.DUMMYFUNCTION("""COMPUTED_VALUE"""),"C0094")</f>
        <v>C0094</v>
      </c>
      <c r="E347" s="46" t="str">
        <f ca="1">IFERROR(__xludf.DUMMYFUNCTION("""COMPUTED_VALUE"""),"MAI NGUYỄN NHẬT NHI")</f>
        <v>MAI NGUYỄN NHẬT NHI</v>
      </c>
      <c r="F347" s="46" t="str">
        <f ca="1">IFERROR(__xludf.DUMMYFUNCTION("""COMPUTED_VALUE"""),"MAI NGUYEN NHAT NHI")</f>
        <v>MAI NGUYEN NHAT NHI</v>
      </c>
      <c r="G347" s="45">
        <f ca="1">IFERROR(__xludf.DUMMYFUNCTION("""COMPUTED_VALUE"""),37102.5833333333)</f>
        <v>37102.583333333299</v>
      </c>
      <c r="H347" s="45" t="str">
        <f ca="1">IFERROR(__xludf.DUMMYFUNCTION("""COMPUTED_VALUE"""),"BAKES")</f>
        <v>BAKES</v>
      </c>
      <c r="I347" s="46" t="str">
        <f ca="1">IFERROR(__xludf.DUMMYFUNCTION("""COMPUTED_VALUE"""),"STORE")</f>
        <v>STORE</v>
      </c>
      <c r="J347" s="46" t="str">
        <f ca="1">IFERROR(__xludf.DUMMYFUNCTION("""COMPUTED_VALUE"""),"BAKES D2")</f>
        <v>BAKES D2</v>
      </c>
      <c r="K347" s="46" t="str">
        <f ca="1">IFERROR(__xludf.DUMMYFUNCTION("""COMPUTED_VALUE"""),"KIT")</f>
        <v>KIT</v>
      </c>
      <c r="L347" s="46" t="str">
        <f ca="1">IFERROR(__xludf.DUMMYFUNCTION("""COMPUTED_VALUE"""),"PTE")</f>
        <v>PTE</v>
      </c>
      <c r="M347" s="46" t="str">
        <f ca="1">IFERROR(__xludf.DUMMYFUNCTION("""COMPUTED_VALUE"""),"Leave")</f>
        <v>Leave</v>
      </c>
      <c r="N347" s="46" t="str">
        <f ca="1">IFERROR(__xludf.DUMMYFUNCTION("""COMPUTED_VALUE"""),"x")</f>
        <v>x</v>
      </c>
    </row>
    <row r="348" spans="1:14">
      <c r="A348" s="45">
        <f ca="1">IFERROR(__xludf.DUMMYFUNCTION("""COMPUTED_VALUE"""),45127.5833333333)</f>
        <v>45127.583333333299</v>
      </c>
      <c r="B348" s="45" t="str">
        <f ca="1">IFERROR(__xludf.DUMMYFUNCTION("""COMPUTED_VALUE"""),"Đã nghỉ")</f>
        <v>Đã nghỉ</v>
      </c>
      <c r="C348" s="46">
        <f ca="1">IFERROR(__xludf.DUMMYFUNCTION("""COMPUTED_VALUE"""),349)</f>
        <v>349</v>
      </c>
      <c r="D348" s="47" t="str">
        <f ca="1">IFERROR(__xludf.DUMMYFUNCTION("""COMPUTED_VALUE"""),"C0095")</f>
        <v>C0095</v>
      </c>
      <c r="E348" s="46" t="str">
        <f ca="1">IFERROR(__xludf.DUMMYFUNCTION("""COMPUTED_VALUE"""),"PHẠM ĐĂNG KHANH")</f>
        <v>PHẠM ĐĂNG KHANH</v>
      </c>
      <c r="F348" s="46" t="str">
        <f ca="1">IFERROR(__xludf.DUMMYFUNCTION("""COMPUTED_VALUE"""),"PHAM DANG KHANH")</f>
        <v>PHAM DANG KHANH</v>
      </c>
      <c r="G348" s="45">
        <f ca="1">IFERROR(__xludf.DUMMYFUNCTION("""COMPUTED_VALUE"""),37905.5833333333)</f>
        <v>37905.583333333299</v>
      </c>
      <c r="H348" s="45" t="str">
        <f ca="1">IFERROR(__xludf.DUMMYFUNCTION("""COMPUTED_VALUE"""),"BAKES")</f>
        <v>BAKES</v>
      </c>
      <c r="I348" s="46" t="str">
        <f ca="1">IFERROR(__xludf.DUMMYFUNCTION("""COMPUTED_VALUE"""),"STORE")</f>
        <v>STORE</v>
      </c>
      <c r="J348" s="46" t="str">
        <f ca="1">IFERROR(__xludf.DUMMYFUNCTION("""COMPUTED_VALUE"""),"BAKES D2")</f>
        <v>BAKES D2</v>
      </c>
      <c r="K348" s="46" t="str">
        <f ca="1">IFERROR(__xludf.DUMMYFUNCTION("""COMPUTED_VALUE"""),"KIT")</f>
        <v>KIT</v>
      </c>
      <c r="L348" s="46" t="str">
        <f ca="1">IFERROR(__xludf.DUMMYFUNCTION("""COMPUTED_VALUE"""),"PTE")</f>
        <v>PTE</v>
      </c>
      <c r="M348" s="46" t="str">
        <f ca="1">IFERROR(__xludf.DUMMYFUNCTION("""COMPUTED_VALUE"""),"Leave")</f>
        <v>Leave</v>
      </c>
      <c r="N348" s="46" t="str">
        <f ca="1">IFERROR(__xludf.DUMMYFUNCTION("""COMPUTED_VALUE"""),"x")</f>
        <v>x</v>
      </c>
    </row>
    <row r="349" spans="1:14">
      <c r="A349" s="45">
        <f ca="1">IFERROR(__xludf.DUMMYFUNCTION("""COMPUTED_VALUE"""),45127.5833333333)</f>
        <v>45127.583333333299</v>
      </c>
      <c r="B349" s="45" t="str">
        <f ca="1">IFERROR(__xludf.DUMMYFUNCTION("""COMPUTED_VALUE"""),"Đã nghỉ")</f>
        <v>Đã nghỉ</v>
      </c>
      <c r="C349" s="46">
        <f ca="1">IFERROR(__xludf.DUMMYFUNCTION("""COMPUTED_VALUE"""),350)</f>
        <v>350</v>
      </c>
      <c r="D349" s="47" t="str">
        <f ca="1">IFERROR(__xludf.DUMMYFUNCTION("""COMPUTED_VALUE"""),"C0096")</f>
        <v>C0096</v>
      </c>
      <c r="E349" s="46" t="str">
        <f ca="1">IFERROR(__xludf.DUMMYFUNCTION("""COMPUTED_VALUE"""),"LÂM TRÀ GIANG")</f>
        <v>LÂM TRÀ GIANG</v>
      </c>
      <c r="F349" s="46" t="str">
        <f ca="1">IFERROR(__xludf.DUMMYFUNCTION("""COMPUTED_VALUE"""),"LAM TRA GIANG")</f>
        <v>LAM TRA GIANG</v>
      </c>
      <c r="G349" s="45">
        <f ca="1">IFERROR(__xludf.DUMMYFUNCTION("""COMPUTED_VALUE"""),36902.625)</f>
        <v>36902.625</v>
      </c>
      <c r="H349" s="45" t="str">
        <f ca="1">IFERROR(__xludf.DUMMYFUNCTION("""COMPUTED_VALUE"""),"BAKES")</f>
        <v>BAKES</v>
      </c>
      <c r="I349" s="46" t="str">
        <f ca="1">IFERROR(__xludf.DUMMYFUNCTION("""COMPUTED_VALUE"""),"STORE")</f>
        <v>STORE</v>
      </c>
      <c r="J349" s="46" t="str">
        <f ca="1">IFERROR(__xludf.DUMMYFUNCTION("""COMPUTED_VALUE"""),"BAKES D2")</f>
        <v>BAKES D2</v>
      </c>
      <c r="K349" s="46" t="str">
        <f ca="1">IFERROR(__xludf.DUMMYFUNCTION("""COMPUTED_VALUE"""),"KIT")</f>
        <v>KIT</v>
      </c>
      <c r="L349" s="46" t="str">
        <f ca="1">IFERROR(__xludf.DUMMYFUNCTION("""COMPUTED_VALUE"""),"PTE")</f>
        <v>PTE</v>
      </c>
      <c r="M349" s="46" t="str">
        <f ca="1">IFERROR(__xludf.DUMMYFUNCTION("""COMPUTED_VALUE"""),"Leave")</f>
        <v>Leave</v>
      </c>
      <c r="N349" s="46" t="str">
        <f ca="1">IFERROR(__xludf.DUMMYFUNCTION("""COMPUTED_VALUE"""),"x")</f>
        <v>x</v>
      </c>
    </row>
    <row r="350" spans="1:14">
      <c r="A350" s="45">
        <f ca="1">IFERROR(__xludf.DUMMYFUNCTION("""COMPUTED_VALUE"""),45483.5833333333)</f>
        <v>45483.583333333299</v>
      </c>
      <c r="B350" s="45">
        <f ca="1">IFERROR(__xludf.DUMMYFUNCTION("""COMPUTED_VALUE"""),45551.5833333333)</f>
        <v>45551.583333333299</v>
      </c>
      <c r="C350" s="46">
        <f ca="1">IFERROR(__xludf.DUMMYFUNCTION("""COMPUTED_VALUE"""),351)</f>
        <v>351</v>
      </c>
      <c r="D350" s="47" t="str">
        <f ca="1">IFERROR(__xludf.DUMMYFUNCTION("""COMPUTED_VALUE"""),"C0097")</f>
        <v>C0097</v>
      </c>
      <c r="E350" s="46" t="str">
        <f ca="1">IFERROR(__xludf.DUMMYFUNCTION("""COMPUTED_VALUE"""),"NGUYỄN KIM TUYẾT VI")</f>
        <v>NGUYỄN KIM TUYẾT VI</v>
      </c>
      <c r="F350" s="46" t="str">
        <f ca="1">IFERROR(__xludf.DUMMYFUNCTION("""COMPUTED_VALUE"""),"NGUYEN KIM TUYET VI")</f>
        <v>NGUYEN KIM TUYET VI</v>
      </c>
      <c r="G350" s="45">
        <f ca="1">IFERROR(__xludf.DUMMYFUNCTION("""COMPUTED_VALUE"""),38134.5833333333)</f>
        <v>38134.583333333299</v>
      </c>
      <c r="H350" s="45" t="str">
        <f ca="1">IFERROR(__xludf.DUMMYFUNCTION("""COMPUTED_VALUE"""),"MOONCAKE")</f>
        <v>MOONCAKE</v>
      </c>
      <c r="I350" s="46" t="str">
        <f ca="1">IFERROR(__xludf.DUMMYFUNCTION("""COMPUTED_VALUE"""),"KITCHEN PASTRY")</f>
        <v>KITCHEN PASTRY</v>
      </c>
      <c r="J350" s="46" t="str">
        <f ca="1">IFERROR(__xludf.DUMMYFUNCTION("""COMPUTED_VALUE"""),"KITCHEN PASTRY")</f>
        <v>KITCHEN PASTRY</v>
      </c>
      <c r="K350" s="46" t="str">
        <f ca="1">IFERROR(__xludf.DUMMYFUNCTION("""COMPUTED_VALUE"""),"PASTRY")</f>
        <v>PASTRY</v>
      </c>
      <c r="L350" s="46" t="str">
        <f ca="1">IFERROR(__xludf.DUMMYFUNCTION("""COMPUTED_VALUE"""),"PTE")</f>
        <v>PTE</v>
      </c>
      <c r="M350" s="46" t="str">
        <f ca="1">IFERROR(__xludf.DUMMYFUNCTION("""COMPUTED_VALUE"""),"Leave")</f>
        <v>Leave</v>
      </c>
      <c r="N350" s="46" t="str">
        <f ca="1">IFERROR(__xludf.DUMMYFUNCTION("""COMPUTED_VALUE"""),"x")</f>
        <v>x</v>
      </c>
    </row>
    <row r="351" spans="1:14">
      <c r="A351" s="45">
        <f ca="1">IFERROR(__xludf.DUMMYFUNCTION("""COMPUTED_VALUE"""),45127.5833333333)</f>
        <v>45127.583333333299</v>
      </c>
      <c r="B351" s="45">
        <f ca="1">IFERROR(__xludf.DUMMYFUNCTION("""COMPUTED_VALUE"""),45353.625)</f>
        <v>45353.625</v>
      </c>
      <c r="C351" s="46">
        <f ca="1">IFERROR(__xludf.DUMMYFUNCTION("""COMPUTED_VALUE"""),352)</f>
        <v>352</v>
      </c>
      <c r="D351" s="47" t="str">
        <f ca="1">IFERROR(__xludf.DUMMYFUNCTION("""COMPUTED_VALUE"""),"C0098")</f>
        <v>C0098</v>
      </c>
      <c r="E351" s="46" t="str">
        <f ca="1">IFERROR(__xludf.DUMMYFUNCTION("""COMPUTED_VALUE"""),"TRANG KIM NGÂN")</f>
        <v>TRANG KIM NGÂN</v>
      </c>
      <c r="F351" s="46" t="str">
        <f ca="1">IFERROR(__xludf.DUMMYFUNCTION("""COMPUTED_VALUE"""),"TRANG KIM NGAN")</f>
        <v>TRANG KIM NGAN</v>
      </c>
      <c r="G351" s="45">
        <f ca="1">IFERROR(__xludf.DUMMYFUNCTION("""COMPUTED_VALUE"""),34583.5833333333)</f>
        <v>34583.583333333299</v>
      </c>
      <c r="H351" s="45" t="str">
        <f ca="1">IFERROR(__xludf.DUMMYFUNCTION("""COMPUTED_VALUE"""),"SHADOW")</f>
        <v>SHADOW</v>
      </c>
      <c r="I351" s="46" t="str">
        <f ca="1">IFERROR(__xludf.DUMMYFUNCTION("""COMPUTED_VALUE"""),"STORE")</f>
        <v>STORE</v>
      </c>
      <c r="J351" s="46" t="str">
        <f ca="1">IFERROR(__xludf.DUMMYFUNCTION("""COMPUTED_VALUE"""),"BAKES PASTEUR")</f>
        <v>BAKES PASTEUR</v>
      </c>
      <c r="K351" s="46" t="str">
        <f ca="1">IFERROR(__xludf.DUMMYFUNCTION("""COMPUTED_VALUE"""),"STR")</f>
        <v>STR</v>
      </c>
      <c r="L351" s="46" t="str">
        <f ca="1">IFERROR(__xludf.DUMMYFUNCTION("""COMPUTED_VALUE"""),"PTE")</f>
        <v>PTE</v>
      </c>
      <c r="M351" s="46" t="str">
        <f ca="1">IFERROR(__xludf.DUMMYFUNCTION("""COMPUTED_VALUE"""),"Leave")</f>
        <v>Leave</v>
      </c>
      <c r="N351" s="46" t="str">
        <f ca="1">IFERROR(__xludf.DUMMYFUNCTION("""COMPUTED_VALUE"""),"x")</f>
        <v>x</v>
      </c>
    </row>
    <row r="352" spans="1:14">
      <c r="A352" s="45">
        <f ca="1">IFERROR(__xludf.DUMMYFUNCTION("""COMPUTED_VALUE"""),45128.5833333333)</f>
        <v>45128.583333333299</v>
      </c>
      <c r="B352" s="45">
        <f ca="1">IFERROR(__xludf.DUMMYFUNCTION("""COMPUTED_VALUE"""),45293.625)</f>
        <v>45293.625</v>
      </c>
      <c r="C352" s="46">
        <f ca="1">IFERROR(__xludf.DUMMYFUNCTION("""COMPUTED_VALUE"""),353)</f>
        <v>353</v>
      </c>
      <c r="D352" s="47" t="str">
        <f ca="1">IFERROR(__xludf.DUMMYFUNCTION("""COMPUTED_VALUE"""),"C0099")</f>
        <v>C0099</v>
      </c>
      <c r="E352" s="46" t="str">
        <f ca="1">IFERROR(__xludf.DUMMYFUNCTION("""COMPUTED_VALUE"""),"ĐOÀN MINH KHUÊ")</f>
        <v>ĐOÀN MINH KHUÊ</v>
      </c>
      <c r="F352" s="46" t="str">
        <f ca="1">IFERROR(__xludf.DUMMYFUNCTION("""COMPUTED_VALUE"""),"DOAN MINH KHUE")</f>
        <v>DOAN MINH KHUE</v>
      </c>
      <c r="G352" s="45">
        <f ca="1">IFERROR(__xludf.DUMMYFUNCTION("""COMPUTED_VALUE"""),38181.5833333333)</f>
        <v>38181.583333333299</v>
      </c>
      <c r="H352" s="45" t="str">
        <f ca="1">IFERROR(__xludf.DUMMYFUNCTION("""COMPUTED_VALUE"""),"BAKES")</f>
        <v>BAKES</v>
      </c>
      <c r="I352" s="46" t="str">
        <f ca="1">IFERROR(__xludf.DUMMYFUNCTION("""COMPUTED_VALUE"""),"STORE")</f>
        <v>STORE</v>
      </c>
      <c r="J352" s="46" t="str">
        <f ca="1">IFERROR(__xludf.DUMMYFUNCTION("""COMPUTED_VALUE"""),"BAKES D2")</f>
        <v>BAKES D2</v>
      </c>
      <c r="K352" s="46" t="str">
        <f ca="1">IFERROR(__xludf.DUMMYFUNCTION("""COMPUTED_VALUE"""),"STR")</f>
        <v>STR</v>
      </c>
      <c r="L352" s="46" t="str">
        <f ca="1">IFERROR(__xludf.DUMMYFUNCTION("""COMPUTED_VALUE"""),"PTE")</f>
        <v>PTE</v>
      </c>
      <c r="M352" s="46" t="str">
        <f ca="1">IFERROR(__xludf.DUMMYFUNCTION("""COMPUTED_VALUE"""),"Leave")</f>
        <v>Leave</v>
      </c>
      <c r="N352" s="46" t="str">
        <f ca="1">IFERROR(__xludf.DUMMYFUNCTION("""COMPUTED_VALUE"""),"x")</f>
        <v>x</v>
      </c>
    </row>
    <row r="353" spans="1:14">
      <c r="A353" s="45">
        <f ca="1">IFERROR(__xludf.DUMMYFUNCTION("""COMPUTED_VALUE"""),45785.5833333333)</f>
        <v>45785.583333333299</v>
      </c>
      <c r="B353" s="45">
        <f ca="1">IFERROR(__xludf.DUMMYFUNCTION("""COMPUTED_VALUE"""),45932.5833333333)</f>
        <v>45932.583333333299</v>
      </c>
      <c r="C353" s="46">
        <f ca="1">IFERROR(__xludf.DUMMYFUNCTION("""COMPUTED_VALUE"""),354)</f>
        <v>354</v>
      </c>
      <c r="D353" s="47" t="str">
        <f ca="1">IFERROR(__xludf.DUMMYFUNCTION("""COMPUTED_VALUE"""),"C0100")</f>
        <v>C0100</v>
      </c>
      <c r="E353" s="46" t="str">
        <f ca="1">IFERROR(__xludf.DUMMYFUNCTION("""COMPUTED_VALUE"""),"ĐỖ THỊ PHƯƠNG THẢO")</f>
        <v>ĐỖ THỊ PHƯƠNG THẢO</v>
      </c>
      <c r="F353" s="46" t="str">
        <f ca="1">IFERROR(__xludf.DUMMYFUNCTION("""COMPUTED_VALUE"""),"DO THI PHUONG THAO")</f>
        <v>DO THI PHUONG THAO</v>
      </c>
      <c r="G353" s="45">
        <f ca="1">IFERROR(__xludf.DUMMYFUNCTION("""COMPUTED_VALUE"""),35081.625)</f>
        <v>35081.625</v>
      </c>
      <c r="H353" s="45" t="str">
        <f ca="1">IFERROR(__xludf.DUMMYFUNCTION("""COMPUTED_VALUE"""),"MOONCAKE")</f>
        <v>MOONCAKE</v>
      </c>
      <c r="I353" s="46" t="str">
        <f ca="1">IFERROR(__xludf.DUMMYFUNCTION("""COMPUTED_VALUE"""),"KITCHEN PASTRY")</f>
        <v>KITCHEN PASTRY</v>
      </c>
      <c r="J353" s="46" t="str">
        <f ca="1">IFERROR(__xludf.DUMMYFUNCTION("""COMPUTED_VALUE"""),"KITCHEN PASTRY")</f>
        <v>KITCHEN PASTRY</v>
      </c>
      <c r="K353" s="46" t="str">
        <f ca="1">IFERROR(__xludf.DUMMYFUNCTION("""COMPUTED_VALUE"""),"PASTRY")</f>
        <v>PASTRY</v>
      </c>
      <c r="L353" s="46" t="str">
        <f ca="1">IFERROR(__xludf.DUMMYFUNCTION("""COMPUTED_VALUE"""),"PTE")</f>
        <v>PTE</v>
      </c>
      <c r="M353" s="46" t="str">
        <f ca="1">IFERROR(__xludf.DUMMYFUNCTION("""COMPUTED_VALUE"""),"Leave")</f>
        <v>Leave</v>
      </c>
      <c r="N353" s="46" t="str">
        <f ca="1">IFERROR(__xludf.DUMMYFUNCTION("""COMPUTED_VALUE"""),"đủ")</f>
        <v>đủ</v>
      </c>
    </row>
    <row r="354" spans="1:14">
      <c r="A354" s="45">
        <f ca="1">IFERROR(__xludf.DUMMYFUNCTION("""COMPUTED_VALUE"""),45133.5833333333)</f>
        <v>45133.583333333299</v>
      </c>
      <c r="B354" s="45" t="str">
        <f ca="1">IFERROR(__xludf.DUMMYFUNCTION("""COMPUTED_VALUE"""),"Đã nghỉ")</f>
        <v>Đã nghỉ</v>
      </c>
      <c r="C354" s="46">
        <f ca="1">IFERROR(__xludf.DUMMYFUNCTION("""COMPUTED_VALUE"""),355)</f>
        <v>355</v>
      </c>
      <c r="D354" s="47" t="str">
        <f ca="1">IFERROR(__xludf.DUMMYFUNCTION("""COMPUTED_VALUE"""),"C0101")</f>
        <v>C0101</v>
      </c>
      <c r="E354" s="46" t="str">
        <f ca="1">IFERROR(__xludf.DUMMYFUNCTION("""COMPUTED_VALUE"""),"ĐẶNG NGUYỄN ANH DŨNG")</f>
        <v>ĐẶNG NGUYỄN ANH DŨNG</v>
      </c>
      <c r="F354" s="46" t="str">
        <f ca="1">IFERROR(__xludf.DUMMYFUNCTION("""COMPUTED_VALUE"""),"DANG NGUYEN ANH DUNG")</f>
        <v>DANG NGUYEN ANH DUNG</v>
      </c>
      <c r="G354" s="45">
        <f ca="1">IFERROR(__xludf.DUMMYFUNCTION("""COMPUTED_VALUE"""),38026.625)</f>
        <v>38026.625</v>
      </c>
      <c r="H354" s="45" t="str">
        <f ca="1">IFERROR(__xludf.DUMMYFUNCTION("""COMPUTED_VALUE"""),"TLC")</f>
        <v>TLC</v>
      </c>
      <c r="I354" s="46" t="str">
        <f ca="1">IFERROR(__xludf.DUMMYFUNCTION("""COMPUTED_VALUE"""),"STORE")</f>
        <v>STORE</v>
      </c>
      <c r="J354" s="46" t="str">
        <f ca="1">IFERROR(__xludf.DUMMYFUNCTION("""COMPUTED_VALUE"""),"BLANK LOUNGE")</f>
        <v>BLANK LOUNGE</v>
      </c>
      <c r="K354" s="46" t="str">
        <f ca="1">IFERROR(__xludf.DUMMYFUNCTION("""COMPUTED_VALUE"""),"STR")</f>
        <v>STR</v>
      </c>
      <c r="L354" s="46" t="str">
        <f ca="1">IFERROR(__xludf.DUMMYFUNCTION("""COMPUTED_VALUE"""),"PTE")</f>
        <v>PTE</v>
      </c>
      <c r="M354" s="46" t="str">
        <f ca="1">IFERROR(__xludf.DUMMYFUNCTION("""COMPUTED_VALUE"""),"Leave")</f>
        <v>Leave</v>
      </c>
      <c r="N354" s="46" t="str">
        <f ca="1">IFERROR(__xludf.DUMMYFUNCTION("""COMPUTED_VALUE"""),"x")</f>
        <v>x</v>
      </c>
    </row>
    <row r="355" spans="1:14">
      <c r="A355" s="45">
        <f ca="1">IFERROR(__xludf.DUMMYFUNCTION("""COMPUTED_VALUE"""),45132.5833333333)</f>
        <v>45132.583333333299</v>
      </c>
      <c r="B355" s="45" t="str">
        <f ca="1">IFERROR(__xludf.DUMMYFUNCTION("""COMPUTED_VALUE"""),"Đã nghỉ")</f>
        <v>Đã nghỉ</v>
      </c>
      <c r="C355" s="46">
        <f ca="1">IFERROR(__xludf.DUMMYFUNCTION("""COMPUTED_VALUE"""),356)</f>
        <v>356</v>
      </c>
      <c r="D355" s="47" t="str">
        <f ca="1">IFERROR(__xludf.DUMMYFUNCTION("""COMPUTED_VALUE"""),"C0102")</f>
        <v>C0102</v>
      </c>
      <c r="E355" s="46" t="str">
        <f ca="1">IFERROR(__xludf.DUMMYFUNCTION("""COMPUTED_VALUE"""),"NGUYỄN KIM NGỌC")</f>
        <v>NGUYỄN KIM NGỌC</v>
      </c>
      <c r="F355" s="46" t="str">
        <f ca="1">IFERROR(__xludf.DUMMYFUNCTION("""COMPUTED_VALUE"""),"NGUYEN KIM NGOC")</f>
        <v>NGUYEN KIM NGOC</v>
      </c>
      <c r="G355" s="45">
        <f ca="1">IFERROR(__xludf.DUMMYFUNCTION("""COMPUTED_VALUE"""),37793.5833333333)</f>
        <v>37793.583333333299</v>
      </c>
      <c r="H355" s="45" t="str">
        <f ca="1">IFERROR(__xludf.DUMMYFUNCTION("""COMPUTED_VALUE"""),"SHADOW")</f>
        <v>SHADOW</v>
      </c>
      <c r="I355" s="46" t="str">
        <f ca="1">IFERROR(__xludf.DUMMYFUNCTION("""COMPUTED_VALUE"""),"STORE")</f>
        <v>STORE</v>
      </c>
      <c r="J355" s="46" t="str">
        <f ca="1">IFERROR(__xludf.DUMMYFUNCTION("""COMPUTED_VALUE"""),"BAKES PASTEUR")</f>
        <v>BAKES PASTEUR</v>
      </c>
      <c r="K355" s="46" t="str">
        <f ca="1">IFERROR(__xludf.DUMMYFUNCTION("""COMPUTED_VALUE"""),"STR")</f>
        <v>STR</v>
      </c>
      <c r="L355" s="46" t="str">
        <f ca="1">IFERROR(__xludf.DUMMYFUNCTION("""COMPUTED_VALUE"""),"PTE")</f>
        <v>PTE</v>
      </c>
      <c r="M355" s="46" t="str">
        <f ca="1">IFERROR(__xludf.DUMMYFUNCTION("""COMPUTED_VALUE"""),"Leave")</f>
        <v>Leave</v>
      </c>
      <c r="N355" s="46" t="str">
        <f ca="1">IFERROR(__xludf.DUMMYFUNCTION("""COMPUTED_VALUE"""),"x")</f>
        <v>x</v>
      </c>
    </row>
    <row r="356" spans="1:14">
      <c r="A356" s="45">
        <f ca="1">IFERROR(__xludf.DUMMYFUNCTION("""COMPUTED_VALUE"""),45127.5833333333)</f>
        <v>45127.583333333299</v>
      </c>
      <c r="B356" s="45" t="str">
        <f ca="1">IFERROR(__xludf.DUMMYFUNCTION("""COMPUTED_VALUE"""),"Đã nghỉ")</f>
        <v>Đã nghỉ</v>
      </c>
      <c r="C356" s="46">
        <f ca="1">IFERROR(__xludf.DUMMYFUNCTION("""COMPUTED_VALUE"""),357)</f>
        <v>357</v>
      </c>
      <c r="D356" s="47" t="str">
        <f ca="1">IFERROR(__xludf.DUMMYFUNCTION("""COMPUTED_VALUE"""),"C0103")</f>
        <v>C0103</v>
      </c>
      <c r="E356" s="46" t="str">
        <f ca="1">IFERROR(__xludf.DUMMYFUNCTION("""COMPUTED_VALUE"""),"Y SÂM")</f>
        <v>Y SÂM</v>
      </c>
      <c r="F356" s="46" t="str">
        <f ca="1">IFERROR(__xludf.DUMMYFUNCTION("""COMPUTED_VALUE"""),"Y SAM")</f>
        <v>Y SAM</v>
      </c>
      <c r="G356" s="45">
        <f ca="1">IFERROR(__xludf.DUMMYFUNCTION("""COMPUTED_VALUE"""),36836.625)</f>
        <v>36836.625</v>
      </c>
      <c r="H356" s="45" t="str">
        <f ca="1">IFERROR(__xludf.DUMMYFUNCTION("""COMPUTED_VALUE"""),"BAKES")</f>
        <v>BAKES</v>
      </c>
      <c r="I356" s="46" t="str">
        <f ca="1">IFERROR(__xludf.DUMMYFUNCTION("""COMPUTED_VALUE"""),"STORE")</f>
        <v>STORE</v>
      </c>
      <c r="J356" s="46" t="str">
        <f ca="1">IFERROR(__xludf.DUMMYFUNCTION("""COMPUTED_VALUE"""),"BAKES D2")</f>
        <v>BAKES D2</v>
      </c>
      <c r="K356" s="46" t="str">
        <f ca="1">IFERROR(__xludf.DUMMYFUNCTION("""COMPUTED_VALUE"""),"STR")</f>
        <v>STR</v>
      </c>
      <c r="L356" s="46" t="str">
        <f ca="1">IFERROR(__xludf.DUMMYFUNCTION("""COMPUTED_VALUE"""),"PTE")</f>
        <v>PTE</v>
      </c>
      <c r="M356" s="46" t="str">
        <f ca="1">IFERROR(__xludf.DUMMYFUNCTION("""COMPUTED_VALUE"""),"Leave")</f>
        <v>Leave</v>
      </c>
      <c r="N356" s="46" t="str">
        <f ca="1">IFERROR(__xludf.DUMMYFUNCTION("""COMPUTED_VALUE"""),"x")</f>
        <v>x</v>
      </c>
    </row>
    <row r="357" spans="1:14">
      <c r="A357" s="45">
        <f ca="1">IFERROR(__xludf.DUMMYFUNCTION("""COMPUTED_VALUE"""),45128.5833333333)</f>
        <v>45128.583333333299</v>
      </c>
      <c r="B357" s="45" t="str">
        <f ca="1">IFERROR(__xludf.DUMMYFUNCTION("""COMPUTED_VALUE"""),"Đã nghỉ")</f>
        <v>Đã nghỉ</v>
      </c>
      <c r="C357" s="46">
        <f ca="1">IFERROR(__xludf.DUMMYFUNCTION("""COMPUTED_VALUE"""),358)</f>
        <v>358</v>
      </c>
      <c r="D357" s="47" t="str">
        <f ca="1">IFERROR(__xludf.DUMMYFUNCTION("""COMPUTED_VALUE"""),"C0104")</f>
        <v>C0104</v>
      </c>
      <c r="E357" s="46" t="str">
        <f ca="1">IFERROR(__xludf.DUMMYFUNCTION("""COMPUTED_VALUE"""),"NGUYỄN THỊ HỒNG GẤM")</f>
        <v>NGUYỄN THỊ HỒNG GẤM</v>
      </c>
      <c r="F357" s="46" t="str">
        <f ca="1">IFERROR(__xludf.DUMMYFUNCTION("""COMPUTED_VALUE"""),"NGUYEN THI HONG GAM")</f>
        <v>NGUYEN THI HONG GAM</v>
      </c>
      <c r="G357" s="45">
        <f ca="1">IFERROR(__xludf.DUMMYFUNCTION("""COMPUTED_VALUE"""),34629.5833333333)</f>
        <v>34629.583333333299</v>
      </c>
      <c r="H357" s="45" t="str">
        <f ca="1">IFERROR(__xludf.DUMMYFUNCTION("""COMPUTED_VALUE"""),"BAKES")</f>
        <v>BAKES</v>
      </c>
      <c r="I357" s="46" t="str">
        <f ca="1">IFERROR(__xludf.DUMMYFUNCTION("""COMPUTED_VALUE"""),"STORE")</f>
        <v>STORE</v>
      </c>
      <c r="J357" s="46" t="str">
        <f ca="1">IFERROR(__xludf.DUMMYFUNCTION("""COMPUTED_VALUE"""),"BAKES D2")</f>
        <v>BAKES D2</v>
      </c>
      <c r="K357" s="46" t="str">
        <f ca="1">IFERROR(__xludf.DUMMYFUNCTION("""COMPUTED_VALUE"""),"KIT")</f>
        <v>KIT</v>
      </c>
      <c r="L357" s="46" t="str">
        <f ca="1">IFERROR(__xludf.DUMMYFUNCTION("""COMPUTED_VALUE"""),"PRO")</f>
        <v>PRO</v>
      </c>
      <c r="M357" s="46" t="str">
        <f ca="1">IFERROR(__xludf.DUMMYFUNCTION("""COMPUTED_VALUE"""),"Leave")</f>
        <v>Leave</v>
      </c>
      <c r="N357" s="46" t="str">
        <f ca="1">IFERROR(__xludf.DUMMYFUNCTION("""COMPUTED_VALUE"""),"x")</f>
        <v>x</v>
      </c>
    </row>
    <row r="358" spans="1:14">
      <c r="A358" s="45">
        <f ca="1">IFERROR(__xludf.DUMMYFUNCTION("""COMPUTED_VALUE"""),45127.5833333333)</f>
        <v>45127.583333333299</v>
      </c>
      <c r="B358" s="45">
        <f ca="1">IFERROR(__xludf.DUMMYFUNCTION("""COMPUTED_VALUE"""),45383.5833333333)</f>
        <v>45383.583333333299</v>
      </c>
      <c r="C358" s="46">
        <f ca="1">IFERROR(__xludf.DUMMYFUNCTION("""COMPUTED_VALUE"""),359)</f>
        <v>359</v>
      </c>
      <c r="D358" s="47" t="str">
        <f ca="1">IFERROR(__xludf.DUMMYFUNCTION("""COMPUTED_VALUE"""),"C0105")</f>
        <v>C0105</v>
      </c>
      <c r="E358" s="46" t="str">
        <f ca="1">IFERROR(__xludf.DUMMYFUNCTION("""COMPUTED_VALUE"""),"LÊ THỊ THUỲ NGA")</f>
        <v>LÊ THỊ THUỲ NGA</v>
      </c>
      <c r="F358" s="46" t="str">
        <f ca="1">IFERROR(__xludf.DUMMYFUNCTION("""COMPUTED_VALUE"""),"LE THI THUY NGA")</f>
        <v>LE THI THUY NGA</v>
      </c>
      <c r="G358" s="45">
        <f ca="1">IFERROR(__xludf.DUMMYFUNCTION("""COMPUTED_VALUE"""),35651.5833333333)</f>
        <v>35651.583333333299</v>
      </c>
      <c r="H358" s="45" t="str">
        <f ca="1">IFERROR(__xludf.DUMMYFUNCTION("""COMPUTED_VALUE"""),"KITCHEN PASTRY")</f>
        <v>KITCHEN PASTRY</v>
      </c>
      <c r="I358" s="46" t="str">
        <f ca="1">IFERROR(__xludf.DUMMYFUNCTION("""COMPUTED_VALUE"""),"KITCHEN PASTRY")</f>
        <v>KITCHEN PASTRY</v>
      </c>
      <c r="J358" s="46" t="str">
        <f ca="1">IFERROR(__xludf.DUMMYFUNCTION("""COMPUTED_VALUE"""),"KITCHEN PASTRY")</f>
        <v>KITCHEN PASTRY</v>
      </c>
      <c r="K358" s="46" t="str">
        <f ca="1">IFERROR(__xludf.DUMMYFUNCTION("""COMPUTED_VALUE"""),"KIT")</f>
        <v>KIT</v>
      </c>
      <c r="L358" s="46" t="str">
        <f ca="1">IFERROR(__xludf.DUMMYFUNCTION("""COMPUTED_VALUE"""),"PTE")</f>
        <v>PTE</v>
      </c>
      <c r="M358" s="46" t="str">
        <f ca="1">IFERROR(__xludf.DUMMYFUNCTION("""COMPUTED_VALUE"""),"Leave")</f>
        <v>Leave</v>
      </c>
      <c r="N358" s="46" t="str">
        <f ca="1">IFERROR(__xludf.DUMMYFUNCTION("""COMPUTED_VALUE"""),"x")</f>
        <v>x</v>
      </c>
    </row>
    <row r="359" spans="1:14">
      <c r="A359" s="45">
        <f ca="1">IFERROR(__xludf.DUMMYFUNCTION("""COMPUTED_VALUE"""),45133.5833333333)</f>
        <v>45133.583333333299</v>
      </c>
      <c r="B359" s="45">
        <f ca="1">IFERROR(__xludf.DUMMYFUNCTION("""COMPUTED_VALUE"""),45790.5833333333)</f>
        <v>45790.583333333299</v>
      </c>
      <c r="C359" s="46">
        <f ca="1">IFERROR(__xludf.DUMMYFUNCTION("""COMPUTED_VALUE"""),360)</f>
        <v>360</v>
      </c>
      <c r="D359" s="47" t="str">
        <f ca="1">IFERROR(__xludf.DUMMYFUNCTION("""COMPUTED_VALUE"""),"C0106")</f>
        <v>C0106</v>
      </c>
      <c r="E359" s="46" t="str">
        <f ca="1">IFERROR(__xludf.DUMMYFUNCTION("""COMPUTED_VALUE"""),"SƠN THỊ NGA")</f>
        <v>SƠN THỊ NGA</v>
      </c>
      <c r="F359" s="46" t="str">
        <f ca="1">IFERROR(__xludf.DUMMYFUNCTION("""COMPUTED_VALUE"""),"SON THI NGA")</f>
        <v>SON THI NGA</v>
      </c>
      <c r="G359" s="45">
        <f ca="1">IFERROR(__xludf.DUMMYFUNCTION("""COMPUTED_VALUE"""),31529.625)</f>
        <v>31529.625</v>
      </c>
      <c r="H359" s="45" t="str">
        <f ca="1">IFERROR(__xludf.DUMMYFUNCTION("""COMPUTED_VALUE"""),"BAKES")</f>
        <v>BAKES</v>
      </c>
      <c r="I359" s="46" t="str">
        <f ca="1">IFERROR(__xludf.DUMMYFUNCTION("""COMPUTED_VALUE"""),"STORE")</f>
        <v>STORE</v>
      </c>
      <c r="J359" s="46" t="str">
        <f ca="1">IFERROR(__xludf.DUMMYFUNCTION("""COMPUTED_VALUE"""),"BAKES D2")</f>
        <v>BAKES D2</v>
      </c>
      <c r="K359" s="46" t="str">
        <f ca="1">IFERROR(__xludf.DUMMYFUNCTION("""COMPUTED_VALUE"""),"CLEANER")</f>
        <v>CLEANER</v>
      </c>
      <c r="L359" s="46" t="str">
        <f ca="1">IFERROR(__xludf.DUMMYFUNCTION("""COMPUTED_VALUE"""),"PTE")</f>
        <v>PTE</v>
      </c>
      <c r="M359" s="46" t="str">
        <f ca="1">IFERROR(__xludf.DUMMYFUNCTION("""COMPUTED_VALUE"""),"Leave")</f>
        <v>Leave</v>
      </c>
      <c r="N359" s="46" t="str">
        <f ca="1">IFERROR(__xludf.DUMMYFUNCTION("""COMPUTED_VALUE"""),"x")</f>
        <v>x</v>
      </c>
    </row>
    <row r="360" spans="1:14">
      <c r="A360" s="45">
        <f ca="1">IFERROR(__xludf.DUMMYFUNCTION("""COMPUTED_VALUE"""),45140.5833333333)</f>
        <v>45140.583333333299</v>
      </c>
      <c r="B360" s="45" t="str">
        <f ca="1">IFERROR(__xludf.DUMMYFUNCTION("""COMPUTED_VALUE"""),"Đã nghỉ")</f>
        <v>Đã nghỉ</v>
      </c>
      <c r="C360" s="46">
        <f ca="1">IFERROR(__xludf.DUMMYFUNCTION("""COMPUTED_VALUE"""),361)</f>
        <v>361</v>
      </c>
      <c r="D360" s="47" t="str">
        <f ca="1">IFERROR(__xludf.DUMMYFUNCTION("""COMPUTED_VALUE"""),"C0107")</f>
        <v>C0107</v>
      </c>
      <c r="E360" s="46" t="str">
        <f ca="1">IFERROR(__xludf.DUMMYFUNCTION("""COMPUTED_VALUE"""),"LÊ HỒNG MINH")</f>
        <v>LÊ HỒNG MINH</v>
      </c>
      <c r="F360" s="46" t="str">
        <f ca="1">IFERROR(__xludf.DUMMYFUNCTION("""COMPUTED_VALUE"""),"LE HONG MINH")</f>
        <v>LE HONG MINH</v>
      </c>
      <c r="G360" s="45">
        <f ca="1">IFERROR(__xludf.DUMMYFUNCTION("""COMPUTED_VALUE"""),32356.5833333333)</f>
        <v>32356.583333333299</v>
      </c>
      <c r="H360" s="45" t="str">
        <f ca="1">IFERROR(__xludf.DUMMYFUNCTION("""COMPUTED_VALUE"""),"BAKES")</f>
        <v>BAKES</v>
      </c>
      <c r="I360" s="46" t="str">
        <f ca="1">IFERROR(__xludf.DUMMYFUNCTION("""COMPUTED_VALUE"""),"STORE")</f>
        <v>STORE</v>
      </c>
      <c r="J360" s="46" t="str">
        <f ca="1">IFERROR(__xludf.DUMMYFUNCTION("""COMPUTED_VALUE"""),"BAKES D2")</f>
        <v>BAKES D2</v>
      </c>
      <c r="K360" s="46" t="str">
        <f ca="1">IFERROR(__xludf.DUMMYFUNCTION("""COMPUTED_VALUE"""),"KIT")</f>
        <v>KIT</v>
      </c>
      <c r="L360" s="46" t="str">
        <f ca="1">IFERROR(__xludf.DUMMYFUNCTION("""COMPUTED_VALUE"""),"PTE")</f>
        <v>PTE</v>
      </c>
      <c r="M360" s="46" t="str">
        <f ca="1">IFERROR(__xludf.DUMMYFUNCTION("""COMPUTED_VALUE"""),"Leave")</f>
        <v>Leave</v>
      </c>
      <c r="N360" s="46" t="str">
        <f ca="1">IFERROR(__xludf.DUMMYFUNCTION("""COMPUTED_VALUE"""),"x")</f>
        <v>x</v>
      </c>
    </row>
    <row r="361" spans="1:14">
      <c r="A361" s="45">
        <f ca="1">IFERROR(__xludf.DUMMYFUNCTION("""COMPUTED_VALUE"""),45108.5833333333)</f>
        <v>45108.583333333299</v>
      </c>
      <c r="B361" s="45" t="str">
        <f ca="1">IFERROR(__xludf.DUMMYFUNCTION("""COMPUTED_VALUE"""),"Đã nghỉ")</f>
        <v>Đã nghỉ</v>
      </c>
      <c r="C361" s="46">
        <f ca="1">IFERROR(__xludf.DUMMYFUNCTION("""COMPUTED_VALUE"""),362)</f>
        <v>362</v>
      </c>
      <c r="D361" s="47" t="str">
        <f ca="1">IFERROR(__xludf.DUMMYFUNCTION("""COMPUTED_VALUE"""),"C0108")</f>
        <v>C0108</v>
      </c>
      <c r="E361" s="46" t="str">
        <f ca="1">IFERROR(__xludf.DUMMYFUNCTION("""COMPUTED_VALUE"""),"NGUYỄN ĐOÀN PHƯƠNG DUY")</f>
        <v>NGUYỄN ĐOÀN PHƯƠNG DUY</v>
      </c>
      <c r="F361" s="46" t="str">
        <f ca="1">IFERROR(__xludf.DUMMYFUNCTION("""COMPUTED_VALUE"""),"NGUYEN DOAN PHUONG DUY")</f>
        <v>NGUYEN DOAN PHUONG DUY</v>
      </c>
      <c r="G361" s="45"/>
      <c r="H361" s="45" t="str">
        <f ca="1">IFERROR(__xludf.DUMMYFUNCTION("""COMPUTED_VALUE"""),"TLC")</f>
        <v>TLC</v>
      </c>
      <c r="I361" s="46" t="str">
        <f ca="1">IFERROR(__xludf.DUMMYFUNCTION("""COMPUTED_VALUE"""),"STORE")</f>
        <v>STORE</v>
      </c>
      <c r="J361" s="46" t="str">
        <f ca="1">IFERROR(__xludf.DUMMYFUNCTION("""COMPUTED_VALUE"""),"BITEXCO")</f>
        <v>BITEXCO</v>
      </c>
      <c r="K361" s="46" t="str">
        <f ca="1">IFERROR(__xludf.DUMMYFUNCTION("""COMPUTED_VALUE"""),"STR")</f>
        <v>STR</v>
      </c>
      <c r="L361" s="46" t="str">
        <f ca="1">IFERROR(__xludf.DUMMYFUNCTION("""COMPUTED_VALUE"""),"PTE")</f>
        <v>PTE</v>
      </c>
      <c r="M361" s="46" t="str">
        <f ca="1">IFERROR(__xludf.DUMMYFUNCTION("""COMPUTED_VALUE"""),"Leave")</f>
        <v>Leave</v>
      </c>
      <c r="N361" s="46" t="str">
        <f ca="1">IFERROR(__xludf.DUMMYFUNCTION("""COMPUTED_VALUE"""),"x")</f>
        <v>x</v>
      </c>
    </row>
    <row r="362" spans="1:14">
      <c r="A362" s="45">
        <f ca="1">IFERROR(__xludf.DUMMYFUNCTION("""COMPUTED_VALUE"""),45108.5833333333)</f>
        <v>45108.583333333299</v>
      </c>
      <c r="B362" s="45">
        <f ca="1">IFERROR(__xludf.DUMMYFUNCTION("""COMPUTED_VALUE"""),45324.625)</f>
        <v>45324.625</v>
      </c>
      <c r="C362" s="46">
        <f ca="1">IFERROR(__xludf.DUMMYFUNCTION("""COMPUTED_VALUE"""),363)</f>
        <v>363</v>
      </c>
      <c r="D362" s="47" t="str">
        <f ca="1">IFERROR(__xludf.DUMMYFUNCTION("""COMPUTED_VALUE"""),"C0109")</f>
        <v>C0109</v>
      </c>
      <c r="E362" s="46" t="str">
        <f ca="1">IFERROR(__xludf.DUMMYFUNCTION("""COMPUTED_VALUE"""),"VƯƠNG THÀNH ĐÔ")</f>
        <v>VƯƠNG THÀNH ĐÔ</v>
      </c>
      <c r="F362" s="46" t="str">
        <f ca="1">IFERROR(__xludf.DUMMYFUNCTION("""COMPUTED_VALUE"""),"VUONG THANH DO")</f>
        <v>VUONG THANH DO</v>
      </c>
      <c r="G362" s="45">
        <f ca="1">IFERROR(__xludf.DUMMYFUNCTION("""COMPUTED_VALUE"""),36728.5833333333)</f>
        <v>36728.583333333299</v>
      </c>
      <c r="H362" s="45" t="str">
        <f ca="1">IFERROR(__xludf.DUMMYFUNCTION("""COMPUTED_VALUE"""),"SHADOW")</f>
        <v>SHADOW</v>
      </c>
      <c r="I362" s="46" t="str">
        <f ca="1">IFERROR(__xludf.DUMMYFUNCTION("""COMPUTED_VALUE"""),"STORE")</f>
        <v>STORE</v>
      </c>
      <c r="J362" s="46" t="str">
        <f ca="1">IFERROR(__xludf.DUMMYFUNCTION("""COMPUTED_VALUE"""),"BAKES PASTEUR")</f>
        <v>BAKES PASTEUR</v>
      </c>
      <c r="K362" s="46" t="str">
        <f ca="1">IFERROR(__xludf.DUMMYFUNCTION("""COMPUTED_VALUE"""),"STR")</f>
        <v>STR</v>
      </c>
      <c r="L362" s="46" t="str">
        <f ca="1">IFERROR(__xludf.DUMMYFUNCTION("""COMPUTED_VALUE"""),"PTE")</f>
        <v>PTE</v>
      </c>
      <c r="M362" s="46" t="str">
        <f ca="1">IFERROR(__xludf.DUMMYFUNCTION("""COMPUTED_VALUE"""),"Leave")</f>
        <v>Leave</v>
      </c>
      <c r="N362" s="46" t="str">
        <f ca="1">IFERROR(__xludf.DUMMYFUNCTION("""COMPUTED_VALUE"""),"x")</f>
        <v>x</v>
      </c>
    </row>
    <row r="363" spans="1:14">
      <c r="A363" s="45">
        <f ca="1">IFERROR(__xludf.DUMMYFUNCTION("""COMPUTED_VALUE"""),45110.5833333333)</f>
        <v>45110.583333333299</v>
      </c>
      <c r="B363" s="45">
        <f ca="1">IFERROR(__xludf.DUMMYFUNCTION("""COMPUTED_VALUE"""),45353.625)</f>
        <v>45353.625</v>
      </c>
      <c r="C363" s="46">
        <f ca="1">IFERROR(__xludf.DUMMYFUNCTION("""COMPUTED_VALUE"""),364)</f>
        <v>364</v>
      </c>
      <c r="D363" s="47" t="str">
        <f ca="1">IFERROR(__xludf.DUMMYFUNCTION("""COMPUTED_VALUE"""),"C0110")</f>
        <v>C0110</v>
      </c>
      <c r="E363" s="46" t="str">
        <f ca="1">IFERROR(__xludf.DUMMYFUNCTION("""COMPUTED_VALUE"""),"LÊ DUY")</f>
        <v>LÊ DUY</v>
      </c>
      <c r="F363" s="46" t="str">
        <f ca="1">IFERROR(__xludf.DUMMYFUNCTION("""COMPUTED_VALUE"""),"LE DUY")</f>
        <v>LE DUY</v>
      </c>
      <c r="G363" s="45">
        <f ca="1">IFERROR(__xludf.DUMMYFUNCTION("""COMPUTED_VALUE"""),36843.625)</f>
        <v>36843.625</v>
      </c>
      <c r="H363" s="45" t="str">
        <f ca="1">IFERROR(__xludf.DUMMYFUNCTION("""COMPUTED_VALUE"""),"SHADOW")</f>
        <v>SHADOW</v>
      </c>
      <c r="I363" s="46" t="str">
        <f ca="1">IFERROR(__xludf.DUMMYFUNCTION("""COMPUTED_VALUE"""),"STORE")</f>
        <v>STORE</v>
      </c>
      <c r="J363" s="46" t="str">
        <f ca="1">IFERROR(__xludf.DUMMYFUNCTION("""COMPUTED_VALUE"""),"BAKES PASTEUR")</f>
        <v>BAKES PASTEUR</v>
      </c>
      <c r="K363" s="46" t="str">
        <f ca="1">IFERROR(__xludf.DUMMYFUNCTION("""COMPUTED_VALUE"""),"STR")</f>
        <v>STR</v>
      </c>
      <c r="L363" s="46" t="str">
        <f ca="1">IFERROR(__xludf.DUMMYFUNCTION("""COMPUTED_VALUE"""),"PTE")</f>
        <v>PTE</v>
      </c>
      <c r="M363" s="46" t="str">
        <f ca="1">IFERROR(__xludf.DUMMYFUNCTION("""COMPUTED_VALUE"""),"Leave")</f>
        <v>Leave</v>
      </c>
      <c r="N363" s="46" t="str">
        <f ca="1">IFERROR(__xludf.DUMMYFUNCTION("""COMPUTED_VALUE"""),"x")</f>
        <v>x</v>
      </c>
    </row>
    <row r="364" spans="1:14">
      <c r="A364" s="45">
        <f ca="1">IFERROR(__xludf.DUMMYFUNCTION("""COMPUTED_VALUE"""),45108.5833333333)</f>
        <v>45108.583333333299</v>
      </c>
      <c r="B364" s="45" t="str">
        <f ca="1">IFERROR(__xludf.DUMMYFUNCTION("""COMPUTED_VALUE"""),"Đã nghỉ")</f>
        <v>Đã nghỉ</v>
      </c>
      <c r="C364" s="46">
        <f ca="1">IFERROR(__xludf.DUMMYFUNCTION("""COMPUTED_VALUE"""),365)</f>
        <v>365</v>
      </c>
      <c r="D364" s="47" t="str">
        <f ca="1">IFERROR(__xludf.DUMMYFUNCTION("""COMPUTED_VALUE"""),"C0111")</f>
        <v>C0111</v>
      </c>
      <c r="E364" s="46" t="str">
        <f ca="1">IFERROR(__xludf.DUMMYFUNCTION("""COMPUTED_VALUE"""),"NGUYỄN LAN HƯƠNG")</f>
        <v>NGUYỄN LAN HƯƠNG</v>
      </c>
      <c r="F364" s="46" t="str">
        <f ca="1">IFERROR(__xludf.DUMMYFUNCTION("""COMPUTED_VALUE"""),"NGUYEN LAN HUONG")</f>
        <v>NGUYEN LAN HUONG</v>
      </c>
      <c r="G364" s="45"/>
      <c r="H364" s="45" t="str">
        <f ca="1">IFERROR(__xludf.DUMMYFUNCTION("""COMPUTED_VALUE"""),"BAKES")</f>
        <v>BAKES</v>
      </c>
      <c r="I364" s="46" t="str">
        <f ca="1">IFERROR(__xludf.DUMMYFUNCTION("""COMPUTED_VALUE"""),"STORE")</f>
        <v>STORE</v>
      </c>
      <c r="J364" s="46" t="str">
        <f ca="1">IFERROR(__xludf.DUMMYFUNCTION("""COMPUTED_VALUE"""),"BAKES D2")</f>
        <v>BAKES D2</v>
      </c>
      <c r="K364" s="46" t="str">
        <f ca="1">IFERROR(__xludf.DUMMYFUNCTION("""COMPUTED_VALUE"""),"STR")</f>
        <v>STR</v>
      </c>
      <c r="L364" s="46" t="str">
        <f ca="1">IFERROR(__xludf.DUMMYFUNCTION("""COMPUTED_VALUE"""),"PTE")</f>
        <v>PTE</v>
      </c>
      <c r="M364" s="46" t="str">
        <f ca="1">IFERROR(__xludf.DUMMYFUNCTION("""COMPUTED_VALUE"""),"Leave")</f>
        <v>Leave</v>
      </c>
      <c r="N364" s="46" t="str">
        <f ca="1">IFERROR(__xludf.DUMMYFUNCTION("""COMPUTED_VALUE"""),"x")</f>
        <v>x</v>
      </c>
    </row>
    <row r="365" spans="1:14">
      <c r="A365" s="45">
        <f ca="1">IFERROR(__xludf.DUMMYFUNCTION("""COMPUTED_VALUE"""),45108.5833333333)</f>
        <v>45108.583333333299</v>
      </c>
      <c r="B365" s="45" t="str">
        <f ca="1">IFERROR(__xludf.DUMMYFUNCTION("""COMPUTED_VALUE"""),"Đã nghỉ")</f>
        <v>Đã nghỉ</v>
      </c>
      <c r="C365" s="46">
        <f ca="1">IFERROR(__xludf.DUMMYFUNCTION("""COMPUTED_VALUE"""),366)</f>
        <v>366</v>
      </c>
      <c r="D365" s="47" t="str">
        <f ca="1">IFERROR(__xludf.DUMMYFUNCTION("""COMPUTED_VALUE"""),"C0112")</f>
        <v>C0112</v>
      </c>
      <c r="E365" s="46" t="str">
        <f ca="1">IFERROR(__xludf.DUMMYFUNCTION("""COMPUTED_VALUE"""),"VŨ PHƯƠNG LINH")</f>
        <v>VŨ PHƯƠNG LINH</v>
      </c>
      <c r="F365" s="46" t="str">
        <f ca="1">IFERROR(__xludf.DUMMYFUNCTION("""COMPUTED_VALUE"""),"VU PHUONG LINH")</f>
        <v>VU PHUONG LINH</v>
      </c>
      <c r="G365" s="45"/>
      <c r="H365" s="45" t="str">
        <f ca="1">IFERROR(__xludf.DUMMYFUNCTION("""COMPUTED_VALUE"""),"BAKES")</f>
        <v>BAKES</v>
      </c>
      <c r="I365" s="46" t="str">
        <f ca="1">IFERROR(__xludf.DUMMYFUNCTION("""COMPUTED_VALUE"""),"STORE")</f>
        <v>STORE</v>
      </c>
      <c r="J365" s="46" t="str">
        <f ca="1">IFERROR(__xludf.DUMMYFUNCTION("""COMPUTED_VALUE"""),"BAKES D2")</f>
        <v>BAKES D2</v>
      </c>
      <c r="K365" s="46" t="str">
        <f ca="1">IFERROR(__xludf.DUMMYFUNCTION("""COMPUTED_VALUE"""),"STR")</f>
        <v>STR</v>
      </c>
      <c r="L365" s="46" t="str">
        <f ca="1">IFERROR(__xludf.DUMMYFUNCTION("""COMPUTED_VALUE"""),"PTE")</f>
        <v>PTE</v>
      </c>
      <c r="M365" s="46" t="str">
        <f ca="1">IFERROR(__xludf.DUMMYFUNCTION("""COMPUTED_VALUE"""),"Leave")</f>
        <v>Leave</v>
      </c>
      <c r="N365" s="46" t="str">
        <f ca="1">IFERROR(__xludf.DUMMYFUNCTION("""COMPUTED_VALUE"""),"x")</f>
        <v>x</v>
      </c>
    </row>
    <row r="366" spans="1:14">
      <c r="A366" s="45">
        <f ca="1">IFERROR(__xludf.DUMMYFUNCTION("""COMPUTED_VALUE"""),45139.5833333333)</f>
        <v>45139.583333333299</v>
      </c>
      <c r="B366" s="45">
        <f ca="1">IFERROR(__xludf.DUMMYFUNCTION("""COMPUTED_VALUE"""),46054.625)</f>
        <v>46054.625</v>
      </c>
      <c r="C366" s="46">
        <f ca="1">IFERROR(__xludf.DUMMYFUNCTION("""COMPUTED_VALUE"""),367)</f>
        <v>367</v>
      </c>
      <c r="D366" s="47" t="str">
        <f ca="1">IFERROR(__xludf.DUMMYFUNCTION("""COMPUTED_VALUE"""),"C0113")</f>
        <v>C0113</v>
      </c>
      <c r="E366" s="46" t="str">
        <f ca="1">IFERROR(__xludf.DUMMYFUNCTION("""COMPUTED_VALUE"""),"TẠ NGUYỄN BẢO NGỌC")</f>
        <v>TẠ NGUYỄN BẢO NGỌC</v>
      </c>
      <c r="F366" s="46" t="str">
        <f ca="1">IFERROR(__xludf.DUMMYFUNCTION("""COMPUTED_VALUE"""),"TA NGUYEN BAO NGOC")</f>
        <v>TA NGUYEN BAO NGOC</v>
      </c>
      <c r="G366" s="45">
        <f ca="1">IFERROR(__xludf.DUMMYFUNCTION("""COMPUTED_VALUE"""),37090.5833333333)</f>
        <v>37090.583333333299</v>
      </c>
      <c r="H366" s="45" t="str">
        <f ca="1">IFERROR(__xludf.DUMMYFUNCTION("""COMPUTED_VALUE"""),"TLC")</f>
        <v>TLC</v>
      </c>
      <c r="I366" s="46" t="str">
        <f ca="1">IFERROR(__xludf.DUMMYFUNCTION("""COMPUTED_VALUE"""),"HO")</f>
        <v>HO</v>
      </c>
      <c r="J366" s="46" t="str">
        <f ca="1">IFERROR(__xludf.DUMMYFUNCTION("""COMPUTED_VALUE"""),"PRO")</f>
        <v>PRO</v>
      </c>
      <c r="K366" s="46" t="str">
        <f ca="1">IFERROR(__xludf.DUMMYFUNCTION("""COMPUTED_VALUE"""),"PRO")</f>
        <v>PRO</v>
      </c>
      <c r="L366" s="46" t="str">
        <f ca="1">IFERROR(__xludf.DUMMYFUNCTION("""COMPUTED_VALUE"""),"SER")</f>
        <v>SER</v>
      </c>
      <c r="M366" s="46" t="str">
        <f ca="1">IFERROR(__xludf.DUMMYFUNCTION("""COMPUTED_VALUE"""),"Leave")</f>
        <v>Leave</v>
      </c>
      <c r="N366" s="46" t="str">
        <f ca="1">IFERROR(__xludf.DUMMYFUNCTION("""COMPUTED_VALUE"""),"đủ")</f>
        <v>đủ</v>
      </c>
    </row>
    <row r="367" spans="1:14">
      <c r="A367" s="45">
        <f ca="1">IFERROR(__xludf.DUMMYFUNCTION("""COMPUTED_VALUE"""),45145.5833333333)</f>
        <v>45145.583333333299</v>
      </c>
      <c r="B367" s="45" t="str">
        <f ca="1">IFERROR(__xludf.DUMMYFUNCTION("""COMPUTED_VALUE"""),"Đã nghỉ")</f>
        <v>Đã nghỉ</v>
      </c>
      <c r="C367" s="46">
        <f ca="1">IFERROR(__xludf.DUMMYFUNCTION("""COMPUTED_VALUE"""),368)</f>
        <v>368</v>
      </c>
      <c r="D367" s="47" t="str">
        <f ca="1">IFERROR(__xludf.DUMMYFUNCTION("""COMPUTED_VALUE"""),"C0114")</f>
        <v>C0114</v>
      </c>
      <c r="E367" s="46" t="str">
        <f ca="1">IFERROR(__xludf.DUMMYFUNCTION("""COMPUTED_VALUE"""),"PHẠM VŨ PHƯƠNG KHANH")</f>
        <v>PHẠM VŨ PHƯƠNG KHANH</v>
      </c>
      <c r="F367" s="46" t="str">
        <f ca="1">IFERROR(__xludf.DUMMYFUNCTION("""COMPUTED_VALUE"""),"PHAM VU PHUONG KHANH")</f>
        <v>PHAM VU PHUONG KHANH</v>
      </c>
      <c r="G367" s="45">
        <f ca="1">IFERROR(__xludf.DUMMYFUNCTION("""COMPUTED_VALUE"""),34658.625)</f>
        <v>34658.625</v>
      </c>
      <c r="H367" s="45" t="str">
        <f ca="1">IFERROR(__xludf.DUMMYFUNCTION("""COMPUTED_VALUE"""),"TLC")</f>
        <v>TLC</v>
      </c>
      <c r="I367" s="46" t="str">
        <f ca="1">IFERROR(__xludf.DUMMYFUNCTION("""COMPUTED_VALUE"""),"HO")</f>
        <v>HO</v>
      </c>
      <c r="J367" s="46" t="str">
        <f ca="1">IFERROR(__xludf.DUMMYFUNCTION("""COMPUTED_VALUE"""),"SPD")</f>
        <v>SPD</v>
      </c>
      <c r="K367" s="46" t="str">
        <f ca="1">IFERROR(__xludf.DUMMYFUNCTION("""COMPUTED_VALUE"""),"SPD")</f>
        <v>SPD</v>
      </c>
      <c r="L367" s="46" t="str">
        <f ca="1">IFERROR(__xludf.DUMMYFUNCTION("""COMPUTED_VALUE"""),"PRO")</f>
        <v>PRO</v>
      </c>
      <c r="M367" s="46" t="str">
        <f ca="1">IFERROR(__xludf.DUMMYFUNCTION("""COMPUTED_VALUE"""),"Leave")</f>
        <v>Leave</v>
      </c>
      <c r="N367" s="46" t="str">
        <f ca="1">IFERROR(__xludf.DUMMYFUNCTION("""COMPUTED_VALUE"""),"x")</f>
        <v>x</v>
      </c>
    </row>
    <row r="368" spans="1:14">
      <c r="A368" s="45">
        <f ca="1">IFERROR(__xludf.DUMMYFUNCTION("""COMPUTED_VALUE"""),45140.5833333333)</f>
        <v>45140.583333333299</v>
      </c>
      <c r="B368" s="45" t="str">
        <f ca="1">IFERROR(__xludf.DUMMYFUNCTION("""COMPUTED_VALUE"""),"Đã nghỉ")</f>
        <v>Đã nghỉ</v>
      </c>
      <c r="C368" s="46">
        <f ca="1">IFERROR(__xludf.DUMMYFUNCTION("""COMPUTED_VALUE"""),369)</f>
        <v>369</v>
      </c>
      <c r="D368" s="47" t="str">
        <f ca="1">IFERROR(__xludf.DUMMYFUNCTION("""COMPUTED_VALUE"""),"C0115")</f>
        <v>C0115</v>
      </c>
      <c r="E368" s="46" t="str">
        <f ca="1">IFERROR(__xludf.DUMMYFUNCTION("""COMPUTED_VALUE"""),"TRỊNH THANH TÙNG")</f>
        <v>TRỊNH THANH TÙNG</v>
      </c>
      <c r="F368" s="46" t="str">
        <f ca="1">IFERROR(__xludf.DUMMYFUNCTION("""COMPUTED_VALUE"""),"TRINH THANH TUNG")</f>
        <v>TRINH THANH TUNG</v>
      </c>
      <c r="G368" s="45">
        <f ca="1">IFERROR(__xludf.DUMMYFUNCTION("""COMPUTED_VALUE"""),36708.5833333333)</f>
        <v>36708.583333333299</v>
      </c>
      <c r="H368" s="45" t="str">
        <f ca="1">IFERROR(__xludf.DUMMYFUNCTION("""COMPUTED_VALUE"""),"SHADOW")</f>
        <v>SHADOW</v>
      </c>
      <c r="I368" s="46" t="str">
        <f ca="1">IFERROR(__xludf.DUMMYFUNCTION("""COMPUTED_VALUE"""),"STORE")</f>
        <v>STORE</v>
      </c>
      <c r="J368" s="46" t="str">
        <f ca="1">IFERROR(__xludf.DUMMYFUNCTION("""COMPUTED_VALUE"""),"BAKES PASTEUR")</f>
        <v>BAKES PASTEUR</v>
      </c>
      <c r="K368" s="46" t="str">
        <f ca="1">IFERROR(__xludf.DUMMYFUNCTION("""COMPUTED_VALUE"""),"KIT")</f>
        <v>KIT</v>
      </c>
      <c r="L368" s="46" t="str">
        <f ca="1">IFERROR(__xludf.DUMMYFUNCTION("""COMPUTED_VALUE"""),"PTE")</f>
        <v>PTE</v>
      </c>
      <c r="M368" s="46" t="str">
        <f ca="1">IFERROR(__xludf.DUMMYFUNCTION("""COMPUTED_VALUE"""),"Leave")</f>
        <v>Leave</v>
      </c>
      <c r="N368" s="46" t="str">
        <f ca="1">IFERROR(__xludf.DUMMYFUNCTION("""COMPUTED_VALUE"""),"x")</f>
        <v>x</v>
      </c>
    </row>
    <row r="369" spans="1:14">
      <c r="A369" s="45">
        <f ca="1">IFERROR(__xludf.DUMMYFUNCTION("""COMPUTED_VALUE"""),45139.5833333333)</f>
        <v>45139.583333333299</v>
      </c>
      <c r="B369" s="45" t="str">
        <f ca="1">IFERROR(__xludf.DUMMYFUNCTION("""COMPUTED_VALUE"""),"Đã nghỉ")</f>
        <v>Đã nghỉ</v>
      </c>
      <c r="C369" s="46">
        <f ca="1">IFERROR(__xludf.DUMMYFUNCTION("""COMPUTED_VALUE"""),370)</f>
        <v>370</v>
      </c>
      <c r="D369" s="47" t="str">
        <f ca="1">IFERROR(__xludf.DUMMYFUNCTION("""COMPUTED_VALUE"""),"C0117")</f>
        <v>C0117</v>
      </c>
      <c r="E369" s="46" t="str">
        <f ca="1">IFERROR(__xludf.DUMMYFUNCTION("""COMPUTED_VALUE"""),"TRẦN MINH HUYỀN")</f>
        <v>TRẦN MINH HUYỀN</v>
      </c>
      <c r="F369" s="46" t="str">
        <f ca="1">IFERROR(__xludf.DUMMYFUNCTION("""COMPUTED_VALUE"""),"TRAN MINH HUYEN")</f>
        <v>TRAN MINH HUYEN</v>
      </c>
      <c r="G369" s="45">
        <f ca="1">IFERROR(__xludf.DUMMYFUNCTION("""COMPUTED_VALUE"""),26612.6666666666)</f>
        <v>26612.666666666599</v>
      </c>
      <c r="H369" s="45" t="str">
        <f ca="1">IFERROR(__xludf.DUMMYFUNCTION("""COMPUTED_VALUE"""),"BAKES")</f>
        <v>BAKES</v>
      </c>
      <c r="I369" s="46" t="str">
        <f ca="1">IFERROR(__xludf.DUMMYFUNCTION("""COMPUTED_VALUE"""),"STORE")</f>
        <v>STORE</v>
      </c>
      <c r="J369" s="46" t="str">
        <f ca="1">IFERROR(__xludf.DUMMYFUNCTION("""COMPUTED_VALUE"""),"BAKES D2")</f>
        <v>BAKES D2</v>
      </c>
      <c r="K369" s="46" t="str">
        <f ca="1">IFERROR(__xludf.DUMMYFUNCTION("""COMPUTED_VALUE"""),"STR")</f>
        <v>STR</v>
      </c>
      <c r="L369" s="46" t="str">
        <f ca="1">IFERROR(__xludf.DUMMYFUNCTION("""COMPUTED_VALUE"""),"PRO")</f>
        <v>PRO</v>
      </c>
      <c r="M369" s="46" t="str">
        <f ca="1">IFERROR(__xludf.DUMMYFUNCTION("""COMPUTED_VALUE"""),"Leave")</f>
        <v>Leave</v>
      </c>
      <c r="N369" s="46" t="str">
        <f ca="1">IFERROR(__xludf.DUMMYFUNCTION("""COMPUTED_VALUE"""),"x")</f>
        <v>x</v>
      </c>
    </row>
    <row r="370" spans="1:14">
      <c r="A370" s="45">
        <f ca="1">IFERROR(__xludf.DUMMYFUNCTION("""COMPUTED_VALUE"""),45145.5833333333)</f>
        <v>45145.583333333299</v>
      </c>
      <c r="B370" s="45">
        <f ca="1">IFERROR(__xludf.DUMMYFUNCTION("""COMPUTED_VALUE"""),45330.625)</f>
        <v>45330.625</v>
      </c>
      <c r="C370" s="46">
        <f ca="1">IFERROR(__xludf.DUMMYFUNCTION("""COMPUTED_VALUE"""),371)</f>
        <v>371</v>
      </c>
      <c r="D370" s="47" t="str">
        <f ca="1">IFERROR(__xludf.DUMMYFUNCTION("""COMPUTED_VALUE"""),"C0118")</f>
        <v>C0118</v>
      </c>
      <c r="E370" s="46" t="str">
        <f ca="1">IFERROR(__xludf.DUMMYFUNCTION("""COMPUTED_VALUE"""),"TRƯƠNG TUỆ TRÂN")</f>
        <v>TRƯƠNG TUỆ TRÂN</v>
      </c>
      <c r="F370" s="46" t="str">
        <f ca="1">IFERROR(__xludf.DUMMYFUNCTION("""COMPUTED_VALUE"""),"TRUONG TUE TRAN")</f>
        <v>TRUONG TUE TRAN</v>
      </c>
      <c r="G370" s="45">
        <f ca="1">IFERROR(__xludf.DUMMYFUNCTION("""COMPUTED_VALUE"""),37167.5833333333)</f>
        <v>37167.583333333299</v>
      </c>
      <c r="H370" s="45" t="str">
        <f ca="1">IFERROR(__xludf.DUMMYFUNCTION("""COMPUTED_VALUE"""),"CREATIVE")</f>
        <v>CREATIVE</v>
      </c>
      <c r="I370" s="46" t="str">
        <f ca="1">IFERROR(__xludf.DUMMYFUNCTION("""COMPUTED_VALUE"""),"HO")</f>
        <v>HO</v>
      </c>
      <c r="J370" s="46" t="str">
        <f ca="1">IFERROR(__xludf.DUMMYFUNCTION("""COMPUTED_VALUE"""),"SPD")</f>
        <v>SPD</v>
      </c>
      <c r="K370" s="46" t="str">
        <f ca="1">IFERROR(__xludf.DUMMYFUNCTION("""COMPUTED_VALUE"""),"SPD")</f>
        <v>SPD</v>
      </c>
      <c r="L370" s="46" t="str">
        <f ca="1">IFERROR(__xludf.DUMMYFUNCTION("""COMPUTED_VALUE"""),"SER")</f>
        <v>SER</v>
      </c>
      <c r="M370" s="46" t="str">
        <f ca="1">IFERROR(__xludf.DUMMYFUNCTION("""COMPUTED_VALUE"""),"Leave")</f>
        <v>Leave</v>
      </c>
      <c r="N370" s="46" t="str">
        <f ca="1">IFERROR(__xludf.DUMMYFUNCTION("""COMPUTED_VALUE"""),"x")</f>
        <v>x</v>
      </c>
    </row>
    <row r="371" spans="1:14">
      <c r="A371" s="45">
        <f ca="1">IFERROR(__xludf.DUMMYFUNCTION("""COMPUTED_VALUE"""),45139.5833333333)</f>
        <v>45139.583333333299</v>
      </c>
      <c r="B371" s="45">
        <f ca="1">IFERROR(__xludf.DUMMYFUNCTION("""COMPUTED_VALUE"""),45323.625)</f>
        <v>45323.625</v>
      </c>
      <c r="C371" s="46">
        <f ca="1">IFERROR(__xludf.DUMMYFUNCTION("""COMPUTED_VALUE"""),372)</f>
        <v>372</v>
      </c>
      <c r="D371" s="47" t="str">
        <f ca="1">IFERROR(__xludf.DUMMYFUNCTION("""COMPUTED_VALUE"""),"C0119")</f>
        <v>C0119</v>
      </c>
      <c r="E371" s="46" t="str">
        <f ca="1">IFERROR(__xludf.DUMMYFUNCTION("""COMPUTED_VALUE"""),"VƯƠNG BẢO NGỌC")</f>
        <v>VƯƠNG BẢO NGỌC</v>
      </c>
      <c r="F371" s="46" t="str">
        <f ca="1">IFERROR(__xludf.DUMMYFUNCTION("""COMPUTED_VALUE"""),"VUONG BAO NGOC")</f>
        <v>VUONG BAO NGOC</v>
      </c>
      <c r="G371" s="45">
        <f ca="1">IFERROR(__xludf.DUMMYFUNCTION("""COMPUTED_VALUE"""),37285.625)</f>
        <v>37285.625</v>
      </c>
      <c r="H371" s="45" t="str">
        <f ca="1">IFERROR(__xludf.DUMMYFUNCTION("""COMPUTED_VALUE"""),"TLC")</f>
        <v>TLC</v>
      </c>
      <c r="I371" s="46" t="str">
        <f ca="1">IFERROR(__xludf.DUMMYFUNCTION("""COMPUTED_VALUE"""),"HO")</f>
        <v>HO</v>
      </c>
      <c r="J371" s="46" t="str">
        <f ca="1">IFERROR(__xludf.DUMMYFUNCTION("""COMPUTED_VALUE"""),"PUR")</f>
        <v>PUR</v>
      </c>
      <c r="K371" s="46" t="str">
        <f ca="1">IFERROR(__xludf.DUMMYFUNCTION("""COMPUTED_VALUE"""),"PUR")</f>
        <v>PUR</v>
      </c>
      <c r="L371" s="46" t="str">
        <f ca="1">IFERROR(__xludf.DUMMYFUNCTION("""COMPUTED_VALUE"""),"SER")</f>
        <v>SER</v>
      </c>
      <c r="M371" s="46" t="str">
        <f ca="1">IFERROR(__xludf.DUMMYFUNCTION("""COMPUTED_VALUE"""),"Leave")</f>
        <v>Leave</v>
      </c>
      <c r="N371" s="46" t="str">
        <f ca="1">IFERROR(__xludf.DUMMYFUNCTION("""COMPUTED_VALUE"""),"x")</f>
        <v>x</v>
      </c>
    </row>
    <row r="372" spans="1:14">
      <c r="A372" s="45">
        <f ca="1">IFERROR(__xludf.DUMMYFUNCTION("""COMPUTED_VALUE"""),45153.5833333333)</f>
        <v>45153.583333333299</v>
      </c>
      <c r="B372" s="45"/>
      <c r="C372" s="46">
        <f ca="1">IFERROR(__xludf.DUMMYFUNCTION("""COMPUTED_VALUE"""),373)</f>
        <v>373</v>
      </c>
      <c r="D372" s="47" t="str">
        <f ca="1">IFERROR(__xludf.DUMMYFUNCTION("""COMPUTED_VALUE"""),"C0120")</f>
        <v>C0120</v>
      </c>
      <c r="E372" s="46" t="str">
        <f ca="1">IFERROR(__xludf.DUMMYFUNCTION("""COMPUTED_VALUE"""),"TÔ QUANG MINH")</f>
        <v>TÔ QUANG MINH</v>
      </c>
      <c r="F372" s="46" t="str">
        <f ca="1">IFERROR(__xludf.DUMMYFUNCTION("""COMPUTED_VALUE"""),"TO QUANG MINH")</f>
        <v>TO QUANG MINH</v>
      </c>
      <c r="G372" s="45">
        <f ca="1">IFERROR(__xludf.DUMMYFUNCTION("""COMPUTED_VALUE"""),35776.625)</f>
        <v>35776.625</v>
      </c>
      <c r="H372" s="45" t="str">
        <f ca="1">IFERROR(__xludf.DUMMYFUNCTION("""COMPUTED_VALUE"""),"TLC")</f>
        <v>TLC</v>
      </c>
      <c r="I372" s="46" t="str">
        <f ca="1">IFERROR(__xludf.DUMMYFUNCTION("""COMPUTED_VALUE"""),"HO")</f>
        <v>HO</v>
      </c>
      <c r="J372" s="46" t="str">
        <f ca="1">IFERROR(__xludf.DUMMYFUNCTION("""COMPUTED_VALUE"""),"PRO")</f>
        <v>PRO</v>
      </c>
      <c r="K372" s="46" t="str">
        <f ca="1">IFERROR(__xludf.DUMMYFUNCTION("""COMPUTED_VALUE"""),"PRO")</f>
        <v>PRO</v>
      </c>
      <c r="L372" s="46" t="str">
        <f ca="1">IFERROR(__xludf.DUMMYFUNCTION("""COMPUTED_VALUE"""),"FTE")</f>
        <v>FTE</v>
      </c>
      <c r="M372" s="46" t="str">
        <f ca="1">IFERROR(__xludf.DUMMYFUNCTION("""COMPUTED_VALUE"""),"On")</f>
        <v>On</v>
      </c>
      <c r="N372" s="46" t="str">
        <f ca="1">IFERROR(__xludf.DUMMYFUNCTION("""COMPUTED_VALUE"""),"đủ")</f>
        <v>đủ</v>
      </c>
    </row>
    <row r="373" spans="1:14">
      <c r="A373" s="45">
        <f ca="1">IFERROR(__xludf.DUMMYFUNCTION("""COMPUTED_VALUE"""),45152.5833333333)</f>
        <v>45152.583333333299</v>
      </c>
      <c r="B373" s="45"/>
      <c r="C373" s="46">
        <f ca="1">IFERROR(__xludf.DUMMYFUNCTION("""COMPUTED_VALUE"""),374)</f>
        <v>374</v>
      </c>
      <c r="D373" s="47" t="str">
        <f ca="1">IFERROR(__xludf.DUMMYFUNCTION("""COMPUTED_VALUE"""),"C0121")</f>
        <v>C0121</v>
      </c>
      <c r="E373" s="46" t="str">
        <f ca="1">IFERROR(__xludf.DUMMYFUNCTION("""COMPUTED_VALUE"""),"NGUYỄN NGỌC THẢO MINH")</f>
        <v>NGUYỄN NGỌC THẢO MINH</v>
      </c>
      <c r="F373" s="46" t="str">
        <f ca="1">IFERROR(__xludf.DUMMYFUNCTION("""COMPUTED_VALUE"""),"NGUYEN NGOC THAO MINH")</f>
        <v>NGUYEN NGOC THAO MINH</v>
      </c>
      <c r="G373" s="45">
        <f ca="1">IFERROR(__xludf.DUMMYFUNCTION("""COMPUTED_VALUE"""),37251.625)</f>
        <v>37251.625</v>
      </c>
      <c r="H373" s="45" t="str">
        <f ca="1">IFERROR(__xludf.DUMMYFUNCTION("""COMPUTED_VALUE"""),"TLC")</f>
        <v>TLC</v>
      </c>
      <c r="I373" s="46" t="str">
        <f ca="1">IFERROR(__xludf.DUMMYFUNCTION("""COMPUTED_VALUE"""),"HO")</f>
        <v>HO</v>
      </c>
      <c r="J373" s="46" t="str">
        <f ca="1">IFERROR(__xludf.DUMMYFUNCTION("""COMPUTED_VALUE"""),"HRD")</f>
        <v>HRD</v>
      </c>
      <c r="K373" s="46" t="str">
        <f ca="1">IFERROR(__xludf.DUMMYFUNCTION("""COMPUTED_VALUE"""),"HRD")</f>
        <v>HRD</v>
      </c>
      <c r="L373" s="46" t="str">
        <f ca="1">IFERROR(__xludf.DUMMYFUNCTION("""COMPUTED_VALUE"""),"FTE")</f>
        <v>FTE</v>
      </c>
      <c r="M373" s="46" t="str">
        <f ca="1">IFERROR(__xludf.DUMMYFUNCTION("""COMPUTED_VALUE"""),"On")</f>
        <v>On</v>
      </c>
      <c r="N373" s="46" t="str">
        <f ca="1">IFERROR(__xludf.DUMMYFUNCTION("""COMPUTED_VALUE"""),"đủ")</f>
        <v>đủ</v>
      </c>
    </row>
    <row r="374" spans="1:14">
      <c r="A374" s="45">
        <f ca="1">IFERROR(__xludf.DUMMYFUNCTION("""COMPUTED_VALUE"""),45139.5833333333)</f>
        <v>45139.583333333299</v>
      </c>
      <c r="B374" s="45"/>
      <c r="C374" s="46">
        <f ca="1">IFERROR(__xludf.DUMMYFUNCTION("""COMPUTED_VALUE"""),375)</f>
        <v>375</v>
      </c>
      <c r="D374" s="47" t="str">
        <f ca="1">IFERROR(__xludf.DUMMYFUNCTION("""COMPUTED_VALUE"""),"C0122")</f>
        <v>C0122</v>
      </c>
      <c r="E374" s="46" t="str">
        <f ca="1">IFERROR(__xludf.DUMMYFUNCTION("""COMPUTED_VALUE"""),"HỒ THIÊN BẢO")</f>
        <v>HỒ THIÊN BẢO</v>
      </c>
      <c r="F374" s="46" t="str">
        <f ca="1">IFERROR(__xludf.DUMMYFUNCTION("""COMPUTED_VALUE"""),"HO THIEN BAO")</f>
        <v>HO THIEN BAO</v>
      </c>
      <c r="G374" s="45">
        <f ca="1">IFERROR(__xludf.DUMMYFUNCTION("""COMPUTED_VALUE"""),29860.5833333333)</f>
        <v>29860.583333333299</v>
      </c>
      <c r="H374" s="45" t="str">
        <f ca="1">IFERROR(__xludf.DUMMYFUNCTION("""COMPUTED_VALUE"""),"TLC")</f>
        <v>TLC</v>
      </c>
      <c r="I374" s="46" t="str">
        <f ca="1">IFERROR(__xludf.DUMMYFUNCTION("""COMPUTED_VALUE"""),"HO")</f>
        <v>HO</v>
      </c>
      <c r="J374" s="46" t="str">
        <f ca="1">IFERROR(__xludf.DUMMYFUNCTION("""COMPUTED_VALUE"""),"HRD")</f>
        <v>HRD</v>
      </c>
      <c r="K374" s="46" t="str">
        <f ca="1">IFERROR(__xludf.DUMMYFUNCTION("""COMPUTED_VALUE"""),"HRD")</f>
        <v>HRD</v>
      </c>
      <c r="L374" s="46" t="str">
        <f ca="1">IFERROR(__xludf.DUMMYFUNCTION("""COMPUTED_VALUE"""),"FTE")</f>
        <v>FTE</v>
      </c>
      <c r="M374" s="46" t="str">
        <f ca="1">IFERROR(__xludf.DUMMYFUNCTION("""COMPUTED_VALUE"""),"On")</f>
        <v>On</v>
      </c>
      <c r="N374" s="46" t="str">
        <f ca="1">IFERROR(__xludf.DUMMYFUNCTION("""COMPUTED_VALUE"""),"đủ")</f>
        <v>đủ</v>
      </c>
    </row>
    <row r="375" spans="1:14">
      <c r="A375" s="45">
        <f ca="1">IFERROR(__xludf.DUMMYFUNCTION("""COMPUTED_VALUE"""),45149.5833333333)</f>
        <v>45149.583333333299</v>
      </c>
      <c r="B375" s="45" t="str">
        <f ca="1">IFERROR(__xludf.DUMMYFUNCTION("""COMPUTED_VALUE"""),"Đã nghỉ")</f>
        <v>Đã nghỉ</v>
      </c>
      <c r="C375" s="46">
        <f ca="1">IFERROR(__xludf.DUMMYFUNCTION("""COMPUTED_VALUE"""),376)</f>
        <v>376</v>
      </c>
      <c r="D375" s="47" t="str">
        <f ca="1">IFERROR(__xludf.DUMMYFUNCTION("""COMPUTED_VALUE"""),"C0123")</f>
        <v>C0123</v>
      </c>
      <c r="E375" s="46" t="str">
        <f ca="1">IFERROR(__xludf.DUMMYFUNCTION("""COMPUTED_VALUE"""),"PHAN QUỐC CƯỜNG")</f>
        <v>PHAN QUỐC CƯỜNG</v>
      </c>
      <c r="F375" s="46" t="str">
        <f ca="1">IFERROR(__xludf.DUMMYFUNCTION("""COMPUTED_VALUE"""),"PHAN QUOC CUONG")</f>
        <v>PHAN QUOC CUONG</v>
      </c>
      <c r="G375" s="45">
        <f ca="1">IFERROR(__xludf.DUMMYFUNCTION("""COMPUTED_VALUE"""),36218.625)</f>
        <v>36218.625</v>
      </c>
      <c r="H375" s="45" t="str">
        <f ca="1">IFERROR(__xludf.DUMMYFUNCTION("""COMPUTED_VALUE"""),"SHADOW")</f>
        <v>SHADOW</v>
      </c>
      <c r="I375" s="46" t="str">
        <f ca="1">IFERROR(__xludf.DUMMYFUNCTION("""COMPUTED_VALUE"""),"STORE")</f>
        <v>STORE</v>
      </c>
      <c r="J375" s="46" t="str">
        <f ca="1">IFERROR(__xludf.DUMMYFUNCTION("""COMPUTED_VALUE"""),"BAKES PASTEUR")</f>
        <v>BAKES PASTEUR</v>
      </c>
      <c r="K375" s="46" t="str">
        <f ca="1">IFERROR(__xludf.DUMMYFUNCTION("""COMPUTED_VALUE"""),"KIT")</f>
        <v>KIT</v>
      </c>
      <c r="L375" s="46" t="str">
        <f ca="1">IFERROR(__xludf.DUMMYFUNCTION("""COMPUTED_VALUE"""),"PRO")</f>
        <v>PRO</v>
      </c>
      <c r="M375" s="46" t="str">
        <f ca="1">IFERROR(__xludf.DUMMYFUNCTION("""COMPUTED_VALUE"""),"Leave")</f>
        <v>Leave</v>
      </c>
      <c r="N375" s="46" t="str">
        <f ca="1">IFERROR(__xludf.DUMMYFUNCTION("""COMPUTED_VALUE"""),"x")</f>
        <v>x</v>
      </c>
    </row>
    <row r="376" spans="1:14">
      <c r="A376" s="45">
        <f ca="1">IFERROR(__xludf.DUMMYFUNCTION("""COMPUTED_VALUE"""),45161.5833333333)</f>
        <v>45161.583333333299</v>
      </c>
      <c r="B376" s="45">
        <f ca="1">IFERROR(__xludf.DUMMYFUNCTION("""COMPUTED_VALUE"""),45272.625)</f>
        <v>45272.625</v>
      </c>
      <c r="C376" s="46">
        <f ca="1">IFERROR(__xludf.DUMMYFUNCTION("""COMPUTED_VALUE"""),377)</f>
        <v>377</v>
      </c>
      <c r="D376" s="47" t="str">
        <f ca="1">IFERROR(__xludf.DUMMYFUNCTION("""COMPUTED_VALUE"""),"C0124")</f>
        <v>C0124</v>
      </c>
      <c r="E376" s="46" t="str">
        <f ca="1">IFERROR(__xludf.DUMMYFUNCTION("""COMPUTED_VALUE"""),"NGUYỄN QUANG DUY")</f>
        <v>NGUYỄN QUANG DUY</v>
      </c>
      <c r="F376" s="46" t="str">
        <f ca="1">IFERROR(__xludf.DUMMYFUNCTION("""COMPUTED_VALUE"""),"NGUYEN QUANG DUY")</f>
        <v>NGUYEN QUANG DUY</v>
      </c>
      <c r="G376" s="45">
        <f ca="1">IFERROR(__xludf.DUMMYFUNCTION("""COMPUTED_VALUE"""),37425.5833333333)</f>
        <v>37425.583333333299</v>
      </c>
      <c r="H376" s="45" t="str">
        <f ca="1">IFERROR(__xludf.DUMMYFUNCTION("""COMPUTED_VALUE"""),"SHADOW")</f>
        <v>SHADOW</v>
      </c>
      <c r="I376" s="46" t="str">
        <f ca="1">IFERROR(__xludf.DUMMYFUNCTION("""COMPUTED_VALUE"""),"STORE")</f>
        <v>STORE</v>
      </c>
      <c r="J376" s="46" t="str">
        <f ca="1">IFERROR(__xludf.DUMMYFUNCTION("""COMPUTED_VALUE"""),"BAKES PASTEUR")</f>
        <v>BAKES PASTEUR</v>
      </c>
      <c r="K376" s="46" t="str">
        <f ca="1">IFERROR(__xludf.DUMMYFUNCTION("""COMPUTED_VALUE"""),"STR")</f>
        <v>STR</v>
      </c>
      <c r="L376" s="46" t="str">
        <f ca="1">IFERROR(__xludf.DUMMYFUNCTION("""COMPUTED_VALUE"""),"PTE")</f>
        <v>PTE</v>
      </c>
      <c r="M376" s="46" t="str">
        <f ca="1">IFERROR(__xludf.DUMMYFUNCTION("""COMPUTED_VALUE"""),"Leave")</f>
        <v>Leave</v>
      </c>
      <c r="N376" s="46" t="str">
        <f ca="1">IFERROR(__xludf.DUMMYFUNCTION("""COMPUTED_VALUE"""),"x")</f>
        <v>x</v>
      </c>
    </row>
    <row r="377" spans="1:14">
      <c r="A377" s="45">
        <f ca="1">IFERROR(__xludf.DUMMYFUNCTION("""COMPUTED_VALUE"""),45166.5833333333)</f>
        <v>45166.583333333299</v>
      </c>
      <c r="B377" s="45">
        <f ca="1">IFERROR(__xludf.DUMMYFUNCTION("""COMPUTED_VALUE"""),45388.5833333333)</f>
        <v>45388.583333333299</v>
      </c>
      <c r="C377" s="46">
        <f ca="1">IFERROR(__xludf.DUMMYFUNCTION("""COMPUTED_VALUE"""),378)</f>
        <v>378</v>
      </c>
      <c r="D377" s="47" t="str">
        <f ca="1">IFERROR(__xludf.DUMMYFUNCTION("""COMPUTED_VALUE"""),"C0125")</f>
        <v>C0125</v>
      </c>
      <c r="E377" s="46" t="str">
        <f ca="1">IFERROR(__xludf.DUMMYFUNCTION("""COMPUTED_VALUE"""),"NGUYỄN THANH TÂM")</f>
        <v>NGUYỄN THANH TÂM</v>
      </c>
      <c r="F377" s="46" t="str">
        <f ca="1">IFERROR(__xludf.DUMMYFUNCTION("""COMPUTED_VALUE"""),"NGUYEN THANH TAM")</f>
        <v>NGUYEN THANH TAM</v>
      </c>
      <c r="G377" s="45">
        <f ca="1">IFERROR(__xludf.DUMMYFUNCTION("""COMPUTED_VALUE"""),37187.5833333333)</f>
        <v>37187.583333333299</v>
      </c>
      <c r="H377" s="45" t="str">
        <f ca="1">IFERROR(__xludf.DUMMYFUNCTION("""COMPUTED_VALUE"""),"SHADOW")</f>
        <v>SHADOW</v>
      </c>
      <c r="I377" s="46" t="str">
        <f ca="1">IFERROR(__xludf.DUMMYFUNCTION("""COMPUTED_VALUE"""),"STORE")</f>
        <v>STORE</v>
      </c>
      <c r="J377" s="46" t="str">
        <f ca="1">IFERROR(__xludf.DUMMYFUNCTION("""COMPUTED_VALUE"""),"BAKES PASTEUR")</f>
        <v>BAKES PASTEUR</v>
      </c>
      <c r="K377" s="46" t="str">
        <f ca="1">IFERROR(__xludf.DUMMYFUNCTION("""COMPUTED_VALUE"""),"STR")</f>
        <v>STR</v>
      </c>
      <c r="L377" s="46" t="str">
        <f ca="1">IFERROR(__xludf.DUMMYFUNCTION("""COMPUTED_VALUE"""),"PTE")</f>
        <v>PTE</v>
      </c>
      <c r="M377" s="46" t="str">
        <f ca="1">IFERROR(__xludf.DUMMYFUNCTION("""COMPUTED_VALUE"""),"Leave")</f>
        <v>Leave</v>
      </c>
      <c r="N377" s="46" t="str">
        <f ca="1">IFERROR(__xludf.DUMMYFUNCTION("""COMPUTED_VALUE"""),"x")</f>
        <v>x</v>
      </c>
    </row>
    <row r="378" spans="1:14">
      <c r="A378" s="45">
        <f ca="1">IFERROR(__xludf.DUMMYFUNCTION("""COMPUTED_VALUE"""),45201.5833333333)</f>
        <v>45201.583333333299</v>
      </c>
      <c r="B378" s="45">
        <f ca="1">IFERROR(__xludf.DUMMYFUNCTION("""COMPUTED_VALUE"""),45502.5833333333)</f>
        <v>45502.583333333299</v>
      </c>
      <c r="C378" s="46">
        <f ca="1">IFERROR(__xludf.DUMMYFUNCTION("""COMPUTED_VALUE"""),379)</f>
        <v>379</v>
      </c>
      <c r="D378" s="47" t="str">
        <f ca="1">IFERROR(__xludf.DUMMYFUNCTION("""COMPUTED_VALUE"""),"C0126")</f>
        <v>C0126</v>
      </c>
      <c r="E378" s="46" t="str">
        <f ca="1">IFERROR(__xludf.DUMMYFUNCTION("""COMPUTED_VALUE"""),"VŨ THỊ BÍCH VÂN")</f>
        <v>VŨ THỊ BÍCH VÂN</v>
      </c>
      <c r="F378" s="46" t="str">
        <f ca="1">IFERROR(__xludf.DUMMYFUNCTION("""COMPUTED_VALUE"""),"VU THI BICH VAN")</f>
        <v>VU THI BICH VAN</v>
      </c>
      <c r="G378" s="45">
        <f ca="1">IFERROR(__xludf.DUMMYFUNCTION("""COMPUTED_VALUE"""),34865.5833333333)</f>
        <v>34865.583333333299</v>
      </c>
      <c r="H378" s="45" t="str">
        <f ca="1">IFERROR(__xludf.DUMMYFUNCTION("""COMPUTED_VALUE"""),"KITCHEN PASTRY")</f>
        <v>KITCHEN PASTRY</v>
      </c>
      <c r="I378" s="46" t="str">
        <f ca="1">IFERROR(__xludf.DUMMYFUNCTION("""COMPUTED_VALUE"""),"KITCHEN PASTRY")</f>
        <v>KITCHEN PASTRY</v>
      </c>
      <c r="J378" s="46" t="str">
        <f ca="1">IFERROR(__xludf.DUMMYFUNCTION("""COMPUTED_VALUE"""),"KITCHEN PASTRY")</f>
        <v>KITCHEN PASTRY</v>
      </c>
      <c r="K378" s="46" t="str">
        <f ca="1">IFERROR(__xludf.DUMMYFUNCTION("""COMPUTED_VALUE"""),"KIT")</f>
        <v>KIT</v>
      </c>
      <c r="L378" s="46" t="str">
        <f ca="1">IFERROR(__xludf.DUMMYFUNCTION("""COMPUTED_VALUE"""),"PTE")</f>
        <v>PTE</v>
      </c>
      <c r="M378" s="46" t="str">
        <f ca="1">IFERROR(__xludf.DUMMYFUNCTION("""COMPUTED_VALUE"""),"Leave")</f>
        <v>Leave</v>
      </c>
      <c r="N378" s="46" t="str">
        <f ca="1">IFERROR(__xludf.DUMMYFUNCTION("""COMPUTED_VALUE"""),"x")</f>
        <v>x</v>
      </c>
    </row>
    <row r="379" spans="1:14">
      <c r="A379" s="45">
        <f ca="1">IFERROR(__xludf.DUMMYFUNCTION("""COMPUTED_VALUE"""),45160.5833333333)</f>
        <v>45160.583333333299</v>
      </c>
      <c r="B379" s="45" t="str">
        <f ca="1">IFERROR(__xludf.DUMMYFUNCTION("""COMPUTED_VALUE"""),"Đã nghỉ")</f>
        <v>Đã nghỉ</v>
      </c>
      <c r="C379" s="46">
        <f ca="1">IFERROR(__xludf.DUMMYFUNCTION("""COMPUTED_VALUE"""),380)</f>
        <v>380</v>
      </c>
      <c r="D379" s="47" t="str">
        <f ca="1">IFERROR(__xludf.DUMMYFUNCTION("""COMPUTED_VALUE"""),"C0127")</f>
        <v>C0127</v>
      </c>
      <c r="E379" s="46" t="str">
        <f ca="1">IFERROR(__xludf.DUMMYFUNCTION("""COMPUTED_VALUE"""),"HÀ THỊ MAI PHƯƠNG")</f>
        <v>HÀ THỊ MAI PHƯƠNG</v>
      </c>
      <c r="F379" s="46" t="str">
        <f ca="1">IFERROR(__xludf.DUMMYFUNCTION("""COMPUTED_VALUE"""),"HA THI MAI PHUONG")</f>
        <v>HA THI MAI PHUONG</v>
      </c>
      <c r="G379" s="45">
        <f ca="1">IFERROR(__xludf.DUMMYFUNCTION("""COMPUTED_VALUE"""),37575.625)</f>
        <v>37575.625</v>
      </c>
      <c r="H379" s="45" t="str">
        <f ca="1">IFERROR(__xludf.DUMMYFUNCTION("""COMPUTED_VALUE"""),"MOONCAKE")</f>
        <v>MOONCAKE</v>
      </c>
      <c r="I379" s="46" t="str">
        <f ca="1">IFERROR(__xludf.DUMMYFUNCTION("""COMPUTED_VALUE"""),"STORE")</f>
        <v>STORE</v>
      </c>
      <c r="J379" s="46" t="str">
        <f ca="1">IFERROR(__xludf.DUMMYFUNCTION("""COMPUTED_VALUE"""),"BAKES D2")</f>
        <v>BAKES D2</v>
      </c>
      <c r="K379" s="46" t="str">
        <f ca="1">IFERROR(__xludf.DUMMYFUNCTION("""COMPUTED_VALUE"""),"STR")</f>
        <v>STR</v>
      </c>
      <c r="L379" s="46" t="str">
        <f ca="1">IFERROR(__xludf.DUMMYFUNCTION("""COMPUTED_VALUE"""),"PTE")</f>
        <v>PTE</v>
      </c>
      <c r="M379" s="46" t="str">
        <f ca="1">IFERROR(__xludf.DUMMYFUNCTION("""COMPUTED_VALUE"""),"Leave")</f>
        <v>Leave</v>
      </c>
      <c r="N379" s="46" t="str">
        <f ca="1">IFERROR(__xludf.DUMMYFUNCTION("""COMPUTED_VALUE"""),"x")</f>
        <v>x</v>
      </c>
    </row>
    <row r="380" spans="1:14">
      <c r="A380" s="45">
        <f ca="1">IFERROR(__xludf.DUMMYFUNCTION("""COMPUTED_VALUE"""),45139.5833333333)</f>
        <v>45139.583333333299</v>
      </c>
      <c r="B380" s="45" t="str">
        <f ca="1">IFERROR(__xludf.DUMMYFUNCTION("""COMPUTED_VALUE"""),"Đã nghỉ")</f>
        <v>Đã nghỉ</v>
      </c>
      <c r="C380" s="46">
        <f ca="1">IFERROR(__xludf.DUMMYFUNCTION("""COMPUTED_VALUE"""),381)</f>
        <v>381</v>
      </c>
      <c r="D380" s="47" t="str">
        <f ca="1">IFERROR(__xludf.DUMMYFUNCTION("""COMPUTED_VALUE"""),"C0128")</f>
        <v>C0128</v>
      </c>
      <c r="E380" s="46" t="str">
        <f ca="1">IFERROR(__xludf.DUMMYFUNCTION("""COMPUTED_VALUE"""),"LÂM TRÚC ĐOAN")</f>
        <v>LÂM TRÚC ĐOAN</v>
      </c>
      <c r="F380" s="46" t="str">
        <f ca="1">IFERROR(__xludf.DUMMYFUNCTION("""COMPUTED_VALUE"""),"LAM TRUC DOAN")</f>
        <v>LAM TRUC DOAN</v>
      </c>
      <c r="G380" s="45">
        <f ca="1">IFERROR(__xludf.DUMMYFUNCTION("""COMPUTED_VALUE"""),37754.5833333333)</f>
        <v>37754.583333333299</v>
      </c>
      <c r="H380" s="45" t="str">
        <f ca="1">IFERROR(__xludf.DUMMYFUNCTION("""COMPUTED_VALUE"""),"BAKES")</f>
        <v>BAKES</v>
      </c>
      <c r="I380" s="46" t="str">
        <f ca="1">IFERROR(__xludf.DUMMYFUNCTION("""COMPUTED_VALUE"""),"STORE")</f>
        <v>STORE</v>
      </c>
      <c r="J380" s="46" t="str">
        <f ca="1">IFERROR(__xludf.DUMMYFUNCTION("""COMPUTED_VALUE"""),"BAKES D2")</f>
        <v>BAKES D2</v>
      </c>
      <c r="K380" s="46" t="str">
        <f ca="1">IFERROR(__xludf.DUMMYFUNCTION("""COMPUTED_VALUE"""),"STR")</f>
        <v>STR</v>
      </c>
      <c r="L380" s="46" t="str">
        <f ca="1">IFERROR(__xludf.DUMMYFUNCTION("""COMPUTED_VALUE"""),"PTE")</f>
        <v>PTE</v>
      </c>
      <c r="M380" s="46" t="str">
        <f ca="1">IFERROR(__xludf.DUMMYFUNCTION("""COMPUTED_VALUE"""),"Leave")</f>
        <v>Leave</v>
      </c>
      <c r="N380" s="46" t="str">
        <f ca="1">IFERROR(__xludf.DUMMYFUNCTION("""COMPUTED_VALUE"""),"x")</f>
        <v>x</v>
      </c>
    </row>
    <row r="381" spans="1:14">
      <c r="A381" s="45">
        <f ca="1">IFERROR(__xludf.DUMMYFUNCTION("""COMPUTED_VALUE"""),45647.625)</f>
        <v>45647.625</v>
      </c>
      <c r="B381" s="45">
        <f ca="1">IFERROR(__xludf.DUMMYFUNCTION("""COMPUTED_VALUE"""),45649.625)</f>
        <v>45649.625</v>
      </c>
      <c r="C381" s="46">
        <f ca="1">IFERROR(__xludf.DUMMYFUNCTION("""COMPUTED_VALUE"""),382)</f>
        <v>382</v>
      </c>
      <c r="D381" s="47" t="str">
        <f ca="1">IFERROR(__xludf.DUMMYFUNCTION("""COMPUTED_VALUE"""),"C0129")</f>
        <v>C0129</v>
      </c>
      <c r="E381" s="46" t="str">
        <f ca="1">IFERROR(__xludf.DUMMYFUNCTION("""COMPUTED_VALUE"""),"LỮ THỊ NGỌC HÂN")</f>
        <v>LỮ THỊ NGỌC HÂN</v>
      </c>
      <c r="F381" s="46" t="str">
        <f ca="1">IFERROR(__xludf.DUMMYFUNCTION("""COMPUTED_VALUE"""),"LU THI NGOC HAN")</f>
        <v>LU THI NGOC HAN</v>
      </c>
      <c r="G381" s="45">
        <f ca="1">IFERROR(__xludf.DUMMYFUNCTION("""COMPUTED_VALUE"""),37038.5833333333)</f>
        <v>37038.583333333299</v>
      </c>
      <c r="H381" s="45" t="str">
        <f ca="1">IFERROR(__xludf.DUMMYFUNCTION("""COMPUTED_VALUE"""),"YESHI")</f>
        <v>YESHI</v>
      </c>
      <c r="I381" s="46" t="str">
        <f ca="1">IFERROR(__xludf.DUMMYFUNCTION("""COMPUTED_VALUE"""),"STORE")</f>
        <v>STORE</v>
      </c>
      <c r="J381" s="46" t="str">
        <f ca="1">IFERROR(__xludf.DUMMYFUNCTION("""COMPUTED_VALUE"""),"YESHI D2")</f>
        <v>YESHI D2</v>
      </c>
      <c r="K381" s="46" t="str">
        <f ca="1">IFERROR(__xludf.DUMMYFUNCTION("""COMPUTED_VALUE"""),"WAITSTAFF")</f>
        <v>WAITSTAFF</v>
      </c>
      <c r="L381" s="46" t="str">
        <f ca="1">IFERROR(__xludf.DUMMYFUNCTION("""COMPUTED_VALUE"""),"PTE")</f>
        <v>PTE</v>
      </c>
      <c r="M381" s="46" t="str">
        <f ca="1">IFERROR(__xludf.DUMMYFUNCTION("""COMPUTED_VALUE"""),"Leave")</f>
        <v>Leave</v>
      </c>
      <c r="N381" s="46" t="str">
        <f ca="1">IFERROR(__xludf.DUMMYFUNCTION("""COMPUTED_VALUE"""),"CCCD công chứng")</f>
        <v>CCCD công chứng</v>
      </c>
    </row>
    <row r="382" spans="1:14">
      <c r="A382" s="45">
        <f ca="1">IFERROR(__xludf.DUMMYFUNCTION("""COMPUTED_VALUE"""),45499.5833333333)</f>
        <v>45499.583333333299</v>
      </c>
      <c r="B382" s="45">
        <f ca="1">IFERROR(__xludf.DUMMYFUNCTION("""COMPUTED_VALUE"""),45555.5833333333)</f>
        <v>45555.583333333299</v>
      </c>
      <c r="C382" s="46">
        <f ca="1">IFERROR(__xludf.DUMMYFUNCTION("""COMPUTED_VALUE"""),383)</f>
        <v>383</v>
      </c>
      <c r="D382" s="47" t="str">
        <f ca="1">IFERROR(__xludf.DUMMYFUNCTION("""COMPUTED_VALUE"""),"C0130")</f>
        <v>C0130</v>
      </c>
      <c r="E382" s="46" t="str">
        <f ca="1">IFERROR(__xludf.DUMMYFUNCTION("""COMPUTED_VALUE"""),"NGUYỄN TIẾN LỢI")</f>
        <v>NGUYỄN TIẾN LỢI</v>
      </c>
      <c r="F382" s="46" t="str">
        <f ca="1">IFERROR(__xludf.DUMMYFUNCTION("""COMPUTED_VALUE"""),"NGUYEN TIEN LOI")</f>
        <v>NGUYEN TIEN LOI</v>
      </c>
      <c r="G382" s="45">
        <f ca="1">IFERROR(__xludf.DUMMYFUNCTION("""COMPUTED_VALUE"""),38041.625)</f>
        <v>38041.625</v>
      </c>
      <c r="H382" s="45" t="str">
        <f ca="1">IFERROR(__xludf.DUMMYFUNCTION("""COMPUTED_VALUE"""),"MOONCAKE")</f>
        <v>MOONCAKE</v>
      </c>
      <c r="I382" s="46" t="str">
        <f ca="1">IFERROR(__xludf.DUMMYFUNCTION("""COMPUTED_VALUE"""),"STORE")</f>
        <v>STORE</v>
      </c>
      <c r="J382" s="46" t="str">
        <f ca="1">IFERROR(__xludf.DUMMYFUNCTION("""COMPUTED_VALUE"""),"BAKES D2")</f>
        <v>BAKES D2</v>
      </c>
      <c r="K382" s="46" t="str">
        <f ca="1">IFERROR(__xludf.DUMMYFUNCTION("""COMPUTED_VALUE"""),"PACKAGING")</f>
        <v>PACKAGING</v>
      </c>
      <c r="L382" s="46" t="str">
        <f ca="1">IFERROR(__xludf.DUMMYFUNCTION("""COMPUTED_VALUE"""),"PTE")</f>
        <v>PTE</v>
      </c>
      <c r="M382" s="46" t="str">
        <f ca="1">IFERROR(__xludf.DUMMYFUNCTION("""COMPUTED_VALUE"""),"Leave")</f>
        <v>Leave</v>
      </c>
      <c r="N382" s="46" t="str">
        <f ca="1">IFERROR(__xludf.DUMMYFUNCTION("""COMPUTED_VALUE"""),"x")</f>
        <v>x</v>
      </c>
    </row>
    <row r="383" spans="1:14">
      <c r="A383" s="45">
        <f ca="1">IFERROR(__xludf.DUMMYFUNCTION("""COMPUTED_VALUE"""),45152.5833333333)</f>
        <v>45152.583333333299</v>
      </c>
      <c r="B383" s="45">
        <f ca="1">IFERROR(__xludf.DUMMYFUNCTION("""COMPUTED_VALUE"""),45383.5833333333)</f>
        <v>45383.583333333299</v>
      </c>
      <c r="C383" s="46">
        <f ca="1">IFERROR(__xludf.DUMMYFUNCTION("""COMPUTED_VALUE"""),384)</f>
        <v>384</v>
      </c>
      <c r="D383" s="47" t="str">
        <f ca="1">IFERROR(__xludf.DUMMYFUNCTION("""COMPUTED_VALUE"""),"C0132")</f>
        <v>C0132</v>
      </c>
      <c r="E383" s="46" t="str">
        <f ca="1">IFERROR(__xludf.DUMMYFUNCTION("""COMPUTED_VALUE"""),"PHẠM NHƯ THUẦN")</f>
        <v>PHẠM NHƯ THUẦN</v>
      </c>
      <c r="F383" s="46" t="str">
        <f ca="1">IFERROR(__xludf.DUMMYFUNCTION("""COMPUTED_VALUE"""),"PHAM NHU THUAN")</f>
        <v>PHAM NHU THUAN</v>
      </c>
      <c r="G383" s="45">
        <f ca="1">IFERROR(__xludf.DUMMYFUNCTION("""COMPUTED_VALUE"""),36911.625)</f>
        <v>36911.625</v>
      </c>
      <c r="H383" s="45" t="str">
        <f ca="1">IFERROR(__xludf.DUMMYFUNCTION("""COMPUTED_VALUE"""),"KITCHEN PASTRY")</f>
        <v>KITCHEN PASTRY</v>
      </c>
      <c r="I383" s="46" t="str">
        <f ca="1">IFERROR(__xludf.DUMMYFUNCTION("""COMPUTED_VALUE"""),"KITCHEN PASTRY")</f>
        <v>KITCHEN PASTRY</v>
      </c>
      <c r="J383" s="46" t="str">
        <f ca="1">IFERROR(__xludf.DUMMYFUNCTION("""COMPUTED_VALUE"""),"KITCHEN PASTRY")</f>
        <v>KITCHEN PASTRY</v>
      </c>
      <c r="K383" s="46" t="str">
        <f ca="1">IFERROR(__xludf.DUMMYFUNCTION("""COMPUTED_VALUE"""),"KIT")</f>
        <v>KIT</v>
      </c>
      <c r="L383" s="46" t="str">
        <f ca="1">IFERROR(__xludf.DUMMYFUNCTION("""COMPUTED_VALUE"""),"PTE")</f>
        <v>PTE</v>
      </c>
      <c r="M383" s="46" t="str">
        <f ca="1">IFERROR(__xludf.DUMMYFUNCTION("""COMPUTED_VALUE"""),"Leave")</f>
        <v>Leave</v>
      </c>
      <c r="N383" s="46" t="str">
        <f ca="1">IFERROR(__xludf.DUMMYFUNCTION("""COMPUTED_VALUE"""),"x")</f>
        <v>x</v>
      </c>
    </row>
    <row r="384" spans="1:14">
      <c r="A384" s="45">
        <f ca="1">IFERROR(__xludf.DUMMYFUNCTION("""COMPUTED_VALUE"""),45139.5833333333)</f>
        <v>45139.583333333299</v>
      </c>
      <c r="B384" s="45" t="str">
        <f ca="1">IFERROR(__xludf.DUMMYFUNCTION("""COMPUTED_VALUE"""),"Đã nghỉ")</f>
        <v>Đã nghỉ</v>
      </c>
      <c r="C384" s="46">
        <f ca="1">IFERROR(__xludf.DUMMYFUNCTION("""COMPUTED_VALUE"""),385)</f>
        <v>385</v>
      </c>
      <c r="D384" s="47" t="str">
        <f ca="1">IFERROR(__xludf.DUMMYFUNCTION("""COMPUTED_VALUE"""),"C0134")</f>
        <v>C0134</v>
      </c>
      <c r="E384" s="46" t="str">
        <f ca="1">IFERROR(__xludf.DUMMYFUNCTION("""COMPUTED_VALUE"""),"TRƯƠNG MINH TÂM")</f>
        <v>TRƯƠNG MINH TÂM</v>
      </c>
      <c r="F384" s="46" t="str">
        <f ca="1">IFERROR(__xludf.DUMMYFUNCTION("""COMPUTED_VALUE"""),"TRUONG MINH TAM")</f>
        <v>TRUONG MINH TAM</v>
      </c>
      <c r="G384" s="45">
        <f ca="1">IFERROR(__xludf.DUMMYFUNCTION("""COMPUTED_VALUE"""),37759.5833333333)</f>
        <v>37759.583333333299</v>
      </c>
      <c r="H384" s="45" t="str">
        <f ca="1">IFERROR(__xludf.DUMMYFUNCTION("""COMPUTED_VALUE"""),"MOONCAKE")</f>
        <v>MOONCAKE</v>
      </c>
      <c r="I384" s="46" t="str">
        <f ca="1">IFERROR(__xludf.DUMMYFUNCTION("""COMPUTED_VALUE"""),"STORE")</f>
        <v>STORE</v>
      </c>
      <c r="J384" s="46" t="str">
        <f ca="1">IFERROR(__xludf.DUMMYFUNCTION("""COMPUTED_VALUE"""),"BAKES D2")</f>
        <v>BAKES D2</v>
      </c>
      <c r="K384" s="46" t="str">
        <f ca="1">IFERROR(__xludf.DUMMYFUNCTION("""COMPUTED_VALUE"""),"STR")</f>
        <v>STR</v>
      </c>
      <c r="L384" s="46" t="str">
        <f ca="1">IFERROR(__xludf.DUMMYFUNCTION("""COMPUTED_VALUE"""),"PTE")</f>
        <v>PTE</v>
      </c>
      <c r="M384" s="46" t="str">
        <f ca="1">IFERROR(__xludf.DUMMYFUNCTION("""COMPUTED_VALUE"""),"Leave")</f>
        <v>Leave</v>
      </c>
      <c r="N384" s="46" t="str">
        <f ca="1">IFERROR(__xludf.DUMMYFUNCTION("""COMPUTED_VALUE"""),"x")</f>
        <v>x</v>
      </c>
    </row>
    <row r="385" spans="1:14">
      <c r="A385" s="45">
        <f ca="1">IFERROR(__xludf.DUMMYFUNCTION("""COMPUTED_VALUE"""),45499.5833333333)</f>
        <v>45499.583333333299</v>
      </c>
      <c r="B385" s="45">
        <f ca="1">IFERROR(__xludf.DUMMYFUNCTION("""COMPUTED_VALUE"""),45555.5833333333)</f>
        <v>45555.583333333299</v>
      </c>
      <c r="C385" s="46">
        <f ca="1">IFERROR(__xludf.DUMMYFUNCTION("""COMPUTED_VALUE"""),386)</f>
        <v>386</v>
      </c>
      <c r="D385" s="47" t="str">
        <f ca="1">IFERROR(__xludf.DUMMYFUNCTION("""COMPUTED_VALUE"""),"C0137")</f>
        <v>C0137</v>
      </c>
      <c r="E385" s="46" t="str">
        <f ca="1">IFERROR(__xludf.DUMMYFUNCTION("""COMPUTED_VALUE"""),"ĐỖ UYÊN MINH")</f>
        <v>ĐỖ UYÊN MINH</v>
      </c>
      <c r="F385" s="46" t="str">
        <f ca="1">IFERROR(__xludf.DUMMYFUNCTION("""COMPUTED_VALUE"""),"DO UYEN MINH")</f>
        <v>DO UYEN MINH</v>
      </c>
      <c r="G385" s="45">
        <f ca="1">IFERROR(__xludf.DUMMYFUNCTION("""COMPUTED_VALUE"""),38025.625)</f>
        <v>38025.625</v>
      </c>
      <c r="H385" s="45" t="str">
        <f ca="1">IFERROR(__xludf.DUMMYFUNCTION("""COMPUTED_VALUE"""),"MOONCAKE")</f>
        <v>MOONCAKE</v>
      </c>
      <c r="I385" s="46" t="str">
        <f ca="1">IFERROR(__xludf.DUMMYFUNCTION("""COMPUTED_VALUE"""),"STORE")</f>
        <v>STORE</v>
      </c>
      <c r="J385" s="46" t="str">
        <f ca="1">IFERROR(__xludf.DUMMYFUNCTION("""COMPUTED_VALUE"""),"BAKES D2")</f>
        <v>BAKES D2</v>
      </c>
      <c r="K385" s="46" t="str">
        <f ca="1">IFERROR(__xludf.DUMMYFUNCTION("""COMPUTED_VALUE"""),"PACKAGING")</f>
        <v>PACKAGING</v>
      </c>
      <c r="L385" s="46" t="str">
        <f ca="1">IFERROR(__xludf.DUMMYFUNCTION("""COMPUTED_VALUE"""),"PTE")</f>
        <v>PTE</v>
      </c>
      <c r="M385" s="46" t="str">
        <f ca="1">IFERROR(__xludf.DUMMYFUNCTION("""COMPUTED_VALUE"""),"Leave")</f>
        <v>Leave</v>
      </c>
      <c r="N385" s="46" t="str">
        <f ca="1">IFERROR(__xludf.DUMMYFUNCTION("""COMPUTED_VALUE"""),"x")</f>
        <v>x</v>
      </c>
    </row>
    <row r="386" spans="1:14">
      <c r="A386" s="45">
        <f ca="1">IFERROR(__xludf.DUMMYFUNCTION("""COMPUTED_VALUE"""),45139.5833333333)</f>
        <v>45139.583333333299</v>
      </c>
      <c r="B386" s="45">
        <f ca="1">IFERROR(__xludf.DUMMYFUNCTION("""COMPUTED_VALUE"""),45292.625)</f>
        <v>45292.625</v>
      </c>
      <c r="C386" s="46">
        <f ca="1">IFERROR(__xludf.DUMMYFUNCTION("""COMPUTED_VALUE"""),387)</f>
        <v>387</v>
      </c>
      <c r="D386" s="47" t="str">
        <f ca="1">IFERROR(__xludf.DUMMYFUNCTION("""COMPUTED_VALUE"""),"C0138")</f>
        <v>C0138</v>
      </c>
      <c r="E386" s="46" t="str">
        <f ca="1">IFERROR(__xludf.DUMMYFUNCTION("""COMPUTED_VALUE"""),"ĐỖ DIỆP BẢO QUYÊN")</f>
        <v>ĐỖ DIỆP BẢO QUYÊN</v>
      </c>
      <c r="F386" s="46" t="str">
        <f ca="1">IFERROR(__xludf.DUMMYFUNCTION("""COMPUTED_VALUE"""),"DO DIEP BAO QUYEN")</f>
        <v>DO DIEP BAO QUYEN</v>
      </c>
      <c r="G386" s="45">
        <f ca="1">IFERROR(__xludf.DUMMYFUNCTION("""COMPUTED_VALUE"""),36089.5833333333)</f>
        <v>36089.583333333299</v>
      </c>
      <c r="H386" s="45" t="str">
        <f ca="1">IFERROR(__xludf.DUMMYFUNCTION("""COMPUTED_VALUE"""),"MOONCAKE")</f>
        <v>MOONCAKE</v>
      </c>
      <c r="I386" s="46" t="str">
        <f ca="1">IFERROR(__xludf.DUMMYFUNCTION("""COMPUTED_VALUE"""),"STORE")</f>
        <v>STORE</v>
      </c>
      <c r="J386" s="46" t="str">
        <f ca="1">IFERROR(__xludf.DUMMYFUNCTION("""COMPUTED_VALUE"""),"BAKES D2")</f>
        <v>BAKES D2</v>
      </c>
      <c r="K386" s="46" t="str">
        <f ca="1">IFERROR(__xludf.DUMMYFUNCTION("""COMPUTED_VALUE"""),"STR")</f>
        <v>STR</v>
      </c>
      <c r="L386" s="46" t="str">
        <f ca="1">IFERROR(__xludf.DUMMYFUNCTION("""COMPUTED_VALUE"""),"PTE")</f>
        <v>PTE</v>
      </c>
      <c r="M386" s="46" t="str">
        <f ca="1">IFERROR(__xludf.DUMMYFUNCTION("""COMPUTED_VALUE"""),"Leave")</f>
        <v>Leave</v>
      </c>
      <c r="N386" s="46" t="str">
        <f ca="1">IFERROR(__xludf.DUMMYFUNCTION("""COMPUTED_VALUE"""),"x")</f>
        <v>x</v>
      </c>
    </row>
    <row r="387" spans="1:14">
      <c r="A387" s="45">
        <f ca="1">IFERROR(__xludf.DUMMYFUNCTION("""COMPUTED_VALUE"""),45156.5833333333)</f>
        <v>45156.583333333299</v>
      </c>
      <c r="B387" s="45">
        <f ca="1">IFERROR(__xludf.DUMMYFUNCTION("""COMPUTED_VALUE"""),45293.625)</f>
        <v>45293.625</v>
      </c>
      <c r="C387" s="46">
        <f ca="1">IFERROR(__xludf.DUMMYFUNCTION("""COMPUTED_VALUE"""),388)</f>
        <v>388</v>
      </c>
      <c r="D387" s="47" t="str">
        <f ca="1">IFERROR(__xludf.DUMMYFUNCTION("""COMPUTED_VALUE"""),"C0139")</f>
        <v>C0139</v>
      </c>
      <c r="E387" s="46" t="str">
        <f ca="1">IFERROR(__xludf.DUMMYFUNCTION("""COMPUTED_VALUE"""),"NGUYỄN LÂM THANH NGÂN")</f>
        <v>NGUYỄN LÂM THANH NGÂN</v>
      </c>
      <c r="F387" s="46" t="str">
        <f ca="1">IFERROR(__xludf.DUMMYFUNCTION("""COMPUTED_VALUE"""),"NGUYEN LAM THANH NGAN")</f>
        <v>NGUYEN LAM THANH NGAN</v>
      </c>
      <c r="G387" s="45">
        <f ca="1">IFERROR(__xludf.DUMMYFUNCTION("""COMPUTED_VALUE"""),37957.625)</f>
        <v>37957.625</v>
      </c>
      <c r="H387" s="45" t="str">
        <f ca="1">IFERROR(__xludf.DUMMYFUNCTION("""COMPUTED_VALUE"""),"BAKES")</f>
        <v>BAKES</v>
      </c>
      <c r="I387" s="46" t="str">
        <f ca="1">IFERROR(__xludf.DUMMYFUNCTION("""COMPUTED_VALUE"""),"STORE")</f>
        <v>STORE</v>
      </c>
      <c r="J387" s="46" t="str">
        <f ca="1">IFERROR(__xludf.DUMMYFUNCTION("""COMPUTED_VALUE"""),"BAKES D2")</f>
        <v>BAKES D2</v>
      </c>
      <c r="K387" s="46" t="str">
        <f ca="1">IFERROR(__xludf.DUMMYFUNCTION("""COMPUTED_VALUE"""),"STR")</f>
        <v>STR</v>
      </c>
      <c r="L387" s="46" t="str">
        <f ca="1">IFERROR(__xludf.DUMMYFUNCTION("""COMPUTED_VALUE"""),"PTE")</f>
        <v>PTE</v>
      </c>
      <c r="M387" s="46" t="str">
        <f ca="1">IFERROR(__xludf.DUMMYFUNCTION("""COMPUTED_VALUE"""),"Leave")</f>
        <v>Leave</v>
      </c>
      <c r="N387" s="46" t="str">
        <f ca="1">IFERROR(__xludf.DUMMYFUNCTION("""COMPUTED_VALUE"""),"x")</f>
        <v>x</v>
      </c>
    </row>
    <row r="388" spans="1:14">
      <c r="A388" s="45">
        <f ca="1">IFERROR(__xludf.DUMMYFUNCTION("""COMPUTED_VALUE"""),45145.5833333333)</f>
        <v>45145.583333333299</v>
      </c>
      <c r="B388" s="45">
        <f ca="1">IFERROR(__xludf.DUMMYFUNCTION("""COMPUTED_VALUE"""),45542.5833333333)</f>
        <v>45542.583333333299</v>
      </c>
      <c r="C388" s="46">
        <f ca="1">IFERROR(__xludf.DUMMYFUNCTION("""COMPUTED_VALUE"""),389)</f>
        <v>389</v>
      </c>
      <c r="D388" s="47" t="str">
        <f ca="1">IFERROR(__xludf.DUMMYFUNCTION("""COMPUTED_VALUE"""),"C0140")</f>
        <v>C0140</v>
      </c>
      <c r="E388" s="46" t="str">
        <f ca="1">IFERROR(__xludf.DUMMYFUNCTION("""COMPUTED_VALUE"""),"HỒ HẢI TUẤN")</f>
        <v>HỒ HẢI TUẤN</v>
      </c>
      <c r="F388" s="46" t="str">
        <f ca="1">IFERROR(__xludf.DUMMYFUNCTION("""COMPUTED_VALUE"""),"HO HAI TUAN")</f>
        <v>HO HAI TUAN</v>
      </c>
      <c r="G388" s="45">
        <f ca="1">IFERROR(__xludf.DUMMYFUNCTION("""COMPUTED_VALUE"""),34569.5833333333)</f>
        <v>34569.583333333299</v>
      </c>
      <c r="H388" s="45" t="str">
        <f ca="1">IFERROR(__xludf.DUMMYFUNCTION("""COMPUTED_VALUE"""),"TLC")</f>
        <v>TLC</v>
      </c>
      <c r="I388" s="46" t="str">
        <f ca="1">IFERROR(__xludf.DUMMYFUNCTION("""COMPUTED_VALUE"""),"STORE")</f>
        <v>STORE</v>
      </c>
      <c r="J388" s="46" t="str">
        <f ca="1">IFERROR(__xludf.DUMMYFUNCTION("""COMPUTED_VALUE"""),"BLANK LOUNGE")</f>
        <v>BLANK LOUNGE</v>
      </c>
      <c r="K388" s="46" t="str">
        <f ca="1">IFERROR(__xludf.DUMMYFUNCTION("""COMPUTED_VALUE"""),"WAITSTAFF")</f>
        <v>WAITSTAFF</v>
      </c>
      <c r="L388" s="46" t="str">
        <f ca="1">IFERROR(__xludf.DUMMYFUNCTION("""COMPUTED_VALUE"""),"PTE")</f>
        <v>PTE</v>
      </c>
      <c r="M388" s="46" t="str">
        <f ca="1">IFERROR(__xludf.DUMMYFUNCTION("""COMPUTED_VALUE"""),"Leave")</f>
        <v>Leave</v>
      </c>
      <c r="N388" s="46" t="str">
        <f ca="1">IFERROR(__xludf.DUMMYFUNCTION("""COMPUTED_VALUE"""),"x")</f>
        <v>x</v>
      </c>
    </row>
    <row r="389" spans="1:14">
      <c r="A389" s="45">
        <f ca="1">IFERROR(__xludf.DUMMYFUNCTION("""COMPUTED_VALUE"""),45139.5833333333)</f>
        <v>45139.583333333299</v>
      </c>
      <c r="B389" s="45"/>
      <c r="C389" s="46">
        <f ca="1">IFERROR(__xludf.DUMMYFUNCTION("""COMPUTED_VALUE"""),390)</f>
        <v>390</v>
      </c>
      <c r="D389" s="47" t="str">
        <f ca="1">IFERROR(__xludf.DUMMYFUNCTION("""COMPUTED_VALUE"""),"C0141")</f>
        <v>C0141</v>
      </c>
      <c r="E389" s="46" t="str">
        <f ca="1">IFERROR(__xludf.DUMMYFUNCTION("""COMPUTED_VALUE"""),"NGUYỄN TRƯỜNG TÍN")</f>
        <v>NGUYỄN TRƯỜNG TÍN</v>
      </c>
      <c r="F389" s="46" t="str">
        <f ca="1">IFERROR(__xludf.DUMMYFUNCTION("""COMPUTED_VALUE"""),"NGUYEN TRUONG TIN")</f>
        <v>NGUYEN TRUONG TIN</v>
      </c>
      <c r="G389" s="45">
        <f ca="1">IFERROR(__xludf.DUMMYFUNCTION("""COMPUTED_VALUE"""),35650.5833333333)</f>
        <v>35650.583333333299</v>
      </c>
      <c r="H389" s="45" t="str">
        <f ca="1">IFERROR(__xludf.DUMMYFUNCTION("""COMPUTED_VALUE"""),"TLC")</f>
        <v>TLC</v>
      </c>
      <c r="I389" s="46" t="str">
        <f ca="1">IFERROR(__xludf.DUMMYFUNCTION("""COMPUTED_VALUE"""),"STORE")</f>
        <v>STORE</v>
      </c>
      <c r="J389" s="46" t="str">
        <f ca="1">IFERROR(__xludf.DUMMYFUNCTION("""COMPUTED_VALUE"""),"BLANK LOUNGE")</f>
        <v>BLANK LOUNGE</v>
      </c>
      <c r="K389" s="46" t="str">
        <f ca="1">IFERROR(__xludf.DUMMYFUNCTION("""COMPUTED_VALUE"""),"Management team")</f>
        <v>Management team</v>
      </c>
      <c r="L389" s="46" t="str">
        <f ca="1">IFERROR(__xludf.DUMMYFUNCTION("""COMPUTED_VALUE"""),"FTE")</f>
        <v>FTE</v>
      </c>
      <c r="M389" s="46" t="str">
        <f ca="1">IFERROR(__xludf.DUMMYFUNCTION("""COMPUTED_VALUE"""),"On")</f>
        <v>On</v>
      </c>
      <c r="N389" s="46" t="str">
        <f ca="1">IFERROR(__xludf.DUMMYFUNCTION("""COMPUTED_VALUE"""),"đủ")</f>
        <v>đủ</v>
      </c>
    </row>
    <row r="390" spans="1:14">
      <c r="A390" s="45">
        <f ca="1">IFERROR(__xludf.DUMMYFUNCTION("""COMPUTED_VALUE"""),45141.5833333333)</f>
        <v>45141.583333333299</v>
      </c>
      <c r="B390" s="45">
        <f ca="1">IFERROR(__xludf.DUMMYFUNCTION("""COMPUTED_VALUE"""),45292.625)</f>
        <v>45292.625</v>
      </c>
      <c r="C390" s="46">
        <f ca="1">IFERROR(__xludf.DUMMYFUNCTION("""COMPUTED_VALUE"""),391)</f>
        <v>391</v>
      </c>
      <c r="D390" s="47" t="str">
        <f ca="1">IFERROR(__xludf.DUMMYFUNCTION("""COMPUTED_VALUE"""),"C0142")</f>
        <v>C0142</v>
      </c>
      <c r="E390" s="46" t="str">
        <f ca="1">IFERROR(__xludf.DUMMYFUNCTION("""COMPUTED_VALUE"""),"PHẠM LÊ ĐOAN TRANG")</f>
        <v>PHẠM LÊ ĐOAN TRANG</v>
      </c>
      <c r="F390" s="46" t="str">
        <f ca="1">IFERROR(__xludf.DUMMYFUNCTION("""COMPUTED_VALUE"""),"PHAM LE DOAN TRANG")</f>
        <v>PHAM LE DOAN TRANG</v>
      </c>
      <c r="G390" s="45">
        <f ca="1">IFERROR(__xludf.DUMMYFUNCTION("""COMPUTED_VALUE"""),36431.5833333333)</f>
        <v>36431.583333333299</v>
      </c>
      <c r="H390" s="45" t="str">
        <f ca="1">IFERROR(__xludf.DUMMYFUNCTION("""COMPUTED_VALUE"""),"TLC")</f>
        <v>TLC</v>
      </c>
      <c r="I390" s="46" t="str">
        <f ca="1">IFERROR(__xludf.DUMMYFUNCTION("""COMPUTED_VALUE"""),"STORE")</f>
        <v>STORE</v>
      </c>
      <c r="J390" s="46" t="str">
        <f ca="1">IFERROR(__xludf.DUMMYFUNCTION("""COMPUTED_VALUE"""),"BITEXCO")</f>
        <v>BITEXCO</v>
      </c>
      <c r="K390" s="46" t="str">
        <f ca="1">IFERROR(__xludf.DUMMYFUNCTION("""COMPUTED_VALUE"""),"STR")</f>
        <v>STR</v>
      </c>
      <c r="L390" s="46" t="str">
        <f ca="1">IFERROR(__xludf.DUMMYFUNCTION("""COMPUTED_VALUE"""),"PTE")</f>
        <v>PTE</v>
      </c>
      <c r="M390" s="46" t="str">
        <f ca="1">IFERROR(__xludf.DUMMYFUNCTION("""COMPUTED_VALUE"""),"Leave")</f>
        <v>Leave</v>
      </c>
      <c r="N390" s="46" t="str">
        <f ca="1">IFERROR(__xludf.DUMMYFUNCTION("""COMPUTED_VALUE"""),"x")</f>
        <v>x</v>
      </c>
    </row>
    <row r="391" spans="1:14">
      <c r="A391" s="45">
        <f ca="1">IFERROR(__xludf.DUMMYFUNCTION("""COMPUTED_VALUE"""),45183.5833333333)</f>
        <v>45183.583333333299</v>
      </c>
      <c r="B391" s="45" t="str">
        <f ca="1">IFERROR(__xludf.DUMMYFUNCTION("""COMPUTED_VALUE"""),"Đã nghỉ")</f>
        <v>Đã nghỉ</v>
      </c>
      <c r="C391" s="46">
        <f ca="1">IFERROR(__xludf.DUMMYFUNCTION("""COMPUTED_VALUE"""),392)</f>
        <v>392</v>
      </c>
      <c r="D391" s="47" t="str">
        <f ca="1">IFERROR(__xludf.DUMMYFUNCTION("""COMPUTED_VALUE"""),"C0143")</f>
        <v>C0143</v>
      </c>
      <c r="E391" s="46" t="str">
        <f ca="1">IFERROR(__xludf.DUMMYFUNCTION("""COMPUTED_VALUE"""),"HỒ THIÊN PHÚ")</f>
        <v>HỒ THIÊN PHÚ</v>
      </c>
      <c r="F391" s="46" t="str">
        <f ca="1">IFERROR(__xludf.DUMMYFUNCTION("""COMPUTED_VALUE"""),"HO THIEN PHU")</f>
        <v>HO THIEN PHU</v>
      </c>
      <c r="G391" s="45">
        <f ca="1">IFERROR(__xludf.DUMMYFUNCTION("""COMPUTED_VALUE"""),37985.625)</f>
        <v>37985.625</v>
      </c>
      <c r="H391" s="45" t="str">
        <f ca="1">IFERROR(__xludf.DUMMYFUNCTION("""COMPUTED_VALUE"""),"SHADOW")</f>
        <v>SHADOW</v>
      </c>
      <c r="I391" s="46" t="str">
        <f ca="1">IFERROR(__xludf.DUMMYFUNCTION("""COMPUTED_VALUE"""),"STORE")</f>
        <v>STORE</v>
      </c>
      <c r="J391" s="46" t="str">
        <f ca="1">IFERROR(__xludf.DUMMYFUNCTION("""COMPUTED_VALUE"""),"BAKES PASTEUR")</f>
        <v>BAKES PASTEUR</v>
      </c>
      <c r="K391" s="46" t="str">
        <f ca="1">IFERROR(__xludf.DUMMYFUNCTION("""COMPUTED_VALUE"""),"KIT")</f>
        <v>KIT</v>
      </c>
      <c r="L391" s="46" t="str">
        <f ca="1">IFERROR(__xludf.DUMMYFUNCTION("""COMPUTED_VALUE"""),"FTE")</f>
        <v>FTE</v>
      </c>
      <c r="M391" s="46" t="str">
        <f ca="1">IFERROR(__xludf.DUMMYFUNCTION("""COMPUTED_VALUE"""),"Leave")</f>
        <v>Leave</v>
      </c>
      <c r="N391" s="46" t="str">
        <f ca="1">IFERROR(__xludf.DUMMYFUNCTION("""COMPUTED_VALUE"""),"x")</f>
        <v>x</v>
      </c>
    </row>
    <row r="392" spans="1:14">
      <c r="A392" s="45">
        <f ca="1">IFERROR(__xludf.DUMMYFUNCTION("""COMPUTED_VALUE"""),45174.5833333333)</f>
        <v>45174.583333333299</v>
      </c>
      <c r="B392" s="45">
        <f ca="1">IFERROR(__xludf.DUMMYFUNCTION("""COMPUTED_VALUE"""),45801.5833333333)</f>
        <v>45801.583333333299</v>
      </c>
      <c r="C392" s="46">
        <f ca="1">IFERROR(__xludf.DUMMYFUNCTION("""COMPUTED_VALUE"""),393)</f>
        <v>393</v>
      </c>
      <c r="D392" s="47" t="str">
        <f ca="1">IFERROR(__xludf.DUMMYFUNCTION("""COMPUTED_VALUE"""),"C0144")</f>
        <v>C0144</v>
      </c>
      <c r="E392" s="46" t="str">
        <f ca="1">IFERROR(__xludf.DUMMYFUNCTION("""COMPUTED_VALUE"""),"HUỲNH THANH TUYỀN")</f>
        <v>HUỲNH THANH TUYỀN</v>
      </c>
      <c r="F392" s="46" t="str">
        <f ca="1">IFERROR(__xludf.DUMMYFUNCTION("""COMPUTED_VALUE"""),"HUYNH THANH TUYEN")</f>
        <v>HUYNH THANH TUYEN</v>
      </c>
      <c r="G392" s="45">
        <f ca="1">IFERROR(__xludf.DUMMYFUNCTION("""COMPUTED_VALUE"""),37181.5833333333)</f>
        <v>37181.583333333299</v>
      </c>
      <c r="H392" s="45" t="str">
        <f ca="1">IFERROR(__xludf.DUMMYFUNCTION("""COMPUTED_VALUE"""),"BAKES")</f>
        <v>BAKES</v>
      </c>
      <c r="I392" s="46" t="str">
        <f ca="1">IFERROR(__xludf.DUMMYFUNCTION("""COMPUTED_VALUE"""),"HO")</f>
        <v>HO</v>
      </c>
      <c r="J392" s="46" t="str">
        <f ca="1">IFERROR(__xludf.DUMMYFUNCTION("""COMPUTED_VALUE"""),"SAL")</f>
        <v>SAL</v>
      </c>
      <c r="K392" s="46" t="str">
        <f ca="1">IFERROR(__xludf.DUMMYFUNCTION("""COMPUTED_VALUE"""),"SAL")</f>
        <v>SAL</v>
      </c>
      <c r="L392" s="46" t="str">
        <f ca="1">IFERROR(__xludf.DUMMYFUNCTION("""COMPUTED_VALUE"""),"FTE")</f>
        <v>FTE</v>
      </c>
      <c r="M392" s="46" t="str">
        <f ca="1">IFERROR(__xludf.DUMMYFUNCTION("""COMPUTED_VALUE"""),"Leave")</f>
        <v>Leave</v>
      </c>
      <c r="N392" s="46" t="str">
        <f ca="1">IFERROR(__xludf.DUMMYFUNCTION("""COMPUTED_VALUE"""),"x")</f>
        <v>x</v>
      </c>
    </row>
    <row r="393" spans="1:14">
      <c r="A393" s="45"/>
      <c r="B393" s="45" t="str">
        <f ca="1">IFERROR(__xludf.DUMMYFUNCTION("""COMPUTED_VALUE"""),"Đã nghỉ")</f>
        <v>Đã nghỉ</v>
      </c>
      <c r="C393" s="46">
        <f ca="1">IFERROR(__xludf.DUMMYFUNCTION("""COMPUTED_VALUE"""),394)</f>
        <v>394</v>
      </c>
      <c r="D393" s="47" t="str">
        <f ca="1">IFERROR(__xludf.DUMMYFUNCTION("""COMPUTED_VALUE"""),"C0145")</f>
        <v>C0145</v>
      </c>
      <c r="E393" s="46" t="str">
        <f ca="1">IFERROR(__xludf.DUMMYFUNCTION("""COMPUTED_VALUE"""),"NGUYỄN THỊ KIM HỒNG")</f>
        <v>NGUYỄN THỊ KIM HỒNG</v>
      </c>
      <c r="F393" s="46" t="str">
        <f ca="1">IFERROR(__xludf.DUMMYFUNCTION("""COMPUTED_VALUE"""),"NGUYEN THI KIM HONG")</f>
        <v>NGUYEN THI KIM HONG</v>
      </c>
      <c r="G393" s="45">
        <f ca="1">IFERROR(__xludf.DUMMYFUNCTION("""COMPUTED_VALUE"""),31393.625)</f>
        <v>31393.625</v>
      </c>
      <c r="H393" s="45" t="str">
        <f ca="1">IFERROR(__xludf.DUMMYFUNCTION("""COMPUTED_VALUE"""),"SHADOW")</f>
        <v>SHADOW</v>
      </c>
      <c r="I393" s="46" t="str">
        <f ca="1">IFERROR(__xludf.DUMMYFUNCTION("""COMPUTED_VALUE"""),"STORE")</f>
        <v>STORE</v>
      </c>
      <c r="J393" s="46" t="str">
        <f ca="1">IFERROR(__xludf.DUMMYFUNCTION("""COMPUTED_VALUE"""),"BAKES PASTEUR")</f>
        <v>BAKES PASTEUR</v>
      </c>
      <c r="K393" s="46" t="str">
        <f ca="1">IFERROR(__xludf.DUMMYFUNCTION("""COMPUTED_VALUE"""),"KIT")</f>
        <v>KIT</v>
      </c>
      <c r="L393" s="46" t="str">
        <f ca="1">IFERROR(__xludf.DUMMYFUNCTION("""COMPUTED_VALUE"""),"FTE")</f>
        <v>FTE</v>
      </c>
      <c r="M393" s="46" t="str">
        <f ca="1">IFERROR(__xludf.DUMMYFUNCTION("""COMPUTED_VALUE"""),"Leave")</f>
        <v>Leave</v>
      </c>
      <c r="N393" s="46" t="str">
        <f ca="1">IFERROR(__xludf.DUMMYFUNCTION("""COMPUTED_VALUE"""),"x")</f>
        <v>x</v>
      </c>
    </row>
    <row r="394" spans="1:14">
      <c r="A394" s="45">
        <f ca="1">IFERROR(__xludf.DUMMYFUNCTION("""COMPUTED_VALUE"""),45492.5833333333)</f>
        <v>45492.583333333299</v>
      </c>
      <c r="B394" s="45">
        <f ca="1">IFERROR(__xludf.DUMMYFUNCTION("""COMPUTED_VALUE"""),46107.5833333333)</f>
        <v>46107.583333333299</v>
      </c>
      <c r="C394" s="46">
        <f ca="1">IFERROR(__xludf.DUMMYFUNCTION("""COMPUTED_VALUE"""),395)</f>
        <v>395</v>
      </c>
      <c r="D394" s="47" t="str">
        <f ca="1">IFERROR(__xludf.DUMMYFUNCTION("""COMPUTED_VALUE"""),"C0146")</f>
        <v>C0146</v>
      </c>
      <c r="E394" s="46" t="str">
        <f ca="1">IFERROR(__xludf.DUMMYFUNCTION("""COMPUTED_VALUE"""),"LA THÀNH ĐỨC")</f>
        <v>LA THÀNH ĐỨC</v>
      </c>
      <c r="F394" s="46" t="str">
        <f ca="1">IFERROR(__xludf.DUMMYFUNCTION("""COMPUTED_VALUE"""),"LA THANH DUC")</f>
        <v>LA THANH DUC</v>
      </c>
      <c r="G394" s="45">
        <f ca="1">IFERROR(__xludf.DUMMYFUNCTION("""COMPUTED_VALUE"""),36851.625)</f>
        <v>36851.625</v>
      </c>
      <c r="H394" s="45" t="str">
        <f ca="1">IFERROR(__xludf.DUMMYFUNCTION("""COMPUTED_VALUE"""),"TLC")</f>
        <v>TLC</v>
      </c>
      <c r="I394" s="46" t="str">
        <f ca="1">IFERROR(__xludf.DUMMYFUNCTION("""COMPUTED_VALUE"""),"STORE")</f>
        <v>STORE</v>
      </c>
      <c r="J394" s="46" t="str">
        <f ca="1">IFERROR(__xludf.DUMMYFUNCTION("""COMPUTED_VALUE"""),"BLANK LOUNGE")</f>
        <v>BLANK LOUNGE</v>
      </c>
      <c r="K394" s="46" t="str">
        <f ca="1">IFERROR(__xludf.DUMMYFUNCTION("""COMPUTED_VALUE"""),"WAITSTAFF")</f>
        <v>WAITSTAFF</v>
      </c>
      <c r="L394" s="46" t="str">
        <f ca="1">IFERROR(__xludf.DUMMYFUNCTION("""COMPUTED_VALUE"""),"PTE")</f>
        <v>PTE</v>
      </c>
      <c r="M394" s="46" t="str">
        <f ca="1">IFERROR(__xludf.DUMMYFUNCTION("""COMPUTED_VALUE"""),"Leave")</f>
        <v>Leave</v>
      </c>
      <c r="N394" s="46" t="str">
        <f ca="1">IFERROR(__xludf.DUMMYFUNCTION("""COMPUTED_VALUE"""),"đủ")</f>
        <v>đủ</v>
      </c>
    </row>
    <row r="395" spans="1:14">
      <c r="A395" s="45">
        <f ca="1">IFERROR(__xludf.DUMMYFUNCTION("""COMPUTED_VALUE"""),45173.5833333333)</f>
        <v>45173.583333333299</v>
      </c>
      <c r="B395" s="45">
        <f ca="1">IFERROR(__xludf.DUMMYFUNCTION("""COMPUTED_VALUE"""),45413.5833333333)</f>
        <v>45413.583333333299</v>
      </c>
      <c r="C395" s="46">
        <f ca="1">IFERROR(__xludf.DUMMYFUNCTION("""COMPUTED_VALUE"""),396)</f>
        <v>396</v>
      </c>
      <c r="D395" s="47" t="str">
        <f ca="1">IFERROR(__xludf.DUMMYFUNCTION("""COMPUTED_VALUE"""),"C0147")</f>
        <v>C0147</v>
      </c>
      <c r="E395" s="46" t="str">
        <f ca="1">IFERROR(__xludf.DUMMYFUNCTION("""COMPUTED_VALUE"""),"NGÔ QUỐC MINH HOÀNG")</f>
        <v>NGÔ QUỐC MINH HOÀNG</v>
      </c>
      <c r="F395" s="46" t="str">
        <f ca="1">IFERROR(__xludf.DUMMYFUNCTION("""COMPUTED_VALUE"""),"NGO QUOC MINH HOANG")</f>
        <v>NGO QUOC MINH HOANG</v>
      </c>
      <c r="G395" s="45">
        <f ca="1">IFERROR(__xludf.DUMMYFUNCTION("""COMPUTED_VALUE"""),36173.625)</f>
        <v>36173.625</v>
      </c>
      <c r="H395" s="45" t="str">
        <f ca="1">IFERROR(__xludf.DUMMYFUNCTION("""COMPUTED_VALUE"""),"SHADOW")</f>
        <v>SHADOW</v>
      </c>
      <c r="I395" s="46" t="str">
        <f ca="1">IFERROR(__xludf.DUMMYFUNCTION("""COMPUTED_VALUE"""),"STORE")</f>
        <v>STORE</v>
      </c>
      <c r="J395" s="46" t="str">
        <f ca="1">IFERROR(__xludf.DUMMYFUNCTION("""COMPUTED_VALUE"""),"BAKES PASTEUR")</f>
        <v>BAKES PASTEUR</v>
      </c>
      <c r="K395" s="46" t="str">
        <f ca="1">IFERROR(__xludf.DUMMYFUNCTION("""COMPUTED_VALUE"""),"STR")</f>
        <v>STR</v>
      </c>
      <c r="L395" s="46" t="str">
        <f ca="1">IFERROR(__xludf.DUMMYFUNCTION("""COMPUTED_VALUE"""),"PTE")</f>
        <v>PTE</v>
      </c>
      <c r="M395" s="46" t="str">
        <f ca="1">IFERROR(__xludf.DUMMYFUNCTION("""COMPUTED_VALUE"""),"Leave")</f>
        <v>Leave</v>
      </c>
      <c r="N395" s="46" t="str">
        <f ca="1">IFERROR(__xludf.DUMMYFUNCTION("""COMPUTED_VALUE"""),"x")</f>
        <v>x</v>
      </c>
    </row>
    <row r="396" spans="1:14">
      <c r="A396" s="45">
        <f ca="1">IFERROR(__xludf.DUMMYFUNCTION("""COMPUTED_VALUE"""),45182.5833333333)</f>
        <v>45182.583333333299</v>
      </c>
      <c r="B396" s="45">
        <f ca="1">IFERROR(__xludf.DUMMYFUNCTION("""COMPUTED_VALUE"""),45383.5833333333)</f>
        <v>45383.583333333299</v>
      </c>
      <c r="C396" s="46">
        <f ca="1">IFERROR(__xludf.DUMMYFUNCTION("""COMPUTED_VALUE"""),397)</f>
        <v>397</v>
      </c>
      <c r="D396" s="47" t="str">
        <f ca="1">IFERROR(__xludf.DUMMYFUNCTION("""COMPUTED_VALUE"""),"C0148")</f>
        <v>C0148</v>
      </c>
      <c r="E396" s="46" t="str">
        <f ca="1">IFERROR(__xludf.DUMMYFUNCTION("""COMPUTED_VALUE"""),"ĐẶNG VĂN NGỌC THỊNH")</f>
        <v>ĐẶNG VĂN NGỌC THỊNH</v>
      </c>
      <c r="F396" s="46" t="str">
        <f ca="1">IFERROR(__xludf.DUMMYFUNCTION("""COMPUTED_VALUE"""),"DANG VAN NGOC THINH")</f>
        <v>DANG VAN NGOC THINH</v>
      </c>
      <c r="G396" s="45">
        <f ca="1">IFERROR(__xludf.DUMMYFUNCTION("""COMPUTED_VALUE"""),35520.625)</f>
        <v>35520.625</v>
      </c>
      <c r="H396" s="45" t="str">
        <f ca="1">IFERROR(__xludf.DUMMYFUNCTION("""COMPUTED_VALUE"""),"BAKES")</f>
        <v>BAKES</v>
      </c>
      <c r="I396" s="46" t="str">
        <f ca="1">IFERROR(__xludf.DUMMYFUNCTION("""COMPUTED_VALUE"""),"STORE")</f>
        <v>STORE</v>
      </c>
      <c r="J396" s="46" t="str">
        <f ca="1">IFERROR(__xludf.DUMMYFUNCTION("""COMPUTED_VALUE"""),"BAKES D2")</f>
        <v>BAKES D2</v>
      </c>
      <c r="K396" s="46" t="str">
        <f ca="1">IFERROR(__xludf.DUMMYFUNCTION("""COMPUTED_VALUE"""),"STR")</f>
        <v>STR</v>
      </c>
      <c r="L396" s="46" t="str">
        <f ca="1">IFERROR(__xludf.DUMMYFUNCTION("""COMPUTED_VALUE"""),"PTE")</f>
        <v>PTE</v>
      </c>
      <c r="M396" s="46" t="str">
        <f ca="1">IFERROR(__xludf.DUMMYFUNCTION("""COMPUTED_VALUE"""),"Leave")</f>
        <v>Leave</v>
      </c>
      <c r="N396" s="46" t="str">
        <f ca="1">IFERROR(__xludf.DUMMYFUNCTION("""COMPUTED_VALUE"""),"x")</f>
        <v>x</v>
      </c>
    </row>
    <row r="397" spans="1:14">
      <c r="A397" s="45">
        <f ca="1">IFERROR(__xludf.DUMMYFUNCTION("""COMPUTED_VALUE"""),45186.5833333333)</f>
        <v>45186.583333333299</v>
      </c>
      <c r="B397" s="45">
        <f ca="1">IFERROR(__xludf.DUMMYFUNCTION("""COMPUTED_VALUE"""),45724.625)</f>
        <v>45724.625</v>
      </c>
      <c r="C397" s="46">
        <f ca="1">IFERROR(__xludf.DUMMYFUNCTION("""COMPUTED_VALUE"""),398)</f>
        <v>398</v>
      </c>
      <c r="D397" s="47" t="str">
        <f ca="1">IFERROR(__xludf.DUMMYFUNCTION("""COMPUTED_VALUE"""),"C0149")</f>
        <v>C0149</v>
      </c>
      <c r="E397" s="46" t="str">
        <f ca="1">IFERROR(__xludf.DUMMYFUNCTION("""COMPUTED_VALUE"""),"PHẠM THỊ UYÊN THI")</f>
        <v>PHẠM THỊ UYÊN THI</v>
      </c>
      <c r="F397" s="46" t="str">
        <f ca="1">IFERROR(__xludf.DUMMYFUNCTION("""COMPUTED_VALUE"""),"PHAM THI UYEN THI")</f>
        <v>PHAM THI UYEN THI</v>
      </c>
      <c r="G397" s="45">
        <f ca="1">IFERROR(__xludf.DUMMYFUNCTION("""COMPUTED_VALUE"""),37030.5833333333)</f>
        <v>37030.583333333299</v>
      </c>
      <c r="H397" s="45" t="str">
        <f ca="1">IFERROR(__xludf.DUMMYFUNCTION("""COMPUTED_VALUE"""),"BAKES")</f>
        <v>BAKES</v>
      </c>
      <c r="I397" s="46" t="str">
        <f ca="1">IFERROR(__xludf.DUMMYFUNCTION("""COMPUTED_VALUE"""),"STORE")</f>
        <v>STORE</v>
      </c>
      <c r="J397" s="46" t="str">
        <f ca="1">IFERROR(__xludf.DUMMYFUNCTION("""COMPUTED_VALUE"""),"BAKES D2")</f>
        <v>BAKES D2</v>
      </c>
      <c r="K397" s="46" t="str">
        <f ca="1">IFERROR(__xludf.DUMMYFUNCTION("""COMPUTED_VALUE"""),"BAR")</f>
        <v>BAR</v>
      </c>
      <c r="L397" s="46" t="str">
        <f ca="1">IFERROR(__xludf.DUMMYFUNCTION("""COMPUTED_VALUE"""),"PTE")</f>
        <v>PTE</v>
      </c>
      <c r="M397" s="46" t="str">
        <f ca="1">IFERROR(__xludf.DUMMYFUNCTION("""COMPUTED_VALUE"""),"Leave")</f>
        <v>Leave</v>
      </c>
      <c r="N397" s="46" t="str">
        <f ca="1">IFERROR(__xludf.DUMMYFUNCTION("""COMPUTED_VALUE"""),"x")</f>
        <v>x</v>
      </c>
    </row>
    <row r="398" spans="1:14">
      <c r="A398" s="45">
        <f ca="1">IFERROR(__xludf.DUMMYFUNCTION("""COMPUTED_VALUE"""),45185.5833333333)</f>
        <v>45185.583333333299</v>
      </c>
      <c r="B398" s="45">
        <f ca="1">IFERROR(__xludf.DUMMYFUNCTION("""COMPUTED_VALUE"""),45324.625)</f>
        <v>45324.625</v>
      </c>
      <c r="C398" s="46">
        <f ca="1">IFERROR(__xludf.DUMMYFUNCTION("""COMPUTED_VALUE"""),399)</f>
        <v>399</v>
      </c>
      <c r="D398" s="47" t="str">
        <f ca="1">IFERROR(__xludf.DUMMYFUNCTION("""COMPUTED_VALUE"""),"C0150")</f>
        <v>C0150</v>
      </c>
      <c r="E398" s="46" t="str">
        <f ca="1">IFERROR(__xludf.DUMMYFUNCTION("""COMPUTED_VALUE"""),"BÙI NGUYỄN TRƯỜNG HUY")</f>
        <v>BÙI NGUYỄN TRƯỜNG HUY</v>
      </c>
      <c r="F398" s="46" t="str">
        <f ca="1">IFERROR(__xludf.DUMMYFUNCTION("""COMPUTED_VALUE"""),"BUI NGUYEN TRUONG HUY")</f>
        <v>BUI NGUYEN TRUONG HUY</v>
      </c>
      <c r="G398" s="45">
        <f ca="1">IFERROR(__xludf.DUMMYFUNCTION("""COMPUTED_VALUE"""),37623.625)</f>
        <v>37623.625</v>
      </c>
      <c r="H398" s="45" t="str">
        <f ca="1">IFERROR(__xludf.DUMMYFUNCTION("""COMPUTED_VALUE"""),"BAKES")</f>
        <v>BAKES</v>
      </c>
      <c r="I398" s="46" t="str">
        <f ca="1">IFERROR(__xludf.DUMMYFUNCTION("""COMPUTED_VALUE"""),"STORE")</f>
        <v>STORE</v>
      </c>
      <c r="J398" s="46" t="str">
        <f ca="1">IFERROR(__xludf.DUMMYFUNCTION("""COMPUTED_VALUE"""),"BAKES D2")</f>
        <v>BAKES D2</v>
      </c>
      <c r="K398" s="46" t="str">
        <f ca="1">IFERROR(__xludf.DUMMYFUNCTION("""COMPUTED_VALUE"""),"STR")</f>
        <v>STR</v>
      </c>
      <c r="L398" s="46" t="str">
        <f ca="1">IFERROR(__xludf.DUMMYFUNCTION("""COMPUTED_VALUE"""),"PTE")</f>
        <v>PTE</v>
      </c>
      <c r="M398" s="46" t="str">
        <f ca="1">IFERROR(__xludf.DUMMYFUNCTION("""COMPUTED_VALUE"""),"Leave")</f>
        <v>Leave</v>
      </c>
      <c r="N398" s="46" t="str">
        <f ca="1">IFERROR(__xludf.DUMMYFUNCTION("""COMPUTED_VALUE"""),"x")</f>
        <v>x</v>
      </c>
    </row>
    <row r="399" spans="1:14">
      <c r="A399" s="45">
        <f ca="1">IFERROR(__xludf.DUMMYFUNCTION("""COMPUTED_VALUE"""),45187.5833333333)</f>
        <v>45187.583333333299</v>
      </c>
      <c r="B399" s="45">
        <f ca="1">IFERROR(__xludf.DUMMYFUNCTION("""COMPUTED_VALUE"""),45265.625)</f>
        <v>45265.625</v>
      </c>
      <c r="C399" s="46">
        <f ca="1">IFERROR(__xludf.DUMMYFUNCTION("""COMPUTED_VALUE"""),400)</f>
        <v>400</v>
      </c>
      <c r="D399" s="47" t="str">
        <f ca="1">IFERROR(__xludf.DUMMYFUNCTION("""COMPUTED_VALUE"""),"C0151")</f>
        <v>C0151</v>
      </c>
      <c r="E399" s="46" t="str">
        <f ca="1">IFERROR(__xludf.DUMMYFUNCTION("""COMPUTED_VALUE"""),"NGUYỄN MAI KHÁNH TRÂM")</f>
        <v>NGUYỄN MAI KHÁNH TRÂM</v>
      </c>
      <c r="F399" s="46" t="str">
        <f ca="1">IFERROR(__xludf.DUMMYFUNCTION("""COMPUTED_VALUE"""),"NGUYEN MAI KHANH TRAM")</f>
        <v>NGUYEN MAI KHANH TRAM</v>
      </c>
      <c r="G399" s="45">
        <f ca="1">IFERROR(__xludf.DUMMYFUNCTION("""COMPUTED_VALUE"""),37895.5833333333)</f>
        <v>37895.583333333299</v>
      </c>
      <c r="H399" s="45" t="str">
        <f ca="1">IFERROR(__xludf.DUMMYFUNCTION("""COMPUTED_VALUE"""),"SHADOW")</f>
        <v>SHADOW</v>
      </c>
      <c r="I399" s="46" t="str">
        <f ca="1">IFERROR(__xludf.DUMMYFUNCTION("""COMPUTED_VALUE"""),"STORE")</f>
        <v>STORE</v>
      </c>
      <c r="J399" s="46" t="str">
        <f ca="1">IFERROR(__xludf.DUMMYFUNCTION("""COMPUTED_VALUE"""),"BAKES PASTEUR")</f>
        <v>BAKES PASTEUR</v>
      </c>
      <c r="K399" s="46" t="str">
        <f ca="1">IFERROR(__xludf.DUMMYFUNCTION("""COMPUTED_VALUE"""),"KIT")</f>
        <v>KIT</v>
      </c>
      <c r="L399" s="46" t="str">
        <f ca="1">IFERROR(__xludf.DUMMYFUNCTION("""COMPUTED_VALUE"""),"PTE")</f>
        <v>PTE</v>
      </c>
      <c r="M399" s="46" t="str">
        <f ca="1">IFERROR(__xludf.DUMMYFUNCTION("""COMPUTED_VALUE"""),"Leave")</f>
        <v>Leave</v>
      </c>
      <c r="N399" s="46" t="str">
        <f ca="1">IFERROR(__xludf.DUMMYFUNCTION("""COMPUTED_VALUE"""),"x")</f>
        <v>x</v>
      </c>
    </row>
    <row r="400" spans="1:14">
      <c r="A400" s="45">
        <f ca="1">IFERROR(__xludf.DUMMYFUNCTION("""COMPUTED_VALUE"""),45215.5833333333)</f>
        <v>45215.583333333299</v>
      </c>
      <c r="B400" s="45" t="str">
        <f ca="1">IFERROR(__xludf.DUMMYFUNCTION("""COMPUTED_VALUE"""),"Đã nghỉ")</f>
        <v>Đã nghỉ</v>
      </c>
      <c r="C400" s="46">
        <f ca="1">IFERROR(__xludf.DUMMYFUNCTION("""COMPUTED_VALUE"""),401)</f>
        <v>401</v>
      </c>
      <c r="D400" s="47" t="str">
        <f ca="1">IFERROR(__xludf.DUMMYFUNCTION("""COMPUTED_VALUE"""),"C0153")</f>
        <v>C0153</v>
      </c>
      <c r="E400" s="46" t="str">
        <f ca="1">IFERROR(__xludf.DUMMYFUNCTION("""COMPUTED_VALUE"""),"PHAN HUỲNH NGỌC KHÁNH")</f>
        <v>PHAN HUỲNH NGỌC KHÁNH</v>
      </c>
      <c r="F400" s="46" t="str">
        <f ca="1">IFERROR(__xludf.DUMMYFUNCTION("""COMPUTED_VALUE"""),"PHAN HUYNH NGOC KHANH")</f>
        <v>PHAN HUYNH NGOC KHANH</v>
      </c>
      <c r="G400" s="45">
        <f ca="1">IFERROR(__xludf.DUMMYFUNCTION("""COMPUTED_VALUE"""),34937.5833333333)</f>
        <v>34937.583333333299</v>
      </c>
      <c r="H400" s="45" t="str">
        <f ca="1">IFERROR(__xludf.DUMMYFUNCTION("""COMPUTED_VALUE"""),"TLC")</f>
        <v>TLC</v>
      </c>
      <c r="I400" s="46" t="str">
        <f ca="1">IFERROR(__xludf.DUMMYFUNCTION("""COMPUTED_VALUE"""),"HO")</f>
        <v>HO</v>
      </c>
      <c r="J400" s="46" t="str">
        <f ca="1">IFERROR(__xludf.DUMMYFUNCTION("""COMPUTED_VALUE"""),"CUS")</f>
        <v>CUS</v>
      </c>
      <c r="K400" s="46" t="str">
        <f ca="1">IFERROR(__xludf.DUMMYFUNCTION("""COMPUTED_VALUE"""),"CUS")</f>
        <v>CUS</v>
      </c>
      <c r="L400" s="46" t="str">
        <f ca="1">IFERROR(__xludf.DUMMYFUNCTION("""COMPUTED_VALUE"""),"PRO")</f>
        <v>PRO</v>
      </c>
      <c r="M400" s="46" t="str">
        <f ca="1">IFERROR(__xludf.DUMMYFUNCTION("""COMPUTED_VALUE"""),"Leave")</f>
        <v>Leave</v>
      </c>
      <c r="N400" s="46" t="str">
        <f ca="1">IFERROR(__xludf.DUMMYFUNCTION("""COMPUTED_VALUE"""),"x")</f>
        <v>x</v>
      </c>
    </row>
    <row r="401" spans="1:14">
      <c r="A401" s="45">
        <f ca="1">IFERROR(__xludf.DUMMYFUNCTION("""COMPUTED_VALUE"""),45229.5833333333)</f>
        <v>45229.583333333299</v>
      </c>
      <c r="B401" s="45">
        <f ca="1">IFERROR(__xludf.DUMMYFUNCTION("""COMPUTED_VALUE"""),45913.5833333333)</f>
        <v>45913.583333333299</v>
      </c>
      <c r="C401" s="46">
        <f ca="1">IFERROR(__xludf.DUMMYFUNCTION("""COMPUTED_VALUE"""),402)</f>
        <v>402</v>
      </c>
      <c r="D401" s="47" t="str">
        <f ca="1">IFERROR(__xludf.DUMMYFUNCTION("""COMPUTED_VALUE"""),"C0154")</f>
        <v>C0154</v>
      </c>
      <c r="E401" s="46" t="str">
        <f ca="1">IFERROR(__xludf.DUMMYFUNCTION("""COMPUTED_VALUE"""),"TRẦN LÝ MỸ UYÊN")</f>
        <v>TRẦN LÝ MỸ UYÊN</v>
      </c>
      <c r="F401" s="46" t="str">
        <f ca="1">IFERROR(__xludf.DUMMYFUNCTION("""COMPUTED_VALUE"""),"TRAN LY MY UYEN")</f>
        <v>TRAN LY MY UYEN</v>
      </c>
      <c r="G401" s="45">
        <f ca="1">IFERROR(__xludf.DUMMYFUNCTION("""COMPUTED_VALUE"""),36678.5833333333)</f>
        <v>36678.583333333299</v>
      </c>
      <c r="H401" s="45" t="str">
        <f ca="1">IFERROR(__xludf.DUMMYFUNCTION("""COMPUTED_VALUE"""),"BAKES")</f>
        <v>BAKES</v>
      </c>
      <c r="I401" s="46" t="str">
        <f ca="1">IFERROR(__xludf.DUMMYFUNCTION("""COMPUTED_VALUE"""),"HO")</f>
        <v>HO</v>
      </c>
      <c r="J401" s="46" t="str">
        <f ca="1">IFERROR(__xludf.DUMMYFUNCTION("""COMPUTED_VALUE"""),"BE")</f>
        <v>BE</v>
      </c>
      <c r="K401" s="46" t="str">
        <f ca="1">IFERROR(__xludf.DUMMYFUNCTION("""COMPUTED_VALUE"""),"BE")</f>
        <v>BE</v>
      </c>
      <c r="L401" s="46" t="str">
        <f ca="1">IFERROR(__xludf.DUMMYFUNCTION("""COMPUTED_VALUE"""),"FTE")</f>
        <v>FTE</v>
      </c>
      <c r="M401" s="46" t="str">
        <f ca="1">IFERROR(__xludf.DUMMYFUNCTION("""COMPUTED_VALUE"""),"Leave")</f>
        <v>Leave</v>
      </c>
      <c r="N401" s="46" t="str">
        <f ca="1">IFERROR(__xludf.DUMMYFUNCTION("""COMPUTED_VALUE"""),"đủ")</f>
        <v>đủ</v>
      </c>
    </row>
    <row r="402" spans="1:14">
      <c r="A402" s="45">
        <f ca="1">IFERROR(__xludf.DUMMYFUNCTION("""COMPUTED_VALUE"""),45243.625)</f>
        <v>45243.625</v>
      </c>
      <c r="B402" s="45" t="str">
        <f ca="1">IFERROR(__xludf.DUMMYFUNCTION("""COMPUTED_VALUE"""),"Đã nghỉ")</f>
        <v>Đã nghỉ</v>
      </c>
      <c r="C402" s="46">
        <f ca="1">IFERROR(__xludf.DUMMYFUNCTION("""COMPUTED_VALUE"""),403)</f>
        <v>403</v>
      </c>
      <c r="D402" s="47" t="str">
        <f ca="1">IFERROR(__xludf.DUMMYFUNCTION("""COMPUTED_VALUE"""),"C0155")</f>
        <v>C0155</v>
      </c>
      <c r="E402" s="46" t="str">
        <f ca="1">IFERROR(__xludf.DUMMYFUNCTION("""COMPUTED_VALUE"""),"NGUYÊN TƯỜNG VI")</f>
        <v>NGUYÊN TƯỜNG VI</v>
      </c>
      <c r="F402" s="46" t="str">
        <f ca="1">IFERROR(__xludf.DUMMYFUNCTION("""COMPUTED_VALUE"""),"NGUYEN TUONG VI")</f>
        <v>NGUYEN TUONG VI</v>
      </c>
      <c r="G402" s="45">
        <f ca="1">IFERROR(__xludf.DUMMYFUNCTION("""COMPUTED_VALUE"""),35822.625)</f>
        <v>35822.625</v>
      </c>
      <c r="H402" s="45" t="str">
        <f ca="1">IFERROR(__xludf.DUMMYFUNCTION("""COMPUTED_VALUE"""),"CREATIVE")</f>
        <v>CREATIVE</v>
      </c>
      <c r="I402" s="46" t="str">
        <f ca="1">IFERROR(__xludf.DUMMYFUNCTION("""COMPUTED_VALUE"""),"HO")</f>
        <v>HO</v>
      </c>
      <c r="J402" s="46" t="str">
        <f ca="1">IFERROR(__xludf.DUMMYFUNCTION("""COMPUTED_VALUE"""),"HRD")</f>
        <v>HRD</v>
      </c>
      <c r="K402" s="46" t="str">
        <f ca="1">IFERROR(__xludf.DUMMYFUNCTION("""COMPUTED_VALUE"""),"HRD")</f>
        <v>HRD</v>
      </c>
      <c r="L402" s="46" t="str">
        <f ca="1">IFERROR(__xludf.DUMMYFUNCTION("""COMPUTED_VALUE"""),"PRO")</f>
        <v>PRO</v>
      </c>
      <c r="M402" s="46" t="str">
        <f ca="1">IFERROR(__xludf.DUMMYFUNCTION("""COMPUTED_VALUE"""),"Leave")</f>
        <v>Leave</v>
      </c>
      <c r="N402" s="46" t="str">
        <f ca="1">IFERROR(__xludf.DUMMYFUNCTION("""COMPUTED_VALUE"""),"x")</f>
        <v>x</v>
      </c>
    </row>
    <row r="403" spans="1:14">
      <c r="A403" s="45">
        <f ca="1">IFERROR(__xludf.DUMMYFUNCTION("""COMPUTED_VALUE"""),45225.5833333333)</f>
        <v>45225.583333333299</v>
      </c>
      <c r="B403" s="45">
        <f ca="1">IFERROR(__xludf.DUMMYFUNCTION("""COMPUTED_VALUE"""),45292.625)</f>
        <v>45292.625</v>
      </c>
      <c r="C403" s="46">
        <f ca="1">IFERROR(__xludf.DUMMYFUNCTION("""COMPUTED_VALUE"""),404)</f>
        <v>404</v>
      </c>
      <c r="D403" s="47" t="str">
        <f ca="1">IFERROR(__xludf.DUMMYFUNCTION("""COMPUTED_VALUE"""),"C0156")</f>
        <v>C0156</v>
      </c>
      <c r="E403" s="46" t="str">
        <f ca="1">IFERROR(__xludf.DUMMYFUNCTION("""COMPUTED_VALUE"""),"NGUYỄN HOÀNG PHI TRƯỜNG")</f>
        <v>NGUYỄN HOÀNG PHI TRƯỜNG</v>
      </c>
      <c r="F403" s="46" t="str">
        <f ca="1">IFERROR(__xludf.DUMMYFUNCTION("""COMPUTED_VALUE"""),"NGUYEN HOANG PHI TRUONG")</f>
        <v>NGUYEN HOANG PHI TRUONG</v>
      </c>
      <c r="G403" s="45">
        <f ca="1">IFERROR(__xludf.DUMMYFUNCTION("""COMPUTED_VALUE"""),36493.625)</f>
        <v>36493.625</v>
      </c>
      <c r="H403" s="45" t="str">
        <f ca="1">IFERROR(__xludf.DUMMYFUNCTION("""COMPUTED_VALUE"""),"KITCHEN PASTRY")</f>
        <v>KITCHEN PASTRY</v>
      </c>
      <c r="I403" s="46" t="str">
        <f ca="1">IFERROR(__xludf.DUMMYFUNCTION("""COMPUTED_VALUE"""),"KITCHEN PASTRY")</f>
        <v>KITCHEN PASTRY</v>
      </c>
      <c r="J403" s="46" t="str">
        <f ca="1">IFERROR(__xludf.DUMMYFUNCTION("""COMPUTED_VALUE"""),"KITCHEN PASTRY")</f>
        <v>KITCHEN PASTRY</v>
      </c>
      <c r="K403" s="46" t="str">
        <f ca="1">IFERROR(__xludf.DUMMYFUNCTION("""COMPUTED_VALUE"""),"KIT")</f>
        <v>KIT</v>
      </c>
      <c r="L403" s="46" t="str">
        <f ca="1">IFERROR(__xludf.DUMMYFUNCTION("""COMPUTED_VALUE"""),"PTE")</f>
        <v>PTE</v>
      </c>
      <c r="M403" s="46" t="str">
        <f ca="1">IFERROR(__xludf.DUMMYFUNCTION("""COMPUTED_VALUE"""),"Leave")</f>
        <v>Leave</v>
      </c>
      <c r="N403" s="46" t="str">
        <f ca="1">IFERROR(__xludf.DUMMYFUNCTION("""COMPUTED_VALUE"""),"x")</f>
        <v>x</v>
      </c>
    </row>
    <row r="404" spans="1:14">
      <c r="A404" s="45">
        <f ca="1">IFERROR(__xludf.DUMMYFUNCTION("""COMPUTED_VALUE"""),45200.5833333333)</f>
        <v>45200.583333333299</v>
      </c>
      <c r="B404" s="45">
        <f ca="1">IFERROR(__xludf.DUMMYFUNCTION("""COMPUTED_VALUE"""),45369.5833333333)</f>
        <v>45369.583333333299</v>
      </c>
      <c r="C404" s="46">
        <f ca="1">IFERROR(__xludf.DUMMYFUNCTION("""COMPUTED_VALUE"""),405)</f>
        <v>405</v>
      </c>
      <c r="D404" s="47" t="str">
        <f ca="1">IFERROR(__xludf.DUMMYFUNCTION("""COMPUTED_VALUE"""),"C0157")</f>
        <v>C0157</v>
      </c>
      <c r="E404" s="46" t="str">
        <f ca="1">IFERROR(__xludf.DUMMYFUNCTION("""COMPUTED_VALUE"""),"NGUYỄN HỮU HUY")</f>
        <v>NGUYỄN HỮU HUY</v>
      </c>
      <c r="F404" s="46" t="str">
        <f ca="1">IFERROR(__xludf.DUMMYFUNCTION("""COMPUTED_VALUE"""),"NGUYEN HUU HUY")</f>
        <v>NGUYEN HUU HUY</v>
      </c>
      <c r="G404" s="45">
        <f ca="1">IFERROR(__xludf.DUMMYFUNCTION("""COMPUTED_VALUE"""),37146.5833333333)</f>
        <v>37146.583333333299</v>
      </c>
      <c r="H404" s="45" t="str">
        <f ca="1">IFERROR(__xludf.DUMMYFUNCTION("""COMPUTED_VALUE"""),"TLC")</f>
        <v>TLC</v>
      </c>
      <c r="I404" s="46" t="str">
        <f ca="1">IFERROR(__xludf.DUMMYFUNCTION("""COMPUTED_VALUE"""),"STORE")</f>
        <v>STORE</v>
      </c>
      <c r="J404" s="46" t="str">
        <f ca="1">IFERROR(__xludf.DUMMYFUNCTION("""COMPUTED_VALUE"""),"BAKES HCR")</f>
        <v>BAKES HCR</v>
      </c>
      <c r="K404" s="46" t="str">
        <f ca="1">IFERROR(__xludf.DUMMYFUNCTION("""COMPUTED_VALUE"""),"STR")</f>
        <v>STR</v>
      </c>
      <c r="L404" s="46" t="str">
        <f ca="1">IFERROR(__xludf.DUMMYFUNCTION("""COMPUTED_VALUE"""),"PTE")</f>
        <v>PTE</v>
      </c>
      <c r="M404" s="46" t="str">
        <f ca="1">IFERROR(__xludf.DUMMYFUNCTION("""COMPUTED_VALUE"""),"Leave")</f>
        <v>Leave</v>
      </c>
      <c r="N404" s="46" t="str">
        <f ca="1">IFERROR(__xludf.DUMMYFUNCTION("""COMPUTED_VALUE"""),"x")</f>
        <v>x</v>
      </c>
    </row>
    <row r="405" spans="1:14">
      <c r="A405" s="45">
        <f ca="1">IFERROR(__xludf.DUMMYFUNCTION("""COMPUTED_VALUE"""),45201.5833333333)</f>
        <v>45201.583333333299</v>
      </c>
      <c r="B405" s="45">
        <f ca="1">IFERROR(__xludf.DUMMYFUNCTION("""COMPUTED_VALUE"""),45413.5833333333)</f>
        <v>45413.583333333299</v>
      </c>
      <c r="C405" s="46">
        <f ca="1">IFERROR(__xludf.DUMMYFUNCTION("""COMPUTED_VALUE"""),406)</f>
        <v>406</v>
      </c>
      <c r="D405" s="47" t="str">
        <f ca="1">IFERROR(__xludf.DUMMYFUNCTION("""COMPUTED_VALUE"""),"C0158")</f>
        <v>C0158</v>
      </c>
      <c r="E405" s="46" t="str">
        <f ca="1">IFERROR(__xludf.DUMMYFUNCTION("""COMPUTED_VALUE"""),"ĐINH THỊ NGỌC HỒNG")</f>
        <v>ĐINH THỊ NGỌC HỒNG</v>
      </c>
      <c r="F405" s="46" t="str">
        <f ca="1">IFERROR(__xludf.DUMMYFUNCTION("""COMPUTED_VALUE"""),"DINH THI NGOC HONG")</f>
        <v>DINH THI NGOC HONG</v>
      </c>
      <c r="G405" s="45">
        <f ca="1">IFERROR(__xludf.DUMMYFUNCTION("""COMPUTED_VALUE"""),37837.5833333333)</f>
        <v>37837.583333333299</v>
      </c>
      <c r="H405" s="45" t="str">
        <f ca="1">IFERROR(__xludf.DUMMYFUNCTION("""COMPUTED_VALUE"""),"TLC")</f>
        <v>TLC</v>
      </c>
      <c r="I405" s="46" t="str">
        <f ca="1">IFERROR(__xludf.DUMMYFUNCTION("""COMPUTED_VALUE"""),"STORE")</f>
        <v>STORE</v>
      </c>
      <c r="J405" s="46" t="str">
        <f ca="1">IFERROR(__xludf.DUMMYFUNCTION("""COMPUTED_VALUE"""),"BLANK LOUNGE")</f>
        <v>BLANK LOUNGE</v>
      </c>
      <c r="K405" s="46" t="str">
        <f ca="1">IFERROR(__xludf.DUMMYFUNCTION("""COMPUTED_VALUE"""),"STR")</f>
        <v>STR</v>
      </c>
      <c r="L405" s="46" t="str">
        <f ca="1">IFERROR(__xludf.DUMMYFUNCTION("""COMPUTED_VALUE"""),"PTE")</f>
        <v>PTE</v>
      </c>
      <c r="M405" s="46" t="str">
        <f ca="1">IFERROR(__xludf.DUMMYFUNCTION("""COMPUTED_VALUE"""),"Leave")</f>
        <v>Leave</v>
      </c>
      <c r="N405" s="46" t="str">
        <f ca="1">IFERROR(__xludf.DUMMYFUNCTION("""COMPUTED_VALUE"""),"x")</f>
        <v>x</v>
      </c>
    </row>
    <row r="406" spans="1:14">
      <c r="A406" s="45">
        <f ca="1">IFERROR(__xludf.DUMMYFUNCTION("""COMPUTED_VALUE"""),45200.5833333333)</f>
        <v>45200.583333333299</v>
      </c>
      <c r="B406" s="45">
        <f ca="1">IFERROR(__xludf.DUMMYFUNCTION("""COMPUTED_VALUE"""),45328.625)</f>
        <v>45328.625</v>
      </c>
      <c r="C406" s="46">
        <f ca="1">IFERROR(__xludf.DUMMYFUNCTION("""COMPUTED_VALUE"""),407)</f>
        <v>407</v>
      </c>
      <c r="D406" s="47" t="str">
        <f ca="1">IFERROR(__xludf.DUMMYFUNCTION("""COMPUTED_VALUE"""),"C0160")</f>
        <v>C0160</v>
      </c>
      <c r="E406" s="46" t="str">
        <f ca="1">IFERROR(__xludf.DUMMYFUNCTION("""COMPUTED_VALUE"""),"PHẠM XUÂN TRƯỜNG")</f>
        <v>PHẠM XUÂN TRƯỜNG</v>
      </c>
      <c r="F406" s="46" t="str">
        <f ca="1">IFERROR(__xludf.DUMMYFUNCTION("""COMPUTED_VALUE"""),"PHAM XUAN TRUONG")</f>
        <v>PHAM XUAN TRUONG</v>
      </c>
      <c r="G406" s="45">
        <f ca="1">IFERROR(__xludf.DUMMYFUNCTION("""COMPUTED_VALUE"""),38098.5833333333)</f>
        <v>38098.583333333299</v>
      </c>
      <c r="H406" s="45" t="str">
        <f ca="1">IFERROR(__xludf.DUMMYFUNCTION("""COMPUTED_VALUE"""),"SHADOW")</f>
        <v>SHADOW</v>
      </c>
      <c r="I406" s="46" t="str">
        <f ca="1">IFERROR(__xludf.DUMMYFUNCTION("""COMPUTED_VALUE"""),"KITCHEN PASTRY")</f>
        <v>KITCHEN PASTRY</v>
      </c>
      <c r="J406" s="46" t="str">
        <f ca="1">IFERROR(__xludf.DUMMYFUNCTION("""COMPUTED_VALUE"""),"BAKES PASTEUR")</f>
        <v>BAKES PASTEUR</v>
      </c>
      <c r="K406" s="46" t="str">
        <f ca="1">IFERROR(__xludf.DUMMYFUNCTION("""COMPUTED_VALUE"""),"KIT")</f>
        <v>KIT</v>
      </c>
      <c r="L406" s="46" t="str">
        <f ca="1">IFERROR(__xludf.DUMMYFUNCTION("""COMPUTED_VALUE"""),"PTE")</f>
        <v>PTE</v>
      </c>
      <c r="M406" s="46" t="str">
        <f ca="1">IFERROR(__xludf.DUMMYFUNCTION("""COMPUTED_VALUE"""),"Leave")</f>
        <v>Leave</v>
      </c>
      <c r="N406" s="46" t="str">
        <f ca="1">IFERROR(__xludf.DUMMYFUNCTION("""COMPUTED_VALUE"""),"x")</f>
        <v>x</v>
      </c>
    </row>
    <row r="407" spans="1:14">
      <c r="A407" s="45">
        <f ca="1">IFERROR(__xludf.DUMMYFUNCTION("""COMPUTED_VALUE"""),45223.5833333333)</f>
        <v>45223.583333333299</v>
      </c>
      <c r="B407" s="45">
        <f ca="1">IFERROR(__xludf.DUMMYFUNCTION("""COMPUTED_VALUE"""),45433.5833333333)</f>
        <v>45433.583333333299</v>
      </c>
      <c r="C407" s="46">
        <f ca="1">IFERROR(__xludf.DUMMYFUNCTION("""COMPUTED_VALUE"""),408)</f>
        <v>408</v>
      </c>
      <c r="D407" s="47" t="str">
        <f ca="1">IFERROR(__xludf.DUMMYFUNCTION("""COMPUTED_VALUE"""),"C0161")</f>
        <v>C0161</v>
      </c>
      <c r="E407" s="46" t="str">
        <f ca="1">IFERROR(__xludf.DUMMYFUNCTION("""COMPUTED_VALUE"""),"NGUYỄN THÙY DƯƠNG")</f>
        <v>NGUYỄN THÙY DƯƠNG</v>
      </c>
      <c r="F407" s="46" t="str">
        <f ca="1">IFERROR(__xludf.DUMMYFUNCTION("""COMPUTED_VALUE"""),"NGUYEN THUY DUONG")</f>
        <v>NGUYEN THUY DUONG</v>
      </c>
      <c r="G407" s="45">
        <f ca="1">IFERROR(__xludf.DUMMYFUNCTION("""COMPUTED_VALUE"""),34834.5833333333)</f>
        <v>34834.583333333299</v>
      </c>
      <c r="H407" s="45" t="str">
        <f ca="1">IFERROR(__xludf.DUMMYFUNCTION("""COMPUTED_VALUE"""),"KITCHEN PASTRY")</f>
        <v>KITCHEN PASTRY</v>
      </c>
      <c r="I407" s="46" t="str">
        <f ca="1">IFERROR(__xludf.DUMMYFUNCTION("""COMPUTED_VALUE"""),"KITCHEN PASTRY")</f>
        <v>KITCHEN PASTRY</v>
      </c>
      <c r="J407" s="46" t="str">
        <f ca="1">IFERROR(__xludf.DUMMYFUNCTION("""COMPUTED_VALUE"""),"KITCHEN PASTRY")</f>
        <v>KITCHEN PASTRY</v>
      </c>
      <c r="K407" s="46" t="str">
        <f ca="1">IFERROR(__xludf.DUMMYFUNCTION("""COMPUTED_VALUE"""),"KIT")</f>
        <v>KIT</v>
      </c>
      <c r="L407" s="46" t="str">
        <f ca="1">IFERROR(__xludf.DUMMYFUNCTION("""COMPUTED_VALUE"""),"PTE")</f>
        <v>PTE</v>
      </c>
      <c r="M407" s="46" t="str">
        <f ca="1">IFERROR(__xludf.DUMMYFUNCTION("""COMPUTED_VALUE"""),"Leave")</f>
        <v>Leave</v>
      </c>
      <c r="N407" s="46" t="str">
        <f ca="1">IFERROR(__xludf.DUMMYFUNCTION("""COMPUTED_VALUE"""),"đủ")</f>
        <v>đủ</v>
      </c>
    </row>
    <row r="408" spans="1:14">
      <c r="A408" s="45">
        <f ca="1">IFERROR(__xludf.DUMMYFUNCTION("""COMPUTED_VALUE"""),45231.5833333333)</f>
        <v>45231.583333333299</v>
      </c>
      <c r="B408" s="45" t="str">
        <f ca="1">IFERROR(__xludf.DUMMYFUNCTION("""COMPUTED_VALUE"""),"Đã nghỉ")</f>
        <v>Đã nghỉ</v>
      </c>
      <c r="C408" s="46">
        <f ca="1">IFERROR(__xludf.DUMMYFUNCTION("""COMPUTED_VALUE"""),409)</f>
        <v>409</v>
      </c>
      <c r="D408" s="47" t="str">
        <f ca="1">IFERROR(__xludf.DUMMYFUNCTION("""COMPUTED_VALUE"""),"C0162")</f>
        <v>C0162</v>
      </c>
      <c r="E408" s="46" t="str">
        <f ca="1">IFERROR(__xludf.DUMMYFUNCTION("""COMPUTED_VALUE"""),"VONGSOUTHY PHAN LUCY NHƯ QUỲNH")</f>
        <v>VONGSOUTHY PHAN LUCY NHƯ QUỲNH</v>
      </c>
      <c r="F408" s="46" t="str">
        <f ca="1">IFERROR(__xludf.DUMMYFUNCTION("""COMPUTED_VALUE"""),"VONGSOUTHY PHAN LUCY NHU QUYNH")</f>
        <v>VONGSOUTHY PHAN LUCY NHU QUYNH</v>
      </c>
      <c r="G408" s="45">
        <f ca="1">IFERROR(__xludf.DUMMYFUNCTION("""COMPUTED_VALUE"""),38270.5833333333)</f>
        <v>38270.583333333299</v>
      </c>
      <c r="H408" s="45" t="str">
        <f ca="1">IFERROR(__xludf.DUMMYFUNCTION("""COMPUTED_VALUE"""),"TLC")</f>
        <v>TLC</v>
      </c>
      <c r="I408" s="46" t="str">
        <f ca="1">IFERROR(__xludf.DUMMYFUNCTION("""COMPUTED_VALUE"""),"KITCHEN PASTRY")</f>
        <v>KITCHEN PASTRY</v>
      </c>
      <c r="J408" s="46" t="str">
        <f ca="1">IFERROR(__xludf.DUMMYFUNCTION("""COMPUTED_VALUE"""),"KITCHEN PASTRY")</f>
        <v>KITCHEN PASTRY</v>
      </c>
      <c r="K408" s="46" t="str">
        <f ca="1">IFERROR(__xludf.DUMMYFUNCTION("""COMPUTED_VALUE"""),"KIT")</f>
        <v>KIT</v>
      </c>
      <c r="L408" s="46" t="str">
        <f ca="1">IFERROR(__xludf.DUMMYFUNCTION("""COMPUTED_VALUE"""),"SER")</f>
        <v>SER</v>
      </c>
      <c r="M408" s="46" t="str">
        <f ca="1">IFERROR(__xludf.DUMMYFUNCTION("""COMPUTED_VALUE"""),"Leave")</f>
        <v>Leave</v>
      </c>
      <c r="N408" s="46" t="str">
        <f ca="1">IFERROR(__xludf.DUMMYFUNCTION("""COMPUTED_VALUE"""),"x")</f>
        <v>x</v>
      </c>
    </row>
    <row r="409" spans="1:14">
      <c r="A409" s="45">
        <f ca="1">IFERROR(__xludf.DUMMYFUNCTION("""COMPUTED_VALUE"""),45243.625)</f>
        <v>45243.625</v>
      </c>
      <c r="B409" s="45" t="str">
        <f ca="1">IFERROR(__xludf.DUMMYFUNCTION("""COMPUTED_VALUE"""),"Đã nghỉ")</f>
        <v>Đã nghỉ</v>
      </c>
      <c r="C409" s="46">
        <f ca="1">IFERROR(__xludf.DUMMYFUNCTION("""COMPUTED_VALUE"""),410)</f>
        <v>410</v>
      </c>
      <c r="D409" s="47" t="str">
        <f ca="1">IFERROR(__xludf.DUMMYFUNCTION("""COMPUTED_VALUE"""),"C0164")</f>
        <v>C0164</v>
      </c>
      <c r="E409" s="46" t="str">
        <f ca="1">IFERROR(__xludf.DUMMYFUNCTION("""COMPUTED_VALUE"""),"PHẠM MINH NGỌC")</f>
        <v>PHẠM MINH NGỌC</v>
      </c>
      <c r="F409" s="46" t="str">
        <f ca="1">IFERROR(__xludf.DUMMYFUNCTION("""COMPUTED_VALUE"""),"PHAM MINH NGOC")</f>
        <v>PHAM MINH NGOC</v>
      </c>
      <c r="G409" s="45">
        <f ca="1">IFERROR(__xludf.DUMMYFUNCTION("""COMPUTED_VALUE"""),36530.625)</f>
        <v>36530.625</v>
      </c>
      <c r="H409" s="45" t="str">
        <f ca="1">IFERROR(__xludf.DUMMYFUNCTION("""COMPUTED_VALUE"""),"BAKES")</f>
        <v>BAKES</v>
      </c>
      <c r="I409" s="46" t="str">
        <f ca="1">IFERROR(__xludf.DUMMYFUNCTION("""COMPUTED_VALUE"""),"HO")</f>
        <v>HO</v>
      </c>
      <c r="J409" s="46" t="str">
        <f ca="1">IFERROR(__xludf.DUMMYFUNCTION("""COMPUTED_VALUE"""),"SAL")</f>
        <v>SAL</v>
      </c>
      <c r="K409" s="46" t="str">
        <f ca="1">IFERROR(__xludf.DUMMYFUNCTION("""COMPUTED_VALUE"""),"SAL")</f>
        <v>SAL</v>
      </c>
      <c r="L409" s="46" t="str">
        <f ca="1">IFERROR(__xludf.DUMMYFUNCTION("""COMPUTED_VALUE"""),"PRO")</f>
        <v>PRO</v>
      </c>
      <c r="M409" s="46" t="str">
        <f ca="1">IFERROR(__xludf.DUMMYFUNCTION("""COMPUTED_VALUE"""),"Leave")</f>
        <v>Leave</v>
      </c>
      <c r="N409" s="46" t="str">
        <f ca="1">IFERROR(__xludf.DUMMYFUNCTION("""COMPUTED_VALUE"""),"đủ")</f>
        <v>đủ</v>
      </c>
    </row>
    <row r="410" spans="1:14">
      <c r="A410" s="45">
        <f ca="1">IFERROR(__xludf.DUMMYFUNCTION("""COMPUTED_VALUE"""),45243.625)</f>
        <v>45243.625</v>
      </c>
      <c r="B410" s="45">
        <f ca="1">IFERROR(__xludf.DUMMYFUNCTION("""COMPUTED_VALUE"""),45463.5833333333)</f>
        <v>45463.583333333299</v>
      </c>
      <c r="C410" s="46">
        <f ca="1">IFERROR(__xludf.DUMMYFUNCTION("""COMPUTED_VALUE"""),411)</f>
        <v>411</v>
      </c>
      <c r="D410" s="47" t="str">
        <f ca="1">IFERROR(__xludf.DUMMYFUNCTION("""COMPUTED_VALUE"""),"C0165")</f>
        <v>C0165</v>
      </c>
      <c r="E410" s="46" t="str">
        <f ca="1">IFERROR(__xludf.DUMMYFUNCTION("""COMPUTED_VALUE"""),"TRỊNH NGỌC PHƯƠNG THẢO")</f>
        <v>TRỊNH NGỌC PHƯƠNG THẢO</v>
      </c>
      <c r="F410" s="46" t="str">
        <f ca="1">IFERROR(__xludf.DUMMYFUNCTION("""COMPUTED_VALUE"""),"TRINH NGOC PHUONG THAO")</f>
        <v>TRINH NGOC PHUONG THAO</v>
      </c>
      <c r="G410" s="45">
        <f ca="1">IFERROR(__xludf.DUMMYFUNCTION("""COMPUTED_VALUE"""),35644.5833333333)</f>
        <v>35644.583333333299</v>
      </c>
      <c r="H410" s="45" t="str">
        <f ca="1">IFERROR(__xludf.DUMMYFUNCTION("""COMPUTED_VALUE"""),"BAKES")</f>
        <v>BAKES</v>
      </c>
      <c r="I410" s="46" t="str">
        <f ca="1">IFERROR(__xludf.DUMMYFUNCTION("""COMPUTED_VALUE"""),"STORE")</f>
        <v>STORE</v>
      </c>
      <c r="J410" s="46" t="str">
        <f ca="1">IFERROR(__xludf.DUMMYFUNCTION("""COMPUTED_VALUE"""),"BAKES D2")</f>
        <v>BAKES D2</v>
      </c>
      <c r="K410" s="46" t="str">
        <f ca="1">IFERROR(__xludf.DUMMYFUNCTION("""COMPUTED_VALUE"""),"Management team")</f>
        <v>Management team</v>
      </c>
      <c r="L410" s="46" t="str">
        <f ca="1">IFERROR(__xludf.DUMMYFUNCTION("""COMPUTED_VALUE"""),"FTE")</f>
        <v>FTE</v>
      </c>
      <c r="M410" s="46" t="str">
        <f ca="1">IFERROR(__xludf.DUMMYFUNCTION("""COMPUTED_VALUE"""),"Leave")</f>
        <v>Leave</v>
      </c>
      <c r="N410" s="46" t="str">
        <f ca="1">IFERROR(__xludf.DUMMYFUNCTION("""COMPUTED_VALUE"""),"x")</f>
        <v>x</v>
      </c>
    </row>
    <row r="411" spans="1:14">
      <c r="A411" s="45">
        <f ca="1">IFERROR(__xludf.DUMMYFUNCTION("""COMPUTED_VALUE"""),45243.625)</f>
        <v>45243.625</v>
      </c>
      <c r="B411" s="45"/>
      <c r="C411" s="46">
        <f ca="1">IFERROR(__xludf.DUMMYFUNCTION("""COMPUTED_VALUE"""),412)</f>
        <v>412</v>
      </c>
      <c r="D411" s="47" t="str">
        <f ca="1">IFERROR(__xludf.DUMMYFUNCTION("""COMPUTED_VALUE"""),"C0166")</f>
        <v>C0166</v>
      </c>
      <c r="E411" s="46" t="str">
        <f ca="1">IFERROR(__xludf.DUMMYFUNCTION("""COMPUTED_VALUE"""),"PHAN NGỌC DIỆU THU")</f>
        <v>PHAN NGỌC DIỆU THU</v>
      </c>
      <c r="F411" s="46" t="str">
        <f ca="1">IFERROR(__xludf.DUMMYFUNCTION("""COMPUTED_VALUE"""),"PHAN NGOC DIEU THU")</f>
        <v>PHAN NGOC DIEU THU</v>
      </c>
      <c r="G411" s="45">
        <f ca="1">IFERROR(__xludf.DUMMYFUNCTION("""COMPUTED_VALUE"""),37147.5833333333)</f>
        <v>37147.583333333299</v>
      </c>
      <c r="H411" s="45" t="str">
        <f ca="1">IFERROR(__xludf.DUMMYFUNCTION("""COMPUTED_VALUE"""),"TLC")</f>
        <v>TLC</v>
      </c>
      <c r="I411" s="46" t="str">
        <f ca="1">IFERROR(__xludf.DUMMYFUNCTION("""COMPUTED_VALUE"""),"HO")</f>
        <v>HO</v>
      </c>
      <c r="J411" s="46" t="str">
        <f ca="1">IFERROR(__xludf.DUMMYFUNCTION("""COMPUTED_VALUE"""),"BE")</f>
        <v>BE</v>
      </c>
      <c r="K411" s="46" t="str">
        <f ca="1">IFERROR(__xludf.DUMMYFUNCTION("""COMPUTED_VALUE"""),"BE")</f>
        <v>BE</v>
      </c>
      <c r="L411" s="46" t="str">
        <f ca="1">IFERROR(__xludf.DUMMYFUNCTION("""COMPUTED_VALUE"""),"FTE")</f>
        <v>FTE</v>
      </c>
      <c r="M411" s="46" t="str">
        <f ca="1">IFERROR(__xludf.DUMMYFUNCTION("""COMPUTED_VALUE"""),"On")</f>
        <v>On</v>
      </c>
      <c r="N411" s="46" t="str">
        <f ca="1">IFERROR(__xludf.DUMMYFUNCTION("""COMPUTED_VALUE"""),"đủ")</f>
        <v>đủ</v>
      </c>
    </row>
    <row r="412" spans="1:14">
      <c r="A412" s="45">
        <f ca="1">IFERROR(__xludf.DUMMYFUNCTION("""COMPUTED_VALUE"""),45245.625)</f>
        <v>45245.625</v>
      </c>
      <c r="B412" s="45"/>
      <c r="C412" s="46">
        <f ca="1">IFERROR(__xludf.DUMMYFUNCTION("""COMPUTED_VALUE"""),413)</f>
        <v>413</v>
      </c>
      <c r="D412" s="47" t="str">
        <f ca="1">IFERROR(__xludf.DUMMYFUNCTION("""COMPUTED_VALUE"""),"C0167")</f>
        <v>C0167</v>
      </c>
      <c r="E412" s="46" t="str">
        <f ca="1">IFERROR(__xludf.DUMMYFUNCTION("""COMPUTED_VALUE"""),"TRƯƠNG CHÍ HÀO")</f>
        <v>TRƯƠNG CHÍ HÀO</v>
      </c>
      <c r="F412" s="46" t="str">
        <f ca="1">IFERROR(__xludf.DUMMYFUNCTION("""COMPUTED_VALUE"""),"TRUONG CHI HAO")</f>
        <v>TRUONG CHI HAO</v>
      </c>
      <c r="G412" s="45">
        <f ca="1">IFERROR(__xludf.DUMMYFUNCTION("""COMPUTED_VALUE"""),36400.5833333333)</f>
        <v>36400.583333333299</v>
      </c>
      <c r="H412" s="45" t="str">
        <f ca="1">IFERROR(__xludf.DUMMYFUNCTION("""COMPUTED_VALUE"""),"CREATIVE")</f>
        <v>CREATIVE</v>
      </c>
      <c r="I412" s="46" t="str">
        <f ca="1">IFERROR(__xludf.DUMMYFUNCTION("""COMPUTED_VALUE"""),"HO")</f>
        <v>HO</v>
      </c>
      <c r="J412" s="46" t="str">
        <f ca="1">IFERROR(__xludf.DUMMYFUNCTION("""COMPUTED_VALUE"""),"BDT")</f>
        <v>BDT</v>
      </c>
      <c r="K412" s="46" t="str">
        <f ca="1">IFERROR(__xludf.DUMMYFUNCTION("""COMPUTED_VALUE"""),"BDT")</f>
        <v>BDT</v>
      </c>
      <c r="L412" s="46" t="str">
        <f ca="1">IFERROR(__xludf.DUMMYFUNCTION("""COMPUTED_VALUE"""),"FTE")</f>
        <v>FTE</v>
      </c>
      <c r="M412" s="46" t="str">
        <f ca="1">IFERROR(__xludf.DUMMYFUNCTION("""COMPUTED_VALUE"""),"On")</f>
        <v>On</v>
      </c>
      <c r="N412" s="46" t="str">
        <f ca="1">IFERROR(__xludf.DUMMYFUNCTION("""COMPUTED_VALUE"""),"đủ")</f>
        <v>đủ</v>
      </c>
    </row>
    <row r="413" spans="1:14">
      <c r="A413" s="45">
        <f ca="1">IFERROR(__xludf.DUMMYFUNCTION("""COMPUTED_VALUE"""),45237.625)</f>
        <v>45237.625</v>
      </c>
      <c r="B413" s="45">
        <f ca="1">IFERROR(__xludf.DUMMYFUNCTION("""COMPUTED_VALUE"""),45293.625)</f>
        <v>45293.625</v>
      </c>
      <c r="C413" s="46">
        <f ca="1">IFERROR(__xludf.DUMMYFUNCTION("""COMPUTED_VALUE"""),414)</f>
        <v>414</v>
      </c>
      <c r="D413" s="47" t="str">
        <f ca="1">IFERROR(__xludf.DUMMYFUNCTION("""COMPUTED_VALUE"""),"C0168")</f>
        <v>C0168</v>
      </c>
      <c r="E413" s="46" t="str">
        <f ca="1">IFERROR(__xludf.DUMMYFUNCTION("""COMPUTED_VALUE"""),"NGUYỄN MAI HUỆ MẪN")</f>
        <v>NGUYỄN MAI HUỆ MẪN</v>
      </c>
      <c r="F413" s="46" t="str">
        <f ca="1">IFERROR(__xludf.DUMMYFUNCTION("""COMPUTED_VALUE"""),"NGUYEN MAI HUE MAN")</f>
        <v>NGUYEN MAI HUE MAN</v>
      </c>
      <c r="G413" s="45">
        <f ca="1">IFERROR(__xludf.DUMMYFUNCTION("""COMPUTED_VALUE"""),33932.625)</f>
        <v>33932.625</v>
      </c>
      <c r="H413" s="45" t="str">
        <f ca="1">IFERROR(__xludf.DUMMYFUNCTION("""COMPUTED_VALUE"""),"TLC")</f>
        <v>TLC</v>
      </c>
      <c r="I413" s="46" t="str">
        <f ca="1">IFERROR(__xludf.DUMMYFUNCTION("""COMPUTED_VALUE"""),"KITCHEN PASTRY")</f>
        <v>KITCHEN PASTRY</v>
      </c>
      <c r="J413" s="46" t="str">
        <f ca="1">IFERROR(__xludf.DUMMYFUNCTION("""COMPUTED_VALUE"""),"KITCHEN PASTRY")</f>
        <v>KITCHEN PASTRY</v>
      </c>
      <c r="K413" s="46" t="str">
        <f ca="1">IFERROR(__xludf.DUMMYFUNCTION("""COMPUTED_VALUE"""),"KIT")</f>
        <v>KIT</v>
      </c>
      <c r="L413" s="46" t="str">
        <f ca="1">IFERROR(__xludf.DUMMYFUNCTION("""COMPUTED_VALUE"""),"PTE")</f>
        <v>PTE</v>
      </c>
      <c r="M413" s="46" t="str">
        <f ca="1">IFERROR(__xludf.DUMMYFUNCTION("""COMPUTED_VALUE"""),"Leave")</f>
        <v>Leave</v>
      </c>
      <c r="N413" s="46" t="str">
        <f ca="1">IFERROR(__xludf.DUMMYFUNCTION("""COMPUTED_VALUE"""),"x")</f>
        <v>x</v>
      </c>
    </row>
    <row r="414" spans="1:14">
      <c r="A414" s="45">
        <f ca="1">IFERROR(__xludf.DUMMYFUNCTION("""COMPUTED_VALUE"""),45257.625)</f>
        <v>45257.625</v>
      </c>
      <c r="B414" s="45">
        <f ca="1">IFERROR(__xludf.DUMMYFUNCTION("""COMPUTED_VALUE"""),45293.625)</f>
        <v>45293.625</v>
      </c>
      <c r="C414" s="46">
        <f ca="1">IFERROR(__xludf.DUMMYFUNCTION("""COMPUTED_VALUE"""),415)</f>
        <v>415</v>
      </c>
      <c r="D414" s="47" t="str">
        <f ca="1">IFERROR(__xludf.DUMMYFUNCTION("""COMPUTED_VALUE"""),"C0169")</f>
        <v>C0169</v>
      </c>
      <c r="E414" s="46" t="str">
        <f ca="1">IFERROR(__xludf.DUMMYFUNCTION("""COMPUTED_VALUE"""),"NGUYỄN HỒ QUỲNH HƯƠNG")</f>
        <v>NGUYỄN HỒ QUỲNH HƯƠNG</v>
      </c>
      <c r="F414" s="46" t="str">
        <f ca="1">IFERROR(__xludf.DUMMYFUNCTION("""COMPUTED_VALUE"""),"NGUYEN HO QUYNH HUONG")</f>
        <v>NGUYEN HO QUYNH HUONG</v>
      </c>
      <c r="G414" s="45">
        <f ca="1">IFERROR(__xludf.DUMMYFUNCTION("""COMPUTED_VALUE"""),36418.5833333333)</f>
        <v>36418.583333333299</v>
      </c>
      <c r="H414" s="45" t="str">
        <f ca="1">IFERROR(__xludf.DUMMYFUNCTION("""COMPUTED_VALUE"""),"CREATIVE")</f>
        <v>CREATIVE</v>
      </c>
      <c r="I414" s="46" t="str">
        <f ca="1">IFERROR(__xludf.DUMMYFUNCTION("""COMPUTED_VALUE"""),"HO")</f>
        <v>HO</v>
      </c>
      <c r="J414" s="46" t="str">
        <f ca="1">IFERROR(__xludf.DUMMYFUNCTION("""COMPUTED_VALUE"""),"MKT")</f>
        <v>MKT</v>
      </c>
      <c r="K414" s="46" t="str">
        <f ca="1">IFERROR(__xludf.DUMMYFUNCTION("""COMPUTED_VALUE"""),"MKT")</f>
        <v>MKT</v>
      </c>
      <c r="L414" s="46" t="str">
        <f ca="1">IFERROR(__xludf.DUMMYFUNCTION("""COMPUTED_VALUE"""),"PRO")</f>
        <v>PRO</v>
      </c>
      <c r="M414" s="46" t="str">
        <f ca="1">IFERROR(__xludf.DUMMYFUNCTION("""COMPUTED_VALUE"""),"Leave")</f>
        <v>Leave</v>
      </c>
      <c r="N414" s="46" t="str">
        <f ca="1">IFERROR(__xludf.DUMMYFUNCTION("""COMPUTED_VALUE"""),"x")</f>
        <v>x</v>
      </c>
    </row>
    <row r="415" spans="1:14">
      <c r="A415" s="45">
        <f ca="1">IFERROR(__xludf.DUMMYFUNCTION("""COMPUTED_VALUE"""),45226.5833333333)</f>
        <v>45226.583333333299</v>
      </c>
      <c r="B415" s="45">
        <f ca="1">IFERROR(__xludf.DUMMYFUNCTION("""COMPUTED_VALUE"""),45413.5833333333)</f>
        <v>45413.583333333299</v>
      </c>
      <c r="C415" s="46">
        <f ca="1">IFERROR(__xludf.DUMMYFUNCTION("""COMPUTED_VALUE"""),416)</f>
        <v>416</v>
      </c>
      <c r="D415" s="47" t="str">
        <f ca="1">IFERROR(__xludf.DUMMYFUNCTION("""COMPUTED_VALUE"""),"C0170")</f>
        <v>C0170</v>
      </c>
      <c r="E415" s="46" t="str">
        <f ca="1">IFERROR(__xludf.DUMMYFUNCTION("""COMPUTED_VALUE"""),"NGUYỄN MINH NHI")</f>
        <v>NGUYỄN MINH NHI</v>
      </c>
      <c r="F415" s="46" t="str">
        <f ca="1">IFERROR(__xludf.DUMMYFUNCTION("""COMPUTED_VALUE"""),"NGUYEN MINH NHI")</f>
        <v>NGUYEN MINH NHI</v>
      </c>
      <c r="G415" s="45">
        <f ca="1">IFERROR(__xludf.DUMMYFUNCTION("""COMPUTED_VALUE"""),37378.5833333333)</f>
        <v>37378.583333333299</v>
      </c>
      <c r="H415" s="45" t="str">
        <f ca="1">IFERROR(__xludf.DUMMYFUNCTION("""COMPUTED_VALUE"""),"SHADOW")</f>
        <v>SHADOW</v>
      </c>
      <c r="I415" s="46" t="str">
        <f ca="1">IFERROR(__xludf.DUMMYFUNCTION("""COMPUTED_VALUE"""),"STORE")</f>
        <v>STORE</v>
      </c>
      <c r="J415" s="46" t="str">
        <f ca="1">IFERROR(__xludf.DUMMYFUNCTION("""COMPUTED_VALUE"""),"BAKES PASTEUR")</f>
        <v>BAKES PASTEUR</v>
      </c>
      <c r="K415" s="46" t="str">
        <f ca="1">IFERROR(__xludf.DUMMYFUNCTION("""COMPUTED_VALUE"""),"STR")</f>
        <v>STR</v>
      </c>
      <c r="L415" s="46" t="str">
        <f ca="1">IFERROR(__xludf.DUMMYFUNCTION("""COMPUTED_VALUE"""),"PTE")</f>
        <v>PTE</v>
      </c>
      <c r="M415" s="46" t="str">
        <f ca="1">IFERROR(__xludf.DUMMYFUNCTION("""COMPUTED_VALUE"""),"Leave")</f>
        <v>Leave</v>
      </c>
      <c r="N415" s="46" t="str">
        <f ca="1">IFERROR(__xludf.DUMMYFUNCTION("""COMPUTED_VALUE"""),"x")</f>
        <v>x</v>
      </c>
    </row>
    <row r="416" spans="1:14">
      <c r="A416" s="45">
        <f ca="1">IFERROR(__xludf.DUMMYFUNCTION("""COMPUTED_VALUE"""),45239.625)</f>
        <v>45239.625</v>
      </c>
      <c r="B416" s="45">
        <f ca="1">IFERROR(__xludf.DUMMYFUNCTION("""COMPUTED_VALUE"""),45465.5833333333)</f>
        <v>45465.583333333299</v>
      </c>
      <c r="C416" s="46">
        <f ca="1">IFERROR(__xludf.DUMMYFUNCTION("""COMPUTED_VALUE"""),417)</f>
        <v>417</v>
      </c>
      <c r="D416" s="47" t="str">
        <f ca="1">IFERROR(__xludf.DUMMYFUNCTION("""COMPUTED_VALUE"""),"C0171")</f>
        <v>C0171</v>
      </c>
      <c r="E416" s="46" t="str">
        <f ca="1">IFERROR(__xludf.DUMMYFUNCTION("""COMPUTED_VALUE"""),"LÝ THỊ LAN HƯƠNG")</f>
        <v>LÝ THỊ LAN HƯƠNG</v>
      </c>
      <c r="F416" s="46" t="str">
        <f ca="1">IFERROR(__xludf.DUMMYFUNCTION("""COMPUTED_VALUE"""),"LY THI LAN HUONG")</f>
        <v>LY THI LAN HUONG</v>
      </c>
      <c r="G416" s="45">
        <f ca="1">IFERROR(__xludf.DUMMYFUNCTION("""COMPUTED_VALUE"""),36812.5833333333)</f>
        <v>36812.583333333299</v>
      </c>
      <c r="H416" s="45" t="str">
        <f ca="1">IFERROR(__xludf.DUMMYFUNCTION("""COMPUTED_VALUE"""),"YESHI")</f>
        <v>YESHI</v>
      </c>
      <c r="I416" s="46" t="str">
        <f ca="1">IFERROR(__xludf.DUMMYFUNCTION("""COMPUTED_VALUE"""),"STORE")</f>
        <v>STORE</v>
      </c>
      <c r="J416" s="46" t="str">
        <f ca="1">IFERROR(__xludf.DUMMYFUNCTION("""COMPUTED_VALUE"""),"YESHI D2")</f>
        <v>YESHI D2</v>
      </c>
      <c r="K416" s="46" t="str">
        <f ca="1">IFERROR(__xludf.DUMMYFUNCTION("""COMPUTED_VALUE"""),"KIT")</f>
        <v>KIT</v>
      </c>
      <c r="L416" s="46" t="str">
        <f ca="1">IFERROR(__xludf.DUMMYFUNCTION("""COMPUTED_VALUE"""),"PTE")</f>
        <v>PTE</v>
      </c>
      <c r="M416" s="46" t="str">
        <f ca="1">IFERROR(__xludf.DUMMYFUNCTION("""COMPUTED_VALUE"""),"Leave")</f>
        <v>Leave</v>
      </c>
      <c r="N416" s="46" t="str">
        <f ca="1">IFERROR(__xludf.DUMMYFUNCTION("""COMPUTED_VALUE"""),"x")</f>
        <v>x</v>
      </c>
    </row>
    <row r="417" spans="1:14">
      <c r="A417" s="45">
        <f ca="1">IFERROR(__xludf.DUMMYFUNCTION("""COMPUTED_VALUE"""),45245.625)</f>
        <v>45245.625</v>
      </c>
      <c r="B417" s="45">
        <f ca="1">IFERROR(__xludf.DUMMYFUNCTION("""COMPUTED_VALUE"""),45627.625)</f>
        <v>45627.625</v>
      </c>
      <c r="C417" s="46">
        <f ca="1">IFERROR(__xludf.DUMMYFUNCTION("""COMPUTED_VALUE"""),418)</f>
        <v>418</v>
      </c>
      <c r="D417" s="47" t="str">
        <f ca="1">IFERROR(__xludf.DUMMYFUNCTION("""COMPUTED_VALUE"""),"C0172")</f>
        <v>C0172</v>
      </c>
      <c r="E417" s="46" t="str">
        <f ca="1">IFERROR(__xludf.DUMMYFUNCTION("""COMPUTED_VALUE"""),"HỒ NGUYỄN HOÀI BẢO")</f>
        <v>HỒ NGUYỄN HOÀI BẢO</v>
      </c>
      <c r="F417" s="46" t="str">
        <f ca="1">IFERROR(__xludf.DUMMYFUNCTION("""COMPUTED_VALUE"""),"HO NGUYEN HOAI BAO")</f>
        <v>HO NGUYEN HOAI BAO</v>
      </c>
      <c r="G417" s="45">
        <f ca="1">IFERROR(__xludf.DUMMYFUNCTION("""COMPUTED_VALUE"""),34581.5833333333)</f>
        <v>34581.583333333299</v>
      </c>
      <c r="H417" s="45" t="str">
        <f ca="1">IFERROR(__xludf.DUMMYFUNCTION("""COMPUTED_VALUE"""),"KITCHEN PASTRY")</f>
        <v>KITCHEN PASTRY</v>
      </c>
      <c r="I417" s="46" t="str">
        <f ca="1">IFERROR(__xludf.DUMMYFUNCTION("""COMPUTED_VALUE"""),"KITCHEN PASTRY")</f>
        <v>KITCHEN PASTRY</v>
      </c>
      <c r="J417" s="46" t="str">
        <f ca="1">IFERROR(__xludf.DUMMYFUNCTION("""COMPUTED_VALUE"""),"KITCHEN PASTRY")</f>
        <v>KITCHEN PASTRY</v>
      </c>
      <c r="K417" s="46" t="str">
        <f ca="1">IFERROR(__xludf.DUMMYFUNCTION("""COMPUTED_VALUE"""),"BAKER")</f>
        <v>BAKER</v>
      </c>
      <c r="L417" s="46" t="str">
        <f ca="1">IFERROR(__xludf.DUMMYFUNCTION("""COMPUTED_VALUE"""),"PTE")</f>
        <v>PTE</v>
      </c>
      <c r="M417" s="46" t="str">
        <f ca="1">IFERROR(__xludf.DUMMYFUNCTION("""COMPUTED_VALUE"""),"Leave")</f>
        <v>Leave</v>
      </c>
      <c r="N417" s="46" t="str">
        <f ca="1">IFERROR(__xludf.DUMMYFUNCTION("""COMPUTED_VALUE"""),"x")</f>
        <v>x</v>
      </c>
    </row>
    <row r="418" spans="1:14">
      <c r="A418" s="45">
        <f ca="1">IFERROR(__xludf.DUMMYFUNCTION("""COMPUTED_VALUE"""),45243.625)</f>
        <v>45243.625</v>
      </c>
      <c r="B418" s="45"/>
      <c r="C418" s="46">
        <f ca="1">IFERROR(__xludf.DUMMYFUNCTION("""COMPUTED_VALUE"""),419)</f>
        <v>419</v>
      </c>
      <c r="D418" s="47" t="str">
        <f ca="1">IFERROR(__xludf.DUMMYFUNCTION("""COMPUTED_VALUE"""),"C0174")</f>
        <v>C0174</v>
      </c>
      <c r="E418" s="46" t="str">
        <f ca="1">IFERROR(__xludf.DUMMYFUNCTION("""COMPUTED_VALUE"""),"HUỲNH KHOA NAM")</f>
        <v>HUỲNH KHOA NAM</v>
      </c>
      <c r="F418" s="46" t="str">
        <f ca="1">IFERROR(__xludf.DUMMYFUNCTION("""COMPUTED_VALUE"""),"HUYNH KHOA NAM")</f>
        <v>HUYNH KHOA NAM</v>
      </c>
      <c r="G418" s="45">
        <f ca="1">IFERROR(__xludf.DUMMYFUNCTION("""COMPUTED_VALUE"""),37490.5833333333)</f>
        <v>37490.583333333299</v>
      </c>
      <c r="H418" s="45" t="str">
        <f ca="1">IFERROR(__xludf.DUMMYFUNCTION("""COMPUTED_VALUE"""),"TLC")</f>
        <v>TLC</v>
      </c>
      <c r="I418" s="46" t="str">
        <f ca="1">IFERROR(__xludf.DUMMYFUNCTION("""COMPUTED_VALUE"""),"STORE")</f>
        <v>STORE</v>
      </c>
      <c r="J418" s="46" t="str">
        <f ca="1">IFERROR(__xludf.DUMMYFUNCTION("""COMPUTED_VALUE"""),"BLANK LOUNGE")</f>
        <v>BLANK LOUNGE</v>
      </c>
      <c r="K418" s="46" t="str">
        <f ca="1">IFERROR(__xludf.DUMMYFUNCTION("""COMPUTED_VALUE"""),"WAITSTAFF")</f>
        <v>WAITSTAFF</v>
      </c>
      <c r="L418" s="46" t="str">
        <f ca="1">IFERROR(__xludf.DUMMYFUNCTION("""COMPUTED_VALUE"""),"PTE")</f>
        <v>PTE</v>
      </c>
      <c r="M418" s="46" t="str">
        <f ca="1">IFERROR(__xludf.DUMMYFUNCTION("""COMPUTED_VALUE"""),"On")</f>
        <v>On</v>
      </c>
      <c r="N418" s="46" t="str">
        <f ca="1">IFERROR(__xludf.DUMMYFUNCTION("""COMPUTED_VALUE"""),"đủ")</f>
        <v>đủ</v>
      </c>
    </row>
    <row r="419" spans="1:14">
      <c r="A419" s="45">
        <f ca="1">IFERROR(__xludf.DUMMYFUNCTION("""COMPUTED_VALUE"""),45271.625)</f>
        <v>45271.625</v>
      </c>
      <c r="B419" s="45"/>
      <c r="C419" s="46">
        <f ca="1">IFERROR(__xludf.DUMMYFUNCTION("""COMPUTED_VALUE"""),420)</f>
        <v>420</v>
      </c>
      <c r="D419" s="47" t="str">
        <f ca="1">IFERROR(__xludf.DUMMYFUNCTION("""COMPUTED_VALUE"""),"C0175")</f>
        <v>C0175</v>
      </c>
      <c r="E419" s="46" t="str">
        <f ca="1">IFERROR(__xludf.DUMMYFUNCTION("""COMPUTED_VALUE"""),"TRẦN KIM CHI")</f>
        <v>TRẦN KIM CHI</v>
      </c>
      <c r="F419" s="46" t="str">
        <f ca="1">IFERROR(__xludf.DUMMYFUNCTION("""COMPUTED_VALUE"""),"TRAN KIM CHI")</f>
        <v>TRAN KIM CHI</v>
      </c>
      <c r="G419" s="45">
        <f ca="1">IFERROR(__xludf.DUMMYFUNCTION("""COMPUTED_VALUE"""),36683.5833333333)</f>
        <v>36683.583333333299</v>
      </c>
      <c r="H419" s="45" t="str">
        <f ca="1">IFERROR(__xludf.DUMMYFUNCTION("""COMPUTED_VALUE"""),"TLC")</f>
        <v>TLC</v>
      </c>
      <c r="I419" s="46" t="str">
        <f ca="1">IFERROR(__xludf.DUMMYFUNCTION("""COMPUTED_VALUE"""),"HO")</f>
        <v>HO</v>
      </c>
      <c r="J419" s="46" t="str">
        <f ca="1">IFERROR(__xludf.DUMMYFUNCTION("""COMPUTED_VALUE"""),"CE")</f>
        <v>CE</v>
      </c>
      <c r="K419" s="46" t="str">
        <f ca="1">IFERROR(__xludf.DUMMYFUNCTION("""COMPUTED_VALUE"""),"CE")</f>
        <v>CE</v>
      </c>
      <c r="L419" s="46" t="str">
        <f ca="1">IFERROR(__xludf.DUMMYFUNCTION("""COMPUTED_VALUE"""),"FTE")</f>
        <v>FTE</v>
      </c>
      <c r="M419" s="46" t="str">
        <f ca="1">IFERROR(__xludf.DUMMYFUNCTION("""COMPUTED_VALUE"""),"On")</f>
        <v>On</v>
      </c>
      <c r="N419" s="46" t="str">
        <f ca="1">IFERROR(__xludf.DUMMYFUNCTION("""COMPUTED_VALUE"""),"đủ")</f>
        <v>đủ</v>
      </c>
    </row>
    <row r="420" spans="1:14">
      <c r="A420" s="45">
        <f ca="1">IFERROR(__xludf.DUMMYFUNCTION("""COMPUTED_VALUE"""),45271.625)</f>
        <v>45271.625</v>
      </c>
      <c r="B420" s="45">
        <f ca="1">IFERROR(__xludf.DUMMYFUNCTION("""COMPUTED_VALUE"""),45324.625)</f>
        <v>45324.625</v>
      </c>
      <c r="C420" s="46">
        <f ca="1">IFERROR(__xludf.DUMMYFUNCTION("""COMPUTED_VALUE"""),421)</f>
        <v>421</v>
      </c>
      <c r="D420" s="47" t="str">
        <f ca="1">IFERROR(__xludf.DUMMYFUNCTION("""COMPUTED_VALUE"""),"C0176")</f>
        <v>C0176</v>
      </c>
      <c r="E420" s="46" t="str">
        <f ca="1">IFERROR(__xludf.DUMMYFUNCTION("""COMPUTED_VALUE"""),"TRỊNH TÚ UYÊN")</f>
        <v>TRỊNH TÚ UYÊN</v>
      </c>
      <c r="F420" s="46" t="str">
        <f ca="1">IFERROR(__xludf.DUMMYFUNCTION("""COMPUTED_VALUE"""),"TRINH TU UYEN")</f>
        <v>TRINH TU UYEN</v>
      </c>
      <c r="G420" s="45">
        <f ca="1">IFERROR(__xludf.DUMMYFUNCTION("""COMPUTED_VALUE"""),36818.5833333333)</f>
        <v>36818.583333333299</v>
      </c>
      <c r="H420" s="45" t="str">
        <f ca="1">IFERROR(__xludf.DUMMYFUNCTION("""COMPUTED_VALUE"""),"CREATIVE")</f>
        <v>CREATIVE</v>
      </c>
      <c r="I420" s="46" t="str">
        <f ca="1">IFERROR(__xludf.DUMMYFUNCTION("""COMPUTED_VALUE"""),"HO")</f>
        <v>HO</v>
      </c>
      <c r="J420" s="46" t="str">
        <f ca="1">IFERROR(__xludf.DUMMYFUNCTION("""COMPUTED_VALUE"""),"HRD")</f>
        <v>HRD</v>
      </c>
      <c r="K420" s="46" t="str">
        <f ca="1">IFERROR(__xludf.DUMMYFUNCTION("""COMPUTED_VALUE"""),"HRD")</f>
        <v>HRD</v>
      </c>
      <c r="L420" s="46" t="str">
        <f ca="1">IFERROR(__xludf.DUMMYFUNCTION("""COMPUTED_VALUE"""),"PRO")</f>
        <v>PRO</v>
      </c>
      <c r="M420" s="46" t="str">
        <f ca="1">IFERROR(__xludf.DUMMYFUNCTION("""COMPUTED_VALUE"""),"Leave")</f>
        <v>Leave</v>
      </c>
      <c r="N420" s="46" t="str">
        <f ca="1">IFERROR(__xludf.DUMMYFUNCTION("""COMPUTED_VALUE"""),"x")</f>
        <v>x</v>
      </c>
    </row>
    <row r="421" spans="1:14">
      <c r="A421" s="45">
        <f ca="1">IFERROR(__xludf.DUMMYFUNCTION("""COMPUTED_VALUE"""),45271.625)</f>
        <v>45271.625</v>
      </c>
      <c r="B421" s="45">
        <f ca="1">IFERROR(__xludf.DUMMYFUNCTION("""COMPUTED_VALUE"""),45516.5833333333)</f>
        <v>45516.583333333299</v>
      </c>
      <c r="C421" s="46">
        <f ca="1">IFERROR(__xludf.DUMMYFUNCTION("""COMPUTED_VALUE"""),422)</f>
        <v>422</v>
      </c>
      <c r="D421" s="47" t="str">
        <f ca="1">IFERROR(__xludf.DUMMYFUNCTION("""COMPUTED_VALUE"""),"C0177")</f>
        <v>C0177</v>
      </c>
      <c r="E421" s="46" t="str">
        <f ca="1">IFERROR(__xludf.DUMMYFUNCTION("""COMPUTED_VALUE"""),"ĐOÀN THẠCH THẢO")</f>
        <v>ĐOÀN THẠCH THẢO</v>
      </c>
      <c r="F421" s="46" t="str">
        <f ca="1">IFERROR(__xludf.DUMMYFUNCTION("""COMPUTED_VALUE"""),"DOAN THACH THAO")</f>
        <v>DOAN THACH THAO</v>
      </c>
      <c r="G421" s="45">
        <f ca="1">IFERROR(__xludf.DUMMYFUNCTION("""COMPUTED_VALUE"""),37609.625)</f>
        <v>37609.625</v>
      </c>
      <c r="H421" s="45" t="str">
        <f ca="1">IFERROR(__xludf.DUMMYFUNCTION("""COMPUTED_VALUE"""),"TLC")</f>
        <v>TLC</v>
      </c>
      <c r="I421" s="46" t="str">
        <f ca="1">IFERROR(__xludf.DUMMYFUNCTION("""COMPUTED_VALUE"""),"STORE")</f>
        <v>STORE</v>
      </c>
      <c r="J421" s="46" t="str">
        <f ca="1">IFERROR(__xludf.DUMMYFUNCTION("""COMPUTED_VALUE"""),"BLANK LOUNGE")</f>
        <v>BLANK LOUNGE</v>
      </c>
      <c r="K421" s="46" t="str">
        <f ca="1">IFERROR(__xludf.DUMMYFUNCTION("""COMPUTED_VALUE"""),"WAITSTAFF")</f>
        <v>WAITSTAFF</v>
      </c>
      <c r="L421" s="46" t="str">
        <f ca="1">IFERROR(__xludf.DUMMYFUNCTION("""COMPUTED_VALUE"""),"PTE")</f>
        <v>PTE</v>
      </c>
      <c r="M421" s="46" t="str">
        <f ca="1">IFERROR(__xludf.DUMMYFUNCTION("""COMPUTED_VALUE"""),"Leave")</f>
        <v>Leave</v>
      </c>
      <c r="N421" s="46" t="str">
        <f ca="1">IFERROR(__xludf.DUMMYFUNCTION("""COMPUTED_VALUE"""),"x")</f>
        <v>x</v>
      </c>
    </row>
    <row r="422" spans="1:14">
      <c r="A422" s="45">
        <f ca="1">IFERROR(__xludf.DUMMYFUNCTION("""COMPUTED_VALUE"""),45271.625)</f>
        <v>45271.625</v>
      </c>
      <c r="B422" s="45">
        <f ca="1">IFERROR(__xludf.DUMMYFUNCTION("""COMPUTED_VALUE"""),45293.625)</f>
        <v>45293.625</v>
      </c>
      <c r="C422" s="46">
        <f ca="1">IFERROR(__xludf.DUMMYFUNCTION("""COMPUTED_VALUE"""),423)</f>
        <v>423</v>
      </c>
      <c r="D422" s="47" t="str">
        <f ca="1">IFERROR(__xludf.DUMMYFUNCTION("""COMPUTED_VALUE"""),"C0178")</f>
        <v>C0178</v>
      </c>
      <c r="E422" s="46" t="str">
        <f ca="1">IFERROR(__xludf.DUMMYFUNCTION("""COMPUTED_VALUE"""),"ĐINH THỊ DIỄM QUỲNH")</f>
        <v>ĐINH THỊ DIỄM QUỲNH</v>
      </c>
      <c r="F422" s="46" t="str">
        <f ca="1">IFERROR(__xludf.DUMMYFUNCTION("""COMPUTED_VALUE"""),"DINH THI DIEM QUYNH")</f>
        <v>DINH THI DIEM QUYNH</v>
      </c>
      <c r="G422" s="45"/>
      <c r="H422" s="45" t="str">
        <f ca="1">IFERROR(__xludf.DUMMYFUNCTION("""COMPUTED_VALUE"""),"TLC")</f>
        <v>TLC</v>
      </c>
      <c r="I422" s="46" t="str">
        <f ca="1">IFERROR(__xludf.DUMMYFUNCTION("""COMPUTED_VALUE"""),"STORE")</f>
        <v>STORE</v>
      </c>
      <c r="J422" s="46" t="str">
        <f ca="1">IFERROR(__xludf.DUMMYFUNCTION("""COMPUTED_VALUE"""),"BLANK LOUNGE")</f>
        <v>BLANK LOUNGE</v>
      </c>
      <c r="K422" s="46" t="str">
        <f ca="1">IFERROR(__xludf.DUMMYFUNCTION("""COMPUTED_VALUE"""),"STR")</f>
        <v>STR</v>
      </c>
      <c r="L422" s="46" t="str">
        <f ca="1">IFERROR(__xludf.DUMMYFUNCTION("""COMPUTED_VALUE"""),"PTE")</f>
        <v>PTE</v>
      </c>
      <c r="M422" s="46" t="str">
        <f ca="1">IFERROR(__xludf.DUMMYFUNCTION("""COMPUTED_VALUE"""),"Leave")</f>
        <v>Leave</v>
      </c>
      <c r="N422" s="46" t="str">
        <f ca="1">IFERROR(__xludf.DUMMYFUNCTION("""COMPUTED_VALUE"""),"x")</f>
        <v>x</v>
      </c>
    </row>
    <row r="423" spans="1:14">
      <c r="A423" s="45">
        <f ca="1">IFERROR(__xludf.DUMMYFUNCTION("""COMPUTED_VALUE"""),45271.625)</f>
        <v>45271.625</v>
      </c>
      <c r="B423" s="45">
        <f ca="1">IFERROR(__xludf.DUMMYFUNCTION("""COMPUTED_VALUE"""),45324.625)</f>
        <v>45324.625</v>
      </c>
      <c r="C423" s="46">
        <f ca="1">IFERROR(__xludf.DUMMYFUNCTION("""COMPUTED_VALUE"""),424)</f>
        <v>424</v>
      </c>
      <c r="D423" s="47" t="str">
        <f ca="1">IFERROR(__xludf.DUMMYFUNCTION("""COMPUTED_VALUE"""),"C0179")</f>
        <v>C0179</v>
      </c>
      <c r="E423" s="46" t="str">
        <f ca="1">IFERROR(__xludf.DUMMYFUNCTION("""COMPUTED_VALUE"""),"ĐÀO THỊ TUYẾT PHƯƠNG")</f>
        <v>ĐÀO THỊ TUYẾT PHƯƠNG</v>
      </c>
      <c r="F423" s="46" t="str">
        <f ca="1">IFERROR(__xludf.DUMMYFUNCTION("""COMPUTED_VALUE"""),"DAO THỊ TUYET PHUONG")</f>
        <v>DAO THỊ TUYET PHUONG</v>
      </c>
      <c r="G423" s="45">
        <f ca="1">IFERROR(__xludf.DUMMYFUNCTION("""COMPUTED_VALUE"""),38040.625)</f>
        <v>38040.625</v>
      </c>
      <c r="H423" s="45" t="str">
        <f ca="1">IFERROR(__xludf.DUMMYFUNCTION("""COMPUTED_VALUE"""),"TLC")</f>
        <v>TLC</v>
      </c>
      <c r="I423" s="46" t="str">
        <f ca="1">IFERROR(__xludf.DUMMYFUNCTION("""COMPUTED_VALUE"""),"STORE")</f>
        <v>STORE</v>
      </c>
      <c r="J423" s="46" t="str">
        <f ca="1">IFERROR(__xludf.DUMMYFUNCTION("""COMPUTED_VALUE"""),"BLANK LOUNGE")</f>
        <v>BLANK LOUNGE</v>
      </c>
      <c r="K423" s="46" t="str">
        <f ca="1">IFERROR(__xludf.DUMMYFUNCTION("""COMPUTED_VALUE"""),"STR")</f>
        <v>STR</v>
      </c>
      <c r="L423" s="46" t="str">
        <f ca="1">IFERROR(__xludf.DUMMYFUNCTION("""COMPUTED_VALUE"""),"PTE")</f>
        <v>PTE</v>
      </c>
      <c r="M423" s="46" t="str">
        <f ca="1">IFERROR(__xludf.DUMMYFUNCTION("""COMPUTED_VALUE"""),"Leave")</f>
        <v>Leave</v>
      </c>
      <c r="N423" s="46" t="str">
        <f ca="1">IFERROR(__xludf.DUMMYFUNCTION("""COMPUTED_VALUE"""),"x")</f>
        <v>x</v>
      </c>
    </row>
    <row r="424" spans="1:14">
      <c r="A424" s="45">
        <f ca="1">IFERROR(__xludf.DUMMYFUNCTION("""COMPUTED_VALUE"""),45271.625)</f>
        <v>45271.625</v>
      </c>
      <c r="B424" s="45">
        <f ca="1">IFERROR(__xludf.DUMMYFUNCTION("""COMPUTED_VALUE"""),45566.5833333333)</f>
        <v>45566.583333333299</v>
      </c>
      <c r="C424" s="46">
        <f ca="1">IFERROR(__xludf.DUMMYFUNCTION("""COMPUTED_VALUE"""),425)</f>
        <v>425</v>
      </c>
      <c r="D424" s="47" t="str">
        <f ca="1">IFERROR(__xludf.DUMMYFUNCTION("""COMPUTED_VALUE"""),"C0180")</f>
        <v>C0180</v>
      </c>
      <c r="E424" s="46" t="str">
        <f ca="1">IFERROR(__xludf.DUMMYFUNCTION("""COMPUTED_VALUE"""),"ÂU TRẦN PHƯƠNG THẢO")</f>
        <v>ÂU TRẦN PHƯƠNG THẢO</v>
      </c>
      <c r="F424" s="46" t="str">
        <f ca="1">IFERROR(__xludf.DUMMYFUNCTION("""COMPUTED_VALUE"""),"AU TRAN PHUONG THAO")</f>
        <v>AU TRAN PHUONG THAO</v>
      </c>
      <c r="G424" s="45">
        <f ca="1">IFERROR(__xludf.DUMMYFUNCTION("""COMPUTED_VALUE"""),37553.5833333333)</f>
        <v>37553.583333333299</v>
      </c>
      <c r="H424" s="45" t="str">
        <f ca="1">IFERROR(__xludf.DUMMYFUNCTION("""COMPUTED_VALUE"""),"TLC")</f>
        <v>TLC</v>
      </c>
      <c r="I424" s="46" t="str">
        <f ca="1">IFERROR(__xludf.DUMMYFUNCTION("""COMPUTED_VALUE"""),"STORE")</f>
        <v>STORE</v>
      </c>
      <c r="J424" s="46" t="str">
        <f ca="1">IFERROR(__xludf.DUMMYFUNCTION("""COMPUTED_VALUE"""),"BLANK LOUNGE")</f>
        <v>BLANK LOUNGE</v>
      </c>
      <c r="K424" s="46" t="str">
        <f ca="1">IFERROR(__xludf.DUMMYFUNCTION("""COMPUTED_VALUE"""),"WAITSTAFF")</f>
        <v>WAITSTAFF</v>
      </c>
      <c r="L424" s="46" t="str">
        <f ca="1">IFERROR(__xludf.DUMMYFUNCTION("""COMPUTED_VALUE"""),"PTE")</f>
        <v>PTE</v>
      </c>
      <c r="M424" s="46" t="str">
        <f ca="1">IFERROR(__xludf.DUMMYFUNCTION("""COMPUTED_VALUE"""),"Leave")</f>
        <v>Leave</v>
      </c>
      <c r="N424" s="46" t="str">
        <f ca="1">IFERROR(__xludf.DUMMYFUNCTION("""COMPUTED_VALUE"""),"x")</f>
        <v>x</v>
      </c>
    </row>
    <row r="425" spans="1:14">
      <c r="A425" s="45">
        <f ca="1">IFERROR(__xludf.DUMMYFUNCTION("""COMPUTED_VALUE"""),45271.625)</f>
        <v>45271.625</v>
      </c>
      <c r="B425" s="45">
        <f ca="1">IFERROR(__xludf.DUMMYFUNCTION("""COMPUTED_VALUE"""),45494.5833333333)</f>
        <v>45494.583333333299</v>
      </c>
      <c r="C425" s="46">
        <f ca="1">IFERROR(__xludf.DUMMYFUNCTION("""COMPUTED_VALUE"""),426)</f>
        <v>426</v>
      </c>
      <c r="D425" s="47" t="str">
        <f ca="1">IFERROR(__xludf.DUMMYFUNCTION("""COMPUTED_VALUE"""),"C0181")</f>
        <v>C0181</v>
      </c>
      <c r="E425" s="46" t="str">
        <f ca="1">IFERROR(__xludf.DUMMYFUNCTION("""COMPUTED_VALUE"""),"LÊ LẠI HÀ GIANG")</f>
        <v>LÊ LẠI HÀ GIANG</v>
      </c>
      <c r="F425" s="46" t="str">
        <f ca="1">IFERROR(__xludf.DUMMYFUNCTION("""COMPUTED_VALUE"""),"LE LAI HA GIANG")</f>
        <v>LE LAI HA GIANG</v>
      </c>
      <c r="G425" s="45">
        <f ca="1">IFERROR(__xludf.DUMMYFUNCTION("""COMPUTED_VALUE"""),36032.5833333333)</f>
        <v>36032.583333333299</v>
      </c>
      <c r="H425" s="45" t="str">
        <f ca="1">IFERROR(__xludf.DUMMYFUNCTION("""COMPUTED_VALUE"""),"TLC")</f>
        <v>TLC</v>
      </c>
      <c r="I425" s="46" t="str">
        <f ca="1">IFERROR(__xludf.DUMMYFUNCTION("""COMPUTED_VALUE"""),"STORE")</f>
        <v>STORE</v>
      </c>
      <c r="J425" s="46" t="str">
        <f ca="1">IFERROR(__xludf.DUMMYFUNCTION("""COMPUTED_VALUE"""),"BLANK LOUNGE")</f>
        <v>BLANK LOUNGE</v>
      </c>
      <c r="K425" s="46" t="str">
        <f ca="1">IFERROR(__xludf.DUMMYFUNCTION("""COMPUTED_VALUE"""),"STR")</f>
        <v>STR</v>
      </c>
      <c r="L425" s="46" t="str">
        <f ca="1">IFERROR(__xludf.DUMMYFUNCTION("""COMPUTED_VALUE"""),"PTE")</f>
        <v>PTE</v>
      </c>
      <c r="M425" s="46" t="str">
        <f ca="1">IFERROR(__xludf.DUMMYFUNCTION("""COMPUTED_VALUE"""),"Leave")</f>
        <v>Leave</v>
      </c>
      <c r="N425" s="46" t="str">
        <f ca="1">IFERROR(__xludf.DUMMYFUNCTION("""COMPUTED_VALUE"""),"x")</f>
        <v>x</v>
      </c>
    </row>
    <row r="426" spans="1:14">
      <c r="A426" s="45">
        <f ca="1">IFERROR(__xludf.DUMMYFUNCTION("""COMPUTED_VALUE"""),45269.625)</f>
        <v>45269.625</v>
      </c>
      <c r="B426" s="45">
        <f ca="1">IFERROR(__xludf.DUMMYFUNCTION("""COMPUTED_VALUE"""),45323.625)</f>
        <v>45323.625</v>
      </c>
      <c r="C426" s="46">
        <f ca="1">IFERROR(__xludf.DUMMYFUNCTION("""COMPUTED_VALUE"""),427)</f>
        <v>427</v>
      </c>
      <c r="D426" s="47" t="str">
        <f ca="1">IFERROR(__xludf.DUMMYFUNCTION("""COMPUTED_VALUE"""),"C0182")</f>
        <v>C0182</v>
      </c>
      <c r="E426" s="46" t="str">
        <f ca="1">IFERROR(__xludf.DUMMYFUNCTION("""COMPUTED_VALUE"""),"TRẦN BẢO ANH")</f>
        <v>TRẦN BẢO ANH</v>
      </c>
      <c r="F426" s="46" t="str">
        <f ca="1">IFERROR(__xludf.DUMMYFUNCTION("""COMPUTED_VALUE"""),"TRAN BAO ANH")</f>
        <v>TRAN BAO ANH</v>
      </c>
      <c r="G426" s="45">
        <f ca="1">IFERROR(__xludf.DUMMYFUNCTION("""COMPUTED_VALUE"""),37853.5833333333)</f>
        <v>37853.583333333299</v>
      </c>
      <c r="H426" s="45" t="str">
        <f ca="1">IFERROR(__xludf.DUMMYFUNCTION("""COMPUTED_VALUE"""),"SHADOW")</f>
        <v>SHADOW</v>
      </c>
      <c r="I426" s="46" t="str">
        <f ca="1">IFERROR(__xludf.DUMMYFUNCTION("""COMPUTED_VALUE"""),"KITCHEN PASTRY")</f>
        <v>KITCHEN PASTRY</v>
      </c>
      <c r="J426" s="46" t="str">
        <f ca="1">IFERROR(__xludf.DUMMYFUNCTION("""COMPUTED_VALUE"""),"BAKES PASTEUR")</f>
        <v>BAKES PASTEUR</v>
      </c>
      <c r="K426" s="46" t="str">
        <f ca="1">IFERROR(__xludf.DUMMYFUNCTION("""COMPUTED_VALUE"""),"KIT")</f>
        <v>KIT</v>
      </c>
      <c r="L426" s="46" t="str">
        <f ca="1">IFERROR(__xludf.DUMMYFUNCTION("""COMPUTED_VALUE"""),"PTE")</f>
        <v>PTE</v>
      </c>
      <c r="M426" s="46" t="str">
        <f ca="1">IFERROR(__xludf.DUMMYFUNCTION("""COMPUTED_VALUE"""),"Leave")</f>
        <v>Leave</v>
      </c>
      <c r="N426" s="46" t="str">
        <f ca="1">IFERROR(__xludf.DUMMYFUNCTION("""COMPUTED_VALUE"""),"x")</f>
        <v>x</v>
      </c>
    </row>
    <row r="427" spans="1:14">
      <c r="A427" s="45">
        <f ca="1">IFERROR(__xludf.DUMMYFUNCTION("""COMPUTED_VALUE"""),45277.625)</f>
        <v>45277.625</v>
      </c>
      <c r="B427" s="45">
        <f ca="1">IFERROR(__xludf.DUMMYFUNCTION("""COMPUTED_VALUE"""),45293.625)</f>
        <v>45293.625</v>
      </c>
      <c r="C427" s="46">
        <f ca="1">IFERROR(__xludf.DUMMYFUNCTION("""COMPUTED_VALUE"""),428)</f>
        <v>428</v>
      </c>
      <c r="D427" s="47" t="str">
        <f ca="1">IFERROR(__xludf.DUMMYFUNCTION("""COMPUTED_VALUE"""),"C0183")</f>
        <v>C0183</v>
      </c>
      <c r="E427" s="46" t="str">
        <f ca="1">IFERROR(__xludf.DUMMYFUNCTION("""COMPUTED_VALUE"""),"NGUYỄN TRỌNG HIẾU")</f>
        <v>NGUYỄN TRỌNG HIẾU</v>
      </c>
      <c r="F427" s="46" t="str">
        <f ca="1">IFERROR(__xludf.DUMMYFUNCTION("""COMPUTED_VALUE"""),"NGUYEN TRONG HIEU")</f>
        <v>NGUYEN TRONG HIEU</v>
      </c>
      <c r="G427" s="45">
        <f ca="1">IFERROR(__xludf.DUMMYFUNCTION("""COMPUTED_VALUE"""),37146.5833333333)</f>
        <v>37146.583333333299</v>
      </c>
      <c r="H427" s="45" t="str">
        <f ca="1">IFERROR(__xludf.DUMMYFUNCTION("""COMPUTED_VALUE"""),"TLC")</f>
        <v>TLC</v>
      </c>
      <c r="I427" s="46" t="str">
        <f ca="1">IFERROR(__xludf.DUMMYFUNCTION("""COMPUTED_VALUE"""),"STORE")</f>
        <v>STORE</v>
      </c>
      <c r="J427" s="46" t="str">
        <f ca="1">IFERROR(__xludf.DUMMYFUNCTION("""COMPUTED_VALUE"""),"BLANK LOUNGE")</f>
        <v>BLANK LOUNGE</v>
      </c>
      <c r="K427" s="46" t="str">
        <f ca="1">IFERROR(__xludf.DUMMYFUNCTION("""COMPUTED_VALUE"""),"STR")</f>
        <v>STR</v>
      </c>
      <c r="L427" s="46" t="str">
        <f ca="1">IFERROR(__xludf.DUMMYFUNCTION("""COMPUTED_VALUE"""),"PTE")</f>
        <v>PTE</v>
      </c>
      <c r="M427" s="46" t="str">
        <f ca="1">IFERROR(__xludf.DUMMYFUNCTION("""COMPUTED_VALUE"""),"Leave")</f>
        <v>Leave</v>
      </c>
      <c r="N427" s="46" t="str">
        <f ca="1">IFERROR(__xludf.DUMMYFUNCTION("""COMPUTED_VALUE"""),"x")</f>
        <v>x</v>
      </c>
    </row>
    <row r="428" spans="1:14">
      <c r="A428" s="45">
        <f ca="1">IFERROR(__xludf.DUMMYFUNCTION("""COMPUTED_VALUE"""),45278.625)</f>
        <v>45278.625</v>
      </c>
      <c r="B428" s="45">
        <f ca="1">IFERROR(__xludf.DUMMYFUNCTION("""COMPUTED_VALUE"""),45353.625)</f>
        <v>45353.625</v>
      </c>
      <c r="C428" s="46">
        <f ca="1">IFERROR(__xludf.DUMMYFUNCTION("""COMPUTED_VALUE"""),429)</f>
        <v>429</v>
      </c>
      <c r="D428" s="47" t="str">
        <f ca="1">IFERROR(__xludf.DUMMYFUNCTION("""COMPUTED_VALUE"""),"C0184")</f>
        <v>C0184</v>
      </c>
      <c r="E428" s="46" t="str">
        <f ca="1">IFERROR(__xludf.DUMMYFUNCTION("""COMPUTED_VALUE"""),"NGUYỄN VÕ TRỌNG HOÀNG")</f>
        <v>NGUYỄN VÕ TRỌNG HOÀNG</v>
      </c>
      <c r="F428" s="46" t="str">
        <f ca="1">IFERROR(__xludf.DUMMYFUNCTION("""COMPUTED_VALUE"""),"NGUYEN VO TRONG HOANG")</f>
        <v>NGUYEN VO TRONG HOANG</v>
      </c>
      <c r="G428" s="45">
        <f ca="1">IFERROR(__xludf.DUMMYFUNCTION("""COMPUTED_VALUE"""),37292.625)</f>
        <v>37292.625</v>
      </c>
      <c r="H428" s="45" t="str">
        <f ca="1">IFERROR(__xludf.DUMMYFUNCTION("""COMPUTED_VALUE"""),"SHADOW")</f>
        <v>SHADOW</v>
      </c>
      <c r="I428" s="46" t="str">
        <f ca="1">IFERROR(__xludf.DUMMYFUNCTION("""COMPUTED_VALUE"""),"STORE")</f>
        <v>STORE</v>
      </c>
      <c r="J428" s="46" t="str">
        <f ca="1">IFERROR(__xludf.DUMMYFUNCTION("""COMPUTED_VALUE"""),"BAKES PASTEUR")</f>
        <v>BAKES PASTEUR</v>
      </c>
      <c r="K428" s="46" t="str">
        <f ca="1">IFERROR(__xludf.DUMMYFUNCTION("""COMPUTED_VALUE"""),"STR")</f>
        <v>STR</v>
      </c>
      <c r="L428" s="46" t="str">
        <f ca="1">IFERROR(__xludf.DUMMYFUNCTION("""COMPUTED_VALUE"""),"PTE")</f>
        <v>PTE</v>
      </c>
      <c r="M428" s="46" t="str">
        <f ca="1">IFERROR(__xludf.DUMMYFUNCTION("""COMPUTED_VALUE"""),"Leave")</f>
        <v>Leave</v>
      </c>
      <c r="N428" s="46" t="str">
        <f ca="1">IFERROR(__xludf.DUMMYFUNCTION("""COMPUTED_VALUE"""),"x")</f>
        <v>x</v>
      </c>
    </row>
    <row r="429" spans="1:14">
      <c r="A429" s="45">
        <f ca="1">IFERROR(__xludf.DUMMYFUNCTION("""COMPUTED_VALUE"""),45284.625)</f>
        <v>45284.625</v>
      </c>
      <c r="B429" s="45"/>
      <c r="C429" s="46">
        <f ca="1">IFERROR(__xludf.DUMMYFUNCTION("""COMPUTED_VALUE"""),430)</f>
        <v>430</v>
      </c>
      <c r="D429" s="47" t="str">
        <f ca="1">IFERROR(__xludf.DUMMYFUNCTION("""COMPUTED_VALUE"""),"C0185")</f>
        <v>C0185</v>
      </c>
      <c r="E429" s="46" t="str">
        <f ca="1">IFERROR(__xludf.DUMMYFUNCTION("""COMPUTED_VALUE"""),"HUỲNH THÙY TUYÊN")</f>
        <v>HUỲNH THÙY TUYÊN</v>
      </c>
      <c r="F429" s="46" t="str">
        <f ca="1">IFERROR(__xludf.DUMMYFUNCTION("""COMPUTED_VALUE"""),"HUYNH THUY TUYEN")</f>
        <v>HUYNH THUY TUYEN</v>
      </c>
      <c r="G429" s="45">
        <f ca="1">IFERROR(__xludf.DUMMYFUNCTION("""COMPUTED_VALUE"""),36869.625)</f>
        <v>36869.625</v>
      </c>
      <c r="H429" s="45" t="str">
        <f ca="1">IFERROR(__xludf.DUMMYFUNCTION("""COMPUTED_VALUE"""),"TLC")</f>
        <v>TLC</v>
      </c>
      <c r="I429" s="46" t="str">
        <f ca="1">IFERROR(__xludf.DUMMYFUNCTION("""COMPUTED_VALUE"""),"STORE")</f>
        <v>STORE</v>
      </c>
      <c r="J429" s="46" t="str">
        <f ca="1">IFERROR(__xludf.DUMMYFUNCTION("""COMPUTED_VALUE"""),"BLANK LOUNGE")</f>
        <v>BLANK LOUNGE</v>
      </c>
      <c r="K429" s="46" t="str">
        <f ca="1">IFERROR(__xludf.DUMMYFUNCTION("""COMPUTED_VALUE"""),"WAITSTAFF")</f>
        <v>WAITSTAFF</v>
      </c>
      <c r="L429" s="46" t="str">
        <f ca="1">IFERROR(__xludf.DUMMYFUNCTION("""COMPUTED_VALUE"""),"FTE")</f>
        <v>FTE</v>
      </c>
      <c r="M429" s="46" t="str">
        <f ca="1">IFERROR(__xludf.DUMMYFUNCTION("""COMPUTED_VALUE"""),"On")</f>
        <v>On</v>
      </c>
      <c r="N429" s="46" t="str">
        <f ca="1">IFERROR(__xludf.DUMMYFUNCTION("""COMPUTED_VALUE"""),"đủ")</f>
        <v>đủ</v>
      </c>
    </row>
    <row r="430" spans="1:14">
      <c r="A430" s="45">
        <f ca="1">IFERROR(__xludf.DUMMYFUNCTION("""COMPUTED_VALUE"""),45271.625)</f>
        <v>45271.625</v>
      </c>
      <c r="B430" s="45">
        <f ca="1">IFERROR(__xludf.DUMMYFUNCTION("""COMPUTED_VALUE"""),45383.5833333333)</f>
        <v>45383.583333333299</v>
      </c>
      <c r="C430" s="46">
        <f ca="1">IFERROR(__xludf.DUMMYFUNCTION("""COMPUTED_VALUE"""),431)</f>
        <v>431</v>
      </c>
      <c r="D430" s="47" t="str">
        <f ca="1">IFERROR(__xludf.DUMMYFUNCTION("""COMPUTED_VALUE"""),"C0186")</f>
        <v>C0186</v>
      </c>
      <c r="E430" s="46" t="str">
        <f ca="1">IFERROR(__xludf.DUMMYFUNCTION("""COMPUTED_VALUE"""),"HỨA THỊ HẢI HÀ")</f>
        <v>HỨA THỊ HẢI HÀ</v>
      </c>
      <c r="F430" s="46" t="str">
        <f ca="1">IFERROR(__xludf.DUMMYFUNCTION("""COMPUTED_VALUE"""),"HUA THI HAI HA")</f>
        <v>HUA THI HAI HA</v>
      </c>
      <c r="G430" s="45">
        <f ca="1">IFERROR(__xludf.DUMMYFUNCTION("""COMPUTED_VALUE"""),31993.5833333333)</f>
        <v>31993.583333333299</v>
      </c>
      <c r="H430" s="45" t="str">
        <f ca="1">IFERROR(__xludf.DUMMYFUNCTION("""COMPUTED_VALUE"""),"TLC")</f>
        <v>TLC</v>
      </c>
      <c r="I430" s="46" t="str">
        <f ca="1">IFERROR(__xludf.DUMMYFUNCTION("""COMPUTED_VALUE"""),"KITCHEN PASTRY")</f>
        <v>KITCHEN PASTRY</v>
      </c>
      <c r="J430" s="46" t="str">
        <f ca="1">IFERROR(__xludf.DUMMYFUNCTION("""COMPUTED_VALUE"""),"KITCHEN PASTRY")</f>
        <v>KITCHEN PASTRY</v>
      </c>
      <c r="K430" s="46" t="str">
        <f ca="1">IFERROR(__xludf.DUMMYFUNCTION("""COMPUTED_VALUE"""),"KIT")</f>
        <v>KIT</v>
      </c>
      <c r="L430" s="46" t="str">
        <f ca="1">IFERROR(__xludf.DUMMYFUNCTION("""COMPUTED_VALUE"""),"PTE")</f>
        <v>PTE</v>
      </c>
      <c r="M430" s="46" t="str">
        <f ca="1">IFERROR(__xludf.DUMMYFUNCTION("""COMPUTED_VALUE"""),"Leave")</f>
        <v>Leave</v>
      </c>
      <c r="N430" s="46" t="str">
        <f ca="1">IFERROR(__xludf.DUMMYFUNCTION("""COMPUTED_VALUE"""),"x")</f>
        <v>x</v>
      </c>
    </row>
    <row r="431" spans="1:14">
      <c r="A431" s="45">
        <f ca="1">IFERROR(__xludf.DUMMYFUNCTION("""COMPUTED_VALUE"""),45257.625)</f>
        <v>45257.625</v>
      </c>
      <c r="B431" s="45">
        <f ca="1">IFERROR(__xludf.DUMMYFUNCTION("""COMPUTED_VALUE"""),45293.625)</f>
        <v>45293.625</v>
      </c>
      <c r="C431" s="46">
        <f ca="1">IFERROR(__xludf.DUMMYFUNCTION("""COMPUTED_VALUE"""),432)</f>
        <v>432</v>
      </c>
      <c r="D431" s="47" t="str">
        <f ca="1">IFERROR(__xludf.DUMMYFUNCTION("""COMPUTED_VALUE"""),"C0187")</f>
        <v>C0187</v>
      </c>
      <c r="E431" s="46" t="str">
        <f ca="1">IFERROR(__xludf.DUMMYFUNCTION("""COMPUTED_VALUE"""),"VÕ HIẾU TRUNG")</f>
        <v>VÕ HIẾU TRUNG</v>
      </c>
      <c r="F431" s="46" t="str">
        <f ca="1">IFERROR(__xludf.DUMMYFUNCTION("""COMPUTED_VALUE"""),"VO HIEU TRUNG")</f>
        <v>VO HIEU TRUNG</v>
      </c>
      <c r="G431" s="45">
        <f ca="1">IFERROR(__xludf.DUMMYFUNCTION("""COMPUTED_VALUE"""),37587.625)</f>
        <v>37587.625</v>
      </c>
      <c r="H431" s="45" t="str">
        <f ca="1">IFERROR(__xludf.DUMMYFUNCTION("""COMPUTED_VALUE"""),"SHADOW")</f>
        <v>SHADOW</v>
      </c>
      <c r="I431" s="46" t="str">
        <f ca="1">IFERROR(__xludf.DUMMYFUNCTION("""COMPUTED_VALUE"""),"KITCHEN PASTRY")</f>
        <v>KITCHEN PASTRY</v>
      </c>
      <c r="J431" s="46" t="str">
        <f ca="1">IFERROR(__xludf.DUMMYFUNCTION("""COMPUTED_VALUE"""),"BAKES PASTEUR")</f>
        <v>BAKES PASTEUR</v>
      </c>
      <c r="K431" s="46" t="str">
        <f ca="1">IFERROR(__xludf.DUMMYFUNCTION("""COMPUTED_VALUE"""),"KIT")</f>
        <v>KIT</v>
      </c>
      <c r="L431" s="46" t="str">
        <f ca="1">IFERROR(__xludf.DUMMYFUNCTION("""COMPUTED_VALUE"""),"PTE")</f>
        <v>PTE</v>
      </c>
      <c r="M431" s="46" t="str">
        <f ca="1">IFERROR(__xludf.DUMMYFUNCTION("""COMPUTED_VALUE"""),"Leave")</f>
        <v>Leave</v>
      </c>
      <c r="N431" s="46" t="str">
        <f ca="1">IFERROR(__xludf.DUMMYFUNCTION("""COMPUTED_VALUE"""),"x")</f>
        <v>x</v>
      </c>
    </row>
    <row r="432" spans="1:14">
      <c r="A432" s="45">
        <f ca="1">IFERROR(__xludf.DUMMYFUNCTION("""COMPUTED_VALUE"""),45283.625)</f>
        <v>45283.625</v>
      </c>
      <c r="B432" s="45">
        <f ca="1">IFERROR(__xludf.DUMMYFUNCTION("""COMPUTED_VALUE"""),45293.625)</f>
        <v>45293.625</v>
      </c>
      <c r="C432" s="46">
        <f ca="1">IFERROR(__xludf.DUMMYFUNCTION("""COMPUTED_VALUE"""),433)</f>
        <v>433</v>
      </c>
      <c r="D432" s="47" t="str">
        <f ca="1">IFERROR(__xludf.DUMMYFUNCTION("""COMPUTED_VALUE"""),"C0188")</f>
        <v>C0188</v>
      </c>
      <c r="E432" s="46" t="str">
        <f ca="1">IFERROR(__xludf.DUMMYFUNCTION("""COMPUTED_VALUE"""),"TRƯƠNG NAM SƠN")</f>
        <v>TRƯƠNG NAM SƠN</v>
      </c>
      <c r="F432" s="46" t="str">
        <f ca="1">IFERROR(__xludf.DUMMYFUNCTION("""COMPUTED_VALUE"""),"TRUONG NAM SON")</f>
        <v>TRUONG NAM SON</v>
      </c>
      <c r="G432" s="45">
        <f ca="1">IFERROR(__xludf.DUMMYFUNCTION("""COMPUTED_VALUE"""),37998.625)</f>
        <v>37998.625</v>
      </c>
      <c r="H432" s="45" t="str">
        <f ca="1">IFERROR(__xludf.DUMMYFUNCTION("""COMPUTED_VALUE"""),"TLC")</f>
        <v>TLC</v>
      </c>
      <c r="I432" s="46" t="str">
        <f ca="1">IFERROR(__xludf.DUMMYFUNCTION("""COMPUTED_VALUE"""),"STORE")</f>
        <v>STORE</v>
      </c>
      <c r="J432" s="46" t="str">
        <f ca="1">IFERROR(__xludf.DUMMYFUNCTION("""COMPUTED_VALUE"""),"BLANK LOUNGE")</f>
        <v>BLANK LOUNGE</v>
      </c>
      <c r="K432" s="46" t="str">
        <f ca="1">IFERROR(__xludf.DUMMYFUNCTION("""COMPUTED_VALUE"""),"STR")</f>
        <v>STR</v>
      </c>
      <c r="L432" s="46" t="str">
        <f ca="1">IFERROR(__xludf.DUMMYFUNCTION("""COMPUTED_VALUE"""),"PTE")</f>
        <v>PTE</v>
      </c>
      <c r="M432" s="46" t="str">
        <f ca="1">IFERROR(__xludf.DUMMYFUNCTION("""COMPUTED_VALUE"""),"Leave")</f>
        <v>Leave</v>
      </c>
      <c r="N432" s="46" t="str">
        <f ca="1">IFERROR(__xludf.DUMMYFUNCTION("""COMPUTED_VALUE"""),"x")</f>
        <v>x</v>
      </c>
    </row>
    <row r="433" spans="1:14">
      <c r="A433" s="45">
        <f ca="1">IFERROR(__xludf.DUMMYFUNCTION("""COMPUTED_VALUE"""),45288.625)</f>
        <v>45288.625</v>
      </c>
      <c r="B433" s="45">
        <f ca="1">IFERROR(__xludf.DUMMYFUNCTION("""COMPUTED_VALUE"""),45292.625)</f>
        <v>45292.625</v>
      </c>
      <c r="C433" s="46">
        <f ca="1">IFERROR(__xludf.DUMMYFUNCTION("""COMPUTED_VALUE"""),434)</f>
        <v>434</v>
      </c>
      <c r="D433" s="47" t="str">
        <f ca="1">IFERROR(__xludf.DUMMYFUNCTION("""COMPUTED_VALUE"""),"C0189")</f>
        <v>C0189</v>
      </c>
      <c r="E433" s="46" t="str">
        <f ca="1">IFERROR(__xludf.DUMMYFUNCTION("""COMPUTED_VALUE"""),"PHAN THỊ THỦY NGỌC")</f>
        <v>PHAN THỊ THỦY NGỌC</v>
      </c>
      <c r="F433" s="46" t="str">
        <f ca="1">IFERROR(__xludf.DUMMYFUNCTION("""COMPUTED_VALUE"""),"PHAN THI THUY NGOC")</f>
        <v>PHAN THI THUY NGOC</v>
      </c>
      <c r="G433" s="45">
        <f ca="1">IFERROR(__xludf.DUMMYFUNCTION("""COMPUTED_VALUE"""),38096.5833333333)</f>
        <v>38096.583333333299</v>
      </c>
      <c r="H433" s="45" t="str">
        <f ca="1">IFERROR(__xludf.DUMMYFUNCTION("""COMPUTED_VALUE"""),"TLC")</f>
        <v>TLC</v>
      </c>
      <c r="I433" s="46" t="str">
        <f ca="1">IFERROR(__xludf.DUMMYFUNCTION("""COMPUTED_VALUE"""),"STORE")</f>
        <v>STORE</v>
      </c>
      <c r="J433" s="46" t="str">
        <f ca="1">IFERROR(__xludf.DUMMYFUNCTION("""COMPUTED_VALUE"""),"BLANK LOUNGE")</f>
        <v>BLANK LOUNGE</v>
      </c>
      <c r="K433" s="46" t="str">
        <f ca="1">IFERROR(__xludf.DUMMYFUNCTION("""COMPUTED_VALUE"""),"STR")</f>
        <v>STR</v>
      </c>
      <c r="L433" s="46" t="str">
        <f ca="1">IFERROR(__xludf.DUMMYFUNCTION("""COMPUTED_VALUE"""),"PTE")</f>
        <v>PTE</v>
      </c>
      <c r="M433" s="46" t="str">
        <f ca="1">IFERROR(__xludf.DUMMYFUNCTION("""COMPUTED_VALUE"""),"Leave")</f>
        <v>Leave</v>
      </c>
      <c r="N433" s="46" t="str">
        <f ca="1">IFERROR(__xludf.DUMMYFUNCTION("""COMPUTED_VALUE"""),"x")</f>
        <v>x</v>
      </c>
    </row>
    <row r="434" spans="1:14">
      <c r="A434" s="45">
        <f ca="1">IFERROR(__xludf.DUMMYFUNCTION("""COMPUTED_VALUE"""),45313.625)</f>
        <v>45313.625</v>
      </c>
      <c r="B434" s="45">
        <f ca="1">IFERROR(__xludf.DUMMYFUNCTION("""COMPUTED_VALUE"""),45423.5833333333)</f>
        <v>45423.583333333299</v>
      </c>
      <c r="C434" s="46">
        <f ca="1">IFERROR(__xludf.DUMMYFUNCTION("""COMPUTED_VALUE"""),435)</f>
        <v>435</v>
      </c>
      <c r="D434" s="47" t="str">
        <f ca="1">IFERROR(__xludf.DUMMYFUNCTION("""COMPUTED_VALUE"""),"C0190")</f>
        <v>C0190</v>
      </c>
      <c r="E434" s="46" t="str">
        <f ca="1">IFERROR(__xludf.DUMMYFUNCTION("""COMPUTED_VALUE"""),"NGUYỄN THỊ THIÊN HƯƠNG")</f>
        <v>NGUYỄN THỊ THIÊN HƯƠNG</v>
      </c>
      <c r="F434" s="46" t="str">
        <f ca="1">IFERROR(__xludf.DUMMYFUNCTION("""COMPUTED_VALUE"""),"NGUYEN THI THIEN HUONG")</f>
        <v>NGUYEN THI THIEN HUONG</v>
      </c>
      <c r="G434" s="45">
        <f ca="1">IFERROR(__xludf.DUMMYFUNCTION("""COMPUTED_VALUE"""),34256.5833333333)</f>
        <v>34256.583333333299</v>
      </c>
      <c r="H434" s="45" t="str">
        <f ca="1">IFERROR(__xludf.DUMMYFUNCTION("""COMPUTED_VALUE"""),"BAKES")</f>
        <v>BAKES</v>
      </c>
      <c r="I434" s="46" t="str">
        <f ca="1">IFERROR(__xludf.DUMMYFUNCTION("""COMPUTED_VALUE"""),"HO")</f>
        <v>HO</v>
      </c>
      <c r="J434" s="46" t="str">
        <f ca="1">IFERROR(__xludf.DUMMYFUNCTION("""COMPUTED_VALUE"""),"SAL")</f>
        <v>SAL</v>
      </c>
      <c r="K434" s="46" t="str">
        <f ca="1">IFERROR(__xludf.DUMMYFUNCTION("""COMPUTED_VALUE"""),"SAL")</f>
        <v>SAL</v>
      </c>
      <c r="L434" s="46" t="str">
        <f ca="1">IFERROR(__xludf.DUMMYFUNCTION("""COMPUTED_VALUE"""),"FTE")</f>
        <v>FTE</v>
      </c>
      <c r="M434" s="46" t="str">
        <f ca="1">IFERROR(__xludf.DUMMYFUNCTION("""COMPUTED_VALUE"""),"Leave")</f>
        <v>Leave</v>
      </c>
      <c r="N434" s="46" t="str">
        <f ca="1">IFERROR(__xludf.DUMMYFUNCTION("""COMPUTED_VALUE"""),"x")</f>
        <v>x</v>
      </c>
    </row>
    <row r="435" spans="1:14">
      <c r="A435" s="45">
        <f ca="1">IFERROR(__xludf.DUMMYFUNCTION("""COMPUTED_VALUE"""),45302.625)</f>
        <v>45302.625</v>
      </c>
      <c r="B435" s="45">
        <f ca="1">IFERROR(__xludf.DUMMYFUNCTION("""COMPUTED_VALUE"""),45748.5833333333)</f>
        <v>45748.583333333299</v>
      </c>
      <c r="C435" s="46">
        <f ca="1">IFERROR(__xludf.DUMMYFUNCTION("""COMPUTED_VALUE"""),436)</f>
        <v>436</v>
      </c>
      <c r="D435" s="47" t="str">
        <f ca="1">IFERROR(__xludf.DUMMYFUNCTION("""COMPUTED_VALUE"""),"C0191")</f>
        <v>C0191</v>
      </c>
      <c r="E435" s="46" t="str">
        <f ca="1">IFERROR(__xludf.DUMMYFUNCTION("""COMPUTED_VALUE"""),"ĐINH THỊ DIỄM QUỲNH")</f>
        <v>ĐINH THỊ DIỄM QUỲNH</v>
      </c>
      <c r="F435" s="46" t="str">
        <f ca="1">IFERROR(__xludf.DUMMYFUNCTION("""COMPUTED_VALUE"""),"DINH THI DIEM QUYNH")</f>
        <v>DINH THI DIEM QUYNH</v>
      </c>
      <c r="G435" s="45">
        <f ca="1">IFERROR(__xludf.DUMMYFUNCTION("""COMPUTED_VALUE"""),36789.5833333333)</f>
        <v>36789.583333333299</v>
      </c>
      <c r="H435" s="45" t="str">
        <f ca="1">IFERROR(__xludf.DUMMYFUNCTION("""COMPUTED_VALUE"""),"BAKES")</f>
        <v>BAKES</v>
      </c>
      <c r="I435" s="46" t="str">
        <f ca="1">IFERROR(__xludf.DUMMYFUNCTION("""COMPUTED_VALUE"""),"STORE")</f>
        <v>STORE</v>
      </c>
      <c r="J435" s="46" t="str">
        <f ca="1">IFERROR(__xludf.DUMMYFUNCTION("""COMPUTED_VALUE"""),"BAKES D2")</f>
        <v>BAKES D2</v>
      </c>
      <c r="K435" s="46" t="str">
        <f ca="1">IFERROR(__xludf.DUMMYFUNCTION("""COMPUTED_VALUE"""),"CASHIER")</f>
        <v>CASHIER</v>
      </c>
      <c r="L435" s="46" t="str">
        <f ca="1">IFERROR(__xludf.DUMMYFUNCTION("""COMPUTED_VALUE"""),"PTE")</f>
        <v>PTE</v>
      </c>
      <c r="M435" s="46" t="str">
        <f ca="1">IFERROR(__xludf.DUMMYFUNCTION("""COMPUTED_VALUE"""),"Leave")</f>
        <v>Leave</v>
      </c>
      <c r="N435" s="46" t="str">
        <f ca="1">IFERROR(__xludf.DUMMYFUNCTION("""COMPUTED_VALUE"""),"x")</f>
        <v>x</v>
      </c>
    </row>
    <row r="436" spans="1:14">
      <c r="A436" s="45">
        <f ca="1">IFERROR(__xludf.DUMMYFUNCTION("""COMPUTED_VALUE"""),45297.625)</f>
        <v>45297.625</v>
      </c>
      <c r="B436" s="45"/>
      <c r="C436" s="46">
        <f ca="1">IFERROR(__xludf.DUMMYFUNCTION("""COMPUTED_VALUE"""),437)</f>
        <v>437</v>
      </c>
      <c r="D436" s="47" t="str">
        <f ca="1">IFERROR(__xludf.DUMMYFUNCTION("""COMPUTED_VALUE"""),"C0193")</f>
        <v>C0193</v>
      </c>
      <c r="E436" s="46" t="str">
        <f ca="1">IFERROR(__xludf.DUMMYFUNCTION("""COMPUTED_VALUE"""),"NGUYỄN ĐỨC MINH")</f>
        <v>NGUYỄN ĐỨC MINH</v>
      </c>
      <c r="F436" s="46" t="str">
        <f ca="1">IFERROR(__xludf.DUMMYFUNCTION("""COMPUTED_VALUE"""),"NGUYEN DUC MINH")</f>
        <v>NGUYEN DUC MINH</v>
      </c>
      <c r="G436" s="45">
        <f ca="1">IFERROR(__xludf.DUMMYFUNCTION("""COMPUTED_VALUE"""),37245.625)</f>
        <v>37245.625</v>
      </c>
      <c r="H436" s="45" t="str">
        <f ca="1">IFERROR(__xludf.DUMMYFUNCTION("""COMPUTED_VALUE"""),"TLC")</f>
        <v>TLC</v>
      </c>
      <c r="I436" s="46" t="str">
        <f ca="1">IFERROR(__xludf.DUMMYFUNCTION("""COMPUTED_VALUE"""),"STORE")</f>
        <v>STORE</v>
      </c>
      <c r="J436" s="46" t="str">
        <f ca="1">IFERROR(__xludf.DUMMYFUNCTION("""COMPUTED_VALUE"""),"BLANK LOUNGE")</f>
        <v>BLANK LOUNGE</v>
      </c>
      <c r="K436" s="46" t="str">
        <f ca="1">IFERROR(__xludf.DUMMYFUNCTION("""COMPUTED_VALUE"""),"WAITSTAFF")</f>
        <v>WAITSTAFF</v>
      </c>
      <c r="L436" s="46" t="str">
        <f ca="1">IFERROR(__xludf.DUMMYFUNCTION("""COMPUTED_VALUE"""),"PTE")</f>
        <v>PTE</v>
      </c>
      <c r="M436" s="46" t="str">
        <f ca="1">IFERROR(__xludf.DUMMYFUNCTION("""COMPUTED_VALUE"""),"On")</f>
        <v>On</v>
      </c>
      <c r="N436" s="46" t="str">
        <f ca="1">IFERROR(__xludf.DUMMYFUNCTION("""COMPUTED_VALUE"""),"đủ")</f>
        <v>đủ</v>
      </c>
    </row>
    <row r="437" spans="1:14">
      <c r="A437" s="45">
        <f ca="1">IFERROR(__xludf.DUMMYFUNCTION("""COMPUTED_VALUE"""),45341.625)</f>
        <v>45341.625</v>
      </c>
      <c r="B437" s="45">
        <f ca="1">IFERROR(__xludf.DUMMYFUNCTION("""COMPUTED_VALUE"""),45837.5833333333)</f>
        <v>45837.583333333299</v>
      </c>
      <c r="C437" s="46">
        <f ca="1">IFERROR(__xludf.DUMMYFUNCTION("""COMPUTED_VALUE"""),438)</f>
        <v>438</v>
      </c>
      <c r="D437" s="47" t="str">
        <f ca="1">IFERROR(__xludf.DUMMYFUNCTION("""COMPUTED_VALUE"""),"C0194")</f>
        <v>C0194</v>
      </c>
      <c r="E437" s="46" t="str">
        <f ca="1">IFERROR(__xludf.DUMMYFUNCTION("""COMPUTED_VALUE"""),"NGUYỄN HUỲNH ĐỨC ANH")</f>
        <v>NGUYỄN HUỲNH ĐỨC ANH</v>
      </c>
      <c r="F437" s="46" t="str">
        <f ca="1">IFERROR(__xludf.DUMMYFUNCTION("""COMPUTED_VALUE"""),"NGUYEN HUYNH DUC ANH")</f>
        <v>NGUYEN HUYNH DUC ANH</v>
      </c>
      <c r="G437" s="45">
        <f ca="1">IFERROR(__xludf.DUMMYFUNCTION("""COMPUTED_VALUE"""),34948.5833333333)</f>
        <v>34948.583333333299</v>
      </c>
      <c r="H437" s="45" t="str">
        <f ca="1">IFERROR(__xludf.DUMMYFUNCTION("""COMPUTED_VALUE"""),"SHADOW")</f>
        <v>SHADOW</v>
      </c>
      <c r="I437" s="46" t="str">
        <f ca="1">IFERROR(__xludf.DUMMYFUNCTION("""COMPUTED_VALUE"""),"STORE")</f>
        <v>STORE</v>
      </c>
      <c r="J437" s="46" t="str">
        <f ca="1">IFERROR(__xludf.DUMMYFUNCTION("""COMPUTED_VALUE"""),"BAKES PASTEUR")</f>
        <v>BAKES PASTEUR</v>
      </c>
      <c r="K437" s="46" t="str">
        <f ca="1">IFERROR(__xludf.DUMMYFUNCTION("""COMPUTED_VALUE"""),"Management team")</f>
        <v>Management team</v>
      </c>
      <c r="L437" s="46" t="str">
        <f ca="1">IFERROR(__xludf.DUMMYFUNCTION("""COMPUTED_VALUE"""),"FTE")</f>
        <v>FTE</v>
      </c>
      <c r="M437" s="46" t="str">
        <f ca="1">IFERROR(__xludf.DUMMYFUNCTION("""COMPUTED_VALUE"""),"Leave")</f>
        <v>Leave</v>
      </c>
      <c r="N437" s="46" t="str">
        <f ca="1">IFERROR(__xludf.DUMMYFUNCTION("""COMPUTED_VALUE"""),"x")</f>
        <v>x</v>
      </c>
    </row>
    <row r="438" spans="1:14">
      <c r="A438" s="45">
        <f ca="1">IFERROR(__xludf.DUMMYFUNCTION("""COMPUTED_VALUE"""),45845.5833333333)</f>
        <v>45845.583333333299</v>
      </c>
      <c r="B438" s="45">
        <f ca="1">IFERROR(__xludf.DUMMYFUNCTION("""COMPUTED_VALUE"""),45933.5833333333)</f>
        <v>45933.583333333299</v>
      </c>
      <c r="C438" s="46">
        <f ca="1">IFERROR(__xludf.DUMMYFUNCTION("""COMPUTED_VALUE"""),439)</f>
        <v>439</v>
      </c>
      <c r="D438" s="47" t="str">
        <f ca="1">IFERROR(__xludf.DUMMYFUNCTION("""COMPUTED_VALUE"""),"C0194X")</f>
        <v>C0194X</v>
      </c>
      <c r="E438" s="46" t="str">
        <f ca="1">IFERROR(__xludf.DUMMYFUNCTION("""COMPUTED_VALUE"""),"NGUYỄN HUỲNH ĐỨC ANH")</f>
        <v>NGUYỄN HUỲNH ĐỨC ANH</v>
      </c>
      <c r="F438" s="46" t="str">
        <f ca="1">IFERROR(__xludf.DUMMYFUNCTION("""COMPUTED_VALUE"""),"NGUYEN HUYNH DUC ANH")</f>
        <v>NGUYEN HUYNH DUC ANH</v>
      </c>
      <c r="G438" s="45">
        <f ca="1">IFERROR(__xludf.DUMMYFUNCTION("""COMPUTED_VALUE"""),34948.5833333333)</f>
        <v>34948.583333333299</v>
      </c>
      <c r="H438" s="45" t="str">
        <f ca="1">IFERROR(__xludf.DUMMYFUNCTION("""COMPUTED_VALUE"""),"MATTE")</f>
        <v>MATTE</v>
      </c>
      <c r="I438" s="46" t="str">
        <f ca="1">IFERROR(__xludf.DUMMYFUNCTION("""COMPUTED_VALUE"""),"STORE")</f>
        <v>STORE</v>
      </c>
      <c r="J438" s="46" t="str">
        <f ca="1">IFERROR(__xludf.DUMMYFUNCTION("""COMPUTED_VALUE"""),"MATTE D1")</f>
        <v>MATTE D1</v>
      </c>
      <c r="K438" s="46" t="str">
        <f ca="1">IFERROR(__xludf.DUMMYFUNCTION("""COMPUTED_VALUE"""),"Management team")</f>
        <v>Management team</v>
      </c>
      <c r="L438" s="46" t="str">
        <f ca="1">IFERROR(__xludf.DUMMYFUNCTION("""COMPUTED_VALUE"""),"FTE")</f>
        <v>FTE</v>
      </c>
      <c r="M438" s="46" t="str">
        <f ca="1">IFERROR(__xludf.DUMMYFUNCTION("""COMPUTED_VALUE"""),"Leave")</f>
        <v>Leave</v>
      </c>
      <c r="N438" s="46" t="str">
        <f ca="1">IFERROR(__xludf.DUMMYFUNCTION("""COMPUTED_VALUE"""),"đủ")</f>
        <v>đủ</v>
      </c>
    </row>
    <row r="439" spans="1:14">
      <c r="A439" s="45">
        <f ca="1">IFERROR(__xludf.DUMMYFUNCTION("""COMPUTED_VALUE"""),45341.625)</f>
        <v>45341.625</v>
      </c>
      <c r="B439" s="45">
        <f ca="1">IFERROR(__xludf.DUMMYFUNCTION("""COMPUTED_VALUE"""),45367.5833333333)</f>
        <v>45367.583333333299</v>
      </c>
      <c r="C439" s="46">
        <f ca="1">IFERROR(__xludf.DUMMYFUNCTION("""COMPUTED_VALUE"""),440)</f>
        <v>440</v>
      </c>
      <c r="D439" s="47" t="str">
        <f ca="1">IFERROR(__xludf.DUMMYFUNCTION("""COMPUTED_VALUE"""),"C0195")</f>
        <v>C0195</v>
      </c>
      <c r="E439" s="46" t="str">
        <f ca="1">IFERROR(__xludf.DUMMYFUNCTION("""COMPUTED_VALUE"""),"ĐINH NGUYỄN PHƯƠNG HỒNG")</f>
        <v>ĐINH NGUYỄN PHƯƠNG HỒNG</v>
      </c>
      <c r="F439" s="46" t="str">
        <f ca="1">IFERROR(__xludf.DUMMYFUNCTION("""COMPUTED_VALUE"""),"DINH NGUYEN PHUONG HONG")</f>
        <v>DINH NGUYEN PHUONG HONG</v>
      </c>
      <c r="G439" s="45">
        <f ca="1">IFERROR(__xludf.DUMMYFUNCTION("""COMPUTED_VALUE"""),34998.5833333333)</f>
        <v>34998.583333333299</v>
      </c>
      <c r="H439" s="45" t="str">
        <f ca="1">IFERROR(__xludf.DUMMYFUNCTION("""COMPUTED_VALUE"""),"BAKES")</f>
        <v>BAKES</v>
      </c>
      <c r="I439" s="46" t="str">
        <f ca="1">IFERROR(__xludf.DUMMYFUNCTION("""COMPUTED_VALUE"""),"HO")</f>
        <v>HO</v>
      </c>
      <c r="J439" s="46" t="str">
        <f ca="1">IFERROR(__xludf.DUMMYFUNCTION("""COMPUTED_VALUE"""),"MKT")</f>
        <v>MKT</v>
      </c>
      <c r="K439" s="46" t="str">
        <f ca="1">IFERROR(__xludf.DUMMYFUNCTION("""COMPUTED_VALUE"""),"MKT")</f>
        <v>MKT</v>
      </c>
      <c r="L439" s="46" t="str">
        <f ca="1">IFERROR(__xludf.DUMMYFUNCTION("""COMPUTED_VALUE"""),"PRO")</f>
        <v>PRO</v>
      </c>
      <c r="M439" s="46" t="str">
        <f ca="1">IFERROR(__xludf.DUMMYFUNCTION("""COMPUTED_VALUE"""),"Leave")</f>
        <v>Leave</v>
      </c>
      <c r="N439" s="46" t="str">
        <f ca="1">IFERROR(__xludf.DUMMYFUNCTION("""COMPUTED_VALUE"""),"x")</f>
        <v>x</v>
      </c>
    </row>
    <row r="440" spans="1:14">
      <c r="A440" s="45">
        <f ca="1">IFERROR(__xludf.DUMMYFUNCTION("""COMPUTED_VALUE"""),45341.625)</f>
        <v>45341.625</v>
      </c>
      <c r="B440" s="45">
        <f ca="1">IFERROR(__xludf.DUMMYFUNCTION("""COMPUTED_VALUE"""),45783.5833333333)</f>
        <v>45783.583333333299</v>
      </c>
      <c r="C440" s="46">
        <f ca="1">IFERROR(__xludf.DUMMYFUNCTION("""COMPUTED_VALUE"""),441)</f>
        <v>441</v>
      </c>
      <c r="D440" s="47" t="str">
        <f ca="1">IFERROR(__xludf.DUMMYFUNCTION("""COMPUTED_VALUE"""),"C0196")</f>
        <v>C0196</v>
      </c>
      <c r="E440" s="46" t="str">
        <f ca="1">IFERROR(__xludf.DUMMYFUNCTION("""COMPUTED_VALUE"""),"HUỲNH THỊ NGỌC NHI")</f>
        <v>HUỲNH THỊ NGỌC NHI</v>
      </c>
      <c r="F440" s="46" t="str">
        <f ca="1">IFERROR(__xludf.DUMMYFUNCTION("""COMPUTED_VALUE"""),"HUYNH THI NGOC NHI")</f>
        <v>HUYNH THI NGOC NHI</v>
      </c>
      <c r="G440" s="45">
        <f ca="1">IFERROR(__xludf.DUMMYFUNCTION("""COMPUTED_VALUE"""),36222.625)</f>
        <v>36222.625</v>
      </c>
      <c r="H440" s="45" t="str">
        <f ca="1">IFERROR(__xludf.DUMMYFUNCTION("""COMPUTED_VALUE"""),"BAKES")</f>
        <v>BAKES</v>
      </c>
      <c r="I440" s="46" t="str">
        <f ca="1">IFERROR(__xludf.DUMMYFUNCTION("""COMPUTED_VALUE"""),"HO")</f>
        <v>HO</v>
      </c>
      <c r="J440" s="46" t="str">
        <f ca="1">IFERROR(__xludf.DUMMYFUNCTION("""COMPUTED_VALUE"""),"CUS")</f>
        <v>CUS</v>
      </c>
      <c r="K440" s="46" t="str">
        <f ca="1">IFERROR(__xludf.DUMMYFUNCTION("""COMPUTED_VALUE"""),"CUS")</f>
        <v>CUS</v>
      </c>
      <c r="L440" s="46" t="str">
        <f ca="1">IFERROR(__xludf.DUMMYFUNCTION("""COMPUTED_VALUE"""),"FTE")</f>
        <v>FTE</v>
      </c>
      <c r="M440" s="46" t="str">
        <f ca="1">IFERROR(__xludf.DUMMYFUNCTION("""COMPUTED_VALUE"""),"Leave")</f>
        <v>Leave</v>
      </c>
      <c r="N440" s="46" t="str">
        <f ca="1">IFERROR(__xludf.DUMMYFUNCTION("""COMPUTED_VALUE"""),"x")</f>
        <v>x</v>
      </c>
    </row>
    <row r="441" spans="1:14">
      <c r="A441" s="45">
        <f ca="1">IFERROR(__xludf.DUMMYFUNCTION("""COMPUTED_VALUE"""),45341.625)</f>
        <v>45341.625</v>
      </c>
      <c r="B441" s="45">
        <f ca="1">IFERROR(__xludf.DUMMYFUNCTION("""COMPUTED_VALUE"""),45870.5833333333)</f>
        <v>45870.583333333299</v>
      </c>
      <c r="C441" s="46">
        <f ca="1">IFERROR(__xludf.DUMMYFUNCTION("""COMPUTED_VALUE"""),442)</f>
        <v>442</v>
      </c>
      <c r="D441" s="47" t="str">
        <f ca="1">IFERROR(__xludf.DUMMYFUNCTION("""COMPUTED_VALUE"""),"C0197")</f>
        <v>C0197</v>
      </c>
      <c r="E441" s="46" t="str">
        <f ca="1">IFERROR(__xludf.DUMMYFUNCTION("""COMPUTED_VALUE"""),"VÕ THỊ NGỌC UYÊN")</f>
        <v>VÕ THỊ NGỌC UYÊN</v>
      </c>
      <c r="F441" s="46" t="str">
        <f ca="1">IFERROR(__xludf.DUMMYFUNCTION("""COMPUTED_VALUE"""),"VO THI NGOC UYEN")</f>
        <v>VO THI NGOC UYEN</v>
      </c>
      <c r="G441" s="45">
        <f ca="1">IFERROR(__xludf.DUMMYFUNCTION("""COMPUTED_VALUE"""),36442.5833333333)</f>
        <v>36442.583333333299</v>
      </c>
      <c r="H441" s="45" t="str">
        <f ca="1">IFERROR(__xludf.DUMMYFUNCTION("""COMPUTED_VALUE"""),"BAKES")</f>
        <v>BAKES</v>
      </c>
      <c r="I441" s="46" t="str">
        <f ca="1">IFERROR(__xludf.DUMMYFUNCTION("""COMPUTED_VALUE"""),"HO")</f>
        <v>HO</v>
      </c>
      <c r="J441" s="46" t="str">
        <f ca="1">IFERROR(__xludf.DUMMYFUNCTION("""COMPUTED_VALUE"""),"CUS")</f>
        <v>CUS</v>
      </c>
      <c r="K441" s="46" t="str">
        <f ca="1">IFERROR(__xludf.DUMMYFUNCTION("""COMPUTED_VALUE"""),"CUS")</f>
        <v>CUS</v>
      </c>
      <c r="L441" s="46" t="str">
        <f ca="1">IFERROR(__xludf.DUMMYFUNCTION("""COMPUTED_VALUE"""),"FTE")</f>
        <v>FTE</v>
      </c>
      <c r="M441" s="46" t="str">
        <f ca="1">IFERROR(__xludf.DUMMYFUNCTION("""COMPUTED_VALUE"""),"Leave")</f>
        <v>Leave</v>
      </c>
      <c r="N441" s="46" t="str">
        <f ca="1">IFERROR(__xludf.DUMMYFUNCTION("""COMPUTED_VALUE"""),"x")</f>
        <v>x</v>
      </c>
    </row>
    <row r="442" spans="1:14">
      <c r="A442" s="45">
        <f ca="1">IFERROR(__xludf.DUMMYFUNCTION("""COMPUTED_VALUE"""),45334.625)</f>
        <v>45334.625</v>
      </c>
      <c r="B442" s="45">
        <f ca="1">IFERROR(__xludf.DUMMYFUNCTION("""COMPUTED_VALUE"""),45336.625)</f>
        <v>45336.625</v>
      </c>
      <c r="C442" s="46">
        <f ca="1">IFERROR(__xludf.DUMMYFUNCTION("""COMPUTED_VALUE"""),443)</f>
        <v>443</v>
      </c>
      <c r="D442" s="47" t="str">
        <f ca="1">IFERROR(__xludf.DUMMYFUNCTION("""COMPUTED_VALUE"""),"C0198")</f>
        <v>C0198</v>
      </c>
      <c r="E442" s="46" t="str">
        <f ca="1">IFERROR(__xludf.DUMMYFUNCTION("""COMPUTED_VALUE"""),"NGUYỄN NGỌC BẢO NHI")</f>
        <v>NGUYỄN NGỌC BẢO NHI</v>
      </c>
      <c r="F442" s="46" t="str">
        <f ca="1">IFERROR(__xludf.DUMMYFUNCTION("""COMPUTED_VALUE"""),"NGUYEN NGOC BAO NHI")</f>
        <v>NGUYEN NGOC BAO NHI</v>
      </c>
      <c r="G442" s="45">
        <f ca="1">IFERROR(__xludf.DUMMYFUNCTION("""COMPUTED_VALUE"""),37111.5833333333)</f>
        <v>37111.583333333299</v>
      </c>
      <c r="H442" s="45" t="str">
        <f ca="1">IFERROR(__xludf.DUMMYFUNCTION("""COMPUTED_VALUE"""),"BAKES")</f>
        <v>BAKES</v>
      </c>
      <c r="I442" s="46" t="str">
        <f ca="1">IFERROR(__xludf.DUMMYFUNCTION("""COMPUTED_VALUE"""),"STORE")</f>
        <v>STORE</v>
      </c>
      <c r="J442" s="46" t="str">
        <f ca="1">IFERROR(__xludf.DUMMYFUNCTION("""COMPUTED_VALUE"""),"BAKES D2")</f>
        <v>BAKES D2</v>
      </c>
      <c r="K442" s="46" t="str">
        <f ca="1">IFERROR(__xludf.DUMMYFUNCTION("""COMPUTED_VALUE"""),"STR")</f>
        <v>STR</v>
      </c>
      <c r="L442" s="46" t="str">
        <f ca="1">IFERROR(__xludf.DUMMYFUNCTION("""COMPUTED_VALUE"""),"PRO")</f>
        <v>PRO</v>
      </c>
      <c r="M442" s="46" t="str">
        <f ca="1">IFERROR(__xludf.DUMMYFUNCTION("""COMPUTED_VALUE"""),"Leave")</f>
        <v>Leave</v>
      </c>
      <c r="N442" s="46" t="str">
        <f ca="1">IFERROR(__xludf.DUMMYFUNCTION("""COMPUTED_VALUE"""),"x")</f>
        <v>x</v>
      </c>
    </row>
    <row r="443" spans="1:14">
      <c r="A443" s="45">
        <f ca="1">IFERROR(__xludf.DUMMYFUNCTION("""COMPUTED_VALUE"""),45348.625)</f>
        <v>45348.625</v>
      </c>
      <c r="B443" s="45">
        <f ca="1">IFERROR(__xludf.DUMMYFUNCTION("""COMPUTED_VALUE"""),45443.5833333333)</f>
        <v>45443.583333333299</v>
      </c>
      <c r="C443" s="46">
        <f ca="1">IFERROR(__xludf.DUMMYFUNCTION("""COMPUTED_VALUE"""),444)</f>
        <v>444</v>
      </c>
      <c r="D443" s="47" t="str">
        <f ca="1">IFERROR(__xludf.DUMMYFUNCTION("""COMPUTED_VALUE"""),"C0199")</f>
        <v>C0199</v>
      </c>
      <c r="E443" s="46" t="str">
        <f ca="1">IFERROR(__xludf.DUMMYFUNCTION("""COMPUTED_VALUE"""),"VÕ THỊ KIM NGÂN")</f>
        <v>VÕ THỊ KIM NGÂN</v>
      </c>
      <c r="F443" s="46" t="str">
        <f ca="1">IFERROR(__xludf.DUMMYFUNCTION("""COMPUTED_VALUE"""),"VO THI KIM NGAN")</f>
        <v>VO THI KIM NGAN</v>
      </c>
      <c r="G443" s="45">
        <f ca="1">IFERROR(__xludf.DUMMYFUNCTION("""COMPUTED_VALUE"""),37265.625)</f>
        <v>37265.625</v>
      </c>
      <c r="H443" s="45" t="str">
        <f ca="1">IFERROR(__xludf.DUMMYFUNCTION("""COMPUTED_VALUE"""),"CREATIVE")</f>
        <v>CREATIVE</v>
      </c>
      <c r="I443" s="46" t="str">
        <f ca="1">IFERROR(__xludf.DUMMYFUNCTION("""COMPUTED_VALUE"""),"HO")</f>
        <v>HO</v>
      </c>
      <c r="J443" s="46" t="str">
        <f ca="1">IFERROR(__xludf.DUMMYFUNCTION("""COMPUTED_VALUE"""),"HRD")</f>
        <v>HRD</v>
      </c>
      <c r="K443" s="46" t="str">
        <f ca="1">IFERROR(__xludf.DUMMYFUNCTION("""COMPUTED_VALUE"""),"HRD")</f>
        <v>HRD</v>
      </c>
      <c r="L443" s="46" t="str">
        <f ca="1">IFERROR(__xludf.DUMMYFUNCTION("""COMPUTED_VALUE"""),"SER")</f>
        <v>SER</v>
      </c>
      <c r="M443" s="46" t="str">
        <f ca="1">IFERROR(__xludf.DUMMYFUNCTION("""COMPUTED_VALUE"""),"Leave")</f>
        <v>Leave</v>
      </c>
      <c r="N443" s="46" t="str">
        <f ca="1">IFERROR(__xludf.DUMMYFUNCTION("""COMPUTED_VALUE"""),"x")</f>
        <v>x</v>
      </c>
    </row>
    <row r="444" spans="1:14">
      <c r="A444" s="45">
        <f ca="1">IFERROR(__xludf.DUMMYFUNCTION("""COMPUTED_VALUE"""),45348.625)</f>
        <v>45348.625</v>
      </c>
      <c r="B444" s="45">
        <f ca="1">IFERROR(__xludf.DUMMYFUNCTION("""COMPUTED_VALUE"""),45566.5833333333)</f>
        <v>45566.583333333299</v>
      </c>
      <c r="C444" s="46">
        <f ca="1">IFERROR(__xludf.DUMMYFUNCTION("""COMPUTED_VALUE"""),445)</f>
        <v>445</v>
      </c>
      <c r="D444" s="47" t="str">
        <f ca="1">IFERROR(__xludf.DUMMYFUNCTION("""COMPUTED_VALUE"""),"C0200")</f>
        <v>C0200</v>
      </c>
      <c r="E444" s="46" t="str">
        <f ca="1">IFERROR(__xludf.DUMMYFUNCTION("""COMPUTED_VALUE"""),"HOÀNG NHÃ THANH")</f>
        <v>HOÀNG NHÃ THANH</v>
      </c>
      <c r="F444" s="46" t="str">
        <f ca="1">IFERROR(__xludf.DUMMYFUNCTION("""COMPUTED_VALUE"""),"HOANG NHA THANH")</f>
        <v>HOANG NHA THANH</v>
      </c>
      <c r="G444" s="45">
        <f ca="1">IFERROR(__xludf.DUMMYFUNCTION("""COMPUTED_VALUE"""),37682.625)</f>
        <v>37682.625</v>
      </c>
      <c r="H444" s="45" t="str">
        <f ca="1">IFERROR(__xludf.DUMMYFUNCTION("""COMPUTED_VALUE"""),"TLC")</f>
        <v>TLC</v>
      </c>
      <c r="I444" s="46" t="str">
        <f ca="1">IFERROR(__xludf.DUMMYFUNCTION("""COMPUTED_VALUE"""),"HO")</f>
        <v>HO</v>
      </c>
      <c r="J444" s="46" t="str">
        <f ca="1">IFERROR(__xludf.DUMMYFUNCTION("""COMPUTED_VALUE"""),"PRO")</f>
        <v>PRO</v>
      </c>
      <c r="K444" s="46" t="str">
        <f ca="1">IFERROR(__xludf.DUMMYFUNCTION("""COMPUTED_VALUE"""),"PRO")</f>
        <v>PRO</v>
      </c>
      <c r="L444" s="46" t="str">
        <f ca="1">IFERROR(__xludf.DUMMYFUNCTION("""COMPUTED_VALUE"""),"SER")</f>
        <v>SER</v>
      </c>
      <c r="M444" s="46" t="str">
        <f ca="1">IFERROR(__xludf.DUMMYFUNCTION("""COMPUTED_VALUE"""),"Leave")</f>
        <v>Leave</v>
      </c>
      <c r="N444" s="46" t="str">
        <f ca="1">IFERROR(__xludf.DUMMYFUNCTION("""COMPUTED_VALUE"""),"x")</f>
        <v>x</v>
      </c>
    </row>
    <row r="445" spans="1:14">
      <c r="A445" s="45">
        <f ca="1">IFERROR(__xludf.DUMMYFUNCTION("""COMPUTED_VALUE"""),45344.625)</f>
        <v>45344.625</v>
      </c>
      <c r="B445" s="45">
        <f ca="1">IFERROR(__xludf.DUMMYFUNCTION("""COMPUTED_VALUE"""),45383.5833333333)</f>
        <v>45383.583333333299</v>
      </c>
      <c r="C445" s="46">
        <f ca="1">IFERROR(__xludf.DUMMYFUNCTION("""COMPUTED_VALUE"""),446)</f>
        <v>446</v>
      </c>
      <c r="D445" s="47" t="str">
        <f ca="1">IFERROR(__xludf.DUMMYFUNCTION("""COMPUTED_VALUE"""),"C0201")</f>
        <v>C0201</v>
      </c>
      <c r="E445" s="46" t="str">
        <f ca="1">IFERROR(__xludf.DUMMYFUNCTION("""COMPUTED_VALUE"""),"ĐẶNG NGỌC YẾN LINH")</f>
        <v>ĐẶNG NGỌC YẾN LINH</v>
      </c>
      <c r="F445" s="46" t="str">
        <f ca="1">IFERROR(__xludf.DUMMYFUNCTION("""COMPUTED_VALUE"""),"DANG NGOC YEN LINH")</f>
        <v>DANG NGOC YEN LINH</v>
      </c>
      <c r="G445" s="45">
        <f ca="1">IFERROR(__xludf.DUMMYFUNCTION("""COMPUTED_VALUE"""),38205.5833333333)</f>
        <v>38205.583333333299</v>
      </c>
      <c r="H445" s="45" t="str">
        <f ca="1">IFERROR(__xludf.DUMMYFUNCTION("""COMPUTED_VALUE"""),"TLC")</f>
        <v>TLC</v>
      </c>
      <c r="I445" s="46" t="str">
        <f ca="1">IFERROR(__xludf.DUMMYFUNCTION("""COMPUTED_VALUE"""),"STORE")</f>
        <v>STORE</v>
      </c>
      <c r="J445" s="46" t="str">
        <f ca="1">IFERROR(__xludf.DUMMYFUNCTION("""COMPUTED_VALUE"""),"BAKES HCR")</f>
        <v>BAKES HCR</v>
      </c>
      <c r="K445" s="46" t="str">
        <f ca="1">IFERROR(__xludf.DUMMYFUNCTION("""COMPUTED_VALUE"""),"STR")</f>
        <v>STR</v>
      </c>
      <c r="L445" s="46" t="str">
        <f ca="1">IFERROR(__xludf.DUMMYFUNCTION("""COMPUTED_VALUE"""),"PTE")</f>
        <v>PTE</v>
      </c>
      <c r="M445" s="46" t="str">
        <f ca="1">IFERROR(__xludf.DUMMYFUNCTION("""COMPUTED_VALUE"""),"Leave")</f>
        <v>Leave</v>
      </c>
      <c r="N445" s="46" t="str">
        <f ca="1">IFERROR(__xludf.DUMMYFUNCTION("""COMPUTED_VALUE"""),"x")</f>
        <v>x</v>
      </c>
    </row>
    <row r="446" spans="1:14">
      <c r="A446" s="45">
        <f ca="1">IFERROR(__xludf.DUMMYFUNCTION("""COMPUTED_VALUE"""),45341.625)</f>
        <v>45341.625</v>
      </c>
      <c r="B446" s="45">
        <f ca="1">IFERROR(__xludf.DUMMYFUNCTION("""COMPUTED_VALUE"""),45413.5833333333)</f>
        <v>45413.583333333299</v>
      </c>
      <c r="C446" s="46">
        <f ca="1">IFERROR(__xludf.DUMMYFUNCTION("""COMPUTED_VALUE"""),447)</f>
        <v>447</v>
      </c>
      <c r="D446" s="47" t="str">
        <f ca="1">IFERROR(__xludf.DUMMYFUNCTION("""COMPUTED_VALUE"""),"C0202")</f>
        <v>C0202</v>
      </c>
      <c r="E446" s="46" t="str">
        <f ca="1">IFERROR(__xludf.DUMMYFUNCTION("""COMPUTED_VALUE"""),"TRẦN NGUYỄN BÍCH TIÊN")</f>
        <v>TRẦN NGUYỄN BÍCH TIÊN</v>
      </c>
      <c r="F446" s="46" t="str">
        <f ca="1">IFERROR(__xludf.DUMMYFUNCTION("""COMPUTED_VALUE"""),"TRAN NGUYEN BICH TIEN")</f>
        <v>TRAN NGUYEN BICH TIEN</v>
      </c>
      <c r="G446" s="45">
        <f ca="1">IFERROR(__xludf.DUMMYFUNCTION("""COMPUTED_VALUE"""),33985.625)</f>
        <v>33985.625</v>
      </c>
      <c r="H446" s="45" t="str">
        <f ca="1">IFERROR(__xludf.DUMMYFUNCTION("""COMPUTED_VALUE"""),"TLC")</f>
        <v>TLC</v>
      </c>
      <c r="I446" s="46" t="str">
        <f ca="1">IFERROR(__xludf.DUMMYFUNCTION("""COMPUTED_VALUE"""),"STORE")</f>
        <v>STORE</v>
      </c>
      <c r="J446" s="46" t="str">
        <f ca="1">IFERROR(__xludf.DUMMYFUNCTION("""COMPUTED_VALUE"""),"BLANK LOUNGE")</f>
        <v>BLANK LOUNGE</v>
      </c>
      <c r="K446" s="46" t="str">
        <f ca="1">IFERROR(__xludf.DUMMYFUNCTION("""COMPUTED_VALUE"""),"STR")</f>
        <v>STR</v>
      </c>
      <c r="L446" s="46" t="str">
        <f ca="1">IFERROR(__xludf.DUMMYFUNCTION("""COMPUTED_VALUE"""),"PTE")</f>
        <v>PTE</v>
      </c>
      <c r="M446" s="46" t="str">
        <f ca="1">IFERROR(__xludf.DUMMYFUNCTION("""COMPUTED_VALUE"""),"Leave")</f>
        <v>Leave</v>
      </c>
      <c r="N446" s="46" t="str">
        <f ca="1">IFERROR(__xludf.DUMMYFUNCTION("""COMPUTED_VALUE"""),"x")</f>
        <v>x</v>
      </c>
    </row>
    <row r="447" spans="1:14">
      <c r="A447" s="45">
        <f ca="1">IFERROR(__xludf.DUMMYFUNCTION("""COMPUTED_VALUE"""),45348.625)</f>
        <v>45348.625</v>
      </c>
      <c r="B447" s="45">
        <f ca="1">IFERROR(__xludf.DUMMYFUNCTION("""COMPUTED_VALUE"""),45383.5833333333)</f>
        <v>45383.583333333299</v>
      </c>
      <c r="C447" s="46">
        <f ca="1">IFERROR(__xludf.DUMMYFUNCTION("""COMPUTED_VALUE"""),448)</f>
        <v>448</v>
      </c>
      <c r="D447" s="47" t="str">
        <f ca="1">IFERROR(__xludf.DUMMYFUNCTION("""COMPUTED_VALUE"""),"C0203")</f>
        <v>C0203</v>
      </c>
      <c r="E447" s="46" t="str">
        <f ca="1">IFERROR(__xludf.DUMMYFUNCTION("""COMPUTED_VALUE"""),"PHAN NGỌC TIÊU DAO")</f>
        <v>PHAN NGỌC TIÊU DAO</v>
      </c>
      <c r="F447" s="46" t="str">
        <f ca="1">IFERROR(__xludf.DUMMYFUNCTION("""COMPUTED_VALUE"""),"PHAN NGOC TIÊU DAO")</f>
        <v>PHAN NGOC TIÊU DAO</v>
      </c>
      <c r="G447" s="45">
        <f ca="1">IFERROR(__xludf.DUMMYFUNCTION("""COMPUTED_VALUE"""),38108.5833333333)</f>
        <v>38108.583333333299</v>
      </c>
      <c r="H447" s="45" t="str">
        <f ca="1">IFERROR(__xludf.DUMMYFUNCTION("""COMPUTED_VALUE"""),"TLC")</f>
        <v>TLC</v>
      </c>
      <c r="I447" s="46" t="str">
        <f ca="1">IFERROR(__xludf.DUMMYFUNCTION("""COMPUTED_VALUE"""),"STORE")</f>
        <v>STORE</v>
      </c>
      <c r="J447" s="46" t="str">
        <f ca="1">IFERROR(__xludf.DUMMYFUNCTION("""COMPUTED_VALUE"""),"BAKES HCR")</f>
        <v>BAKES HCR</v>
      </c>
      <c r="K447" s="46" t="str">
        <f ca="1">IFERROR(__xludf.DUMMYFUNCTION("""COMPUTED_VALUE"""),"STR")</f>
        <v>STR</v>
      </c>
      <c r="L447" s="46" t="str">
        <f ca="1">IFERROR(__xludf.DUMMYFUNCTION("""COMPUTED_VALUE"""),"PTE")</f>
        <v>PTE</v>
      </c>
      <c r="M447" s="46" t="str">
        <f ca="1">IFERROR(__xludf.DUMMYFUNCTION("""COMPUTED_VALUE"""),"Leave")</f>
        <v>Leave</v>
      </c>
      <c r="N447" s="46" t="str">
        <f ca="1">IFERROR(__xludf.DUMMYFUNCTION("""COMPUTED_VALUE"""),"x")</f>
        <v>x</v>
      </c>
    </row>
    <row r="448" spans="1:14">
      <c r="A448" s="45">
        <f ca="1">IFERROR(__xludf.DUMMYFUNCTION("""COMPUTED_VALUE"""),45347.625)</f>
        <v>45347.625</v>
      </c>
      <c r="B448" s="45">
        <f ca="1">IFERROR(__xludf.DUMMYFUNCTION("""COMPUTED_VALUE"""),45413.5833333333)</f>
        <v>45413.583333333299</v>
      </c>
      <c r="C448" s="46">
        <f ca="1">IFERROR(__xludf.DUMMYFUNCTION("""COMPUTED_VALUE"""),449)</f>
        <v>449</v>
      </c>
      <c r="D448" s="47" t="str">
        <f ca="1">IFERROR(__xludf.DUMMYFUNCTION("""COMPUTED_VALUE"""),"C0204")</f>
        <v>C0204</v>
      </c>
      <c r="E448" s="46" t="str">
        <f ca="1">IFERROR(__xludf.DUMMYFUNCTION("""COMPUTED_VALUE"""),"LƯU TRẦN KHÁNH HOÀNG")</f>
        <v>LƯU TRẦN KHÁNH HOÀNG</v>
      </c>
      <c r="F448" s="46" t="str">
        <f ca="1">IFERROR(__xludf.DUMMYFUNCTION("""COMPUTED_VALUE"""),"LUU TRAN KHANH HOANG")</f>
        <v>LUU TRAN KHANH HOANG</v>
      </c>
      <c r="G448" s="45">
        <f ca="1">IFERROR(__xludf.DUMMYFUNCTION("""COMPUTED_VALUE"""),38607.5833333333)</f>
        <v>38607.583333333299</v>
      </c>
      <c r="H448" s="45" t="str">
        <f ca="1">IFERROR(__xludf.DUMMYFUNCTION("""COMPUTED_VALUE"""),"SHADOW")</f>
        <v>SHADOW</v>
      </c>
      <c r="I448" s="46" t="str">
        <f ca="1">IFERROR(__xludf.DUMMYFUNCTION("""COMPUTED_VALUE"""),"STORE")</f>
        <v>STORE</v>
      </c>
      <c r="J448" s="46" t="str">
        <f ca="1">IFERROR(__xludf.DUMMYFUNCTION("""COMPUTED_VALUE"""),"BAKES PASTEUR")</f>
        <v>BAKES PASTEUR</v>
      </c>
      <c r="K448" s="46" t="str">
        <f ca="1">IFERROR(__xludf.DUMMYFUNCTION("""COMPUTED_VALUE"""),"STR")</f>
        <v>STR</v>
      </c>
      <c r="L448" s="46" t="str">
        <f ca="1">IFERROR(__xludf.DUMMYFUNCTION("""COMPUTED_VALUE"""),"PTE")</f>
        <v>PTE</v>
      </c>
      <c r="M448" s="46" t="str">
        <f ca="1">IFERROR(__xludf.DUMMYFUNCTION("""COMPUTED_VALUE"""),"Leave")</f>
        <v>Leave</v>
      </c>
      <c r="N448" s="46" t="str">
        <f ca="1">IFERROR(__xludf.DUMMYFUNCTION("""COMPUTED_VALUE"""),"x")</f>
        <v>x</v>
      </c>
    </row>
    <row r="449" spans="1:14">
      <c r="A449" s="45">
        <f ca="1">IFERROR(__xludf.DUMMYFUNCTION("""COMPUTED_VALUE"""),45344.625)</f>
        <v>45344.625</v>
      </c>
      <c r="B449" s="45"/>
      <c r="C449" s="46">
        <f ca="1">IFERROR(__xludf.DUMMYFUNCTION("""COMPUTED_VALUE"""),450)</f>
        <v>450</v>
      </c>
      <c r="D449" s="47" t="str">
        <f ca="1">IFERROR(__xludf.DUMMYFUNCTION("""COMPUTED_VALUE"""),"C0205")</f>
        <v>C0205</v>
      </c>
      <c r="E449" s="46" t="str">
        <f ca="1">IFERROR(__xludf.DUMMYFUNCTION("""COMPUTED_VALUE"""),"TRẦN QUỐC PHONG")</f>
        <v>TRẦN QUỐC PHONG</v>
      </c>
      <c r="F449" s="46" t="str">
        <f ca="1">IFERROR(__xludf.DUMMYFUNCTION("""COMPUTED_VALUE"""),"TRAN QUOC PHONG")</f>
        <v>TRAN QUOC PHONG</v>
      </c>
      <c r="G449" s="45">
        <f ca="1">IFERROR(__xludf.DUMMYFUNCTION("""COMPUTED_VALUE"""),30907.5833333333)</f>
        <v>30907.583333333299</v>
      </c>
      <c r="H449" s="45" t="str">
        <f ca="1">IFERROR(__xludf.DUMMYFUNCTION("""COMPUTED_VALUE"""),"TLC")</f>
        <v>TLC</v>
      </c>
      <c r="I449" s="46" t="str">
        <f ca="1">IFERROR(__xludf.DUMMYFUNCTION("""COMPUTED_VALUE"""),"STORE")</f>
        <v>STORE</v>
      </c>
      <c r="J449" s="46" t="str">
        <f ca="1">IFERROR(__xludf.DUMMYFUNCTION("""COMPUTED_VALUE"""),"BLANK LOUNGE")</f>
        <v>BLANK LOUNGE</v>
      </c>
      <c r="K449" s="46" t="str">
        <f ca="1">IFERROR(__xludf.DUMMYFUNCTION("""COMPUTED_VALUE"""),"KIT")</f>
        <v>KIT</v>
      </c>
      <c r="L449" s="46" t="str">
        <f ca="1">IFERROR(__xludf.DUMMYFUNCTION("""COMPUTED_VALUE"""),"FTE")</f>
        <v>FTE</v>
      </c>
      <c r="M449" s="46" t="str">
        <f ca="1">IFERROR(__xludf.DUMMYFUNCTION("""COMPUTED_VALUE"""),"On")</f>
        <v>On</v>
      </c>
      <c r="N449" s="46" t="str">
        <f ca="1">IFERROR(__xludf.DUMMYFUNCTION("""COMPUTED_VALUE"""),"đủ")</f>
        <v>đủ</v>
      </c>
    </row>
    <row r="450" spans="1:14">
      <c r="A450" s="45">
        <f ca="1">IFERROR(__xludf.DUMMYFUNCTION("""COMPUTED_VALUE"""),45337.625)</f>
        <v>45337.625</v>
      </c>
      <c r="B450" s="45">
        <f ca="1">IFERROR(__xludf.DUMMYFUNCTION("""COMPUTED_VALUE"""),45339.625)</f>
        <v>45339.625</v>
      </c>
      <c r="C450" s="46">
        <f ca="1">IFERROR(__xludf.DUMMYFUNCTION("""COMPUTED_VALUE"""),451)</f>
        <v>451</v>
      </c>
      <c r="D450" s="47" t="str">
        <f ca="1">IFERROR(__xludf.DUMMYFUNCTION("""COMPUTED_VALUE"""),"C0206")</f>
        <v>C0206</v>
      </c>
      <c r="E450" s="46" t="str">
        <f ca="1">IFERROR(__xludf.DUMMYFUNCTION("""COMPUTED_VALUE"""),"HOÀNG NHẬT TIẾN")</f>
        <v>HOÀNG NHẬT TIẾN</v>
      </c>
      <c r="F450" s="46" t="str">
        <f ca="1">IFERROR(__xludf.DUMMYFUNCTION("""COMPUTED_VALUE"""),"HOANG NHAT TIEN")</f>
        <v>HOANG NHAT TIEN</v>
      </c>
      <c r="G450" s="45">
        <f ca="1">IFERROR(__xludf.DUMMYFUNCTION("""COMPUTED_VALUE"""),35261.5833333333)</f>
        <v>35261.583333333299</v>
      </c>
      <c r="H450" s="45" t="str">
        <f ca="1">IFERROR(__xludf.DUMMYFUNCTION("""COMPUTED_VALUE"""),"SHADOW")</f>
        <v>SHADOW</v>
      </c>
      <c r="I450" s="46" t="str">
        <f ca="1">IFERROR(__xludf.DUMMYFUNCTION("""COMPUTED_VALUE"""),"STORE")</f>
        <v>STORE</v>
      </c>
      <c r="J450" s="46" t="str">
        <f ca="1">IFERROR(__xludf.DUMMYFUNCTION("""COMPUTED_VALUE"""),"BAKES PASTEUR")</f>
        <v>BAKES PASTEUR</v>
      </c>
      <c r="K450" s="46" t="str">
        <f ca="1">IFERROR(__xludf.DUMMYFUNCTION("""COMPUTED_VALUE"""),"STR")</f>
        <v>STR</v>
      </c>
      <c r="L450" s="46" t="str">
        <f ca="1">IFERROR(__xludf.DUMMYFUNCTION("""COMPUTED_VALUE"""),"FTE")</f>
        <v>FTE</v>
      </c>
      <c r="M450" s="46" t="str">
        <f ca="1">IFERROR(__xludf.DUMMYFUNCTION("""COMPUTED_VALUE"""),"Leave")</f>
        <v>Leave</v>
      </c>
      <c r="N450" s="46" t="str">
        <f ca="1">IFERROR(__xludf.DUMMYFUNCTION("""COMPUTED_VALUE"""),"x")</f>
        <v>x</v>
      </c>
    </row>
    <row r="451" spans="1:14">
      <c r="A451" s="45">
        <f ca="1">IFERROR(__xludf.DUMMYFUNCTION("""COMPUTED_VALUE"""),45348.625)</f>
        <v>45348.625</v>
      </c>
      <c r="B451" s="45">
        <f ca="1">IFERROR(__xludf.DUMMYFUNCTION("""COMPUTED_VALUE"""),45351.625)</f>
        <v>45351.625</v>
      </c>
      <c r="C451" s="46">
        <f ca="1">IFERROR(__xludf.DUMMYFUNCTION("""COMPUTED_VALUE"""),452)</f>
        <v>452</v>
      </c>
      <c r="D451" s="47" t="str">
        <f ca="1">IFERROR(__xludf.DUMMYFUNCTION("""COMPUTED_VALUE"""),"C0207")</f>
        <v>C0207</v>
      </c>
      <c r="E451" s="46" t="str">
        <f ca="1">IFERROR(__xludf.DUMMYFUNCTION("""COMPUTED_VALUE"""),"NGUYỄN THỊ NGỌC THẢO")</f>
        <v>NGUYỄN THỊ NGỌC THẢO</v>
      </c>
      <c r="F451" s="46" t="str">
        <f ca="1">IFERROR(__xludf.DUMMYFUNCTION("""COMPUTED_VALUE"""),"NGUYEN THI NGOC THAO")</f>
        <v>NGUYEN THI NGOC THAO</v>
      </c>
      <c r="G451" s="45">
        <f ca="1">IFERROR(__xludf.DUMMYFUNCTION("""COMPUTED_VALUE"""),37000.5833333333)</f>
        <v>37000.583333333299</v>
      </c>
      <c r="H451" s="45" t="str">
        <f ca="1">IFERROR(__xludf.DUMMYFUNCTION("""COMPUTED_VALUE"""),"BAKES")</f>
        <v>BAKES</v>
      </c>
      <c r="I451" s="46" t="str">
        <f ca="1">IFERROR(__xludf.DUMMYFUNCTION("""COMPUTED_VALUE"""),"STORE")</f>
        <v>STORE</v>
      </c>
      <c r="J451" s="46" t="str">
        <f ca="1">IFERROR(__xludf.DUMMYFUNCTION("""COMPUTED_VALUE"""),"BAKES D2")</f>
        <v>BAKES D2</v>
      </c>
      <c r="K451" s="46" t="str">
        <f ca="1">IFERROR(__xludf.DUMMYFUNCTION("""COMPUTED_VALUE"""),"STR")</f>
        <v>STR</v>
      </c>
      <c r="L451" s="46" t="str">
        <f ca="1">IFERROR(__xludf.DUMMYFUNCTION("""COMPUTED_VALUE"""),"FTE")</f>
        <v>FTE</v>
      </c>
      <c r="M451" s="46" t="str">
        <f ca="1">IFERROR(__xludf.DUMMYFUNCTION("""COMPUTED_VALUE"""),"Leave")</f>
        <v>Leave</v>
      </c>
      <c r="N451" s="46" t="str">
        <f ca="1">IFERROR(__xludf.DUMMYFUNCTION("""COMPUTED_VALUE"""),"x")</f>
        <v>x</v>
      </c>
    </row>
    <row r="452" spans="1:14">
      <c r="A452" s="45">
        <f ca="1">IFERROR(__xludf.DUMMYFUNCTION("""COMPUTED_VALUE"""),45346.625)</f>
        <v>45346.625</v>
      </c>
      <c r="B452" s="45">
        <f ca="1">IFERROR(__xludf.DUMMYFUNCTION("""COMPUTED_VALUE"""),45413.5833333333)</f>
        <v>45413.583333333299</v>
      </c>
      <c r="C452" s="46">
        <f ca="1">IFERROR(__xludf.DUMMYFUNCTION("""COMPUTED_VALUE"""),453)</f>
        <v>453</v>
      </c>
      <c r="D452" s="47" t="str">
        <f ca="1">IFERROR(__xludf.DUMMYFUNCTION("""COMPUTED_VALUE"""),"C0208")</f>
        <v>C0208</v>
      </c>
      <c r="E452" s="46" t="str">
        <f ca="1">IFERROR(__xludf.DUMMYFUNCTION("""COMPUTED_VALUE"""),"NGUYỄN THANH PHONG")</f>
        <v>NGUYỄN THANH PHONG</v>
      </c>
      <c r="F452" s="46" t="str">
        <f ca="1">IFERROR(__xludf.DUMMYFUNCTION("""COMPUTED_VALUE"""),"NGUYEN THANH PHONG")</f>
        <v>NGUYEN THANH PHONG</v>
      </c>
      <c r="G452" s="45">
        <f ca="1">IFERROR(__xludf.DUMMYFUNCTION("""COMPUTED_VALUE"""),37902.5833333333)</f>
        <v>37902.583333333299</v>
      </c>
      <c r="H452" s="45" t="str">
        <f ca="1">IFERROR(__xludf.DUMMYFUNCTION("""COMPUTED_VALUE"""),"SHADOW")</f>
        <v>SHADOW</v>
      </c>
      <c r="I452" s="46" t="str">
        <f ca="1">IFERROR(__xludf.DUMMYFUNCTION("""COMPUTED_VALUE"""),"STORE")</f>
        <v>STORE</v>
      </c>
      <c r="J452" s="46" t="str">
        <f ca="1">IFERROR(__xludf.DUMMYFUNCTION("""COMPUTED_VALUE"""),"BAKES PASTEUR")</f>
        <v>BAKES PASTEUR</v>
      </c>
      <c r="K452" s="46" t="str">
        <f ca="1">IFERROR(__xludf.DUMMYFUNCTION("""COMPUTED_VALUE"""),"STR")</f>
        <v>STR</v>
      </c>
      <c r="L452" s="46" t="str">
        <f ca="1">IFERROR(__xludf.DUMMYFUNCTION("""COMPUTED_VALUE"""),"PTE")</f>
        <v>PTE</v>
      </c>
      <c r="M452" s="46" t="str">
        <f ca="1">IFERROR(__xludf.DUMMYFUNCTION("""COMPUTED_VALUE"""),"Leave")</f>
        <v>Leave</v>
      </c>
      <c r="N452" s="46" t="str">
        <f ca="1">IFERROR(__xludf.DUMMYFUNCTION("""COMPUTED_VALUE"""),"x")</f>
        <v>x</v>
      </c>
    </row>
    <row r="453" spans="1:14">
      <c r="A453" s="45">
        <f ca="1">IFERROR(__xludf.DUMMYFUNCTION("""COMPUTED_VALUE"""),45293.625)</f>
        <v>45293.625</v>
      </c>
      <c r="B453" s="45">
        <f ca="1">IFERROR(__xludf.DUMMYFUNCTION("""COMPUTED_VALUE"""),45300.625)</f>
        <v>45300.625</v>
      </c>
      <c r="C453" s="46">
        <f ca="1">IFERROR(__xludf.DUMMYFUNCTION("""COMPUTED_VALUE"""),454)</f>
        <v>454</v>
      </c>
      <c r="D453" s="47" t="str">
        <f ca="1">IFERROR(__xludf.DUMMYFUNCTION("""COMPUTED_VALUE"""),"C0209")</f>
        <v>C0209</v>
      </c>
      <c r="E453" s="46" t="str">
        <f ca="1">IFERROR(__xludf.DUMMYFUNCTION("""COMPUTED_VALUE"""),"NGUYỄN THỊ MỸ LANG")</f>
        <v>NGUYỄN THỊ MỸ LANG</v>
      </c>
      <c r="F453" s="46" t="str">
        <f ca="1">IFERROR(__xludf.DUMMYFUNCTION("""COMPUTED_VALUE"""),"NGUYEN THI MY LANG")</f>
        <v>NGUYEN THI MY LANG</v>
      </c>
      <c r="G453" s="45">
        <f ca="1">IFERROR(__xludf.DUMMYFUNCTION("""COMPUTED_VALUE"""),28776.5833333333)</f>
        <v>28776.583333333299</v>
      </c>
      <c r="H453" s="45" t="str">
        <f ca="1">IFERROR(__xludf.DUMMYFUNCTION("""COMPUTED_VALUE"""),"BAKES")</f>
        <v>BAKES</v>
      </c>
      <c r="I453" s="46" t="str">
        <f ca="1">IFERROR(__xludf.DUMMYFUNCTION("""COMPUTED_VALUE"""),"STORE")</f>
        <v>STORE</v>
      </c>
      <c r="J453" s="46" t="str">
        <f ca="1">IFERROR(__xludf.DUMMYFUNCTION("""COMPUTED_VALUE"""),"BAKES D2")</f>
        <v>BAKES D2</v>
      </c>
      <c r="K453" s="46" t="str">
        <f ca="1">IFERROR(__xludf.DUMMYFUNCTION("""COMPUTED_VALUE"""),"STR")</f>
        <v>STR</v>
      </c>
      <c r="L453" s="46" t="str">
        <f ca="1">IFERROR(__xludf.DUMMYFUNCTION("""COMPUTED_VALUE"""),"PTE")</f>
        <v>PTE</v>
      </c>
      <c r="M453" s="46" t="str">
        <f ca="1">IFERROR(__xludf.DUMMYFUNCTION("""COMPUTED_VALUE"""),"Leave")</f>
        <v>Leave</v>
      </c>
      <c r="N453" s="46" t="str">
        <f ca="1">IFERROR(__xludf.DUMMYFUNCTION("""COMPUTED_VALUE"""),"x")</f>
        <v>x</v>
      </c>
    </row>
    <row r="454" spans="1:14">
      <c r="A454" s="45">
        <f ca="1">IFERROR(__xludf.DUMMYFUNCTION("""COMPUTED_VALUE"""),45356.625)</f>
        <v>45356.625</v>
      </c>
      <c r="B454" s="45">
        <f ca="1">IFERROR(__xludf.DUMMYFUNCTION("""COMPUTED_VALUE"""),45421.5833333333)</f>
        <v>45421.583333333299</v>
      </c>
      <c r="C454" s="46">
        <f ca="1">IFERROR(__xludf.DUMMYFUNCTION("""COMPUTED_VALUE"""),455)</f>
        <v>455</v>
      </c>
      <c r="D454" s="47" t="str">
        <f ca="1">IFERROR(__xludf.DUMMYFUNCTION("""COMPUTED_VALUE"""),"C0210")</f>
        <v>C0210</v>
      </c>
      <c r="E454" s="46" t="str">
        <f ca="1">IFERROR(__xludf.DUMMYFUNCTION("""COMPUTED_VALUE"""),"NGUYỄN HOÀNG PHƯƠNG KHÁNH")</f>
        <v>NGUYỄN HOÀNG PHƯƠNG KHÁNH</v>
      </c>
      <c r="F454" s="46" t="str">
        <f ca="1">IFERROR(__xludf.DUMMYFUNCTION("""COMPUTED_VALUE"""),"NGUYEN HOANG PHUONG KHANH")</f>
        <v>NGUYEN HOANG PHUONG KHANH</v>
      </c>
      <c r="G454" s="45">
        <f ca="1">IFERROR(__xludf.DUMMYFUNCTION("""COMPUTED_VALUE"""),36972.625)</f>
        <v>36972.625</v>
      </c>
      <c r="H454" s="45" t="str">
        <f ca="1">IFERROR(__xludf.DUMMYFUNCTION("""COMPUTED_VALUE"""),"CREATIVE")</f>
        <v>CREATIVE</v>
      </c>
      <c r="I454" s="46" t="str">
        <f ca="1">IFERROR(__xludf.DUMMYFUNCTION("""COMPUTED_VALUE"""),"HO")</f>
        <v>HO</v>
      </c>
      <c r="J454" s="46" t="str">
        <f ca="1">IFERROR(__xludf.DUMMYFUNCTION("""COMPUTED_VALUE"""),"SPD")</f>
        <v>SPD</v>
      </c>
      <c r="K454" s="46" t="str">
        <f ca="1">IFERROR(__xludf.DUMMYFUNCTION("""COMPUTED_VALUE"""),"SPD")</f>
        <v>SPD</v>
      </c>
      <c r="L454" s="46" t="str">
        <f ca="1">IFERROR(__xludf.DUMMYFUNCTION("""COMPUTED_VALUE"""),"PRO")</f>
        <v>PRO</v>
      </c>
      <c r="M454" s="46" t="str">
        <f ca="1">IFERROR(__xludf.DUMMYFUNCTION("""COMPUTED_VALUE"""),"Leave")</f>
        <v>Leave</v>
      </c>
      <c r="N454" s="46" t="str">
        <f ca="1">IFERROR(__xludf.DUMMYFUNCTION("""COMPUTED_VALUE"""),"x")</f>
        <v>x</v>
      </c>
    </row>
    <row r="455" spans="1:14">
      <c r="A455" s="45">
        <f ca="1">IFERROR(__xludf.DUMMYFUNCTION("""COMPUTED_VALUE"""),45700.625)</f>
        <v>45700.625</v>
      </c>
      <c r="B455" s="45">
        <f ca="1">IFERROR(__xludf.DUMMYFUNCTION("""COMPUTED_VALUE"""),45837.5833333333)</f>
        <v>45837.583333333299</v>
      </c>
      <c r="C455" s="46">
        <f ca="1">IFERROR(__xludf.DUMMYFUNCTION("""COMPUTED_VALUE"""),456)</f>
        <v>456</v>
      </c>
      <c r="D455" s="47" t="str">
        <f ca="1">IFERROR(__xludf.DUMMYFUNCTION("""COMPUTED_VALUE"""),"C0211")</f>
        <v>C0211</v>
      </c>
      <c r="E455" s="46" t="str">
        <f ca="1">IFERROR(__xludf.DUMMYFUNCTION("""COMPUTED_VALUE"""),"TRẦN BẢO NGỌC")</f>
        <v>TRẦN BẢO NGỌC</v>
      </c>
      <c r="F455" s="46" t="str">
        <f ca="1">IFERROR(__xludf.DUMMYFUNCTION("""COMPUTED_VALUE"""),"TRAN BAO NGOC")</f>
        <v>TRAN BAO NGOC</v>
      </c>
      <c r="G455" s="45">
        <f ca="1">IFERROR(__xludf.DUMMYFUNCTION("""COMPUTED_VALUE"""),38281.5833333333)</f>
        <v>38281.583333333299</v>
      </c>
      <c r="H455" s="45" t="str">
        <f ca="1">IFERROR(__xludf.DUMMYFUNCTION("""COMPUTED_VALUE"""),"SHADOW")</f>
        <v>SHADOW</v>
      </c>
      <c r="I455" s="46" t="str">
        <f ca="1">IFERROR(__xludf.DUMMYFUNCTION("""COMPUTED_VALUE"""),"STORE")</f>
        <v>STORE</v>
      </c>
      <c r="J455" s="46" t="str">
        <f ca="1">IFERROR(__xludf.DUMMYFUNCTION("""COMPUTED_VALUE"""),"BAKES PASTEUR")</f>
        <v>BAKES PASTEUR</v>
      </c>
      <c r="K455" s="46" t="str">
        <f ca="1">IFERROR(__xludf.DUMMYFUNCTION("""COMPUTED_VALUE"""),"CASHIER")</f>
        <v>CASHIER</v>
      </c>
      <c r="L455" s="46" t="str">
        <f ca="1">IFERROR(__xludf.DUMMYFUNCTION("""COMPUTED_VALUE"""),"PTE")</f>
        <v>PTE</v>
      </c>
      <c r="M455" s="46" t="str">
        <f ca="1">IFERROR(__xludf.DUMMYFUNCTION("""COMPUTED_VALUE"""),"Leave")</f>
        <v>Leave</v>
      </c>
      <c r="N455" s="46" t="str">
        <f ca="1">IFERROR(__xludf.DUMMYFUNCTION("""COMPUTED_VALUE"""),"đủ")</f>
        <v>đủ</v>
      </c>
    </row>
    <row r="456" spans="1:14">
      <c r="A456" s="45">
        <f ca="1">IFERROR(__xludf.DUMMYFUNCTION("""COMPUTED_VALUE"""),45360.625)</f>
        <v>45360.625</v>
      </c>
      <c r="B456" s="45">
        <f ca="1">IFERROR(__xludf.DUMMYFUNCTION("""COMPUTED_VALUE"""),45563.5833333333)</f>
        <v>45563.583333333299</v>
      </c>
      <c r="C456" s="46">
        <f ca="1">IFERROR(__xludf.DUMMYFUNCTION("""COMPUTED_VALUE"""),457)</f>
        <v>457</v>
      </c>
      <c r="D456" s="47" t="str">
        <f ca="1">IFERROR(__xludf.DUMMYFUNCTION("""COMPUTED_VALUE"""),"C0212")</f>
        <v>C0212</v>
      </c>
      <c r="E456" s="46" t="str">
        <f ca="1">IFERROR(__xludf.DUMMYFUNCTION("""COMPUTED_VALUE"""),"NGUYỄN HUỲNH THỦY TIÊN")</f>
        <v>NGUYỄN HUỲNH THỦY TIÊN</v>
      </c>
      <c r="F456" s="46" t="str">
        <f ca="1">IFERROR(__xludf.DUMMYFUNCTION("""COMPUTED_VALUE"""),"NGUYEN HUYNH THUY TIEN")</f>
        <v>NGUYEN HUYNH THUY TIEN</v>
      </c>
      <c r="G456" s="45">
        <f ca="1">IFERROR(__xludf.DUMMYFUNCTION("""COMPUTED_VALUE"""),37816.5833333333)</f>
        <v>37816.583333333299</v>
      </c>
      <c r="H456" s="45" t="str">
        <f ca="1">IFERROR(__xludf.DUMMYFUNCTION("""COMPUTED_VALUE"""),"BAKES")</f>
        <v>BAKES</v>
      </c>
      <c r="I456" s="46" t="str">
        <f ca="1">IFERROR(__xludf.DUMMYFUNCTION("""COMPUTED_VALUE"""),"STORE")</f>
        <v>STORE</v>
      </c>
      <c r="J456" s="46" t="str">
        <f ca="1">IFERROR(__xludf.DUMMYFUNCTION("""COMPUTED_VALUE"""),"BAKES D2")</f>
        <v>BAKES D2</v>
      </c>
      <c r="K456" s="46" t="str">
        <f ca="1">IFERROR(__xludf.DUMMYFUNCTION("""COMPUTED_VALUE"""),"WAITSTAFF")</f>
        <v>WAITSTAFF</v>
      </c>
      <c r="L456" s="46" t="str">
        <f ca="1">IFERROR(__xludf.DUMMYFUNCTION("""COMPUTED_VALUE"""),"PTE")</f>
        <v>PTE</v>
      </c>
      <c r="M456" s="46" t="str">
        <f ca="1">IFERROR(__xludf.DUMMYFUNCTION("""COMPUTED_VALUE"""),"Leave")</f>
        <v>Leave</v>
      </c>
      <c r="N456" s="46" t="str">
        <f ca="1">IFERROR(__xludf.DUMMYFUNCTION("""COMPUTED_VALUE"""),"x")</f>
        <v>x</v>
      </c>
    </row>
    <row r="457" spans="1:14">
      <c r="A457" s="45">
        <f ca="1">IFERROR(__xludf.DUMMYFUNCTION("""COMPUTED_VALUE"""),45355.625)</f>
        <v>45355.625</v>
      </c>
      <c r="B457" s="45">
        <f ca="1">IFERROR(__xludf.DUMMYFUNCTION("""COMPUTED_VALUE"""),45383.5833333333)</f>
        <v>45383.583333333299</v>
      </c>
      <c r="C457" s="46">
        <f ca="1">IFERROR(__xludf.DUMMYFUNCTION("""COMPUTED_VALUE"""),458)</f>
        <v>458</v>
      </c>
      <c r="D457" s="47" t="str">
        <f ca="1">IFERROR(__xludf.DUMMYFUNCTION("""COMPUTED_VALUE"""),"C0213")</f>
        <v>C0213</v>
      </c>
      <c r="E457" s="46" t="str">
        <f ca="1">IFERROR(__xludf.DUMMYFUNCTION("""COMPUTED_VALUE"""),"ĐẶNG LÊ VÂN ANH")</f>
        <v>ĐẶNG LÊ VÂN ANH</v>
      </c>
      <c r="F457" s="46" t="str">
        <f ca="1">IFERROR(__xludf.DUMMYFUNCTION("""COMPUTED_VALUE"""),"DANG LE VAN ANH")</f>
        <v>DANG LE VAN ANH</v>
      </c>
      <c r="G457" s="45">
        <f ca="1">IFERROR(__xludf.DUMMYFUNCTION("""COMPUTED_VALUE"""),38626.5833333333)</f>
        <v>38626.583333333299</v>
      </c>
      <c r="H457" s="45" t="str">
        <f ca="1">IFERROR(__xludf.DUMMYFUNCTION("""COMPUTED_VALUE"""),"TLC")</f>
        <v>TLC</v>
      </c>
      <c r="I457" s="46" t="str">
        <f ca="1">IFERROR(__xludf.DUMMYFUNCTION("""COMPUTED_VALUE"""),"STORE")</f>
        <v>STORE</v>
      </c>
      <c r="J457" s="46" t="str">
        <f ca="1">IFERROR(__xludf.DUMMYFUNCTION("""COMPUTED_VALUE"""),"BAKES HCR")</f>
        <v>BAKES HCR</v>
      </c>
      <c r="K457" s="46" t="str">
        <f ca="1">IFERROR(__xludf.DUMMYFUNCTION("""COMPUTED_VALUE"""),"STR")</f>
        <v>STR</v>
      </c>
      <c r="L457" s="46" t="str">
        <f ca="1">IFERROR(__xludf.DUMMYFUNCTION("""COMPUTED_VALUE"""),"PTE")</f>
        <v>PTE</v>
      </c>
      <c r="M457" s="46" t="str">
        <f ca="1">IFERROR(__xludf.DUMMYFUNCTION("""COMPUTED_VALUE"""),"Leave")</f>
        <v>Leave</v>
      </c>
      <c r="N457" s="46" t="str">
        <f ca="1">IFERROR(__xludf.DUMMYFUNCTION("""COMPUTED_VALUE"""),"x")</f>
        <v>x</v>
      </c>
    </row>
    <row r="458" spans="1:14">
      <c r="A458" s="45">
        <f ca="1">IFERROR(__xludf.DUMMYFUNCTION("""COMPUTED_VALUE"""),45362.5833333333)</f>
        <v>45362.583333333299</v>
      </c>
      <c r="B458" s="45">
        <f ca="1">IFERROR(__xludf.DUMMYFUNCTION("""COMPUTED_VALUE"""),45631.625)</f>
        <v>45631.625</v>
      </c>
      <c r="C458" s="46">
        <f ca="1">IFERROR(__xludf.DUMMYFUNCTION("""COMPUTED_VALUE"""),459)</f>
        <v>459</v>
      </c>
      <c r="D458" s="47" t="str">
        <f ca="1">IFERROR(__xludf.DUMMYFUNCTION("""COMPUTED_VALUE"""),"C0214")</f>
        <v>C0214</v>
      </c>
      <c r="E458" s="46" t="str">
        <f ca="1">IFERROR(__xludf.DUMMYFUNCTION("""COMPUTED_VALUE"""),"NGUYỄN SƠN TÙNG")</f>
        <v>NGUYỄN SƠN TÙNG</v>
      </c>
      <c r="F458" s="46" t="str">
        <f ca="1">IFERROR(__xludf.DUMMYFUNCTION("""COMPUTED_VALUE"""),"NGUYEN SON TUNG")</f>
        <v>NGUYEN SON TUNG</v>
      </c>
      <c r="G458" s="45">
        <f ca="1">IFERROR(__xludf.DUMMYFUNCTION("""COMPUTED_VALUE"""),35544.5833333333)</f>
        <v>35544.583333333299</v>
      </c>
      <c r="H458" s="45" t="str">
        <f ca="1">IFERROR(__xludf.DUMMYFUNCTION("""COMPUTED_VALUE"""),"BAKES")</f>
        <v>BAKES</v>
      </c>
      <c r="I458" s="46" t="str">
        <f ca="1">IFERROR(__xludf.DUMMYFUNCTION("""COMPUTED_VALUE"""),"HO")</f>
        <v>HO</v>
      </c>
      <c r="J458" s="46" t="str">
        <f ca="1">IFERROR(__xludf.DUMMYFUNCTION("""COMPUTED_VALUE"""),"STU")</f>
        <v>STU</v>
      </c>
      <c r="K458" s="46" t="str">
        <f ca="1">IFERROR(__xludf.DUMMYFUNCTION("""COMPUTED_VALUE"""),"STU")</f>
        <v>STU</v>
      </c>
      <c r="L458" s="46" t="str">
        <f ca="1">IFERROR(__xludf.DUMMYFUNCTION("""COMPUTED_VALUE"""),"FTE")</f>
        <v>FTE</v>
      </c>
      <c r="M458" s="46" t="str">
        <f ca="1">IFERROR(__xludf.DUMMYFUNCTION("""COMPUTED_VALUE"""),"Leave")</f>
        <v>Leave</v>
      </c>
      <c r="N458" s="46" t="str">
        <f ca="1">IFERROR(__xludf.DUMMYFUNCTION("""COMPUTED_VALUE"""),"x")</f>
        <v>x</v>
      </c>
    </row>
    <row r="459" spans="1:14">
      <c r="A459" s="45">
        <f ca="1">IFERROR(__xludf.DUMMYFUNCTION("""COMPUTED_VALUE"""),45362.5833333333)</f>
        <v>45362.583333333299</v>
      </c>
      <c r="B459" s="45">
        <f ca="1">IFERROR(__xludf.DUMMYFUNCTION("""COMPUTED_VALUE"""),45430.5833333333)</f>
        <v>45430.583333333299</v>
      </c>
      <c r="C459" s="46">
        <f ca="1">IFERROR(__xludf.DUMMYFUNCTION("""COMPUTED_VALUE"""),460)</f>
        <v>460</v>
      </c>
      <c r="D459" s="47" t="str">
        <f ca="1">IFERROR(__xludf.DUMMYFUNCTION("""COMPUTED_VALUE"""),"C0215")</f>
        <v>C0215</v>
      </c>
      <c r="E459" s="46" t="str">
        <f ca="1">IFERROR(__xludf.DUMMYFUNCTION("""COMPUTED_VALUE"""),"LÊ XUÂN NGHI")</f>
        <v>LÊ XUÂN NGHI</v>
      </c>
      <c r="F459" s="46" t="str">
        <f ca="1">IFERROR(__xludf.DUMMYFUNCTION("""COMPUTED_VALUE"""),"LE XUAN NGHI")</f>
        <v>LE XUAN NGHI</v>
      </c>
      <c r="G459" s="45">
        <f ca="1">IFERROR(__xludf.DUMMYFUNCTION("""COMPUTED_VALUE"""),37942.625)</f>
        <v>37942.625</v>
      </c>
      <c r="H459" s="45" t="str">
        <f ca="1">IFERROR(__xludf.DUMMYFUNCTION("""COMPUTED_VALUE"""),"CREATIVE")</f>
        <v>CREATIVE</v>
      </c>
      <c r="I459" s="46" t="str">
        <f ca="1">IFERROR(__xludf.DUMMYFUNCTION("""COMPUTED_VALUE"""),"HO")</f>
        <v>HO</v>
      </c>
      <c r="J459" s="46" t="str">
        <f ca="1">IFERROR(__xludf.DUMMYFUNCTION("""COMPUTED_VALUE"""),"SPD")</f>
        <v>SPD</v>
      </c>
      <c r="K459" s="46" t="str">
        <f ca="1">IFERROR(__xludf.DUMMYFUNCTION("""COMPUTED_VALUE"""),"SPD")</f>
        <v>SPD</v>
      </c>
      <c r="L459" s="46" t="str">
        <f ca="1">IFERROR(__xludf.DUMMYFUNCTION("""COMPUTED_VALUE"""),"SER")</f>
        <v>SER</v>
      </c>
      <c r="M459" s="46" t="str">
        <f ca="1">IFERROR(__xludf.DUMMYFUNCTION("""COMPUTED_VALUE"""),"Leave")</f>
        <v>Leave</v>
      </c>
      <c r="N459" s="46" t="str">
        <f ca="1">IFERROR(__xludf.DUMMYFUNCTION("""COMPUTED_VALUE"""),"x")</f>
        <v>x</v>
      </c>
    </row>
    <row r="460" spans="1:14">
      <c r="A460" s="45">
        <f ca="1">IFERROR(__xludf.DUMMYFUNCTION("""COMPUTED_VALUE"""),45362.5833333333)</f>
        <v>45362.583333333299</v>
      </c>
      <c r="B460" s="45">
        <f ca="1">IFERROR(__xludf.DUMMYFUNCTION("""COMPUTED_VALUE"""),45814.5833333333)</f>
        <v>45814.583333333299</v>
      </c>
      <c r="C460" s="46">
        <f ca="1">IFERROR(__xludf.DUMMYFUNCTION("""COMPUTED_VALUE"""),461)</f>
        <v>461</v>
      </c>
      <c r="D460" s="47" t="str">
        <f ca="1">IFERROR(__xludf.DUMMYFUNCTION("""COMPUTED_VALUE"""),"C0216")</f>
        <v>C0216</v>
      </c>
      <c r="E460" s="46" t="str">
        <f ca="1">IFERROR(__xludf.DUMMYFUNCTION("""COMPUTED_VALUE"""),"TRỊNH TÚ TRÌNH")</f>
        <v>TRỊNH TÚ TRÌNH</v>
      </c>
      <c r="F460" s="46" t="str">
        <f ca="1">IFERROR(__xludf.DUMMYFUNCTION("""COMPUTED_VALUE"""),"TRINH TU TRINH")</f>
        <v>TRINH TU TRINH</v>
      </c>
      <c r="G460" s="45">
        <f ca="1">IFERROR(__xludf.DUMMYFUNCTION("""COMPUTED_VALUE"""),36770.5833333333)</f>
        <v>36770.583333333299</v>
      </c>
      <c r="H460" s="45" t="str">
        <f ca="1">IFERROR(__xludf.DUMMYFUNCTION("""COMPUTED_VALUE"""),"CREATIVE")</f>
        <v>CREATIVE</v>
      </c>
      <c r="I460" s="46" t="str">
        <f ca="1">IFERROR(__xludf.DUMMYFUNCTION("""COMPUTED_VALUE"""),"HO")</f>
        <v>HO</v>
      </c>
      <c r="J460" s="46" t="str">
        <f ca="1">IFERROR(__xludf.DUMMYFUNCTION("""COMPUTED_VALUE"""),"SPA")</f>
        <v>SPA</v>
      </c>
      <c r="K460" s="46" t="str">
        <f ca="1">IFERROR(__xludf.DUMMYFUNCTION("""COMPUTED_VALUE"""),"SPA")</f>
        <v>SPA</v>
      </c>
      <c r="L460" s="46" t="str">
        <f ca="1">IFERROR(__xludf.DUMMYFUNCTION("""COMPUTED_VALUE"""),"FTE")</f>
        <v>FTE</v>
      </c>
      <c r="M460" s="46" t="str">
        <f ca="1">IFERROR(__xludf.DUMMYFUNCTION("""COMPUTED_VALUE"""),"Leave")</f>
        <v>Leave</v>
      </c>
      <c r="N460" s="46" t="str">
        <f ca="1">IFERROR(__xludf.DUMMYFUNCTION("""COMPUTED_VALUE"""),"x")</f>
        <v>x</v>
      </c>
    </row>
    <row r="461" spans="1:14">
      <c r="A461" s="45">
        <f ca="1">IFERROR(__xludf.DUMMYFUNCTION("""COMPUTED_VALUE"""),45363.5833333333)</f>
        <v>45363.583333333299</v>
      </c>
      <c r="B461" s="45">
        <f ca="1">IFERROR(__xludf.DUMMYFUNCTION("""COMPUTED_VALUE"""),45506.5833333333)</f>
        <v>45506.583333333299</v>
      </c>
      <c r="C461" s="46">
        <f ca="1">IFERROR(__xludf.DUMMYFUNCTION("""COMPUTED_VALUE"""),462)</f>
        <v>462</v>
      </c>
      <c r="D461" s="47" t="str">
        <f ca="1">IFERROR(__xludf.DUMMYFUNCTION("""COMPUTED_VALUE"""),"C0217")</f>
        <v>C0217</v>
      </c>
      <c r="E461" s="46" t="str">
        <f ca="1">IFERROR(__xludf.DUMMYFUNCTION("""COMPUTED_VALUE"""),"HUỲNH MAI QUỐC ANH")</f>
        <v>HUỲNH MAI QUỐC ANH</v>
      </c>
      <c r="F461" s="46" t="str">
        <f ca="1">IFERROR(__xludf.DUMMYFUNCTION("""COMPUTED_VALUE"""),"HUYNH MAI QUOC ANH")</f>
        <v>HUYNH MAI QUOC ANH</v>
      </c>
      <c r="G461" s="45">
        <f ca="1">IFERROR(__xludf.DUMMYFUNCTION("""COMPUTED_VALUE"""),37665.625)</f>
        <v>37665.625</v>
      </c>
      <c r="H461" s="45" t="str">
        <f ca="1">IFERROR(__xludf.DUMMYFUNCTION("""COMPUTED_VALUE"""),"BAKES")</f>
        <v>BAKES</v>
      </c>
      <c r="I461" s="46" t="str">
        <f ca="1">IFERROR(__xludf.DUMMYFUNCTION("""COMPUTED_VALUE"""),"STORE")</f>
        <v>STORE</v>
      </c>
      <c r="J461" s="46" t="str">
        <f ca="1">IFERROR(__xludf.DUMMYFUNCTION("""COMPUTED_VALUE"""),"BAKES D9")</f>
        <v>BAKES D9</v>
      </c>
      <c r="K461" s="46" t="str">
        <f ca="1">IFERROR(__xludf.DUMMYFUNCTION("""COMPUTED_VALUE"""),"STR")</f>
        <v>STR</v>
      </c>
      <c r="L461" s="46" t="str">
        <f ca="1">IFERROR(__xludf.DUMMYFUNCTION("""COMPUTED_VALUE"""),"PTE")</f>
        <v>PTE</v>
      </c>
      <c r="M461" s="46" t="str">
        <f ca="1">IFERROR(__xludf.DUMMYFUNCTION("""COMPUTED_VALUE"""),"Leave")</f>
        <v>Leave</v>
      </c>
      <c r="N461" s="46" t="str">
        <f ca="1">IFERROR(__xludf.DUMMYFUNCTION("""COMPUTED_VALUE"""),"x")</f>
        <v>x</v>
      </c>
    </row>
    <row r="462" spans="1:14">
      <c r="A462" s="45">
        <f ca="1">IFERROR(__xludf.DUMMYFUNCTION("""COMPUTED_VALUE"""),45367.5833333333)</f>
        <v>45367.583333333299</v>
      </c>
      <c r="B462" s="45">
        <f ca="1">IFERROR(__xludf.DUMMYFUNCTION("""COMPUTED_VALUE"""),45582.5833333333)</f>
        <v>45582.583333333299</v>
      </c>
      <c r="C462" s="46">
        <f ca="1">IFERROR(__xludf.DUMMYFUNCTION("""COMPUTED_VALUE"""),463)</f>
        <v>463</v>
      </c>
      <c r="D462" s="47" t="str">
        <f ca="1">IFERROR(__xludf.DUMMYFUNCTION("""COMPUTED_VALUE"""),"C0218")</f>
        <v>C0218</v>
      </c>
      <c r="E462" s="46" t="str">
        <f ca="1">IFERROR(__xludf.DUMMYFUNCTION("""COMPUTED_VALUE"""),"LÂM VŨ THÙY LAN")</f>
        <v>LÂM VŨ THÙY LAN</v>
      </c>
      <c r="F462" s="46" t="str">
        <f ca="1">IFERROR(__xludf.DUMMYFUNCTION("""COMPUTED_VALUE"""),"LAM VU THUY LAN")</f>
        <v>LAM VU THUY LAN</v>
      </c>
      <c r="G462" s="45">
        <f ca="1">IFERROR(__xludf.DUMMYFUNCTION("""COMPUTED_VALUE"""),36929.625)</f>
        <v>36929.625</v>
      </c>
      <c r="H462" s="45" t="str">
        <f ca="1">IFERROR(__xludf.DUMMYFUNCTION("""COMPUTED_VALUE"""),"BAKES")</f>
        <v>BAKES</v>
      </c>
      <c r="I462" s="46" t="str">
        <f ca="1">IFERROR(__xludf.DUMMYFUNCTION("""COMPUTED_VALUE"""),"STORE")</f>
        <v>STORE</v>
      </c>
      <c r="J462" s="46" t="str">
        <f ca="1">IFERROR(__xludf.DUMMYFUNCTION("""COMPUTED_VALUE"""),"BAKES D9")</f>
        <v>BAKES D9</v>
      </c>
      <c r="K462" s="46" t="str">
        <f ca="1">IFERROR(__xludf.DUMMYFUNCTION("""COMPUTED_VALUE"""),"CASHIER")</f>
        <v>CASHIER</v>
      </c>
      <c r="L462" s="46" t="str">
        <f ca="1">IFERROR(__xludf.DUMMYFUNCTION("""COMPUTED_VALUE"""),"PTE")</f>
        <v>PTE</v>
      </c>
      <c r="M462" s="46" t="str">
        <f ca="1">IFERROR(__xludf.DUMMYFUNCTION("""COMPUTED_VALUE"""),"Leave")</f>
        <v>Leave</v>
      </c>
      <c r="N462" s="46" t="str">
        <f ca="1">IFERROR(__xludf.DUMMYFUNCTION("""COMPUTED_VALUE"""),"x")</f>
        <v>x</v>
      </c>
    </row>
    <row r="463" spans="1:14">
      <c r="A463" s="45">
        <f ca="1">IFERROR(__xludf.DUMMYFUNCTION("""COMPUTED_VALUE"""),45366.5833333333)</f>
        <v>45366.583333333299</v>
      </c>
      <c r="B463" s="45">
        <f ca="1">IFERROR(__xludf.DUMMYFUNCTION("""COMPUTED_VALUE"""),45768.5833333333)</f>
        <v>45768.583333333299</v>
      </c>
      <c r="C463" s="46">
        <f ca="1">IFERROR(__xludf.DUMMYFUNCTION("""COMPUTED_VALUE"""),464)</f>
        <v>464</v>
      </c>
      <c r="D463" s="47" t="str">
        <f ca="1">IFERROR(__xludf.DUMMYFUNCTION("""COMPUTED_VALUE"""),"C0219")</f>
        <v>C0219</v>
      </c>
      <c r="E463" s="46" t="str">
        <f ca="1">IFERROR(__xludf.DUMMYFUNCTION("""COMPUTED_VALUE"""),"NGUYỄN THỊ ÁNH NHƯ")</f>
        <v>NGUYỄN THỊ ÁNH NHƯ</v>
      </c>
      <c r="F463" s="46" t="str">
        <f ca="1">IFERROR(__xludf.DUMMYFUNCTION("""COMPUTED_VALUE"""),"NGUYEN THI ANH NHU")</f>
        <v>NGUYEN THI ANH NHU</v>
      </c>
      <c r="G463" s="45">
        <f ca="1">IFERROR(__xludf.DUMMYFUNCTION("""COMPUTED_VALUE"""),38113.5833333333)</f>
        <v>38113.583333333299</v>
      </c>
      <c r="H463" s="45" t="str">
        <f ca="1">IFERROR(__xludf.DUMMYFUNCTION("""COMPUTED_VALUE"""),"TLC")</f>
        <v>TLC</v>
      </c>
      <c r="I463" s="46" t="str">
        <f ca="1">IFERROR(__xludf.DUMMYFUNCTION("""COMPUTED_VALUE"""),"STORE")</f>
        <v>STORE</v>
      </c>
      <c r="J463" s="46" t="str">
        <f ca="1">IFERROR(__xludf.DUMMYFUNCTION("""COMPUTED_VALUE"""),"BAKES HCR")</f>
        <v>BAKES HCR</v>
      </c>
      <c r="K463" s="46" t="str">
        <f ca="1">IFERROR(__xludf.DUMMYFUNCTION("""COMPUTED_VALUE"""),"WAITSTAFF")</f>
        <v>WAITSTAFF</v>
      </c>
      <c r="L463" s="46" t="str">
        <f ca="1">IFERROR(__xludf.DUMMYFUNCTION("""COMPUTED_VALUE"""),"PTE")</f>
        <v>PTE</v>
      </c>
      <c r="M463" s="46" t="str">
        <f ca="1">IFERROR(__xludf.DUMMYFUNCTION("""COMPUTED_VALUE"""),"Leave")</f>
        <v>Leave</v>
      </c>
      <c r="N463" s="46" t="str">
        <f ca="1">IFERROR(__xludf.DUMMYFUNCTION("""COMPUTED_VALUE"""),"x")</f>
        <v>x</v>
      </c>
    </row>
    <row r="464" spans="1:14">
      <c r="A464" s="45">
        <f ca="1">IFERROR(__xludf.DUMMYFUNCTION("""COMPUTED_VALUE"""),45373.5833333333)</f>
        <v>45373.583333333299</v>
      </c>
      <c r="B464" s="45">
        <f ca="1">IFERROR(__xludf.DUMMYFUNCTION("""COMPUTED_VALUE"""),45383.5833333333)</f>
        <v>45383.583333333299</v>
      </c>
      <c r="C464" s="46">
        <f ca="1">IFERROR(__xludf.DUMMYFUNCTION("""COMPUTED_VALUE"""),465)</f>
        <v>465</v>
      </c>
      <c r="D464" s="47" t="str">
        <f ca="1">IFERROR(__xludf.DUMMYFUNCTION("""COMPUTED_VALUE"""),"C0220")</f>
        <v>C0220</v>
      </c>
      <c r="E464" s="46" t="str">
        <f ca="1">IFERROR(__xludf.DUMMYFUNCTION("""COMPUTED_VALUE"""),"ĐINH DUY ĐỨC")</f>
        <v>ĐINH DUY ĐỨC</v>
      </c>
      <c r="F464" s="46" t="str">
        <f ca="1">IFERROR(__xludf.DUMMYFUNCTION("""COMPUTED_VALUE"""),"DINH DUY DUC")</f>
        <v>DINH DUY DUC</v>
      </c>
      <c r="G464" s="45">
        <f ca="1">IFERROR(__xludf.DUMMYFUNCTION("""COMPUTED_VALUE"""),37834.5833333333)</f>
        <v>37834.583333333299</v>
      </c>
      <c r="H464" s="45" t="str">
        <f ca="1">IFERROR(__xludf.DUMMYFUNCTION("""COMPUTED_VALUE"""),"TLC")</f>
        <v>TLC</v>
      </c>
      <c r="I464" s="46" t="str">
        <f ca="1">IFERROR(__xludf.DUMMYFUNCTION("""COMPUTED_VALUE"""),"STORE")</f>
        <v>STORE</v>
      </c>
      <c r="J464" s="46" t="str">
        <f ca="1">IFERROR(__xludf.DUMMYFUNCTION("""COMPUTED_VALUE"""),"BLANK LOUNGE")</f>
        <v>BLANK LOUNGE</v>
      </c>
      <c r="K464" s="46" t="str">
        <f ca="1">IFERROR(__xludf.DUMMYFUNCTION("""COMPUTED_VALUE"""),"STR")</f>
        <v>STR</v>
      </c>
      <c r="L464" s="46" t="str">
        <f ca="1">IFERROR(__xludf.DUMMYFUNCTION("""COMPUTED_VALUE"""),"PTE")</f>
        <v>PTE</v>
      </c>
      <c r="M464" s="46" t="str">
        <f ca="1">IFERROR(__xludf.DUMMYFUNCTION("""COMPUTED_VALUE"""),"Leave")</f>
        <v>Leave</v>
      </c>
      <c r="N464" s="46" t="str">
        <f ca="1">IFERROR(__xludf.DUMMYFUNCTION("""COMPUTED_VALUE"""),"x")</f>
        <v>x</v>
      </c>
    </row>
    <row r="465" spans="1:14">
      <c r="A465" s="45">
        <f ca="1">IFERROR(__xludf.DUMMYFUNCTION("""COMPUTED_VALUE"""),45377.5833333333)</f>
        <v>45377.583333333299</v>
      </c>
      <c r="B465" s="45">
        <f ca="1">IFERROR(__xludf.DUMMYFUNCTION("""COMPUTED_VALUE"""),45398.5833333333)</f>
        <v>45398.583333333299</v>
      </c>
      <c r="C465" s="46">
        <f ca="1">IFERROR(__xludf.DUMMYFUNCTION("""COMPUTED_VALUE"""),466)</f>
        <v>466</v>
      </c>
      <c r="D465" s="47" t="str">
        <f ca="1">IFERROR(__xludf.DUMMYFUNCTION("""COMPUTED_VALUE"""),"C0221")</f>
        <v>C0221</v>
      </c>
      <c r="E465" s="46" t="str">
        <f ca="1">IFERROR(__xludf.DUMMYFUNCTION("""COMPUTED_VALUE"""),"TRẦN XUÂN CƯỜNG")</f>
        <v>TRẦN XUÂN CƯỜNG</v>
      </c>
      <c r="F465" s="46" t="str">
        <f ca="1">IFERROR(__xludf.DUMMYFUNCTION("""COMPUTED_VALUE"""),"TRAN XUAN CUONG")</f>
        <v>TRAN XUAN CUONG</v>
      </c>
      <c r="G465" s="45">
        <f ca="1">IFERROR(__xludf.DUMMYFUNCTION("""COMPUTED_VALUE"""),36691.5833333333)</f>
        <v>36691.583333333299</v>
      </c>
      <c r="H465" s="45" t="str">
        <f ca="1">IFERROR(__xludf.DUMMYFUNCTION("""COMPUTED_VALUE"""),"CREATIVE")</f>
        <v>CREATIVE</v>
      </c>
      <c r="I465" s="46" t="str">
        <f ca="1">IFERROR(__xludf.DUMMYFUNCTION("""COMPUTED_VALUE"""),"HO")</f>
        <v>HO</v>
      </c>
      <c r="J465" s="46" t="str">
        <f ca="1">IFERROR(__xludf.DUMMYFUNCTION("""COMPUTED_VALUE"""),"SPD")</f>
        <v>SPD</v>
      </c>
      <c r="K465" s="46" t="str">
        <f ca="1">IFERROR(__xludf.DUMMYFUNCTION("""COMPUTED_VALUE"""),"SPD")</f>
        <v>SPD</v>
      </c>
      <c r="L465" s="46" t="str">
        <f ca="1">IFERROR(__xludf.DUMMYFUNCTION("""COMPUTED_VALUE"""),"PRO")</f>
        <v>PRO</v>
      </c>
      <c r="M465" s="46" t="str">
        <f ca="1">IFERROR(__xludf.DUMMYFUNCTION("""COMPUTED_VALUE"""),"Leave")</f>
        <v>Leave</v>
      </c>
      <c r="N465" s="46" t="str">
        <f ca="1">IFERROR(__xludf.DUMMYFUNCTION("""COMPUTED_VALUE"""),"x")</f>
        <v>x</v>
      </c>
    </row>
    <row r="466" spans="1:14">
      <c r="A466" s="45">
        <f ca="1">IFERROR(__xludf.DUMMYFUNCTION("""COMPUTED_VALUE"""),45377.5833333333)</f>
        <v>45377.583333333299</v>
      </c>
      <c r="B466" s="45">
        <f ca="1">IFERROR(__xludf.DUMMYFUNCTION("""COMPUTED_VALUE"""),45597.5833333333)</f>
        <v>45597.583333333299</v>
      </c>
      <c r="C466" s="46">
        <f ca="1">IFERROR(__xludf.DUMMYFUNCTION("""COMPUTED_VALUE"""),467)</f>
        <v>467</v>
      </c>
      <c r="D466" s="47" t="str">
        <f ca="1">IFERROR(__xludf.DUMMYFUNCTION("""COMPUTED_VALUE"""),"C0222")</f>
        <v>C0222</v>
      </c>
      <c r="E466" s="46" t="str">
        <f ca="1">IFERROR(__xludf.DUMMYFUNCTION("""COMPUTED_VALUE"""),"ĐỖ ĐĂNG QUANG")</f>
        <v>ĐỖ ĐĂNG QUANG</v>
      </c>
      <c r="F466" s="46" t="str">
        <f ca="1">IFERROR(__xludf.DUMMYFUNCTION("""COMPUTED_VALUE"""),"DO DANG QUANG")</f>
        <v>DO DANG QUANG</v>
      </c>
      <c r="G466" s="45">
        <f ca="1">IFERROR(__xludf.DUMMYFUNCTION("""COMPUTED_VALUE"""),38061.625)</f>
        <v>38061.625</v>
      </c>
      <c r="H466" s="45" t="str">
        <f ca="1">IFERROR(__xludf.DUMMYFUNCTION("""COMPUTED_VALUE"""),"CREATIVE")</f>
        <v>CREATIVE</v>
      </c>
      <c r="I466" s="46" t="str">
        <f ca="1">IFERROR(__xludf.DUMMYFUNCTION("""COMPUTED_VALUE"""),"HO")</f>
        <v>HO</v>
      </c>
      <c r="J466" s="46" t="str">
        <f ca="1">IFERROR(__xludf.DUMMYFUNCTION("""COMPUTED_VALUE"""),"GRA")</f>
        <v>GRA</v>
      </c>
      <c r="K466" s="46" t="str">
        <f ca="1">IFERROR(__xludf.DUMMYFUNCTION("""COMPUTED_VALUE"""),"GRA")</f>
        <v>GRA</v>
      </c>
      <c r="L466" s="46" t="str">
        <f ca="1">IFERROR(__xludf.DUMMYFUNCTION("""COMPUTED_VALUE"""),"FTE")</f>
        <v>FTE</v>
      </c>
      <c r="M466" s="46" t="str">
        <f ca="1">IFERROR(__xludf.DUMMYFUNCTION("""COMPUTED_VALUE"""),"Leave")</f>
        <v>Leave</v>
      </c>
      <c r="N466" s="46" t="str">
        <f ca="1">IFERROR(__xludf.DUMMYFUNCTION("""COMPUTED_VALUE"""),"x")</f>
        <v>x</v>
      </c>
    </row>
    <row r="467" spans="1:14">
      <c r="A467" s="45">
        <f ca="1">IFERROR(__xludf.DUMMYFUNCTION("""COMPUTED_VALUE"""),45348.625)</f>
        <v>45348.625</v>
      </c>
      <c r="B467" s="45">
        <f ca="1">IFERROR(__xludf.DUMMYFUNCTION("""COMPUTED_VALUE"""),45413.5833333333)</f>
        <v>45413.583333333299</v>
      </c>
      <c r="C467" s="46">
        <f ca="1">IFERROR(__xludf.DUMMYFUNCTION("""COMPUTED_VALUE"""),468)</f>
        <v>468</v>
      </c>
      <c r="D467" s="47" t="str">
        <f ca="1">IFERROR(__xludf.DUMMYFUNCTION("""COMPUTED_VALUE"""),"C0223")</f>
        <v>C0223</v>
      </c>
      <c r="E467" s="46" t="str">
        <f ca="1">IFERROR(__xludf.DUMMYFUNCTION("""COMPUTED_VALUE"""),"VÕ THỊ BO")</f>
        <v>VÕ THỊ BO</v>
      </c>
      <c r="F467" s="46" t="str">
        <f ca="1">IFERROR(__xludf.DUMMYFUNCTION("""COMPUTED_VALUE"""),"VO THI BO")</f>
        <v>VO THI BO</v>
      </c>
      <c r="G467" s="45">
        <f ca="1">IFERROR(__xludf.DUMMYFUNCTION("""COMPUTED_VALUE"""),31048.625)</f>
        <v>31048.625</v>
      </c>
      <c r="H467" s="45" t="str">
        <f ca="1">IFERROR(__xludf.DUMMYFUNCTION("""COMPUTED_VALUE"""),"CREATIVE")</f>
        <v>CREATIVE</v>
      </c>
      <c r="I467" s="46" t="str">
        <f ca="1">IFERROR(__xludf.DUMMYFUNCTION("""COMPUTED_VALUE"""),"HO")</f>
        <v>HO</v>
      </c>
      <c r="J467" s="46" t="str">
        <f ca="1">IFERROR(__xludf.DUMMYFUNCTION("""COMPUTED_VALUE"""),"HRD")</f>
        <v>HRD</v>
      </c>
      <c r="K467" s="46" t="str">
        <f ca="1">IFERROR(__xludf.DUMMYFUNCTION("""COMPUTED_VALUE"""),"HRD")</f>
        <v>HRD</v>
      </c>
      <c r="L467" s="46" t="str">
        <f ca="1">IFERROR(__xludf.DUMMYFUNCTION("""COMPUTED_VALUE"""),"SER")</f>
        <v>SER</v>
      </c>
      <c r="M467" s="46" t="str">
        <f ca="1">IFERROR(__xludf.DUMMYFUNCTION("""COMPUTED_VALUE"""),"Leave")</f>
        <v>Leave</v>
      </c>
      <c r="N467" s="46" t="str">
        <f ca="1">IFERROR(__xludf.DUMMYFUNCTION("""COMPUTED_VALUE"""),"x")</f>
        <v>x</v>
      </c>
    </row>
    <row r="468" spans="1:14">
      <c r="A468" s="45">
        <f ca="1">IFERROR(__xludf.DUMMYFUNCTION("""COMPUTED_VALUE"""),45365.5833333333)</f>
        <v>45365.583333333299</v>
      </c>
      <c r="B468" s="45">
        <f ca="1">IFERROR(__xludf.DUMMYFUNCTION("""COMPUTED_VALUE"""),45429.5833333333)</f>
        <v>45429.583333333299</v>
      </c>
      <c r="C468" s="46">
        <f ca="1">IFERROR(__xludf.DUMMYFUNCTION("""COMPUTED_VALUE"""),469)</f>
        <v>469</v>
      </c>
      <c r="D468" s="47" t="str">
        <f ca="1">IFERROR(__xludf.DUMMYFUNCTION("""COMPUTED_VALUE"""),"C0224")</f>
        <v>C0224</v>
      </c>
      <c r="E468" s="46" t="str">
        <f ca="1">IFERROR(__xludf.DUMMYFUNCTION("""COMPUTED_VALUE"""),"QUANG VINH VINCENT NGUYỄN")</f>
        <v>QUANG VINH VINCENT NGUYỄN</v>
      </c>
      <c r="F468" s="46" t="str">
        <f ca="1">IFERROR(__xludf.DUMMYFUNCTION("""COMPUTED_VALUE"""),"QUANG VINH VINCENT NGUYEN")</f>
        <v>QUANG VINH VINCENT NGUYEN</v>
      </c>
      <c r="G468" s="45">
        <f ca="1">IFERROR(__xludf.DUMMYFUNCTION("""COMPUTED_VALUE"""),34818.5833333333)</f>
        <v>34818.583333333299</v>
      </c>
      <c r="H468" s="45" t="str">
        <f ca="1">IFERROR(__xludf.DUMMYFUNCTION("""COMPUTED_VALUE"""),"CREATIVE")</f>
        <v>CREATIVE</v>
      </c>
      <c r="I468" s="46" t="str">
        <f ca="1">IFERROR(__xludf.DUMMYFUNCTION("""COMPUTED_VALUE"""),"HO")</f>
        <v>HO</v>
      </c>
      <c r="J468" s="46" t="str">
        <f ca="1">IFERROR(__xludf.DUMMYFUNCTION("""COMPUTED_VALUE"""),"GRA")</f>
        <v>GRA</v>
      </c>
      <c r="K468" s="46" t="str">
        <f ca="1">IFERROR(__xludf.DUMMYFUNCTION("""COMPUTED_VALUE"""),"GRA")</f>
        <v>GRA</v>
      </c>
      <c r="L468" s="46" t="str">
        <f ca="1">IFERROR(__xludf.DUMMYFUNCTION("""COMPUTED_VALUE"""),"SER")</f>
        <v>SER</v>
      </c>
      <c r="M468" s="46" t="str">
        <f ca="1">IFERROR(__xludf.DUMMYFUNCTION("""COMPUTED_VALUE"""),"Leave")</f>
        <v>Leave</v>
      </c>
      <c r="N468" s="46" t="str">
        <f ca="1">IFERROR(__xludf.DUMMYFUNCTION("""COMPUTED_VALUE"""),"x")</f>
        <v>x</v>
      </c>
    </row>
    <row r="469" spans="1:14">
      <c r="A469" s="45">
        <f ca="1">IFERROR(__xludf.DUMMYFUNCTION("""COMPUTED_VALUE"""),45377.5833333333)</f>
        <v>45377.583333333299</v>
      </c>
      <c r="B469" s="45">
        <f ca="1">IFERROR(__xludf.DUMMYFUNCTION("""COMPUTED_VALUE"""),45383.5833333333)</f>
        <v>45383.583333333299</v>
      </c>
      <c r="C469" s="46">
        <f ca="1">IFERROR(__xludf.DUMMYFUNCTION("""COMPUTED_VALUE"""),470)</f>
        <v>470</v>
      </c>
      <c r="D469" s="47" t="str">
        <f ca="1">IFERROR(__xludf.DUMMYFUNCTION("""COMPUTED_VALUE"""),"C0225")</f>
        <v>C0225</v>
      </c>
      <c r="E469" s="46" t="str">
        <f ca="1">IFERROR(__xludf.DUMMYFUNCTION("""COMPUTED_VALUE"""),"LÊ HOÀNG VŨ")</f>
        <v>LÊ HOÀNG VŨ</v>
      </c>
      <c r="F469" s="46" t="str">
        <f ca="1">IFERROR(__xludf.DUMMYFUNCTION("""COMPUTED_VALUE"""),"LE HOANG VU")</f>
        <v>LE HOANG VU</v>
      </c>
      <c r="G469" s="45">
        <f ca="1">IFERROR(__xludf.DUMMYFUNCTION("""COMPUTED_VALUE"""),37606.625)</f>
        <v>37606.625</v>
      </c>
      <c r="H469" s="45" t="str">
        <f ca="1">IFERROR(__xludf.DUMMYFUNCTION("""COMPUTED_VALUE"""),"BAKES")</f>
        <v>BAKES</v>
      </c>
      <c r="I469" s="46" t="str">
        <f ca="1">IFERROR(__xludf.DUMMYFUNCTION("""COMPUTED_VALUE"""),"STORE")</f>
        <v>STORE</v>
      </c>
      <c r="J469" s="46" t="str">
        <f ca="1">IFERROR(__xludf.DUMMYFUNCTION("""COMPUTED_VALUE"""),"BAKES D2")</f>
        <v>BAKES D2</v>
      </c>
      <c r="K469" s="46" t="str">
        <f ca="1">IFERROR(__xludf.DUMMYFUNCTION("""COMPUTED_VALUE"""),"STR")</f>
        <v>STR</v>
      </c>
      <c r="L469" s="46" t="str">
        <f ca="1">IFERROR(__xludf.DUMMYFUNCTION("""COMPUTED_VALUE"""),"PTE")</f>
        <v>PTE</v>
      </c>
      <c r="M469" s="46" t="str">
        <f ca="1">IFERROR(__xludf.DUMMYFUNCTION("""COMPUTED_VALUE"""),"Leave")</f>
        <v>Leave</v>
      </c>
      <c r="N469" s="46" t="str">
        <f ca="1">IFERROR(__xludf.DUMMYFUNCTION("""COMPUTED_VALUE"""),"x")</f>
        <v>x</v>
      </c>
    </row>
    <row r="470" spans="1:14">
      <c r="A470" s="45">
        <f ca="1">IFERROR(__xludf.DUMMYFUNCTION("""COMPUTED_VALUE"""),45600.625)</f>
        <v>45600.625</v>
      </c>
      <c r="B470" s="45">
        <f ca="1">IFERROR(__xludf.DUMMYFUNCTION("""COMPUTED_VALUE"""),45941.5833333333)</f>
        <v>45941.583333333299</v>
      </c>
      <c r="C470" s="46">
        <f ca="1">IFERROR(__xludf.DUMMYFUNCTION("""COMPUTED_VALUE"""),471)</f>
        <v>471</v>
      </c>
      <c r="D470" s="47" t="str">
        <f ca="1">IFERROR(__xludf.DUMMYFUNCTION("""COMPUTED_VALUE"""),"C0226")</f>
        <v>C0226</v>
      </c>
      <c r="E470" s="46" t="str">
        <f ca="1">IFERROR(__xludf.DUMMYFUNCTION("""COMPUTED_VALUE"""),"PHẠM LÊ ĐỨC ANH")</f>
        <v>PHẠM LÊ ĐỨC ANH</v>
      </c>
      <c r="F470" s="46" t="str">
        <f ca="1">IFERROR(__xludf.DUMMYFUNCTION("""COMPUTED_VALUE"""),"PHAM LE DUC ANH")</f>
        <v>PHAM LE DUC ANH</v>
      </c>
      <c r="G470" s="45">
        <f ca="1">IFERROR(__xludf.DUMMYFUNCTION("""COMPUTED_VALUE"""),37913.5833333333)</f>
        <v>37913.583333333299</v>
      </c>
      <c r="H470" s="45" t="str">
        <f ca="1">IFERROR(__xludf.DUMMYFUNCTION("""COMPUTED_VALUE"""),"BAKES")</f>
        <v>BAKES</v>
      </c>
      <c r="I470" s="46" t="str">
        <f ca="1">IFERROR(__xludf.DUMMYFUNCTION("""COMPUTED_VALUE"""),"STORE")</f>
        <v>STORE</v>
      </c>
      <c r="J470" s="46" t="str">
        <f ca="1">IFERROR(__xludf.DUMMYFUNCTION("""COMPUTED_VALUE"""),"BAKES D7")</f>
        <v>BAKES D7</v>
      </c>
      <c r="K470" s="46" t="str">
        <f ca="1">IFERROR(__xludf.DUMMYFUNCTION("""COMPUTED_VALUE"""),"BAR")</f>
        <v>BAR</v>
      </c>
      <c r="L470" s="46" t="str">
        <f ca="1">IFERROR(__xludf.DUMMYFUNCTION("""COMPUTED_VALUE"""),"PTE")</f>
        <v>PTE</v>
      </c>
      <c r="M470" s="46" t="str">
        <f ca="1">IFERROR(__xludf.DUMMYFUNCTION("""COMPUTED_VALUE"""),"Leave")</f>
        <v>Leave</v>
      </c>
      <c r="N470" s="46" t="str">
        <f ca="1">IFERROR(__xludf.DUMMYFUNCTION("""COMPUTED_VALUE"""),"đủ")</f>
        <v>đủ</v>
      </c>
    </row>
    <row r="471" spans="1:14">
      <c r="A471" s="45">
        <f ca="1">IFERROR(__xludf.DUMMYFUNCTION("""COMPUTED_VALUE"""),45362.5833333333)</f>
        <v>45362.583333333299</v>
      </c>
      <c r="B471" s="45">
        <f ca="1">IFERROR(__xludf.DUMMYFUNCTION("""COMPUTED_VALUE"""),45705.625)</f>
        <v>45705.625</v>
      </c>
      <c r="C471" s="46">
        <f ca="1">IFERROR(__xludf.DUMMYFUNCTION("""COMPUTED_VALUE"""),472)</f>
        <v>472</v>
      </c>
      <c r="D471" s="47" t="str">
        <f ca="1">IFERROR(__xludf.DUMMYFUNCTION("""COMPUTED_VALUE"""),"C0227")</f>
        <v>C0227</v>
      </c>
      <c r="E471" s="46" t="str">
        <f ca="1">IFERROR(__xludf.DUMMYFUNCTION("""COMPUTED_VALUE"""),"PHẠM THỊ CÔNG TUYÊN")</f>
        <v>PHẠM THỊ CÔNG TUYÊN</v>
      </c>
      <c r="F471" s="46" t="str">
        <f ca="1">IFERROR(__xludf.DUMMYFUNCTION("""COMPUTED_VALUE"""),"PHAM THI CONG TUYEN")</f>
        <v>PHAM THI CONG TUYEN</v>
      </c>
      <c r="G471" s="45">
        <f ca="1">IFERROR(__xludf.DUMMYFUNCTION("""COMPUTED_VALUE"""),37933.625)</f>
        <v>37933.625</v>
      </c>
      <c r="H471" s="45" t="str">
        <f ca="1">IFERROR(__xludf.DUMMYFUNCTION("""COMPUTED_VALUE"""),"BAKES")</f>
        <v>BAKES</v>
      </c>
      <c r="I471" s="46" t="str">
        <f ca="1">IFERROR(__xludf.DUMMYFUNCTION("""COMPUTED_VALUE"""),"STORE")</f>
        <v>STORE</v>
      </c>
      <c r="J471" s="46" t="str">
        <f ca="1">IFERROR(__xludf.DUMMYFUNCTION("""COMPUTED_VALUE"""),"BAKES D7")</f>
        <v>BAKES D7</v>
      </c>
      <c r="K471" s="46" t="str">
        <f ca="1">IFERROR(__xludf.DUMMYFUNCTION("""COMPUTED_VALUE"""),"CASHIER")</f>
        <v>CASHIER</v>
      </c>
      <c r="L471" s="46" t="str">
        <f ca="1">IFERROR(__xludf.DUMMYFUNCTION("""COMPUTED_VALUE"""),"PTE")</f>
        <v>PTE</v>
      </c>
      <c r="M471" s="46" t="str">
        <f ca="1">IFERROR(__xludf.DUMMYFUNCTION("""COMPUTED_VALUE"""),"Leave")</f>
        <v>Leave</v>
      </c>
      <c r="N471" s="46" t="str">
        <f ca="1">IFERROR(__xludf.DUMMYFUNCTION("""COMPUTED_VALUE"""),"x")</f>
        <v>x</v>
      </c>
    </row>
    <row r="472" spans="1:14">
      <c r="A472" s="45">
        <f ca="1">IFERROR(__xludf.DUMMYFUNCTION("""COMPUTED_VALUE"""),45359.625)</f>
        <v>45359.625</v>
      </c>
      <c r="B472" s="45">
        <f ca="1">IFERROR(__xludf.DUMMYFUNCTION("""COMPUTED_VALUE"""),45444.5833333333)</f>
        <v>45444.583333333299</v>
      </c>
      <c r="C472" s="46">
        <f ca="1">IFERROR(__xludf.DUMMYFUNCTION("""COMPUTED_VALUE"""),473)</f>
        <v>473</v>
      </c>
      <c r="D472" s="47" t="str">
        <f ca="1">IFERROR(__xludf.DUMMYFUNCTION("""COMPUTED_VALUE"""),"C0228")</f>
        <v>C0228</v>
      </c>
      <c r="E472" s="46" t="str">
        <f ca="1">IFERROR(__xludf.DUMMYFUNCTION("""COMPUTED_VALUE"""),"PHAN THỊ MAI NGÀN")</f>
        <v>PHAN THỊ MAI NGÀN</v>
      </c>
      <c r="F472" s="46" t="str">
        <f ca="1">IFERROR(__xludf.DUMMYFUNCTION("""COMPUTED_VALUE"""),"PHAN THI MAI NGAN")</f>
        <v>PHAN THI MAI NGAN</v>
      </c>
      <c r="G472" s="45">
        <f ca="1">IFERROR(__xludf.DUMMYFUNCTION("""COMPUTED_VALUE"""),25175.6666666666)</f>
        <v>25175.666666666599</v>
      </c>
      <c r="H472" s="45" t="str">
        <f ca="1">IFERROR(__xludf.DUMMYFUNCTION("""COMPUTED_VALUE"""),"BAKES")</f>
        <v>BAKES</v>
      </c>
      <c r="I472" s="46" t="str">
        <f ca="1">IFERROR(__xludf.DUMMYFUNCTION("""COMPUTED_VALUE"""),"STORE")</f>
        <v>STORE</v>
      </c>
      <c r="J472" s="46" t="str">
        <f ca="1">IFERROR(__xludf.DUMMYFUNCTION("""COMPUTED_VALUE"""),"BAKES D2")</f>
        <v>BAKES D2</v>
      </c>
      <c r="K472" s="46" t="str">
        <f ca="1">IFERROR(__xludf.DUMMYFUNCTION("""COMPUTED_VALUE"""),"STR")</f>
        <v>STR</v>
      </c>
      <c r="L472" s="46" t="str">
        <f ca="1">IFERROR(__xludf.DUMMYFUNCTION("""COMPUTED_VALUE"""),"FTE")</f>
        <v>FTE</v>
      </c>
      <c r="M472" s="46" t="str">
        <f ca="1">IFERROR(__xludf.DUMMYFUNCTION("""COMPUTED_VALUE"""),"Leave")</f>
        <v>Leave</v>
      </c>
      <c r="N472" s="46" t="str">
        <f ca="1">IFERROR(__xludf.DUMMYFUNCTION("""COMPUTED_VALUE"""),"x")</f>
        <v>x</v>
      </c>
    </row>
    <row r="473" spans="1:14">
      <c r="A473" s="45">
        <f ca="1">IFERROR(__xludf.DUMMYFUNCTION("""COMPUTED_VALUE"""),45384.5833333333)</f>
        <v>45384.583333333299</v>
      </c>
      <c r="B473" s="45">
        <f ca="1">IFERROR(__xludf.DUMMYFUNCTION("""COMPUTED_VALUE"""),45781.5833333333)</f>
        <v>45781.583333333299</v>
      </c>
      <c r="C473" s="46">
        <f ca="1">IFERROR(__xludf.DUMMYFUNCTION("""COMPUTED_VALUE"""),474)</f>
        <v>474</v>
      </c>
      <c r="D473" s="47" t="str">
        <f ca="1">IFERROR(__xludf.DUMMYFUNCTION("""COMPUTED_VALUE"""),"C0229")</f>
        <v>C0229</v>
      </c>
      <c r="E473" s="46" t="str">
        <f ca="1">IFERROR(__xludf.DUMMYFUNCTION("""COMPUTED_VALUE"""),"BÙI DIỆU HUYỀN")</f>
        <v>BÙI DIỆU HUYỀN</v>
      </c>
      <c r="F473" s="46" t="str">
        <f ca="1">IFERROR(__xludf.DUMMYFUNCTION("""COMPUTED_VALUE"""),"BUI DIEU HUYEN")</f>
        <v>BUI DIEU HUYEN</v>
      </c>
      <c r="G473" s="45">
        <f ca="1">IFERROR(__xludf.DUMMYFUNCTION("""COMPUTED_VALUE"""),23182.625)</f>
        <v>23182.625</v>
      </c>
      <c r="H473" s="45" t="str">
        <f ca="1">IFERROR(__xludf.DUMMYFUNCTION("""COMPUTED_VALUE"""),"BAKES")</f>
        <v>BAKES</v>
      </c>
      <c r="I473" s="46" t="str">
        <f ca="1">IFERROR(__xludf.DUMMYFUNCTION("""COMPUTED_VALUE"""),"STORE")</f>
        <v>STORE</v>
      </c>
      <c r="J473" s="46" t="str">
        <f ca="1">IFERROR(__xludf.DUMMYFUNCTION("""COMPUTED_VALUE"""),"BAKES D2")</f>
        <v>BAKES D2</v>
      </c>
      <c r="K473" s="46" t="str">
        <f ca="1">IFERROR(__xludf.DUMMYFUNCTION("""COMPUTED_VALUE"""),"CLEANER")</f>
        <v>CLEANER</v>
      </c>
      <c r="L473" s="46" t="str">
        <f ca="1">IFERROR(__xludf.DUMMYFUNCTION("""COMPUTED_VALUE"""),"FTE")</f>
        <v>FTE</v>
      </c>
      <c r="M473" s="46" t="str">
        <f ca="1">IFERROR(__xludf.DUMMYFUNCTION("""COMPUTED_VALUE"""),"Leave")</f>
        <v>Leave</v>
      </c>
      <c r="N473" s="46" t="str">
        <f ca="1">IFERROR(__xludf.DUMMYFUNCTION("""COMPUTED_VALUE"""),"x")</f>
        <v>x</v>
      </c>
    </row>
    <row r="474" spans="1:14">
      <c r="A474" s="45">
        <f ca="1">IFERROR(__xludf.DUMMYFUNCTION("""COMPUTED_VALUE"""),45383.5833333333)</f>
        <v>45383.583333333299</v>
      </c>
      <c r="B474" s="45">
        <f ca="1">IFERROR(__xludf.DUMMYFUNCTION("""COMPUTED_VALUE"""),45483.5833333333)</f>
        <v>45483.583333333299</v>
      </c>
      <c r="C474" s="46">
        <f ca="1">IFERROR(__xludf.DUMMYFUNCTION("""COMPUTED_VALUE"""),475)</f>
        <v>475</v>
      </c>
      <c r="D474" s="47" t="str">
        <f ca="1">IFERROR(__xludf.DUMMYFUNCTION("""COMPUTED_VALUE"""),"C0230")</f>
        <v>C0230</v>
      </c>
      <c r="E474" s="46" t="str">
        <f ca="1">IFERROR(__xludf.DUMMYFUNCTION("""COMPUTED_VALUE"""),"VÕ CAO THẮNG")</f>
        <v>VÕ CAO THẮNG</v>
      </c>
      <c r="F474" s="46" t="str">
        <f ca="1">IFERROR(__xludf.DUMMYFUNCTION("""COMPUTED_VALUE"""),"VO CAO THANG")</f>
        <v>VO CAO THANG</v>
      </c>
      <c r="G474" s="45">
        <f ca="1">IFERROR(__xludf.DUMMYFUNCTION("""COMPUTED_VALUE"""),36776.5833333333)</f>
        <v>36776.583333333299</v>
      </c>
      <c r="H474" s="45" t="str">
        <f ca="1">IFERROR(__xludf.DUMMYFUNCTION("""COMPUTED_VALUE"""),"TLC")</f>
        <v>TLC</v>
      </c>
      <c r="I474" s="46" t="str">
        <f ca="1">IFERROR(__xludf.DUMMYFUNCTION("""COMPUTED_VALUE"""),"STORE")</f>
        <v>STORE</v>
      </c>
      <c r="J474" s="46" t="str">
        <f ca="1">IFERROR(__xludf.DUMMYFUNCTION("""COMPUTED_VALUE"""),"BLANK LOUNGE")</f>
        <v>BLANK LOUNGE</v>
      </c>
      <c r="K474" s="46" t="str">
        <f ca="1">IFERROR(__xludf.DUMMYFUNCTION("""COMPUTED_VALUE"""),"STR")</f>
        <v>STR</v>
      </c>
      <c r="L474" s="46" t="str">
        <f ca="1">IFERROR(__xludf.DUMMYFUNCTION("""COMPUTED_VALUE"""),"PTE")</f>
        <v>PTE</v>
      </c>
      <c r="M474" s="46" t="str">
        <f ca="1">IFERROR(__xludf.DUMMYFUNCTION("""COMPUTED_VALUE"""),"Leave")</f>
        <v>Leave</v>
      </c>
      <c r="N474" s="46" t="str">
        <f ca="1">IFERROR(__xludf.DUMMYFUNCTION("""COMPUTED_VALUE"""),"x")</f>
        <v>x</v>
      </c>
    </row>
    <row r="475" spans="1:14">
      <c r="A475" s="45">
        <f ca="1">IFERROR(__xludf.DUMMYFUNCTION("""COMPUTED_VALUE"""),45377.5833333333)</f>
        <v>45377.583333333299</v>
      </c>
      <c r="B475" s="45">
        <f ca="1">IFERROR(__xludf.DUMMYFUNCTION("""COMPUTED_VALUE"""),45395.5833333333)</f>
        <v>45395.583333333299</v>
      </c>
      <c r="C475" s="46">
        <f ca="1">IFERROR(__xludf.DUMMYFUNCTION("""COMPUTED_VALUE"""),476)</f>
        <v>476</v>
      </c>
      <c r="D475" s="47" t="str">
        <f ca="1">IFERROR(__xludf.DUMMYFUNCTION("""COMPUTED_VALUE"""),"C0232")</f>
        <v>C0232</v>
      </c>
      <c r="E475" s="46" t="str">
        <f ca="1">IFERROR(__xludf.DUMMYFUNCTION("""COMPUTED_VALUE"""),"LÝ KIM NGỌC")</f>
        <v>LÝ KIM NGỌC</v>
      </c>
      <c r="F475" s="46" t="str">
        <f ca="1">IFERROR(__xludf.DUMMYFUNCTION("""COMPUTED_VALUE"""),"LY KIM NGOC")</f>
        <v>LY KIM NGOC</v>
      </c>
      <c r="G475" s="45">
        <f ca="1">IFERROR(__xludf.DUMMYFUNCTION("""COMPUTED_VALUE"""),33637.625)</f>
        <v>33637.625</v>
      </c>
      <c r="H475" s="45" t="str">
        <f ca="1">IFERROR(__xludf.DUMMYFUNCTION("""COMPUTED_VALUE"""),"MATTE")</f>
        <v>MATTE</v>
      </c>
      <c r="I475" s="46" t="str">
        <f ca="1">IFERROR(__xludf.DUMMYFUNCTION("""COMPUTED_VALUE"""),"STORE")</f>
        <v>STORE</v>
      </c>
      <c r="J475" s="46" t="str">
        <f ca="1">IFERROR(__xludf.DUMMYFUNCTION("""COMPUTED_VALUE"""),"MATTE D7")</f>
        <v>MATTE D7</v>
      </c>
      <c r="K475" s="46" t="str">
        <f ca="1">IFERROR(__xludf.DUMMYFUNCTION("""COMPUTED_VALUE"""),"Management team")</f>
        <v>Management team</v>
      </c>
      <c r="L475" s="46" t="str">
        <f ca="1">IFERROR(__xludf.DUMMYFUNCTION("""COMPUTED_VALUE"""),"PRO")</f>
        <v>PRO</v>
      </c>
      <c r="M475" s="46" t="str">
        <f ca="1">IFERROR(__xludf.DUMMYFUNCTION("""COMPUTED_VALUE"""),"Leave")</f>
        <v>Leave</v>
      </c>
      <c r="N475" s="46" t="str">
        <f ca="1">IFERROR(__xludf.DUMMYFUNCTION("""COMPUTED_VALUE"""),"x")</f>
        <v>x</v>
      </c>
    </row>
    <row r="476" spans="1:14">
      <c r="A476" s="45">
        <f ca="1">IFERROR(__xludf.DUMMYFUNCTION("""COMPUTED_VALUE"""),45384.5833333333)</f>
        <v>45384.583333333299</v>
      </c>
      <c r="B476" s="45"/>
      <c r="C476" s="46">
        <f ca="1">IFERROR(__xludf.DUMMYFUNCTION("""COMPUTED_VALUE"""),477)</f>
        <v>477</v>
      </c>
      <c r="D476" s="47" t="str">
        <f ca="1">IFERROR(__xludf.DUMMYFUNCTION("""COMPUTED_VALUE"""),"C0233")</f>
        <v>C0233</v>
      </c>
      <c r="E476" s="46" t="str">
        <f ca="1">IFERROR(__xludf.DUMMYFUNCTION("""COMPUTED_VALUE"""),"NGUYỄN LÊ HOÀI NAM")</f>
        <v>NGUYỄN LÊ HOÀI NAM</v>
      </c>
      <c r="F476" s="46" t="str">
        <f ca="1">IFERROR(__xludf.DUMMYFUNCTION("""COMPUTED_VALUE"""),"NGUYEN LE HOAI NAM")</f>
        <v>NGUYEN LE HOAI NAM</v>
      </c>
      <c r="G476" s="45">
        <f ca="1">IFERROR(__xludf.DUMMYFUNCTION("""COMPUTED_VALUE"""),34448.5833333333)</f>
        <v>34448.583333333299</v>
      </c>
      <c r="H476" s="45" t="str">
        <f ca="1">IFERROR(__xludf.DUMMYFUNCTION("""COMPUTED_VALUE"""),"CREATIVE")</f>
        <v>CREATIVE</v>
      </c>
      <c r="I476" s="46" t="str">
        <f ca="1">IFERROR(__xludf.DUMMYFUNCTION("""COMPUTED_VALUE"""),"HO")</f>
        <v>HO</v>
      </c>
      <c r="J476" s="46" t="str">
        <f ca="1">IFERROR(__xludf.DUMMYFUNCTION("""COMPUTED_VALUE"""),"IAT")</f>
        <v>IAT</v>
      </c>
      <c r="K476" s="46" t="str">
        <f ca="1">IFERROR(__xludf.DUMMYFUNCTION("""COMPUTED_VALUE"""),"IAT")</f>
        <v>IAT</v>
      </c>
      <c r="L476" s="46" t="str">
        <f ca="1">IFERROR(__xludf.DUMMYFUNCTION("""COMPUTED_VALUE"""),"FTE")</f>
        <v>FTE</v>
      </c>
      <c r="M476" s="46" t="str">
        <f ca="1">IFERROR(__xludf.DUMMYFUNCTION("""COMPUTED_VALUE"""),"On")</f>
        <v>On</v>
      </c>
      <c r="N476" s="46" t="str">
        <f ca="1">IFERROR(__xludf.DUMMYFUNCTION("""COMPUTED_VALUE"""),"đủ")</f>
        <v>đủ</v>
      </c>
    </row>
    <row r="477" spans="1:14">
      <c r="A477" s="45">
        <f ca="1">IFERROR(__xludf.DUMMYFUNCTION("""COMPUTED_VALUE"""),45387.5833333333)</f>
        <v>45387.583333333299</v>
      </c>
      <c r="B477" s="45">
        <f ca="1">IFERROR(__xludf.DUMMYFUNCTION("""COMPUTED_VALUE"""),45398.5833333333)</f>
        <v>45398.583333333299</v>
      </c>
      <c r="C477" s="46">
        <f ca="1">IFERROR(__xludf.DUMMYFUNCTION("""COMPUTED_VALUE"""),478)</f>
        <v>478</v>
      </c>
      <c r="D477" s="47" t="str">
        <f ca="1">IFERROR(__xludf.DUMMYFUNCTION("""COMPUTED_VALUE"""),"C0234")</f>
        <v>C0234</v>
      </c>
      <c r="E477" s="46" t="str">
        <f ca="1">IFERROR(__xludf.DUMMYFUNCTION("""COMPUTED_VALUE"""),"NGUYỄN HUY HOÀNG")</f>
        <v>NGUYỄN HUY HOÀNG</v>
      </c>
      <c r="F477" s="46" t="str">
        <f ca="1">IFERROR(__xludf.DUMMYFUNCTION("""COMPUTED_VALUE"""),"NGUYEN HUY HOANG")</f>
        <v>NGUYEN HUY HOANG</v>
      </c>
      <c r="G477" s="45">
        <f ca="1">IFERROR(__xludf.DUMMYFUNCTION("""COMPUTED_VALUE"""),38088.5833333333)</f>
        <v>38088.583333333299</v>
      </c>
      <c r="H477" s="45" t="str">
        <f ca="1">IFERROR(__xludf.DUMMYFUNCTION("""COMPUTED_VALUE"""),"SHADOW")</f>
        <v>SHADOW</v>
      </c>
      <c r="I477" s="46" t="str">
        <f ca="1">IFERROR(__xludf.DUMMYFUNCTION("""COMPUTED_VALUE"""),"STORE")</f>
        <v>STORE</v>
      </c>
      <c r="J477" s="46" t="str">
        <f ca="1">IFERROR(__xludf.DUMMYFUNCTION("""COMPUTED_VALUE"""),"BAKES PASTEUR")</f>
        <v>BAKES PASTEUR</v>
      </c>
      <c r="K477" s="46" t="str">
        <f ca="1">IFERROR(__xludf.DUMMYFUNCTION("""COMPUTED_VALUE"""),"STR")</f>
        <v>STR</v>
      </c>
      <c r="L477" s="46" t="str">
        <f ca="1">IFERROR(__xludf.DUMMYFUNCTION("""COMPUTED_VALUE"""),"PTE")</f>
        <v>PTE</v>
      </c>
      <c r="M477" s="46" t="str">
        <f ca="1">IFERROR(__xludf.DUMMYFUNCTION("""COMPUTED_VALUE"""),"Leave")</f>
        <v>Leave</v>
      </c>
      <c r="N477" s="46" t="str">
        <f ca="1">IFERROR(__xludf.DUMMYFUNCTION("""COMPUTED_VALUE"""),"đủ")</f>
        <v>đủ</v>
      </c>
    </row>
    <row r="478" spans="1:14">
      <c r="A478" s="45">
        <f ca="1">IFERROR(__xludf.DUMMYFUNCTION("""COMPUTED_VALUE"""),45390.5833333333)</f>
        <v>45390.583333333299</v>
      </c>
      <c r="B478" s="45">
        <f ca="1">IFERROR(__xludf.DUMMYFUNCTION("""COMPUTED_VALUE"""),45413.5833333333)</f>
        <v>45413.583333333299</v>
      </c>
      <c r="C478" s="46">
        <f ca="1">IFERROR(__xludf.DUMMYFUNCTION("""COMPUTED_VALUE"""),479)</f>
        <v>479</v>
      </c>
      <c r="D478" s="47" t="str">
        <f ca="1">IFERROR(__xludf.DUMMYFUNCTION("""COMPUTED_VALUE"""),"C0235")</f>
        <v>C0235</v>
      </c>
      <c r="E478" s="46" t="str">
        <f ca="1">IFERROR(__xludf.DUMMYFUNCTION("""COMPUTED_VALUE"""),"PHAN HUỲNH PHƯƠNG THẢO")</f>
        <v>PHAN HUỲNH PHƯƠNG THẢO</v>
      </c>
      <c r="F478" s="46" t="str">
        <f ca="1">IFERROR(__xludf.DUMMYFUNCTION("""COMPUTED_VALUE"""),"PHAN HUYNH PHUONG THAO")</f>
        <v>PHAN HUYNH PHUONG THAO</v>
      </c>
      <c r="G478" s="45">
        <f ca="1">IFERROR(__xludf.DUMMYFUNCTION("""COMPUTED_VALUE"""),37164.5833333333)</f>
        <v>37164.583333333299</v>
      </c>
      <c r="H478" s="45" t="str">
        <f ca="1">IFERROR(__xludf.DUMMYFUNCTION("""COMPUTED_VALUE"""),"SHADOW")</f>
        <v>SHADOW</v>
      </c>
      <c r="I478" s="46" t="str">
        <f ca="1">IFERROR(__xludf.DUMMYFUNCTION("""COMPUTED_VALUE"""),"STORE")</f>
        <v>STORE</v>
      </c>
      <c r="J478" s="46" t="str">
        <f ca="1">IFERROR(__xludf.DUMMYFUNCTION("""COMPUTED_VALUE"""),"BAKES PASTEUR")</f>
        <v>BAKES PASTEUR</v>
      </c>
      <c r="K478" s="46" t="str">
        <f ca="1">IFERROR(__xludf.DUMMYFUNCTION("""COMPUTED_VALUE"""),"STR")</f>
        <v>STR</v>
      </c>
      <c r="L478" s="46" t="str">
        <f ca="1">IFERROR(__xludf.DUMMYFUNCTION("""COMPUTED_VALUE"""),"PTE")</f>
        <v>PTE</v>
      </c>
      <c r="M478" s="46" t="str">
        <f ca="1">IFERROR(__xludf.DUMMYFUNCTION("""COMPUTED_VALUE"""),"Leave")</f>
        <v>Leave</v>
      </c>
      <c r="N478" s="46" t="str">
        <f ca="1">IFERROR(__xludf.DUMMYFUNCTION("""COMPUTED_VALUE"""),"x")</f>
        <v>x</v>
      </c>
    </row>
    <row r="479" spans="1:14">
      <c r="A479" s="45">
        <f ca="1">IFERROR(__xludf.DUMMYFUNCTION("""COMPUTED_VALUE"""),45390.5833333333)</f>
        <v>45390.583333333299</v>
      </c>
      <c r="B479" s="45">
        <f ca="1">IFERROR(__xludf.DUMMYFUNCTION("""COMPUTED_VALUE"""),45413.5833333333)</f>
        <v>45413.583333333299</v>
      </c>
      <c r="C479" s="46">
        <f ca="1">IFERROR(__xludf.DUMMYFUNCTION("""COMPUTED_VALUE"""),480)</f>
        <v>480</v>
      </c>
      <c r="D479" s="47" t="str">
        <f ca="1">IFERROR(__xludf.DUMMYFUNCTION("""COMPUTED_VALUE"""),"C0236")</f>
        <v>C0236</v>
      </c>
      <c r="E479" s="46" t="str">
        <f ca="1">IFERROR(__xludf.DUMMYFUNCTION("""COMPUTED_VALUE"""),"TRẦN KHÁNH NGUYÊN")</f>
        <v>TRẦN KHÁNH NGUYÊN</v>
      </c>
      <c r="F479" s="46" t="str">
        <f ca="1">IFERROR(__xludf.DUMMYFUNCTION("""COMPUTED_VALUE"""),"TRAN KHANH NGUYEN")</f>
        <v>TRAN KHANH NGUYEN</v>
      </c>
      <c r="G479" s="45">
        <f ca="1">IFERROR(__xludf.DUMMYFUNCTION("""COMPUTED_VALUE"""),38379.625)</f>
        <v>38379.625</v>
      </c>
      <c r="H479" s="45" t="str">
        <f ca="1">IFERROR(__xludf.DUMMYFUNCTION("""COMPUTED_VALUE"""),"BAKES")</f>
        <v>BAKES</v>
      </c>
      <c r="I479" s="46" t="str">
        <f ca="1">IFERROR(__xludf.DUMMYFUNCTION("""COMPUTED_VALUE"""),"STORE")</f>
        <v>STORE</v>
      </c>
      <c r="J479" s="46" t="str">
        <f ca="1">IFERROR(__xludf.DUMMYFUNCTION("""COMPUTED_VALUE"""),"BAKES D2")</f>
        <v>BAKES D2</v>
      </c>
      <c r="K479" s="46" t="str">
        <f ca="1">IFERROR(__xludf.DUMMYFUNCTION("""COMPUTED_VALUE"""),"STR")</f>
        <v>STR</v>
      </c>
      <c r="L479" s="46" t="str">
        <f ca="1">IFERROR(__xludf.DUMMYFUNCTION("""COMPUTED_VALUE"""),"PTE")</f>
        <v>PTE</v>
      </c>
      <c r="M479" s="46" t="str">
        <f ca="1">IFERROR(__xludf.DUMMYFUNCTION("""COMPUTED_VALUE"""),"Leave")</f>
        <v>Leave</v>
      </c>
      <c r="N479" s="46" t="str">
        <f ca="1">IFERROR(__xludf.DUMMYFUNCTION("""COMPUTED_VALUE"""),"x")</f>
        <v>x</v>
      </c>
    </row>
    <row r="480" spans="1:14">
      <c r="A480" s="45">
        <f ca="1">IFERROR(__xludf.DUMMYFUNCTION("""COMPUTED_VALUE"""),45392.5833333333)</f>
        <v>45392.583333333299</v>
      </c>
      <c r="B480" s="45">
        <f ca="1">IFERROR(__xludf.DUMMYFUNCTION("""COMPUTED_VALUE"""),45413.5833333333)</f>
        <v>45413.583333333299</v>
      </c>
      <c r="C480" s="46">
        <f ca="1">IFERROR(__xludf.DUMMYFUNCTION("""COMPUTED_VALUE"""),481)</f>
        <v>481</v>
      </c>
      <c r="D480" s="47" t="str">
        <f ca="1">IFERROR(__xludf.DUMMYFUNCTION("""COMPUTED_VALUE"""),"C0237")</f>
        <v>C0237</v>
      </c>
      <c r="E480" s="46" t="str">
        <f ca="1">IFERROR(__xludf.DUMMYFUNCTION("""COMPUTED_VALUE"""),"PHAN THẢO MY")</f>
        <v>PHAN THẢO MY</v>
      </c>
      <c r="F480" s="46" t="str">
        <f ca="1">IFERROR(__xludf.DUMMYFUNCTION("""COMPUTED_VALUE"""),"PHAN THAO MY")</f>
        <v>PHAN THAO MY</v>
      </c>
      <c r="G480" s="45">
        <f ca="1">IFERROR(__xludf.DUMMYFUNCTION("""COMPUTED_VALUE"""),38279.5833333333)</f>
        <v>38279.583333333299</v>
      </c>
      <c r="H480" s="45" t="str">
        <f ca="1">IFERROR(__xludf.DUMMYFUNCTION("""COMPUTED_VALUE"""),"BAKES")</f>
        <v>BAKES</v>
      </c>
      <c r="I480" s="46" t="str">
        <f ca="1">IFERROR(__xludf.DUMMYFUNCTION("""COMPUTED_VALUE"""),"STORE")</f>
        <v>STORE</v>
      </c>
      <c r="J480" s="46" t="str">
        <f ca="1">IFERROR(__xludf.DUMMYFUNCTION("""COMPUTED_VALUE"""),"BAKES D2")</f>
        <v>BAKES D2</v>
      </c>
      <c r="K480" s="46" t="str">
        <f ca="1">IFERROR(__xludf.DUMMYFUNCTION("""COMPUTED_VALUE"""),"STR")</f>
        <v>STR</v>
      </c>
      <c r="L480" s="46" t="str">
        <f ca="1">IFERROR(__xludf.DUMMYFUNCTION("""COMPUTED_VALUE"""),"PTE")</f>
        <v>PTE</v>
      </c>
      <c r="M480" s="46" t="str">
        <f ca="1">IFERROR(__xludf.DUMMYFUNCTION("""COMPUTED_VALUE"""),"Leave")</f>
        <v>Leave</v>
      </c>
      <c r="N480" s="46" t="str">
        <f ca="1">IFERROR(__xludf.DUMMYFUNCTION("""COMPUTED_VALUE"""),"x")</f>
        <v>x</v>
      </c>
    </row>
    <row r="481" spans="1:14">
      <c r="A481" s="45">
        <f ca="1">IFERROR(__xludf.DUMMYFUNCTION("""COMPUTED_VALUE"""),45391.5833333333)</f>
        <v>45391.583333333299</v>
      </c>
      <c r="B481" s="45">
        <f ca="1">IFERROR(__xludf.DUMMYFUNCTION("""COMPUTED_VALUE"""),45421.5833333333)</f>
        <v>45421.583333333299</v>
      </c>
      <c r="C481" s="46">
        <f ca="1">IFERROR(__xludf.DUMMYFUNCTION("""COMPUTED_VALUE"""),482)</f>
        <v>482</v>
      </c>
      <c r="D481" s="47" t="str">
        <f ca="1">IFERROR(__xludf.DUMMYFUNCTION("""COMPUTED_VALUE"""),"C0238")</f>
        <v>C0238</v>
      </c>
      <c r="E481" s="46" t="str">
        <f ca="1">IFERROR(__xludf.DUMMYFUNCTION("""COMPUTED_VALUE"""),"TRẦN GIA HUY")</f>
        <v>TRẦN GIA HUY</v>
      </c>
      <c r="F481" s="46" t="str">
        <f ca="1">IFERROR(__xludf.DUMMYFUNCTION("""COMPUTED_VALUE"""),"TRAN GIA HUY")</f>
        <v>TRAN GIA HUY</v>
      </c>
      <c r="G481" s="45">
        <f ca="1">IFERROR(__xludf.DUMMYFUNCTION("""COMPUTED_VALUE"""),38271.5833333333)</f>
        <v>38271.583333333299</v>
      </c>
      <c r="H481" s="45" t="str">
        <f ca="1">IFERROR(__xludf.DUMMYFUNCTION("""COMPUTED_VALUE"""),"BAKES")</f>
        <v>BAKES</v>
      </c>
      <c r="I481" s="46" t="str">
        <f ca="1">IFERROR(__xludf.DUMMYFUNCTION("""COMPUTED_VALUE"""),"STORE")</f>
        <v>STORE</v>
      </c>
      <c r="J481" s="46" t="str">
        <f ca="1">IFERROR(__xludf.DUMMYFUNCTION("""COMPUTED_VALUE"""),"BAKES D2")</f>
        <v>BAKES D2</v>
      </c>
      <c r="K481" s="46" t="str">
        <f ca="1">IFERROR(__xludf.DUMMYFUNCTION("""COMPUTED_VALUE"""),"STR")</f>
        <v>STR</v>
      </c>
      <c r="L481" s="46" t="str">
        <f ca="1">IFERROR(__xludf.DUMMYFUNCTION("""COMPUTED_VALUE"""),"PTE")</f>
        <v>PTE</v>
      </c>
      <c r="M481" s="46" t="str">
        <f ca="1">IFERROR(__xludf.DUMMYFUNCTION("""COMPUTED_VALUE"""),"Leave")</f>
        <v>Leave</v>
      </c>
      <c r="N481" s="46" t="str">
        <f ca="1">IFERROR(__xludf.DUMMYFUNCTION("""COMPUTED_VALUE"""),"x")</f>
        <v>x</v>
      </c>
    </row>
    <row r="482" spans="1:14">
      <c r="A482" s="45">
        <f ca="1">IFERROR(__xludf.DUMMYFUNCTION("""COMPUTED_VALUE"""),45390.5833333333)</f>
        <v>45390.583333333299</v>
      </c>
      <c r="B482" s="45">
        <f ca="1">IFERROR(__xludf.DUMMYFUNCTION("""COMPUTED_VALUE"""),45852.5833333333)</f>
        <v>45852.583333333299</v>
      </c>
      <c r="C482" s="46">
        <f ca="1">IFERROR(__xludf.DUMMYFUNCTION("""COMPUTED_VALUE"""),483)</f>
        <v>483</v>
      </c>
      <c r="D482" s="47" t="str">
        <f ca="1">IFERROR(__xludf.DUMMYFUNCTION("""COMPUTED_VALUE"""),"C0239")</f>
        <v>C0239</v>
      </c>
      <c r="E482" s="46" t="str">
        <f ca="1">IFERROR(__xludf.DUMMYFUNCTION("""COMPUTED_VALUE"""),"BUN QUỐC HOÀNG")</f>
        <v>BUN QUỐC HOÀNG</v>
      </c>
      <c r="F482" s="46" t="str">
        <f ca="1">IFERROR(__xludf.DUMMYFUNCTION("""COMPUTED_VALUE"""),"BUN QUOC HOANG")</f>
        <v>BUN QUOC HOANG</v>
      </c>
      <c r="G482" s="45">
        <f ca="1">IFERROR(__xludf.DUMMYFUNCTION("""COMPUTED_VALUE"""),36914.625)</f>
        <v>36914.625</v>
      </c>
      <c r="H482" s="45" t="str">
        <f ca="1">IFERROR(__xludf.DUMMYFUNCTION("""COMPUTED_VALUE"""),"TLC")</f>
        <v>TLC</v>
      </c>
      <c r="I482" s="46" t="str">
        <f ca="1">IFERROR(__xludf.DUMMYFUNCTION("""COMPUTED_VALUE"""),"STORE")</f>
        <v>STORE</v>
      </c>
      <c r="J482" s="46" t="str">
        <f ca="1">IFERROR(__xludf.DUMMYFUNCTION("""COMPUTED_VALUE"""),"BAKES HCR")</f>
        <v>BAKES HCR</v>
      </c>
      <c r="K482" s="46" t="str">
        <f ca="1">IFERROR(__xludf.DUMMYFUNCTION("""COMPUTED_VALUE"""),"BAR")</f>
        <v>BAR</v>
      </c>
      <c r="L482" s="46" t="str">
        <f ca="1">IFERROR(__xludf.DUMMYFUNCTION("""COMPUTED_VALUE"""),"PTE")</f>
        <v>PTE</v>
      </c>
      <c r="M482" s="46" t="str">
        <f ca="1">IFERROR(__xludf.DUMMYFUNCTION("""COMPUTED_VALUE"""),"Leave")</f>
        <v>Leave</v>
      </c>
      <c r="N482" s="46" t="str">
        <f ca="1">IFERROR(__xludf.DUMMYFUNCTION("""COMPUTED_VALUE"""),"x")</f>
        <v>x</v>
      </c>
    </row>
    <row r="483" spans="1:14">
      <c r="A483" s="45">
        <f ca="1">IFERROR(__xludf.DUMMYFUNCTION("""COMPUTED_VALUE"""),45393.5833333333)</f>
        <v>45393.583333333299</v>
      </c>
      <c r="B483" s="45">
        <f ca="1">IFERROR(__xludf.DUMMYFUNCTION("""COMPUTED_VALUE"""),45597.5833333333)</f>
        <v>45597.583333333299</v>
      </c>
      <c r="C483" s="46">
        <f ca="1">IFERROR(__xludf.DUMMYFUNCTION("""COMPUTED_VALUE"""),484)</f>
        <v>484</v>
      </c>
      <c r="D483" s="47" t="str">
        <f ca="1">IFERROR(__xludf.DUMMYFUNCTION("""COMPUTED_VALUE"""),"C0240")</f>
        <v>C0240</v>
      </c>
      <c r="E483" s="46" t="str">
        <f ca="1">IFERROR(__xludf.DUMMYFUNCTION("""COMPUTED_VALUE"""),"CHÂU TUYẾT MỸ XUÂN")</f>
        <v>CHÂU TUYẾT MỸ XUÂN</v>
      </c>
      <c r="F483" s="46" t="str">
        <f ca="1">IFERROR(__xludf.DUMMYFUNCTION("""COMPUTED_VALUE"""),"CHAU TUYET MY XUAN")</f>
        <v>CHAU TUYET MY XUAN</v>
      </c>
      <c r="G483" s="45">
        <f ca="1">IFERROR(__xludf.DUMMYFUNCTION("""COMPUTED_VALUE"""),36602.625)</f>
        <v>36602.625</v>
      </c>
      <c r="H483" s="45" t="str">
        <f ca="1">IFERROR(__xludf.DUMMYFUNCTION("""COMPUTED_VALUE"""),"KITCHEN PASTRY")</f>
        <v>KITCHEN PASTRY</v>
      </c>
      <c r="I483" s="46" t="str">
        <f ca="1">IFERROR(__xludf.DUMMYFUNCTION("""COMPUTED_VALUE"""),"KITCHEN PASTRY")</f>
        <v>KITCHEN PASTRY</v>
      </c>
      <c r="J483" s="46" t="str">
        <f ca="1">IFERROR(__xludf.DUMMYFUNCTION("""COMPUTED_VALUE"""),"KITCHEN PASTRY")</f>
        <v>KITCHEN PASTRY</v>
      </c>
      <c r="K483" s="46" t="str">
        <f ca="1">IFERROR(__xludf.DUMMYFUNCTION("""COMPUTED_VALUE"""),"BAKER")</f>
        <v>BAKER</v>
      </c>
      <c r="L483" s="46" t="str">
        <f ca="1">IFERROR(__xludf.DUMMYFUNCTION("""COMPUTED_VALUE"""),"PTE")</f>
        <v>PTE</v>
      </c>
      <c r="M483" s="46" t="str">
        <f ca="1">IFERROR(__xludf.DUMMYFUNCTION("""COMPUTED_VALUE"""),"Leave")</f>
        <v>Leave</v>
      </c>
      <c r="N483" s="46" t="str">
        <f ca="1">IFERROR(__xludf.DUMMYFUNCTION("""COMPUTED_VALUE"""),"x")</f>
        <v>x</v>
      </c>
    </row>
    <row r="484" spans="1:14">
      <c r="A484" s="45">
        <f ca="1">IFERROR(__xludf.DUMMYFUNCTION("""COMPUTED_VALUE"""),45394.5833333333)</f>
        <v>45394.583333333299</v>
      </c>
      <c r="B484" s="45">
        <f ca="1">IFERROR(__xludf.DUMMYFUNCTION("""COMPUTED_VALUE"""),45689.625)</f>
        <v>45689.625</v>
      </c>
      <c r="C484" s="46">
        <f ca="1">IFERROR(__xludf.DUMMYFUNCTION("""COMPUTED_VALUE"""),485)</f>
        <v>485</v>
      </c>
      <c r="D484" s="47" t="str">
        <f ca="1">IFERROR(__xludf.DUMMYFUNCTION("""COMPUTED_VALUE"""),"C0241")</f>
        <v>C0241</v>
      </c>
      <c r="E484" s="46" t="str">
        <f ca="1">IFERROR(__xludf.DUMMYFUNCTION("""COMPUTED_VALUE"""),"HUỲNH THỊ THU TUYẾN")</f>
        <v>HUỲNH THỊ THU TUYẾN</v>
      </c>
      <c r="F484" s="46" t="str">
        <f ca="1">IFERROR(__xludf.DUMMYFUNCTION("""COMPUTED_VALUE"""),"HUYNH THI THU TUYEN")</f>
        <v>HUYNH THI THU TUYEN</v>
      </c>
      <c r="G484" s="45">
        <f ca="1">IFERROR(__xludf.DUMMYFUNCTION("""COMPUTED_VALUE"""),33754.5833333333)</f>
        <v>33754.583333333299</v>
      </c>
      <c r="H484" s="45" t="str">
        <f ca="1">IFERROR(__xludf.DUMMYFUNCTION("""COMPUTED_VALUE"""),"KITCHEN PASTRY")</f>
        <v>KITCHEN PASTRY</v>
      </c>
      <c r="I484" s="46" t="str">
        <f ca="1">IFERROR(__xludf.DUMMYFUNCTION("""COMPUTED_VALUE"""),"KITCHEN PASTRY")</f>
        <v>KITCHEN PASTRY</v>
      </c>
      <c r="J484" s="46" t="str">
        <f ca="1">IFERROR(__xludf.DUMMYFUNCTION("""COMPUTED_VALUE"""),"KITCHEN PASTRY")</f>
        <v>KITCHEN PASTRY</v>
      </c>
      <c r="K484" s="46" t="str">
        <f ca="1">IFERROR(__xludf.DUMMYFUNCTION("""COMPUTED_VALUE"""),"BAKER")</f>
        <v>BAKER</v>
      </c>
      <c r="L484" s="46" t="str">
        <f ca="1">IFERROR(__xludf.DUMMYFUNCTION("""COMPUTED_VALUE"""),"PTE")</f>
        <v>PTE</v>
      </c>
      <c r="M484" s="46" t="str">
        <f ca="1">IFERROR(__xludf.DUMMYFUNCTION("""COMPUTED_VALUE"""),"Leave")</f>
        <v>Leave</v>
      </c>
      <c r="N484" s="46" t="str">
        <f ca="1">IFERROR(__xludf.DUMMYFUNCTION("""COMPUTED_VALUE"""),"đủ")</f>
        <v>đủ</v>
      </c>
    </row>
    <row r="485" spans="1:14">
      <c r="A485" s="45">
        <f ca="1">IFERROR(__xludf.DUMMYFUNCTION("""COMPUTED_VALUE"""),45394.5833333333)</f>
        <v>45394.583333333299</v>
      </c>
      <c r="B485" s="45">
        <f ca="1">IFERROR(__xludf.DUMMYFUNCTION("""COMPUTED_VALUE"""),45536.5833333333)</f>
        <v>45536.583333333299</v>
      </c>
      <c r="C485" s="46">
        <f ca="1">IFERROR(__xludf.DUMMYFUNCTION("""COMPUTED_VALUE"""),486)</f>
        <v>486</v>
      </c>
      <c r="D485" s="47" t="str">
        <f ca="1">IFERROR(__xludf.DUMMYFUNCTION("""COMPUTED_VALUE"""),"C0242")</f>
        <v>C0242</v>
      </c>
      <c r="E485" s="46" t="str">
        <f ca="1">IFERROR(__xludf.DUMMYFUNCTION("""COMPUTED_VALUE"""),"MAI THỊ MỘNG HÂN")</f>
        <v>MAI THỊ MỘNG HÂN</v>
      </c>
      <c r="F485" s="46" t="str">
        <f ca="1">IFERROR(__xludf.DUMMYFUNCTION("""COMPUTED_VALUE"""),"MAI THI MONG HAN")</f>
        <v>MAI THI MONG HAN</v>
      </c>
      <c r="G485" s="45">
        <f ca="1">IFERROR(__xludf.DUMMYFUNCTION("""COMPUTED_VALUE"""),26306.6666666666)</f>
        <v>26306.666666666599</v>
      </c>
      <c r="H485" s="45" t="str">
        <f ca="1">IFERROR(__xludf.DUMMYFUNCTION("""COMPUTED_VALUE"""),"BAKES")</f>
        <v>BAKES</v>
      </c>
      <c r="I485" s="46" t="str">
        <f ca="1">IFERROR(__xludf.DUMMYFUNCTION("""COMPUTED_VALUE"""),"STORE")</f>
        <v>STORE</v>
      </c>
      <c r="J485" s="46" t="str">
        <f ca="1">IFERROR(__xludf.DUMMYFUNCTION("""COMPUTED_VALUE"""),"BAKES D2")</f>
        <v>BAKES D2</v>
      </c>
      <c r="K485" s="46" t="str">
        <f ca="1">IFERROR(__xludf.DUMMYFUNCTION("""COMPUTED_VALUE"""),"CLEANER")</f>
        <v>CLEANER</v>
      </c>
      <c r="L485" s="46" t="str">
        <f ca="1">IFERROR(__xludf.DUMMYFUNCTION("""COMPUTED_VALUE"""),"FTE")</f>
        <v>FTE</v>
      </c>
      <c r="M485" s="46" t="str">
        <f ca="1">IFERROR(__xludf.DUMMYFUNCTION("""COMPUTED_VALUE"""),"Leave")</f>
        <v>Leave</v>
      </c>
      <c r="N485" s="46" t="str">
        <f ca="1">IFERROR(__xludf.DUMMYFUNCTION("""COMPUTED_VALUE"""),"x")</f>
        <v>x</v>
      </c>
    </row>
    <row r="486" spans="1:14">
      <c r="A486" s="45">
        <f ca="1">IFERROR(__xludf.DUMMYFUNCTION("""COMPUTED_VALUE"""),45395.5833333333)</f>
        <v>45395.583333333299</v>
      </c>
      <c r="B486" s="45">
        <f ca="1">IFERROR(__xludf.DUMMYFUNCTION("""COMPUTED_VALUE"""),45444.5833333333)</f>
        <v>45444.583333333299</v>
      </c>
      <c r="C486" s="46">
        <f ca="1">IFERROR(__xludf.DUMMYFUNCTION("""COMPUTED_VALUE"""),487)</f>
        <v>487</v>
      </c>
      <c r="D486" s="47" t="str">
        <f ca="1">IFERROR(__xludf.DUMMYFUNCTION("""COMPUTED_VALUE"""),"C0243")</f>
        <v>C0243</v>
      </c>
      <c r="E486" s="46" t="str">
        <f ca="1">IFERROR(__xludf.DUMMYFUNCTION("""COMPUTED_VALUE"""),"NGUYỄN LÊ CÁT TƯỜNG")</f>
        <v>NGUYỄN LÊ CÁT TƯỜNG</v>
      </c>
      <c r="F486" s="46" t="str">
        <f ca="1">IFERROR(__xludf.DUMMYFUNCTION("""COMPUTED_VALUE"""),"NGUYEN LE CAT TUONG")</f>
        <v>NGUYEN LE CAT TUONG</v>
      </c>
      <c r="G486" s="45">
        <f ca="1">IFERROR(__xludf.DUMMYFUNCTION("""COMPUTED_VALUE"""),38642.5833333333)</f>
        <v>38642.583333333299</v>
      </c>
      <c r="H486" s="45" t="str">
        <f ca="1">IFERROR(__xludf.DUMMYFUNCTION("""COMPUTED_VALUE"""),"BAKES")</f>
        <v>BAKES</v>
      </c>
      <c r="I486" s="46" t="str">
        <f ca="1">IFERROR(__xludf.DUMMYFUNCTION("""COMPUTED_VALUE"""),"STORE")</f>
        <v>STORE</v>
      </c>
      <c r="J486" s="46" t="str">
        <f ca="1">IFERROR(__xludf.DUMMYFUNCTION("""COMPUTED_VALUE"""),"BAKES D2")</f>
        <v>BAKES D2</v>
      </c>
      <c r="K486" s="46" t="str">
        <f ca="1">IFERROR(__xludf.DUMMYFUNCTION("""COMPUTED_VALUE"""),"STR")</f>
        <v>STR</v>
      </c>
      <c r="L486" s="46" t="str">
        <f ca="1">IFERROR(__xludf.DUMMYFUNCTION("""COMPUTED_VALUE"""),"PTE")</f>
        <v>PTE</v>
      </c>
      <c r="M486" s="46" t="str">
        <f ca="1">IFERROR(__xludf.DUMMYFUNCTION("""COMPUTED_VALUE"""),"Leave")</f>
        <v>Leave</v>
      </c>
      <c r="N486" s="46" t="str">
        <f ca="1">IFERROR(__xludf.DUMMYFUNCTION("""COMPUTED_VALUE"""),"x")</f>
        <v>x</v>
      </c>
    </row>
    <row r="487" spans="1:14">
      <c r="A487" s="45">
        <f ca="1">IFERROR(__xludf.DUMMYFUNCTION("""COMPUTED_VALUE"""),45393.5833333333)</f>
        <v>45393.583333333299</v>
      </c>
      <c r="B487" s="45">
        <f ca="1">IFERROR(__xludf.DUMMYFUNCTION("""COMPUTED_VALUE"""),45587.5833333333)</f>
        <v>45587.583333333299</v>
      </c>
      <c r="C487" s="46">
        <f ca="1">IFERROR(__xludf.DUMMYFUNCTION("""COMPUTED_VALUE"""),488)</f>
        <v>488</v>
      </c>
      <c r="D487" s="47" t="str">
        <f ca="1">IFERROR(__xludf.DUMMYFUNCTION("""COMPUTED_VALUE"""),"C0244")</f>
        <v>C0244</v>
      </c>
      <c r="E487" s="46" t="str">
        <f ca="1">IFERROR(__xludf.DUMMYFUNCTION("""COMPUTED_VALUE"""),"TÔ ÍCH VĨNH")</f>
        <v>TÔ ÍCH VĨNH</v>
      </c>
      <c r="F487" s="46" t="str">
        <f ca="1">IFERROR(__xludf.DUMMYFUNCTION("""COMPUTED_VALUE"""),"TO ICH VINH")</f>
        <v>TO ICH VINH</v>
      </c>
      <c r="G487" s="45">
        <f ca="1">IFERROR(__xludf.DUMMYFUNCTION("""COMPUTED_VALUE"""),36221.625)</f>
        <v>36221.625</v>
      </c>
      <c r="H487" s="45" t="str">
        <f ca="1">IFERROR(__xludf.DUMMYFUNCTION("""COMPUTED_VALUE"""),"MATTE")</f>
        <v>MATTE</v>
      </c>
      <c r="I487" s="46" t="str">
        <f ca="1">IFERROR(__xludf.DUMMYFUNCTION("""COMPUTED_VALUE"""),"STORE")</f>
        <v>STORE</v>
      </c>
      <c r="J487" s="46" t="str">
        <f ca="1">IFERROR(__xludf.DUMMYFUNCTION("""COMPUTED_VALUE"""),"MATTE D7")</f>
        <v>MATTE D7</v>
      </c>
      <c r="K487" s="46" t="str">
        <f ca="1">IFERROR(__xludf.DUMMYFUNCTION("""COMPUTED_VALUE"""),"BAR")</f>
        <v>BAR</v>
      </c>
      <c r="L487" s="46" t="str">
        <f ca="1">IFERROR(__xludf.DUMMYFUNCTION("""COMPUTED_VALUE"""),"FTE")</f>
        <v>FTE</v>
      </c>
      <c r="M487" s="46" t="str">
        <f ca="1">IFERROR(__xludf.DUMMYFUNCTION("""COMPUTED_VALUE"""),"Leave")</f>
        <v>Leave</v>
      </c>
      <c r="N487" s="46" t="str">
        <f ca="1">IFERROR(__xludf.DUMMYFUNCTION("""COMPUTED_VALUE"""),"x")</f>
        <v>x</v>
      </c>
    </row>
    <row r="488" spans="1:14">
      <c r="A488" s="45">
        <f ca="1">IFERROR(__xludf.DUMMYFUNCTION("""COMPUTED_VALUE"""),45393.5833333333)</f>
        <v>45393.583333333299</v>
      </c>
      <c r="B488" s="45">
        <f ca="1">IFERROR(__xludf.DUMMYFUNCTION("""COMPUTED_VALUE"""),45717.625)</f>
        <v>45717.625</v>
      </c>
      <c r="C488" s="46">
        <f ca="1">IFERROR(__xludf.DUMMYFUNCTION("""COMPUTED_VALUE"""),489)</f>
        <v>489</v>
      </c>
      <c r="D488" s="47" t="str">
        <f ca="1">IFERROR(__xludf.DUMMYFUNCTION("""COMPUTED_VALUE"""),"C0245")</f>
        <v>C0245</v>
      </c>
      <c r="E488" s="46" t="str">
        <f ca="1">IFERROR(__xludf.DUMMYFUNCTION("""COMPUTED_VALUE"""),"LƯU MINH HIỀN")</f>
        <v>LƯU MINH HIỀN</v>
      </c>
      <c r="F488" s="46" t="str">
        <f ca="1">IFERROR(__xludf.DUMMYFUNCTION("""COMPUTED_VALUE"""),"LUU MINH HIEN")</f>
        <v>LUU MINH HIEN</v>
      </c>
      <c r="G488" s="45">
        <f ca="1">IFERROR(__xludf.DUMMYFUNCTION("""COMPUTED_VALUE"""),36516.625)</f>
        <v>36516.625</v>
      </c>
      <c r="H488" s="45" t="str">
        <f ca="1">IFERROR(__xludf.DUMMYFUNCTION("""COMPUTED_VALUE"""),"MATTE")</f>
        <v>MATTE</v>
      </c>
      <c r="I488" s="46" t="str">
        <f ca="1">IFERROR(__xludf.DUMMYFUNCTION("""COMPUTED_VALUE"""),"STORE")</f>
        <v>STORE</v>
      </c>
      <c r="J488" s="46" t="str">
        <f ca="1">IFERROR(__xludf.DUMMYFUNCTION("""COMPUTED_VALUE"""),"MATTE D1")</f>
        <v>MATTE D1</v>
      </c>
      <c r="K488" s="46" t="str">
        <f ca="1">IFERROR(__xludf.DUMMYFUNCTION("""COMPUTED_VALUE"""),"BAR")</f>
        <v>BAR</v>
      </c>
      <c r="L488" s="46" t="str">
        <f ca="1">IFERROR(__xludf.DUMMYFUNCTION("""COMPUTED_VALUE"""),"FTE")</f>
        <v>FTE</v>
      </c>
      <c r="M488" s="46" t="str">
        <f ca="1">IFERROR(__xludf.DUMMYFUNCTION("""COMPUTED_VALUE"""),"Leave")</f>
        <v>Leave</v>
      </c>
      <c r="N488" s="46" t="str">
        <f ca="1">IFERROR(__xludf.DUMMYFUNCTION("""COMPUTED_VALUE"""),"x")</f>
        <v>x</v>
      </c>
    </row>
    <row r="489" spans="1:14">
      <c r="A489" s="45">
        <f ca="1">IFERROR(__xludf.DUMMYFUNCTION("""COMPUTED_VALUE"""),45402.5833333333)</f>
        <v>45402.583333333299</v>
      </c>
      <c r="B489" s="45"/>
      <c r="C489" s="46">
        <f ca="1">IFERROR(__xludf.DUMMYFUNCTION("""COMPUTED_VALUE"""),490)</f>
        <v>490</v>
      </c>
      <c r="D489" s="47" t="str">
        <f ca="1">IFERROR(__xludf.DUMMYFUNCTION("""COMPUTED_VALUE"""),"C0246")</f>
        <v>C0246</v>
      </c>
      <c r="E489" s="46" t="str">
        <f ca="1">IFERROR(__xludf.DUMMYFUNCTION("""COMPUTED_VALUE"""),"LÊ MINH NHỰT")</f>
        <v>LÊ MINH NHỰT</v>
      </c>
      <c r="F489" s="46" t="str">
        <f ca="1">IFERROR(__xludf.DUMMYFUNCTION("""COMPUTED_VALUE"""),"LE MINH NHUT")</f>
        <v>LE MINH NHUT</v>
      </c>
      <c r="G489" s="45">
        <f ca="1">IFERROR(__xludf.DUMMYFUNCTION("""COMPUTED_VALUE"""),36734.5833333333)</f>
        <v>36734.583333333299</v>
      </c>
      <c r="H489" s="45" t="str">
        <f ca="1">IFERROR(__xludf.DUMMYFUNCTION("""COMPUTED_VALUE"""),"TLC")</f>
        <v>TLC</v>
      </c>
      <c r="I489" s="46" t="str">
        <f ca="1">IFERROR(__xludf.DUMMYFUNCTION("""COMPUTED_VALUE"""),"STORE")</f>
        <v>STORE</v>
      </c>
      <c r="J489" s="46" t="str">
        <f ca="1">IFERROR(__xludf.DUMMYFUNCTION("""COMPUTED_VALUE"""),"BLANK LOUNGE")</f>
        <v>BLANK LOUNGE</v>
      </c>
      <c r="K489" s="46" t="str">
        <f ca="1">IFERROR(__xludf.DUMMYFUNCTION("""COMPUTED_VALUE"""),"KIT")</f>
        <v>KIT</v>
      </c>
      <c r="L489" s="46" t="str">
        <f ca="1">IFERROR(__xludf.DUMMYFUNCTION("""COMPUTED_VALUE"""),"FTE")</f>
        <v>FTE</v>
      </c>
      <c r="M489" s="46" t="str">
        <f ca="1">IFERROR(__xludf.DUMMYFUNCTION("""COMPUTED_VALUE"""),"On")</f>
        <v>On</v>
      </c>
      <c r="N489" s="46" t="str">
        <f ca="1">IFERROR(__xludf.DUMMYFUNCTION("""COMPUTED_VALUE"""),"đủ")</f>
        <v>đủ</v>
      </c>
    </row>
    <row r="490" spans="1:14">
      <c r="A490" s="45">
        <f ca="1">IFERROR(__xludf.DUMMYFUNCTION("""COMPUTED_VALUE"""),45404.5833333333)</f>
        <v>45404.583333333299</v>
      </c>
      <c r="B490" s="45">
        <f ca="1">IFERROR(__xludf.DUMMYFUNCTION("""COMPUTED_VALUE"""),45419.5833333333)</f>
        <v>45419.583333333299</v>
      </c>
      <c r="C490" s="46">
        <f ca="1">IFERROR(__xludf.DUMMYFUNCTION("""COMPUTED_VALUE"""),491)</f>
        <v>491</v>
      </c>
      <c r="D490" s="47" t="str">
        <f ca="1">IFERROR(__xludf.DUMMYFUNCTION("""COMPUTED_VALUE"""),"C0247")</f>
        <v>C0247</v>
      </c>
      <c r="E490" s="46" t="str">
        <f ca="1">IFERROR(__xludf.DUMMYFUNCTION("""COMPUTED_VALUE"""),"NGUYỄN THỊ TRÀ GIANG")</f>
        <v>NGUYỄN THỊ TRÀ GIANG</v>
      </c>
      <c r="F490" s="46" t="str">
        <f ca="1">IFERROR(__xludf.DUMMYFUNCTION("""COMPUTED_VALUE"""),"NGUYEN THI TRA GIANG")</f>
        <v>NGUYEN THI TRA GIANG</v>
      </c>
      <c r="G490" s="45">
        <f ca="1">IFERROR(__xludf.DUMMYFUNCTION("""COMPUTED_VALUE"""),37501.5833333333)</f>
        <v>37501.583333333299</v>
      </c>
      <c r="H490" s="45" t="str">
        <f ca="1">IFERROR(__xludf.DUMMYFUNCTION("""COMPUTED_VALUE"""),"CREATIVE")</f>
        <v>CREATIVE</v>
      </c>
      <c r="I490" s="46" t="str">
        <f ca="1">IFERROR(__xludf.DUMMYFUNCTION("""COMPUTED_VALUE"""),"HO")</f>
        <v>HO</v>
      </c>
      <c r="J490" s="46" t="str">
        <f ca="1">IFERROR(__xludf.DUMMYFUNCTION("""COMPUTED_VALUE"""),"FIN")</f>
        <v>FIN</v>
      </c>
      <c r="K490" s="46" t="str">
        <f ca="1">IFERROR(__xludf.DUMMYFUNCTION("""COMPUTED_VALUE"""),"FIN")</f>
        <v>FIN</v>
      </c>
      <c r="L490" s="46" t="str">
        <f ca="1">IFERROR(__xludf.DUMMYFUNCTION("""COMPUTED_VALUE"""),"PRO")</f>
        <v>PRO</v>
      </c>
      <c r="M490" s="46" t="str">
        <f ca="1">IFERROR(__xludf.DUMMYFUNCTION("""COMPUTED_VALUE"""),"Leave")</f>
        <v>Leave</v>
      </c>
      <c r="N490" s="46" t="str">
        <f ca="1">IFERROR(__xludf.DUMMYFUNCTION("""COMPUTED_VALUE"""),"x")</f>
        <v>x</v>
      </c>
    </row>
    <row r="491" spans="1:14">
      <c r="A491" s="45">
        <f ca="1">IFERROR(__xludf.DUMMYFUNCTION("""COMPUTED_VALUE"""),45402.5833333333)</f>
        <v>45402.583333333299</v>
      </c>
      <c r="B491" s="45">
        <f ca="1">IFERROR(__xludf.DUMMYFUNCTION("""COMPUTED_VALUE"""),45716.625)</f>
        <v>45716.625</v>
      </c>
      <c r="C491" s="46">
        <f ca="1">IFERROR(__xludf.DUMMYFUNCTION("""COMPUTED_VALUE"""),492)</f>
        <v>492</v>
      </c>
      <c r="D491" s="47" t="str">
        <f ca="1">IFERROR(__xludf.DUMMYFUNCTION("""COMPUTED_VALUE"""),"C0248")</f>
        <v>C0248</v>
      </c>
      <c r="E491" s="46" t="str">
        <f ca="1">IFERROR(__xludf.DUMMYFUNCTION("""COMPUTED_VALUE"""),"TRỊNH DUY ANH")</f>
        <v>TRỊNH DUY ANH</v>
      </c>
      <c r="F491" s="46" t="str">
        <f ca="1">IFERROR(__xludf.DUMMYFUNCTION("""COMPUTED_VALUE"""),"TRINH DUY ANH")</f>
        <v>TRINH DUY ANH</v>
      </c>
      <c r="G491" s="45">
        <f ca="1">IFERROR(__xludf.DUMMYFUNCTION("""COMPUTED_VALUE"""),36361.5833333333)</f>
        <v>36361.583333333299</v>
      </c>
      <c r="H491" s="45" t="str">
        <f ca="1">IFERROR(__xludf.DUMMYFUNCTION("""COMPUTED_VALUE"""),"TLC")</f>
        <v>TLC</v>
      </c>
      <c r="I491" s="46" t="str">
        <f ca="1">IFERROR(__xludf.DUMMYFUNCTION("""COMPUTED_VALUE"""),"STORE")</f>
        <v>STORE</v>
      </c>
      <c r="J491" s="46" t="str">
        <f ca="1">IFERROR(__xludf.DUMMYFUNCTION("""COMPUTED_VALUE"""),"BLANK LOUNGE")</f>
        <v>BLANK LOUNGE</v>
      </c>
      <c r="K491" s="46" t="str">
        <f ca="1">IFERROR(__xludf.DUMMYFUNCTION("""COMPUTED_VALUE"""),"KIT")</f>
        <v>KIT</v>
      </c>
      <c r="L491" s="46" t="str">
        <f ca="1">IFERROR(__xludf.DUMMYFUNCTION("""COMPUTED_VALUE"""),"FTE")</f>
        <v>FTE</v>
      </c>
      <c r="M491" s="46" t="str">
        <f ca="1">IFERROR(__xludf.DUMMYFUNCTION("""COMPUTED_VALUE"""),"Leave")</f>
        <v>Leave</v>
      </c>
      <c r="N491" s="46" t="str">
        <f ca="1">IFERROR(__xludf.DUMMYFUNCTION("""COMPUTED_VALUE"""),"x")</f>
        <v>x</v>
      </c>
    </row>
    <row r="492" spans="1:14">
      <c r="A492" s="45">
        <f ca="1">IFERROR(__xludf.DUMMYFUNCTION("""COMPUTED_VALUE"""),45402.5833333333)</f>
        <v>45402.583333333299</v>
      </c>
      <c r="B492" s="45">
        <f ca="1">IFERROR(__xludf.DUMMYFUNCTION("""COMPUTED_VALUE"""),45413.5833333333)</f>
        <v>45413.583333333299</v>
      </c>
      <c r="C492" s="46">
        <f ca="1">IFERROR(__xludf.DUMMYFUNCTION("""COMPUTED_VALUE"""),493)</f>
        <v>493</v>
      </c>
      <c r="D492" s="47" t="str">
        <f ca="1">IFERROR(__xludf.DUMMYFUNCTION("""COMPUTED_VALUE"""),"C0249")</f>
        <v>C0249</v>
      </c>
      <c r="E492" s="46" t="str">
        <f ca="1">IFERROR(__xludf.DUMMYFUNCTION("""COMPUTED_VALUE"""),"ĐỖ PHƯƠNG NGỌC")</f>
        <v>ĐỖ PHƯƠNG NGỌC</v>
      </c>
      <c r="F492" s="46" t="str">
        <f ca="1">IFERROR(__xludf.DUMMYFUNCTION("""COMPUTED_VALUE"""),"DO PHUONG NGOC")</f>
        <v>DO PHUONG NGOC</v>
      </c>
      <c r="G492" s="45">
        <f ca="1">IFERROR(__xludf.DUMMYFUNCTION("""COMPUTED_VALUE"""),33585.625)</f>
        <v>33585.625</v>
      </c>
      <c r="H492" s="45" t="str">
        <f ca="1">IFERROR(__xludf.DUMMYFUNCTION("""COMPUTED_VALUE"""),"TLC")</f>
        <v>TLC</v>
      </c>
      <c r="I492" s="46" t="str">
        <f ca="1">IFERROR(__xludf.DUMMYFUNCTION("""COMPUTED_VALUE"""),"STORE")</f>
        <v>STORE</v>
      </c>
      <c r="J492" s="46" t="str">
        <f ca="1">IFERROR(__xludf.DUMMYFUNCTION("""COMPUTED_VALUE"""),"BLANK LOUNGE")</f>
        <v>BLANK LOUNGE</v>
      </c>
      <c r="K492" s="46" t="str">
        <f ca="1">IFERROR(__xludf.DUMMYFUNCTION("""COMPUTED_VALUE"""),"STR")</f>
        <v>STR</v>
      </c>
      <c r="L492" s="46" t="str">
        <f ca="1">IFERROR(__xludf.DUMMYFUNCTION("""COMPUTED_VALUE"""),"PRO")</f>
        <v>PRO</v>
      </c>
      <c r="M492" s="46" t="str">
        <f ca="1">IFERROR(__xludf.DUMMYFUNCTION("""COMPUTED_VALUE"""),"Leave")</f>
        <v>Leave</v>
      </c>
      <c r="N492" s="46" t="str">
        <f ca="1">IFERROR(__xludf.DUMMYFUNCTION("""COMPUTED_VALUE"""),"x")</f>
        <v>x</v>
      </c>
    </row>
    <row r="493" spans="1:14">
      <c r="A493" s="45">
        <f ca="1">IFERROR(__xludf.DUMMYFUNCTION("""COMPUTED_VALUE"""),45404.5833333333)</f>
        <v>45404.583333333299</v>
      </c>
      <c r="B493" s="45">
        <f ca="1">IFERROR(__xludf.DUMMYFUNCTION("""COMPUTED_VALUE"""),45779.5833333333)</f>
        <v>45779.583333333299</v>
      </c>
      <c r="C493" s="46">
        <f ca="1">IFERROR(__xludf.DUMMYFUNCTION("""COMPUTED_VALUE"""),494)</f>
        <v>494</v>
      </c>
      <c r="D493" s="47" t="str">
        <f ca="1">IFERROR(__xludf.DUMMYFUNCTION("""COMPUTED_VALUE"""),"C0250")</f>
        <v>C0250</v>
      </c>
      <c r="E493" s="46" t="str">
        <f ca="1">IFERROR(__xludf.DUMMYFUNCTION("""COMPUTED_VALUE"""),"TRẦN THỊ THÚY LINH")</f>
        <v>TRẦN THỊ THÚY LINH</v>
      </c>
      <c r="F493" s="46" t="str">
        <f ca="1">IFERROR(__xludf.DUMMYFUNCTION("""COMPUTED_VALUE"""),"TRAN THI THUY LINH")</f>
        <v>TRAN THI THUY LINH</v>
      </c>
      <c r="G493" s="45">
        <f ca="1">IFERROR(__xludf.DUMMYFUNCTION("""COMPUTED_VALUE"""),36914.625)</f>
        <v>36914.625</v>
      </c>
      <c r="H493" s="45" t="str">
        <f ca="1">IFERROR(__xludf.DUMMYFUNCTION("""COMPUTED_VALUE"""),"KITCHEN PASTRY")</f>
        <v>KITCHEN PASTRY</v>
      </c>
      <c r="I493" s="46" t="str">
        <f ca="1">IFERROR(__xludf.DUMMYFUNCTION("""COMPUTED_VALUE"""),"KITCHEN PASTRY")</f>
        <v>KITCHEN PASTRY</v>
      </c>
      <c r="J493" s="46" t="str">
        <f ca="1">IFERROR(__xludf.DUMMYFUNCTION("""COMPUTED_VALUE"""),"KITCHEN PASTRY")</f>
        <v>KITCHEN PASTRY</v>
      </c>
      <c r="K493" s="46" t="str">
        <f ca="1">IFERROR(__xludf.DUMMYFUNCTION("""COMPUTED_VALUE"""),"ADMIN")</f>
        <v>ADMIN</v>
      </c>
      <c r="L493" s="46" t="str">
        <f ca="1">IFERROR(__xludf.DUMMYFUNCTION("""COMPUTED_VALUE"""),"FTE")</f>
        <v>FTE</v>
      </c>
      <c r="M493" s="46" t="str">
        <f ca="1">IFERROR(__xludf.DUMMYFUNCTION("""COMPUTED_VALUE"""),"Leave")</f>
        <v>Leave</v>
      </c>
      <c r="N493" s="46" t="str">
        <f ca="1">IFERROR(__xludf.DUMMYFUNCTION("""COMPUTED_VALUE"""),"x")</f>
        <v>x</v>
      </c>
    </row>
    <row r="494" spans="1:14">
      <c r="A494" s="45">
        <f ca="1">IFERROR(__xludf.DUMMYFUNCTION("""COMPUTED_VALUE"""),45383.5833333333)</f>
        <v>45383.583333333299</v>
      </c>
      <c r="B494" s="45">
        <f ca="1">IFERROR(__xludf.DUMMYFUNCTION("""COMPUTED_VALUE"""),45629.625)</f>
        <v>45629.625</v>
      </c>
      <c r="C494" s="46">
        <f ca="1">IFERROR(__xludf.DUMMYFUNCTION("""COMPUTED_VALUE"""),495)</f>
        <v>495</v>
      </c>
      <c r="D494" s="47" t="str">
        <f ca="1">IFERROR(__xludf.DUMMYFUNCTION("""COMPUTED_VALUE"""),"C0251")</f>
        <v>C0251</v>
      </c>
      <c r="E494" s="46" t="str">
        <f ca="1">IFERROR(__xludf.DUMMYFUNCTION("""COMPUTED_VALUE"""),"VÕ THỊ HỒNG LAM")</f>
        <v>VÕ THỊ HỒNG LAM</v>
      </c>
      <c r="F494" s="46" t="str">
        <f ca="1">IFERROR(__xludf.DUMMYFUNCTION("""COMPUTED_VALUE"""),"VO THI HONG LAM")</f>
        <v>VO THI HONG LAM</v>
      </c>
      <c r="G494" s="45">
        <f ca="1">IFERROR(__xludf.DUMMYFUNCTION("""COMPUTED_VALUE"""),34453.5833333333)</f>
        <v>34453.583333333299</v>
      </c>
      <c r="H494" s="45" t="str">
        <f ca="1">IFERROR(__xludf.DUMMYFUNCTION("""COMPUTED_VALUE"""),"KITCHEN PASTRY")</f>
        <v>KITCHEN PASTRY</v>
      </c>
      <c r="I494" s="46" t="str">
        <f ca="1">IFERROR(__xludf.DUMMYFUNCTION("""COMPUTED_VALUE"""),"KITCHEN PASTRY")</f>
        <v>KITCHEN PASTRY</v>
      </c>
      <c r="J494" s="46" t="str">
        <f ca="1">IFERROR(__xludf.DUMMYFUNCTION("""COMPUTED_VALUE"""),"KITCHEN PASTRY")</f>
        <v>KITCHEN PASTRY</v>
      </c>
      <c r="K494" s="46" t="str">
        <f ca="1">IFERROR(__xludf.DUMMYFUNCTION("""COMPUTED_VALUE"""),"BAKER")</f>
        <v>BAKER</v>
      </c>
      <c r="L494" s="46" t="str">
        <f ca="1">IFERROR(__xludf.DUMMYFUNCTION("""COMPUTED_VALUE"""),"PTE")</f>
        <v>PTE</v>
      </c>
      <c r="M494" s="46" t="str">
        <f ca="1">IFERROR(__xludf.DUMMYFUNCTION("""COMPUTED_VALUE"""),"Leave")</f>
        <v>Leave</v>
      </c>
      <c r="N494" s="46" t="str">
        <f ca="1">IFERROR(__xludf.DUMMYFUNCTION("""COMPUTED_VALUE"""),"x")</f>
        <v>x</v>
      </c>
    </row>
    <row r="495" spans="1:14">
      <c r="A495" s="45">
        <f ca="1">IFERROR(__xludf.DUMMYFUNCTION("""COMPUTED_VALUE"""),45390.5833333333)</f>
        <v>45390.583333333299</v>
      </c>
      <c r="B495" s="45">
        <f ca="1">IFERROR(__xludf.DUMMYFUNCTION("""COMPUTED_VALUE"""),45421.5833333333)</f>
        <v>45421.583333333299</v>
      </c>
      <c r="C495" s="46">
        <f ca="1">IFERROR(__xludf.DUMMYFUNCTION("""COMPUTED_VALUE"""),496)</f>
        <v>496</v>
      </c>
      <c r="D495" s="47" t="str">
        <f ca="1">IFERROR(__xludf.DUMMYFUNCTION("""COMPUTED_VALUE"""),"C0252")</f>
        <v>C0252</v>
      </c>
      <c r="E495" s="46" t="str">
        <f ca="1">IFERROR(__xludf.DUMMYFUNCTION("""COMPUTED_VALUE"""),"PHẠM ĐỨC HUY")</f>
        <v>PHẠM ĐỨC HUY</v>
      </c>
      <c r="F495" s="46" t="str">
        <f ca="1">IFERROR(__xludf.DUMMYFUNCTION("""COMPUTED_VALUE"""),"PHAM DUC HUY")</f>
        <v>PHAM DUC HUY</v>
      </c>
      <c r="G495" s="45">
        <f ca="1">IFERROR(__xludf.DUMMYFUNCTION("""COMPUTED_VALUE"""),34053.625)</f>
        <v>34053.625</v>
      </c>
      <c r="H495" s="45" t="str">
        <f ca="1">IFERROR(__xludf.DUMMYFUNCTION("""COMPUTED_VALUE"""),"TLC")</f>
        <v>TLC</v>
      </c>
      <c r="I495" s="46" t="str">
        <f ca="1">IFERROR(__xludf.DUMMYFUNCTION("""COMPUTED_VALUE"""),"STORE")</f>
        <v>STORE</v>
      </c>
      <c r="J495" s="46" t="str">
        <f ca="1">IFERROR(__xludf.DUMMYFUNCTION("""COMPUTED_VALUE"""),"BLANK LOUNGE")</f>
        <v>BLANK LOUNGE</v>
      </c>
      <c r="K495" s="46" t="str">
        <f ca="1">IFERROR(__xludf.DUMMYFUNCTION("""COMPUTED_VALUE"""),"STR")</f>
        <v>STR</v>
      </c>
      <c r="L495" s="46" t="str">
        <f ca="1">IFERROR(__xludf.DUMMYFUNCTION("""COMPUTED_VALUE"""),"SER")</f>
        <v>SER</v>
      </c>
      <c r="M495" s="46" t="str">
        <f ca="1">IFERROR(__xludf.DUMMYFUNCTION("""COMPUTED_VALUE"""),"Leave")</f>
        <v>Leave</v>
      </c>
      <c r="N495" s="46" t="str">
        <f ca="1">IFERROR(__xludf.DUMMYFUNCTION("""COMPUTED_VALUE"""),"x")</f>
        <v>x</v>
      </c>
    </row>
    <row r="496" spans="1:14">
      <c r="A496" s="45">
        <f ca="1">IFERROR(__xludf.DUMMYFUNCTION("""COMPUTED_VALUE"""),45393.5833333333)</f>
        <v>45393.583333333299</v>
      </c>
      <c r="B496" s="45"/>
      <c r="C496" s="46">
        <f ca="1">IFERROR(__xludf.DUMMYFUNCTION("""COMPUTED_VALUE"""),497)</f>
        <v>497</v>
      </c>
      <c r="D496" s="47" t="str">
        <f ca="1">IFERROR(__xludf.DUMMYFUNCTION("""COMPUTED_VALUE"""),"C0253")</f>
        <v>C0253</v>
      </c>
      <c r="E496" s="46" t="str">
        <f ca="1">IFERROR(__xludf.DUMMYFUNCTION("""COMPUTED_VALUE"""),"THIỀU THỊ THIÊN HÀ")</f>
        <v>THIỀU THỊ THIÊN HÀ</v>
      </c>
      <c r="F496" s="46" t="str">
        <f ca="1">IFERROR(__xludf.DUMMYFUNCTION("""COMPUTED_VALUE"""),"THIEU THI THIEN HA")</f>
        <v>THIEU THI THIEN HA</v>
      </c>
      <c r="G496" s="45">
        <f ca="1">IFERROR(__xludf.DUMMYFUNCTION("""COMPUTED_VALUE"""),35117.625)</f>
        <v>35117.625</v>
      </c>
      <c r="H496" s="45" t="str">
        <f ca="1">IFERROR(__xludf.DUMMYFUNCTION("""COMPUTED_VALUE"""),"MATTE")</f>
        <v>MATTE</v>
      </c>
      <c r="I496" s="46" t="str">
        <f ca="1">IFERROR(__xludf.DUMMYFUNCTION("""COMPUTED_VALUE"""),"HO")</f>
        <v>HO</v>
      </c>
      <c r="J496" s="46" t="str">
        <f ca="1">IFERROR(__xludf.DUMMYFUNCTION("""COMPUTED_VALUE"""),"OPS")</f>
        <v>OPS</v>
      </c>
      <c r="K496" s="46" t="str">
        <f ca="1">IFERROR(__xludf.DUMMYFUNCTION("""COMPUTED_VALUE"""),"OPS")</f>
        <v>OPS</v>
      </c>
      <c r="L496" s="46" t="str">
        <f ca="1">IFERROR(__xludf.DUMMYFUNCTION("""COMPUTED_VALUE"""),"FTE")</f>
        <v>FTE</v>
      </c>
      <c r="M496" s="46" t="str">
        <f ca="1">IFERROR(__xludf.DUMMYFUNCTION("""COMPUTED_VALUE"""),"On")</f>
        <v>On</v>
      </c>
      <c r="N496" s="46" t="str">
        <f ca="1">IFERROR(__xludf.DUMMYFUNCTION("""COMPUTED_VALUE"""),"đủ")</f>
        <v>đủ</v>
      </c>
    </row>
    <row r="497" spans="1:14">
      <c r="A497" s="45">
        <f ca="1">IFERROR(__xludf.DUMMYFUNCTION("""COMPUTED_VALUE"""),45393.5833333333)</f>
        <v>45393.583333333299</v>
      </c>
      <c r="B497" s="45">
        <f ca="1">IFERROR(__xludf.DUMMYFUNCTION("""COMPUTED_VALUE"""),45748.5833333333)</f>
        <v>45748.583333333299</v>
      </c>
      <c r="C497" s="46">
        <f ca="1">IFERROR(__xludf.DUMMYFUNCTION("""COMPUTED_VALUE"""),498)</f>
        <v>498</v>
      </c>
      <c r="D497" s="47" t="str">
        <f ca="1">IFERROR(__xludf.DUMMYFUNCTION("""COMPUTED_VALUE"""),"C0254")</f>
        <v>C0254</v>
      </c>
      <c r="E497" s="46" t="str">
        <f ca="1">IFERROR(__xludf.DUMMYFUNCTION("""COMPUTED_VALUE"""),"NGUYỄN THỊ NGỌC MINH")</f>
        <v>NGUYỄN THỊ NGỌC MINH</v>
      </c>
      <c r="F497" s="46" t="str">
        <f ca="1">IFERROR(__xludf.DUMMYFUNCTION("""COMPUTED_VALUE"""),"NGUYEN THI NGOC MINH")</f>
        <v>NGUYEN THI NGOC MINH</v>
      </c>
      <c r="G497" s="45">
        <f ca="1">IFERROR(__xludf.DUMMYFUNCTION("""COMPUTED_VALUE"""),36252.625)</f>
        <v>36252.625</v>
      </c>
      <c r="H497" s="45" t="str">
        <f ca="1">IFERROR(__xludf.DUMMYFUNCTION("""COMPUTED_VALUE"""),"MATTE")</f>
        <v>MATTE</v>
      </c>
      <c r="I497" s="46" t="str">
        <f ca="1">IFERROR(__xludf.DUMMYFUNCTION("""COMPUTED_VALUE"""),"STORE")</f>
        <v>STORE</v>
      </c>
      <c r="J497" s="46" t="str">
        <f ca="1">IFERROR(__xludf.DUMMYFUNCTION("""COMPUTED_VALUE"""),"MATTE D7")</f>
        <v>MATTE D7</v>
      </c>
      <c r="K497" s="46" t="str">
        <f ca="1">IFERROR(__xludf.DUMMYFUNCTION("""COMPUTED_VALUE"""),"BAR")</f>
        <v>BAR</v>
      </c>
      <c r="L497" s="46" t="str">
        <f ca="1">IFERROR(__xludf.DUMMYFUNCTION("""COMPUTED_VALUE"""),"FTE")</f>
        <v>FTE</v>
      </c>
      <c r="M497" s="46" t="str">
        <f ca="1">IFERROR(__xludf.DUMMYFUNCTION("""COMPUTED_VALUE"""),"Leave")</f>
        <v>Leave</v>
      </c>
      <c r="N497" s="46" t="str">
        <f ca="1">IFERROR(__xludf.DUMMYFUNCTION("""COMPUTED_VALUE"""),"đủ")</f>
        <v>đủ</v>
      </c>
    </row>
    <row r="498" spans="1:14">
      <c r="A498" s="45">
        <f ca="1">IFERROR(__xludf.DUMMYFUNCTION("""COMPUTED_VALUE"""),45394.5833333333)</f>
        <v>45394.583333333299</v>
      </c>
      <c r="B498" s="45">
        <f ca="1">IFERROR(__xludf.DUMMYFUNCTION("""COMPUTED_VALUE"""),45444.5833333333)</f>
        <v>45444.583333333299</v>
      </c>
      <c r="C498" s="46">
        <f ca="1">IFERROR(__xludf.DUMMYFUNCTION("""COMPUTED_VALUE"""),499)</f>
        <v>499</v>
      </c>
      <c r="D498" s="47" t="str">
        <f ca="1">IFERROR(__xludf.DUMMYFUNCTION("""COMPUTED_VALUE"""),"C0255")</f>
        <v>C0255</v>
      </c>
      <c r="E498" s="46" t="str">
        <f ca="1">IFERROR(__xludf.DUMMYFUNCTION("""COMPUTED_VALUE"""),"VÕ HÀ GIANG")</f>
        <v>VÕ HÀ GIANG</v>
      </c>
      <c r="F498" s="46" t="str">
        <f ca="1">IFERROR(__xludf.DUMMYFUNCTION("""COMPUTED_VALUE"""),"VO HA GIANG")</f>
        <v>VO HA GIANG</v>
      </c>
      <c r="G498" s="45">
        <f ca="1">IFERROR(__xludf.DUMMYFUNCTION("""COMPUTED_VALUE"""),37781.5833333333)</f>
        <v>37781.583333333299</v>
      </c>
      <c r="H498" s="45" t="str">
        <f ca="1">IFERROR(__xludf.DUMMYFUNCTION("""COMPUTED_VALUE"""),"MATTE")</f>
        <v>MATTE</v>
      </c>
      <c r="I498" s="46" t="str">
        <f ca="1">IFERROR(__xludf.DUMMYFUNCTION("""COMPUTED_VALUE"""),"STORE")</f>
        <v>STORE</v>
      </c>
      <c r="J498" s="46" t="str">
        <f ca="1">IFERROR(__xludf.DUMMYFUNCTION("""COMPUTED_VALUE"""),"MATTE D7")</f>
        <v>MATTE D7</v>
      </c>
      <c r="K498" s="46" t="str">
        <f ca="1">IFERROR(__xludf.DUMMYFUNCTION("""COMPUTED_VALUE"""),"STR")</f>
        <v>STR</v>
      </c>
      <c r="L498" s="46" t="str">
        <f ca="1">IFERROR(__xludf.DUMMYFUNCTION("""COMPUTED_VALUE"""),"PTE")</f>
        <v>PTE</v>
      </c>
      <c r="M498" s="46" t="str">
        <f ca="1">IFERROR(__xludf.DUMMYFUNCTION("""COMPUTED_VALUE"""),"Leave")</f>
        <v>Leave</v>
      </c>
      <c r="N498" s="46" t="str">
        <f ca="1">IFERROR(__xludf.DUMMYFUNCTION("""COMPUTED_VALUE"""),"x")</f>
        <v>x</v>
      </c>
    </row>
    <row r="499" spans="1:14">
      <c r="A499" s="45">
        <f ca="1">IFERROR(__xludf.DUMMYFUNCTION("""COMPUTED_VALUE"""),45395.5833333333)</f>
        <v>45395.583333333299</v>
      </c>
      <c r="B499" s="45">
        <f ca="1">IFERROR(__xludf.DUMMYFUNCTION("""COMPUTED_VALUE"""),45763.5833333333)</f>
        <v>45763.583333333299</v>
      </c>
      <c r="C499" s="46">
        <f ca="1">IFERROR(__xludf.DUMMYFUNCTION("""COMPUTED_VALUE"""),500)</f>
        <v>500</v>
      </c>
      <c r="D499" s="47" t="str">
        <f ca="1">IFERROR(__xludf.DUMMYFUNCTION("""COMPUTED_VALUE"""),"C0256")</f>
        <v>C0256</v>
      </c>
      <c r="E499" s="46" t="str">
        <f ca="1">IFERROR(__xludf.DUMMYFUNCTION("""COMPUTED_VALUE"""),"PHẠM NGUYỄN HUY HOÀNG")</f>
        <v>PHẠM NGUYỄN HUY HOÀNG</v>
      </c>
      <c r="F499" s="46" t="str">
        <f ca="1">IFERROR(__xludf.DUMMYFUNCTION("""COMPUTED_VALUE"""),"PHAM NGUYEN HUY HOANG")</f>
        <v>PHAM NGUYEN HUY HOANG</v>
      </c>
      <c r="G499" s="45">
        <f ca="1">IFERROR(__xludf.DUMMYFUNCTION("""COMPUTED_VALUE"""),36577.625)</f>
        <v>36577.625</v>
      </c>
      <c r="H499" s="45" t="str">
        <f ca="1">IFERROR(__xludf.DUMMYFUNCTION("""COMPUTED_VALUE"""),"BAKES")</f>
        <v>BAKES</v>
      </c>
      <c r="I499" s="46" t="str">
        <f ca="1">IFERROR(__xludf.DUMMYFUNCTION("""COMPUTED_VALUE"""),"STORE")</f>
        <v>STORE</v>
      </c>
      <c r="J499" s="46" t="str">
        <f ca="1">IFERROR(__xludf.DUMMYFUNCTION("""COMPUTED_VALUE"""),"BAKES D2")</f>
        <v>BAKES D2</v>
      </c>
      <c r="K499" s="46" t="str">
        <f ca="1">IFERROR(__xludf.DUMMYFUNCTION("""COMPUTED_VALUE"""),"BAR")</f>
        <v>BAR</v>
      </c>
      <c r="L499" s="46" t="str">
        <f ca="1">IFERROR(__xludf.DUMMYFUNCTION("""COMPUTED_VALUE"""),"PTE")</f>
        <v>PTE</v>
      </c>
      <c r="M499" s="46" t="str">
        <f ca="1">IFERROR(__xludf.DUMMYFUNCTION("""COMPUTED_VALUE"""),"Leave")</f>
        <v>Leave</v>
      </c>
      <c r="N499" s="46" t="str">
        <f ca="1">IFERROR(__xludf.DUMMYFUNCTION("""COMPUTED_VALUE"""),"x")</f>
        <v>x</v>
      </c>
    </row>
    <row r="500" spans="1:14">
      <c r="A500" s="45">
        <f ca="1">IFERROR(__xludf.DUMMYFUNCTION("""COMPUTED_VALUE"""),45401.5833333333)</f>
        <v>45401.583333333299</v>
      </c>
      <c r="B500" s="45">
        <f ca="1">IFERROR(__xludf.DUMMYFUNCTION("""COMPUTED_VALUE"""),45417.5833333333)</f>
        <v>45417.583333333299</v>
      </c>
      <c r="C500" s="46">
        <f ca="1">IFERROR(__xludf.DUMMYFUNCTION("""COMPUTED_VALUE"""),501)</f>
        <v>501</v>
      </c>
      <c r="D500" s="47" t="str">
        <f ca="1">IFERROR(__xludf.DUMMYFUNCTION("""COMPUTED_VALUE"""),"C0257")</f>
        <v>C0257</v>
      </c>
      <c r="E500" s="46" t="str">
        <f ca="1">IFERROR(__xludf.DUMMYFUNCTION("""COMPUTED_VALUE"""),"PHẠM THỊ ANH")</f>
        <v>PHẠM THỊ ANH</v>
      </c>
      <c r="F500" s="46" t="str">
        <f ca="1">IFERROR(__xludf.DUMMYFUNCTION("""COMPUTED_VALUE"""),"PHAM THI ANH")</f>
        <v>PHAM THI ANH</v>
      </c>
      <c r="G500" s="45">
        <f ca="1">IFERROR(__xludf.DUMMYFUNCTION("""COMPUTED_VALUE"""),37832.5833333333)</f>
        <v>37832.583333333299</v>
      </c>
      <c r="H500" s="45" t="str">
        <f ca="1">IFERROR(__xludf.DUMMYFUNCTION("""COMPUTED_VALUE"""),"SHADOW")</f>
        <v>SHADOW</v>
      </c>
      <c r="I500" s="46" t="str">
        <f ca="1">IFERROR(__xludf.DUMMYFUNCTION("""COMPUTED_VALUE"""),"STORE")</f>
        <v>STORE</v>
      </c>
      <c r="J500" s="46" t="str">
        <f ca="1">IFERROR(__xludf.DUMMYFUNCTION("""COMPUTED_VALUE"""),"BAKES PASTEUR")</f>
        <v>BAKES PASTEUR</v>
      </c>
      <c r="K500" s="46" t="str">
        <f ca="1">IFERROR(__xludf.DUMMYFUNCTION("""COMPUTED_VALUE"""),"STR")</f>
        <v>STR</v>
      </c>
      <c r="L500" s="46" t="str">
        <f ca="1">IFERROR(__xludf.DUMMYFUNCTION("""COMPUTED_VALUE"""),"PTE")</f>
        <v>PTE</v>
      </c>
      <c r="M500" s="46" t="str">
        <f ca="1">IFERROR(__xludf.DUMMYFUNCTION("""COMPUTED_VALUE"""),"Leave")</f>
        <v>Leave</v>
      </c>
      <c r="N500" s="46" t="str">
        <f ca="1">IFERROR(__xludf.DUMMYFUNCTION("""COMPUTED_VALUE"""),"x")</f>
        <v>x</v>
      </c>
    </row>
    <row r="501" spans="1:14">
      <c r="A501" s="45">
        <f ca="1">IFERROR(__xludf.DUMMYFUNCTION("""COMPUTED_VALUE"""),45406.5833333333)</f>
        <v>45406.583333333299</v>
      </c>
      <c r="B501" s="45">
        <f ca="1">IFERROR(__xludf.DUMMYFUNCTION("""COMPUTED_VALUE"""),45420.5833333333)</f>
        <v>45420.583333333299</v>
      </c>
      <c r="C501" s="46">
        <f ca="1">IFERROR(__xludf.DUMMYFUNCTION("""COMPUTED_VALUE"""),502)</f>
        <v>502</v>
      </c>
      <c r="D501" s="47" t="str">
        <f ca="1">IFERROR(__xludf.DUMMYFUNCTION("""COMPUTED_VALUE"""),"C0258")</f>
        <v>C0258</v>
      </c>
      <c r="E501" s="46" t="str">
        <f ca="1">IFERROR(__xludf.DUMMYFUNCTION("""COMPUTED_VALUE"""),"NGÔ THIÊN PHÚC")</f>
        <v>NGÔ THIÊN PHÚC</v>
      </c>
      <c r="F501" s="46" t="str">
        <f ca="1">IFERROR(__xludf.DUMMYFUNCTION("""COMPUTED_VALUE"""),"NGO THIEN PHUC")</f>
        <v>NGO THIEN PHUC</v>
      </c>
      <c r="G501" s="45">
        <f ca="1">IFERROR(__xludf.DUMMYFUNCTION("""COMPUTED_VALUE"""),33878.5833333333)</f>
        <v>33878.583333333299</v>
      </c>
      <c r="H501" s="45" t="str">
        <f ca="1">IFERROR(__xludf.DUMMYFUNCTION("""COMPUTED_VALUE"""),"MATTE")</f>
        <v>MATTE</v>
      </c>
      <c r="I501" s="46" t="str">
        <f ca="1">IFERROR(__xludf.DUMMYFUNCTION("""COMPUTED_VALUE"""),"STORE")</f>
        <v>STORE</v>
      </c>
      <c r="J501" s="46" t="str">
        <f ca="1">IFERROR(__xludf.DUMMYFUNCTION("""COMPUTED_VALUE"""),"MATTE D7")</f>
        <v>MATTE D7</v>
      </c>
      <c r="K501" s="46" t="str">
        <f ca="1">IFERROR(__xludf.DUMMYFUNCTION("""COMPUTED_VALUE"""),"STR")</f>
        <v>STR</v>
      </c>
      <c r="L501" s="46" t="str">
        <f ca="1">IFERROR(__xludf.DUMMYFUNCTION("""COMPUTED_VALUE"""),"PRO")</f>
        <v>PRO</v>
      </c>
      <c r="M501" s="46" t="str">
        <f ca="1">IFERROR(__xludf.DUMMYFUNCTION("""COMPUTED_VALUE"""),"Leave")</f>
        <v>Leave</v>
      </c>
      <c r="N501" s="46" t="str">
        <f ca="1">IFERROR(__xludf.DUMMYFUNCTION("""COMPUTED_VALUE"""),"x")</f>
        <v>x</v>
      </c>
    </row>
    <row r="502" spans="1:14">
      <c r="A502" s="45">
        <f ca="1">IFERROR(__xludf.DUMMYFUNCTION("""COMPUTED_VALUE"""),45414.5833333333)</f>
        <v>45414.583333333299</v>
      </c>
      <c r="B502" s="45">
        <f ca="1">IFERROR(__xludf.DUMMYFUNCTION("""COMPUTED_VALUE"""),45577.5833333333)</f>
        <v>45577.583333333299</v>
      </c>
      <c r="C502" s="46">
        <f ca="1">IFERROR(__xludf.DUMMYFUNCTION("""COMPUTED_VALUE"""),503)</f>
        <v>503</v>
      </c>
      <c r="D502" s="47" t="str">
        <f ca="1">IFERROR(__xludf.DUMMYFUNCTION("""COMPUTED_VALUE"""),"C0259")</f>
        <v>C0259</v>
      </c>
      <c r="E502" s="46" t="str">
        <f ca="1">IFERROR(__xludf.DUMMYFUNCTION("""COMPUTED_VALUE"""),"QUANG NGUYỄN NGỌC PHÚ")</f>
        <v>QUANG NGUYỄN NGỌC PHÚ</v>
      </c>
      <c r="F502" s="46" t="str">
        <f ca="1">IFERROR(__xludf.DUMMYFUNCTION("""COMPUTED_VALUE"""),"QUANG NGUYEN NGOC PHU")</f>
        <v>QUANG NGUYEN NGOC PHU</v>
      </c>
      <c r="G502" s="45">
        <f ca="1">IFERROR(__xludf.DUMMYFUNCTION("""COMPUTED_VALUE"""),35376.625)</f>
        <v>35376.625</v>
      </c>
      <c r="H502" s="45" t="str">
        <f ca="1">IFERROR(__xludf.DUMMYFUNCTION("""COMPUTED_VALUE"""),"SHADOW")</f>
        <v>SHADOW</v>
      </c>
      <c r="I502" s="46" t="str">
        <f ca="1">IFERROR(__xludf.DUMMYFUNCTION("""COMPUTED_VALUE"""),"STORE")</f>
        <v>STORE</v>
      </c>
      <c r="J502" s="46" t="str">
        <f ca="1">IFERROR(__xludf.DUMMYFUNCTION("""COMPUTED_VALUE"""),"BAKES PASTEUR")</f>
        <v>BAKES PASTEUR</v>
      </c>
      <c r="K502" s="46" t="str">
        <f ca="1">IFERROR(__xludf.DUMMYFUNCTION("""COMPUTED_VALUE"""),"BAR")</f>
        <v>BAR</v>
      </c>
      <c r="L502" s="46" t="str">
        <f ca="1">IFERROR(__xludf.DUMMYFUNCTION("""COMPUTED_VALUE"""),"PTE")</f>
        <v>PTE</v>
      </c>
      <c r="M502" s="46" t="str">
        <f ca="1">IFERROR(__xludf.DUMMYFUNCTION("""COMPUTED_VALUE"""),"Leave")</f>
        <v>Leave</v>
      </c>
      <c r="N502" s="46" t="str">
        <f ca="1">IFERROR(__xludf.DUMMYFUNCTION("""COMPUTED_VALUE"""),"x")</f>
        <v>x</v>
      </c>
    </row>
    <row r="503" spans="1:14">
      <c r="A503" s="45">
        <f ca="1">IFERROR(__xludf.DUMMYFUNCTION("""COMPUTED_VALUE"""),45411.5833333333)</f>
        <v>45411.583333333299</v>
      </c>
      <c r="B503" s="45">
        <f ca="1">IFERROR(__xludf.DUMMYFUNCTION("""COMPUTED_VALUE"""),46031.625)</f>
        <v>46031.625</v>
      </c>
      <c r="C503" s="46">
        <f ca="1">IFERROR(__xludf.DUMMYFUNCTION("""COMPUTED_VALUE"""),504)</f>
        <v>504</v>
      </c>
      <c r="D503" s="47" t="str">
        <f ca="1">IFERROR(__xludf.DUMMYFUNCTION("""COMPUTED_VALUE"""),"C0260")</f>
        <v>C0260</v>
      </c>
      <c r="E503" s="46" t="str">
        <f ca="1">IFERROR(__xludf.DUMMYFUNCTION("""COMPUTED_VALUE"""),"VÕ THỊ HỒNG ĐÀO")</f>
        <v>VÕ THỊ HỒNG ĐÀO</v>
      </c>
      <c r="F503" s="46" t="str">
        <f ca="1">IFERROR(__xludf.DUMMYFUNCTION("""COMPUTED_VALUE"""),"VO THI HONG DAO")</f>
        <v>VO THI HONG DAO</v>
      </c>
      <c r="G503" s="45">
        <f ca="1">IFERROR(__xludf.DUMMYFUNCTION("""COMPUTED_VALUE"""),37014.5833333333)</f>
        <v>37014.583333333299</v>
      </c>
      <c r="H503" s="45" t="str">
        <f ca="1">IFERROR(__xludf.DUMMYFUNCTION("""COMPUTED_VALUE"""),"BAKES")</f>
        <v>BAKES</v>
      </c>
      <c r="I503" s="46" t="str">
        <f ca="1">IFERROR(__xludf.DUMMYFUNCTION("""COMPUTED_VALUE"""),"STORE")</f>
        <v>STORE</v>
      </c>
      <c r="J503" s="46" t="str">
        <f ca="1">IFERROR(__xludf.DUMMYFUNCTION("""COMPUTED_VALUE"""),"BAKES D2")</f>
        <v>BAKES D2</v>
      </c>
      <c r="K503" s="46" t="str">
        <f ca="1">IFERROR(__xludf.DUMMYFUNCTION("""COMPUTED_VALUE"""),"CASHIER")</f>
        <v>CASHIER</v>
      </c>
      <c r="L503" s="46" t="str">
        <f ca="1">IFERROR(__xludf.DUMMYFUNCTION("""COMPUTED_VALUE"""),"FTE")</f>
        <v>FTE</v>
      </c>
      <c r="M503" s="46" t="str">
        <f ca="1">IFERROR(__xludf.DUMMYFUNCTION("""COMPUTED_VALUE"""),"Leave")</f>
        <v>Leave</v>
      </c>
      <c r="N503" s="46" t="str">
        <f ca="1">IFERROR(__xludf.DUMMYFUNCTION("""COMPUTED_VALUE"""),"đủ")</f>
        <v>đủ</v>
      </c>
    </row>
    <row r="504" spans="1:14">
      <c r="A504" s="45">
        <f ca="1">IFERROR(__xludf.DUMMYFUNCTION("""COMPUTED_VALUE"""),45409.5833333333)</f>
        <v>45409.583333333299</v>
      </c>
      <c r="B504" s="45">
        <f ca="1">IFERROR(__xludf.DUMMYFUNCTION("""COMPUTED_VALUE"""),46194.5833333333)</f>
        <v>46194.583333333299</v>
      </c>
      <c r="C504" s="46">
        <f ca="1">IFERROR(__xludf.DUMMYFUNCTION("""COMPUTED_VALUE"""),505)</f>
        <v>505</v>
      </c>
      <c r="D504" s="47" t="str">
        <f ca="1">IFERROR(__xludf.DUMMYFUNCTION("""COMPUTED_VALUE"""),"C0261")</f>
        <v>C0261</v>
      </c>
      <c r="E504" s="46" t="str">
        <f ca="1">IFERROR(__xludf.DUMMYFUNCTION("""COMPUTED_VALUE"""),"NGUYỄN ĐỨC HẬU")</f>
        <v>NGUYỄN ĐỨC HẬU</v>
      </c>
      <c r="F504" s="46" t="str">
        <f ca="1">IFERROR(__xludf.DUMMYFUNCTION("""COMPUTED_VALUE"""),"NGUYEN DUC HAU")</f>
        <v>NGUYEN DUC HAU</v>
      </c>
      <c r="G504" s="45">
        <f ca="1">IFERROR(__xludf.DUMMYFUNCTION("""COMPUTED_VALUE"""),35954.5833333333)</f>
        <v>35954.583333333299</v>
      </c>
      <c r="H504" s="45" t="str">
        <f ca="1">IFERROR(__xludf.DUMMYFUNCTION("""COMPUTED_VALUE"""),"MATTE")</f>
        <v>MATTE</v>
      </c>
      <c r="I504" s="46" t="str">
        <f ca="1">IFERROR(__xludf.DUMMYFUNCTION("""COMPUTED_VALUE"""),"STORE")</f>
        <v>STORE</v>
      </c>
      <c r="J504" s="46" t="str">
        <f ca="1">IFERROR(__xludf.DUMMYFUNCTION("""COMPUTED_VALUE"""),"MATTE D7")</f>
        <v>MATTE D7</v>
      </c>
      <c r="K504" s="46" t="str">
        <f ca="1">IFERROR(__xludf.DUMMYFUNCTION("""COMPUTED_VALUE"""),"BAR")</f>
        <v>BAR</v>
      </c>
      <c r="L504" s="46" t="str">
        <f ca="1">IFERROR(__xludf.DUMMYFUNCTION("""COMPUTED_VALUE"""),"FTE")</f>
        <v>FTE</v>
      </c>
      <c r="M504" s="46" t="str">
        <f ca="1">IFERROR(__xludf.DUMMYFUNCTION("""COMPUTED_VALUE"""),"Leave")</f>
        <v>Leave</v>
      </c>
      <c r="N504" s="46" t="str">
        <f ca="1">IFERROR(__xludf.DUMMYFUNCTION("""COMPUTED_VALUE"""),"đủ")</f>
        <v>đủ</v>
      </c>
    </row>
    <row r="505" spans="1:14">
      <c r="A505" s="45">
        <f ca="1">IFERROR(__xludf.DUMMYFUNCTION("""COMPUTED_VALUE"""),45383.5833333333)</f>
        <v>45383.583333333299</v>
      </c>
      <c r="B505" s="45">
        <f ca="1">IFERROR(__xludf.DUMMYFUNCTION("""COMPUTED_VALUE"""),45870.5833333333)</f>
        <v>45870.583333333299</v>
      </c>
      <c r="C505" s="46">
        <f ca="1">IFERROR(__xludf.DUMMYFUNCTION("""COMPUTED_VALUE"""),506)</f>
        <v>506</v>
      </c>
      <c r="D505" s="47" t="str">
        <f ca="1">IFERROR(__xludf.DUMMYFUNCTION("""COMPUTED_VALUE"""),"C0262")</f>
        <v>C0262</v>
      </c>
      <c r="E505" s="46" t="str">
        <f ca="1">IFERROR(__xludf.DUMMYFUNCTION("""COMPUTED_VALUE"""),"VAN MANEN ANAIS CA DAO")</f>
        <v>VAN MANEN ANAIS CA DAO</v>
      </c>
      <c r="F505" s="46" t="str">
        <f ca="1">IFERROR(__xludf.DUMMYFUNCTION("""COMPUTED_VALUE"""),"VAN MANEN ANAIS CA DAO")</f>
        <v>VAN MANEN ANAIS CA DAO</v>
      </c>
      <c r="G505" s="45">
        <f ca="1">IFERROR(__xludf.DUMMYFUNCTION("""COMPUTED_VALUE"""),33522.5833333333)</f>
        <v>33522.583333333299</v>
      </c>
      <c r="H505" s="45" t="str">
        <f ca="1">IFERROR(__xludf.DUMMYFUNCTION("""COMPUTED_VALUE"""),"YESHI")</f>
        <v>YESHI</v>
      </c>
      <c r="I505" s="46" t="str">
        <f ca="1">IFERROR(__xludf.DUMMYFUNCTION("""COMPUTED_VALUE"""),"STORE")</f>
        <v>STORE</v>
      </c>
      <c r="J505" s="46" t="str">
        <f ca="1">IFERROR(__xludf.DUMMYFUNCTION("""COMPUTED_VALUE"""),"YESHI D2")</f>
        <v>YESHI D2</v>
      </c>
      <c r="K505" s="46" t="str">
        <f ca="1">IFERROR(__xludf.DUMMYFUNCTION("""COMPUTED_VALUE"""),"Management team")</f>
        <v>Management team</v>
      </c>
      <c r="L505" s="46" t="str">
        <f ca="1">IFERROR(__xludf.DUMMYFUNCTION("""COMPUTED_VALUE"""),"SER")</f>
        <v>SER</v>
      </c>
      <c r="M505" s="46" t="str">
        <f ca="1">IFERROR(__xludf.DUMMYFUNCTION("""COMPUTED_VALUE"""),"Leave")</f>
        <v>Leave</v>
      </c>
      <c r="N505" s="46" t="str">
        <f ca="1">IFERROR(__xludf.DUMMYFUNCTION("""COMPUTED_VALUE"""),"x")</f>
        <v>x</v>
      </c>
    </row>
    <row r="506" spans="1:14">
      <c r="A506" s="45">
        <f ca="1">IFERROR(__xludf.DUMMYFUNCTION("""COMPUTED_VALUE"""),45870.5833333333)</f>
        <v>45870.583333333299</v>
      </c>
      <c r="B506" s="45"/>
      <c r="C506" s="46">
        <f ca="1">IFERROR(__xludf.DUMMYFUNCTION("""COMPUTED_VALUE"""),507)</f>
        <v>507</v>
      </c>
      <c r="D506" s="47" t="str">
        <f ca="1">IFERROR(__xludf.DUMMYFUNCTION("""COMPUTED_VALUE"""),"C0262X")</f>
        <v>C0262X</v>
      </c>
      <c r="E506" s="46" t="str">
        <f ca="1">IFERROR(__xludf.DUMMYFUNCTION("""COMPUTED_VALUE"""),"VAN MANEN ANAIS CA DAO")</f>
        <v>VAN MANEN ANAIS CA DAO</v>
      </c>
      <c r="F506" s="46" t="str">
        <f ca="1">IFERROR(__xludf.DUMMYFUNCTION("""COMPUTED_VALUE"""),"VAN MANEN ANAIS CA DAO")</f>
        <v>VAN MANEN ANAIS CA DAO</v>
      </c>
      <c r="G506" s="45">
        <f ca="1">IFERROR(__xludf.DUMMYFUNCTION("""COMPUTED_VALUE"""),33522.5833333333)</f>
        <v>33522.583333333299</v>
      </c>
      <c r="H506" s="45" t="str">
        <f ca="1">IFERROR(__xludf.DUMMYFUNCTION("""COMPUTED_VALUE"""),"YESHI")</f>
        <v>YESHI</v>
      </c>
      <c r="I506" s="46" t="str">
        <f ca="1">IFERROR(__xludf.DUMMYFUNCTION("""COMPUTED_VALUE"""),"HO")</f>
        <v>HO</v>
      </c>
      <c r="J506" s="46" t="str">
        <f ca="1">IFERROR(__xludf.DUMMYFUNCTION("""COMPUTED_VALUE"""),"BOD")</f>
        <v>BOD</v>
      </c>
      <c r="K506" s="46" t="str">
        <f ca="1">IFERROR(__xludf.DUMMYFUNCTION("""COMPUTED_VALUE"""),"BOD")</f>
        <v>BOD</v>
      </c>
      <c r="L506" s="46" t="str">
        <f ca="1">IFERROR(__xludf.DUMMYFUNCTION("""COMPUTED_VALUE"""),"SER")</f>
        <v>SER</v>
      </c>
      <c r="M506" s="46" t="str">
        <f ca="1">IFERROR(__xludf.DUMMYFUNCTION("""COMPUTED_VALUE"""),"On")</f>
        <v>On</v>
      </c>
      <c r="N506" s="46" t="str">
        <f ca="1">IFERROR(__xludf.DUMMYFUNCTION("""COMPUTED_VALUE"""),"đủ")</f>
        <v>đủ</v>
      </c>
    </row>
    <row r="507" spans="1:14">
      <c r="A507" s="45">
        <f ca="1">IFERROR(__xludf.DUMMYFUNCTION("""COMPUTED_VALUE"""),45406.5833333333)</f>
        <v>45406.583333333299</v>
      </c>
      <c r="B507" s="45">
        <f ca="1">IFERROR(__xludf.DUMMYFUNCTION("""COMPUTED_VALUE"""),45421.5833333333)</f>
        <v>45421.583333333299</v>
      </c>
      <c r="C507" s="46">
        <f ca="1">IFERROR(__xludf.DUMMYFUNCTION("""COMPUTED_VALUE"""),508)</f>
        <v>508</v>
      </c>
      <c r="D507" s="47" t="str">
        <f ca="1">IFERROR(__xludf.DUMMYFUNCTION("""COMPUTED_VALUE"""),"C0263")</f>
        <v>C0263</v>
      </c>
      <c r="E507" s="46" t="str">
        <f ca="1">IFERROR(__xludf.DUMMYFUNCTION("""COMPUTED_VALUE"""),"NGUYỄN THỊ BẢO HÂN")</f>
        <v>NGUYỄN THỊ BẢO HÂN</v>
      </c>
      <c r="F507" s="46" t="str">
        <f ca="1">IFERROR(__xludf.DUMMYFUNCTION("""COMPUTED_VALUE"""),"NGUYEN THI BAO HAN")</f>
        <v>NGUYEN THI BAO HAN</v>
      </c>
      <c r="G507" s="45">
        <f ca="1">IFERROR(__xludf.DUMMYFUNCTION("""COMPUTED_VALUE"""),36217.625)</f>
        <v>36217.625</v>
      </c>
      <c r="H507" s="45" t="str">
        <f ca="1">IFERROR(__xludf.DUMMYFUNCTION("""COMPUTED_VALUE"""),"TLC")</f>
        <v>TLC</v>
      </c>
      <c r="I507" s="46" t="str">
        <f ca="1">IFERROR(__xludf.DUMMYFUNCTION("""COMPUTED_VALUE"""),"HO")</f>
        <v>HO</v>
      </c>
      <c r="J507" s="46" t="str">
        <f ca="1">IFERROR(__xludf.DUMMYFUNCTION("""COMPUTED_VALUE"""),"R&amp;D")</f>
        <v>R&amp;D</v>
      </c>
      <c r="K507" s="46" t="str">
        <f ca="1">IFERROR(__xludf.DUMMYFUNCTION("""COMPUTED_VALUE"""),"R&amp;D")</f>
        <v>R&amp;D</v>
      </c>
      <c r="L507" s="46" t="str">
        <f ca="1">IFERROR(__xludf.DUMMYFUNCTION("""COMPUTED_VALUE"""),"PRO")</f>
        <v>PRO</v>
      </c>
      <c r="M507" s="46" t="str">
        <f ca="1">IFERROR(__xludf.DUMMYFUNCTION("""COMPUTED_VALUE"""),"Leave")</f>
        <v>Leave</v>
      </c>
      <c r="N507" s="46" t="str">
        <f ca="1">IFERROR(__xludf.DUMMYFUNCTION("""COMPUTED_VALUE"""),"x")</f>
        <v>x</v>
      </c>
    </row>
    <row r="508" spans="1:14">
      <c r="A508" s="45">
        <f ca="1">IFERROR(__xludf.DUMMYFUNCTION("""COMPUTED_VALUE"""),45414.5833333333)</f>
        <v>45414.583333333299</v>
      </c>
      <c r="B508" s="45">
        <f ca="1">IFERROR(__xludf.DUMMYFUNCTION("""COMPUTED_VALUE"""),45444.5833333333)</f>
        <v>45444.583333333299</v>
      </c>
      <c r="C508" s="46">
        <f ca="1">IFERROR(__xludf.DUMMYFUNCTION("""COMPUTED_VALUE"""),509)</f>
        <v>509</v>
      </c>
      <c r="D508" s="47" t="str">
        <f ca="1">IFERROR(__xludf.DUMMYFUNCTION("""COMPUTED_VALUE"""),"C0264")</f>
        <v>C0264</v>
      </c>
      <c r="E508" s="46" t="str">
        <f ca="1">IFERROR(__xludf.DUMMYFUNCTION("""COMPUTED_VALUE"""),"TRẦN PHẠM TRƯỜNG THỊNH")</f>
        <v>TRẦN PHẠM TRƯỜNG THỊNH</v>
      </c>
      <c r="F508" s="46" t="str">
        <f ca="1">IFERROR(__xludf.DUMMYFUNCTION("""COMPUTED_VALUE"""),"TRAN PHAM TRUONG THINH")</f>
        <v>TRAN PHAM TRUONG THINH</v>
      </c>
      <c r="G508" s="45">
        <f ca="1">IFERROR(__xludf.DUMMYFUNCTION("""COMPUTED_VALUE"""),37769.5833333333)</f>
        <v>37769.583333333299</v>
      </c>
      <c r="H508" s="45" t="str">
        <f ca="1">IFERROR(__xludf.DUMMYFUNCTION("""COMPUTED_VALUE"""),"SHADOW")</f>
        <v>SHADOW</v>
      </c>
      <c r="I508" s="46" t="str">
        <f ca="1">IFERROR(__xludf.DUMMYFUNCTION("""COMPUTED_VALUE"""),"STORE")</f>
        <v>STORE</v>
      </c>
      <c r="J508" s="46" t="str">
        <f ca="1">IFERROR(__xludf.DUMMYFUNCTION("""COMPUTED_VALUE"""),"BAKES PASTEUR")</f>
        <v>BAKES PASTEUR</v>
      </c>
      <c r="K508" s="46" t="str">
        <f ca="1">IFERROR(__xludf.DUMMYFUNCTION("""COMPUTED_VALUE"""),"STR")</f>
        <v>STR</v>
      </c>
      <c r="L508" s="46" t="str">
        <f ca="1">IFERROR(__xludf.DUMMYFUNCTION("""COMPUTED_VALUE"""),"PTE")</f>
        <v>PTE</v>
      </c>
      <c r="M508" s="46" t="str">
        <f ca="1">IFERROR(__xludf.DUMMYFUNCTION("""COMPUTED_VALUE"""),"Leave")</f>
        <v>Leave</v>
      </c>
      <c r="N508" s="46" t="str">
        <f ca="1">IFERROR(__xludf.DUMMYFUNCTION("""COMPUTED_VALUE"""),"x")</f>
        <v>x</v>
      </c>
    </row>
    <row r="509" spans="1:14">
      <c r="A509" s="45">
        <f ca="1">IFERROR(__xludf.DUMMYFUNCTION("""COMPUTED_VALUE"""),45414.5833333333)</f>
        <v>45414.583333333299</v>
      </c>
      <c r="B509" s="45">
        <f ca="1">IFERROR(__xludf.DUMMYFUNCTION("""COMPUTED_VALUE"""),45634.625)</f>
        <v>45634.625</v>
      </c>
      <c r="C509" s="46">
        <f ca="1">IFERROR(__xludf.DUMMYFUNCTION("""COMPUTED_VALUE"""),510)</f>
        <v>510</v>
      </c>
      <c r="D509" s="47" t="str">
        <f ca="1">IFERROR(__xludf.DUMMYFUNCTION("""COMPUTED_VALUE"""),"C0265")</f>
        <v>C0265</v>
      </c>
      <c r="E509" s="46" t="str">
        <f ca="1">IFERROR(__xludf.DUMMYFUNCTION("""COMPUTED_VALUE"""),"LÊ THỊ KIM MẨN")</f>
        <v>LÊ THỊ KIM MẨN</v>
      </c>
      <c r="F509" s="46" t="str">
        <f ca="1">IFERROR(__xludf.DUMMYFUNCTION("""COMPUTED_VALUE"""),"LE THI KIM MAN")</f>
        <v>LE THI KIM MAN</v>
      </c>
      <c r="G509" s="45">
        <f ca="1">IFERROR(__xludf.DUMMYFUNCTION("""COMPUTED_VALUE"""),37080.5833333333)</f>
        <v>37080.583333333299</v>
      </c>
      <c r="H509" s="45" t="str">
        <f ca="1">IFERROR(__xludf.DUMMYFUNCTION("""COMPUTED_VALUE"""),"MATTE")</f>
        <v>MATTE</v>
      </c>
      <c r="I509" s="46" t="str">
        <f ca="1">IFERROR(__xludf.DUMMYFUNCTION("""COMPUTED_VALUE"""),"HO")</f>
        <v>HO</v>
      </c>
      <c r="J509" s="46" t="str">
        <f ca="1">IFERROR(__xludf.DUMMYFUNCTION("""COMPUTED_VALUE"""),"FIN")</f>
        <v>FIN</v>
      </c>
      <c r="K509" s="46" t="str">
        <f ca="1">IFERROR(__xludf.DUMMYFUNCTION("""COMPUTED_VALUE"""),"FIN")</f>
        <v>FIN</v>
      </c>
      <c r="L509" s="46" t="str">
        <f ca="1">IFERROR(__xludf.DUMMYFUNCTION("""COMPUTED_VALUE"""),"FTE")</f>
        <v>FTE</v>
      </c>
      <c r="M509" s="46" t="str">
        <f ca="1">IFERROR(__xludf.DUMMYFUNCTION("""COMPUTED_VALUE"""),"Leave")</f>
        <v>Leave</v>
      </c>
      <c r="N509" s="46" t="str">
        <f ca="1">IFERROR(__xludf.DUMMYFUNCTION("""COMPUTED_VALUE"""),"x")</f>
        <v>x</v>
      </c>
    </row>
    <row r="510" spans="1:14">
      <c r="A510" s="45">
        <f ca="1">IFERROR(__xludf.DUMMYFUNCTION("""COMPUTED_VALUE"""),45414.5833333333)</f>
        <v>45414.583333333299</v>
      </c>
      <c r="B510" s="45">
        <f ca="1">IFERROR(__xludf.DUMMYFUNCTION("""COMPUTED_VALUE"""),45945.5833333333)</f>
        <v>45945.583333333299</v>
      </c>
      <c r="C510" s="46">
        <f ca="1">IFERROR(__xludf.DUMMYFUNCTION("""COMPUTED_VALUE"""),511)</f>
        <v>511</v>
      </c>
      <c r="D510" s="47" t="str">
        <f ca="1">IFERROR(__xludf.DUMMYFUNCTION("""COMPUTED_VALUE"""),"C0266")</f>
        <v>C0266</v>
      </c>
      <c r="E510" s="46" t="str">
        <f ca="1">IFERROR(__xludf.DUMMYFUNCTION("""COMPUTED_VALUE"""),"LÊ TRẦN HUYỀN LINH")</f>
        <v>LÊ TRẦN HUYỀN LINH</v>
      </c>
      <c r="F510" s="46" t="str">
        <f ca="1">IFERROR(__xludf.DUMMYFUNCTION("""COMPUTED_VALUE"""),"LE TRAN HUYEN LINH")</f>
        <v>LE TRAN HUYEN LINH</v>
      </c>
      <c r="G510" s="45">
        <f ca="1">IFERROR(__xludf.DUMMYFUNCTION("""COMPUTED_VALUE"""),35002.625)</f>
        <v>35002.625</v>
      </c>
      <c r="H510" s="45" t="str">
        <f ca="1">IFERROR(__xludf.DUMMYFUNCTION("""COMPUTED_VALUE"""),"TLC")</f>
        <v>TLC</v>
      </c>
      <c r="I510" s="46" t="str">
        <f ca="1">IFERROR(__xludf.DUMMYFUNCTION("""COMPUTED_VALUE"""),"HO")</f>
        <v>HO</v>
      </c>
      <c r="J510" s="46" t="str">
        <f ca="1">IFERROR(__xludf.DUMMYFUNCTION("""COMPUTED_VALUE"""),"PRO")</f>
        <v>PRO</v>
      </c>
      <c r="K510" s="46" t="str">
        <f ca="1">IFERROR(__xludf.DUMMYFUNCTION("""COMPUTED_VALUE"""),"PRO")</f>
        <v>PRO</v>
      </c>
      <c r="L510" s="46" t="str">
        <f ca="1">IFERROR(__xludf.DUMMYFUNCTION("""COMPUTED_VALUE"""),"FTE")</f>
        <v>FTE</v>
      </c>
      <c r="M510" s="46" t="str">
        <f ca="1">IFERROR(__xludf.DUMMYFUNCTION("""COMPUTED_VALUE"""),"Leave")</f>
        <v>Leave</v>
      </c>
      <c r="N510" s="46" t="str">
        <f ca="1">IFERROR(__xludf.DUMMYFUNCTION("""COMPUTED_VALUE"""),"đủ")</f>
        <v>đủ</v>
      </c>
    </row>
    <row r="511" spans="1:14">
      <c r="A511" s="45">
        <f ca="1">IFERROR(__xludf.DUMMYFUNCTION("""COMPUTED_VALUE"""),45414.5833333333)</f>
        <v>45414.583333333299</v>
      </c>
      <c r="B511" s="45">
        <f ca="1">IFERROR(__xludf.DUMMYFUNCTION("""COMPUTED_VALUE"""),46038.625)</f>
        <v>46038.625</v>
      </c>
      <c r="C511" s="46">
        <f ca="1">IFERROR(__xludf.DUMMYFUNCTION("""COMPUTED_VALUE"""),512)</f>
        <v>512</v>
      </c>
      <c r="D511" s="47" t="str">
        <f ca="1">IFERROR(__xludf.DUMMYFUNCTION("""COMPUTED_VALUE"""),"C0267")</f>
        <v>C0267</v>
      </c>
      <c r="E511" s="46" t="str">
        <f ca="1">IFERROR(__xludf.DUMMYFUNCTION("""COMPUTED_VALUE"""),"LÊ TẤN THÔNG")</f>
        <v>LÊ TẤN THÔNG</v>
      </c>
      <c r="F511" s="46" t="str">
        <f ca="1">IFERROR(__xludf.DUMMYFUNCTION("""COMPUTED_VALUE"""),"LE TAN THONG")</f>
        <v>LE TAN THONG</v>
      </c>
      <c r="G511" s="45">
        <f ca="1">IFERROR(__xludf.DUMMYFUNCTION("""COMPUTED_VALUE"""),36934.625)</f>
        <v>36934.625</v>
      </c>
      <c r="H511" s="45" t="str">
        <f ca="1">IFERROR(__xludf.DUMMYFUNCTION("""COMPUTED_VALUE"""),"TLC")</f>
        <v>TLC</v>
      </c>
      <c r="I511" s="46" t="str">
        <f ca="1">IFERROR(__xludf.DUMMYFUNCTION("""COMPUTED_VALUE"""),"HO")</f>
        <v>HO</v>
      </c>
      <c r="J511" s="46" t="str">
        <f ca="1">IFERROR(__xludf.DUMMYFUNCTION("""COMPUTED_VALUE"""),"CE")</f>
        <v>CE</v>
      </c>
      <c r="K511" s="46" t="str">
        <f ca="1">IFERROR(__xludf.DUMMYFUNCTION("""COMPUTED_VALUE"""),"CE")</f>
        <v>CE</v>
      </c>
      <c r="L511" s="46" t="str">
        <f ca="1">IFERROR(__xludf.DUMMYFUNCTION("""COMPUTED_VALUE"""),"FTE")</f>
        <v>FTE</v>
      </c>
      <c r="M511" s="46" t="str">
        <f ca="1">IFERROR(__xludf.DUMMYFUNCTION("""COMPUTED_VALUE"""),"Leave")</f>
        <v>Leave</v>
      </c>
      <c r="N511" s="46" t="str">
        <f ca="1">IFERROR(__xludf.DUMMYFUNCTION("""COMPUTED_VALUE"""),"đủ")</f>
        <v>đủ</v>
      </c>
    </row>
    <row r="512" spans="1:14">
      <c r="A512" s="45">
        <f ca="1">IFERROR(__xludf.DUMMYFUNCTION("""COMPUTED_VALUE"""),45414.5833333333)</f>
        <v>45414.583333333299</v>
      </c>
      <c r="B512" s="45">
        <f ca="1">IFERROR(__xludf.DUMMYFUNCTION("""COMPUTED_VALUE"""),45661.625)</f>
        <v>45661.625</v>
      </c>
      <c r="C512" s="46">
        <f ca="1">IFERROR(__xludf.DUMMYFUNCTION("""COMPUTED_VALUE"""),513)</f>
        <v>513</v>
      </c>
      <c r="D512" s="47" t="str">
        <f ca="1">IFERROR(__xludf.DUMMYFUNCTION("""COMPUTED_VALUE"""),"C0268")</f>
        <v>C0268</v>
      </c>
      <c r="E512" s="46" t="str">
        <f ca="1">IFERROR(__xludf.DUMMYFUNCTION("""COMPUTED_VALUE"""),"TRẦN ĐĂNG UYÊN PHƯƠNG")</f>
        <v>TRẦN ĐĂNG UYÊN PHƯƠNG</v>
      </c>
      <c r="F512" s="46" t="str">
        <f ca="1">IFERROR(__xludf.DUMMYFUNCTION("""COMPUTED_VALUE"""),"TRAN DANG UYEN PHUONG")</f>
        <v>TRAN DANG UYEN PHUONG</v>
      </c>
      <c r="G512" s="45">
        <f ca="1">IFERROR(__xludf.DUMMYFUNCTION("""COMPUTED_VALUE"""),34436.5833333333)</f>
        <v>34436.583333333299</v>
      </c>
      <c r="H512" s="45" t="str">
        <f ca="1">IFERROR(__xludf.DUMMYFUNCTION("""COMPUTED_VALUE"""),"CREATIVE")</f>
        <v>CREATIVE</v>
      </c>
      <c r="I512" s="46" t="str">
        <f ca="1">IFERROR(__xludf.DUMMYFUNCTION("""COMPUTED_VALUE"""),"HO")</f>
        <v>HO</v>
      </c>
      <c r="J512" s="46" t="str">
        <f ca="1">IFERROR(__xludf.DUMMYFUNCTION("""COMPUTED_VALUE"""),"HRD")</f>
        <v>HRD</v>
      </c>
      <c r="K512" s="46" t="str">
        <f ca="1">IFERROR(__xludf.DUMMYFUNCTION("""COMPUTED_VALUE"""),"HRD")</f>
        <v>HRD</v>
      </c>
      <c r="L512" s="46" t="str">
        <f ca="1">IFERROR(__xludf.DUMMYFUNCTION("""COMPUTED_VALUE"""),"FTE")</f>
        <v>FTE</v>
      </c>
      <c r="M512" s="46" t="str">
        <f ca="1">IFERROR(__xludf.DUMMYFUNCTION("""COMPUTED_VALUE"""),"Leave")</f>
        <v>Leave</v>
      </c>
      <c r="N512" s="46" t="str">
        <f ca="1">IFERROR(__xludf.DUMMYFUNCTION("""COMPUTED_VALUE"""),"x")</f>
        <v>x</v>
      </c>
    </row>
    <row r="513" spans="1:14">
      <c r="A513" s="45">
        <f ca="1">IFERROR(__xludf.DUMMYFUNCTION("""COMPUTED_VALUE"""),45425.5833333333)</f>
        <v>45425.583333333299</v>
      </c>
      <c r="B513" s="45">
        <f ca="1">IFERROR(__xludf.DUMMYFUNCTION("""COMPUTED_VALUE"""),46143.5833333333)</f>
        <v>46143.583333333299</v>
      </c>
      <c r="C513" s="46">
        <f ca="1">IFERROR(__xludf.DUMMYFUNCTION("""COMPUTED_VALUE"""),514)</f>
        <v>514</v>
      </c>
      <c r="D513" s="47" t="str">
        <f ca="1">IFERROR(__xludf.DUMMYFUNCTION("""COMPUTED_VALUE"""),"C0269")</f>
        <v>C0269</v>
      </c>
      <c r="E513" s="46" t="str">
        <f ca="1">IFERROR(__xludf.DUMMYFUNCTION("""COMPUTED_VALUE"""),"LÊ THỊ NHƯ HẢO")</f>
        <v>LÊ THỊ NHƯ HẢO</v>
      </c>
      <c r="F513" s="46" t="str">
        <f ca="1">IFERROR(__xludf.DUMMYFUNCTION("""COMPUTED_VALUE"""),"LE THI NHU HAO")</f>
        <v>LE THI NHU HAO</v>
      </c>
      <c r="G513" s="45">
        <f ca="1">IFERROR(__xludf.DUMMYFUNCTION("""COMPUTED_VALUE"""),36170.625)</f>
        <v>36170.625</v>
      </c>
      <c r="H513" s="45" t="str">
        <f ca="1">IFERROR(__xludf.DUMMYFUNCTION("""COMPUTED_VALUE"""),"TLC")</f>
        <v>TLC</v>
      </c>
      <c r="I513" s="46" t="str">
        <f ca="1">IFERROR(__xludf.DUMMYFUNCTION("""COMPUTED_VALUE"""),"STORE")</f>
        <v>STORE</v>
      </c>
      <c r="J513" s="46" t="str">
        <f ca="1">IFERROR(__xludf.DUMMYFUNCTION("""COMPUTED_VALUE"""),"BLANK LOUNGE")</f>
        <v>BLANK LOUNGE</v>
      </c>
      <c r="K513" s="46" t="str">
        <f ca="1">IFERROR(__xludf.DUMMYFUNCTION("""COMPUTED_VALUE"""),"BAR")</f>
        <v>BAR</v>
      </c>
      <c r="L513" s="46" t="str">
        <f ca="1">IFERROR(__xludf.DUMMYFUNCTION("""COMPUTED_VALUE"""),"PTE")</f>
        <v>PTE</v>
      </c>
      <c r="M513" s="46" t="str">
        <f ca="1">IFERROR(__xludf.DUMMYFUNCTION("""COMPUTED_VALUE"""),"Leave")</f>
        <v>Leave</v>
      </c>
      <c r="N513" s="46" t="str">
        <f ca="1">IFERROR(__xludf.DUMMYFUNCTION("""COMPUTED_VALUE"""),"đủ")</f>
        <v>đủ</v>
      </c>
    </row>
    <row r="514" spans="1:14">
      <c r="A514" s="45">
        <f ca="1">IFERROR(__xludf.DUMMYFUNCTION("""COMPUTED_VALUE"""),45393.5833333333)</f>
        <v>45393.583333333299</v>
      </c>
      <c r="B514" s="45"/>
      <c r="C514" s="46">
        <f ca="1">IFERROR(__xludf.DUMMYFUNCTION("""COMPUTED_VALUE"""),515)</f>
        <v>515</v>
      </c>
      <c r="D514" s="47" t="str">
        <f ca="1">IFERROR(__xludf.DUMMYFUNCTION("""COMPUTED_VALUE"""),"C0270")</f>
        <v>C0270</v>
      </c>
      <c r="E514" s="46" t="str">
        <f ca="1">IFERROR(__xludf.DUMMYFUNCTION("""COMPUTED_VALUE"""),"NGUYỄN VIẾT ĐẰNG")</f>
        <v>NGUYỄN VIẾT ĐẰNG</v>
      </c>
      <c r="F514" s="46" t="str">
        <f ca="1">IFERROR(__xludf.DUMMYFUNCTION("""COMPUTED_VALUE"""),"NGUYEN VIET DANG")</f>
        <v>NGUYEN VIET DANG</v>
      </c>
      <c r="G514" s="45">
        <f ca="1">IFERROR(__xludf.DUMMYFUNCTION("""COMPUTED_VALUE"""),33964.625)</f>
        <v>33964.625</v>
      </c>
      <c r="H514" s="45" t="str">
        <f ca="1">IFERROR(__xludf.DUMMYFUNCTION("""COMPUTED_VALUE"""),"MATTE")</f>
        <v>MATTE</v>
      </c>
      <c r="I514" s="46" t="str">
        <f ca="1">IFERROR(__xludf.DUMMYFUNCTION("""COMPUTED_VALUE"""),"HO")</f>
        <v>HO</v>
      </c>
      <c r="J514" s="46" t="str">
        <f ca="1">IFERROR(__xludf.DUMMYFUNCTION("""COMPUTED_VALUE"""),"BOD")</f>
        <v>BOD</v>
      </c>
      <c r="K514" s="46" t="str">
        <f ca="1">IFERROR(__xludf.DUMMYFUNCTION("""COMPUTED_VALUE"""),"BOD")</f>
        <v>BOD</v>
      </c>
      <c r="L514" s="46" t="str">
        <f ca="1">IFERROR(__xludf.DUMMYFUNCTION("""COMPUTED_VALUE"""),"FTE")</f>
        <v>FTE</v>
      </c>
      <c r="M514" s="46" t="str">
        <f ca="1">IFERROR(__xludf.DUMMYFUNCTION("""COMPUTED_VALUE"""),"On")</f>
        <v>On</v>
      </c>
      <c r="N514" s="46" t="str">
        <f ca="1">IFERROR(__xludf.DUMMYFUNCTION("""COMPUTED_VALUE"""),"đủ")</f>
        <v>đủ</v>
      </c>
    </row>
    <row r="515" spans="1:14">
      <c r="A515" s="45">
        <f ca="1">IFERROR(__xludf.DUMMYFUNCTION("""COMPUTED_VALUE"""),45420.5833333333)</f>
        <v>45420.583333333299</v>
      </c>
      <c r="B515" s="45">
        <f ca="1">IFERROR(__xludf.DUMMYFUNCTION("""COMPUTED_VALUE"""),45482.5833333333)</f>
        <v>45482.583333333299</v>
      </c>
      <c r="C515" s="46">
        <f ca="1">IFERROR(__xludf.DUMMYFUNCTION("""COMPUTED_VALUE"""),516)</f>
        <v>516</v>
      </c>
      <c r="D515" s="47" t="str">
        <f ca="1">IFERROR(__xludf.DUMMYFUNCTION("""COMPUTED_VALUE"""),"C0271")</f>
        <v>C0271</v>
      </c>
      <c r="E515" s="46" t="str">
        <f ca="1">IFERROR(__xludf.DUMMYFUNCTION("""COMPUTED_VALUE"""),"BÙI QUANG VŨ")</f>
        <v>BÙI QUANG VŨ</v>
      </c>
      <c r="F515" s="46" t="str">
        <f ca="1">IFERROR(__xludf.DUMMYFUNCTION("""COMPUTED_VALUE"""),"BUI QUANG VU")</f>
        <v>BUI QUANG VU</v>
      </c>
      <c r="G515" s="45">
        <f ca="1">IFERROR(__xludf.DUMMYFUNCTION("""COMPUTED_VALUE"""),35759.625)</f>
        <v>35759.625</v>
      </c>
      <c r="H515" s="45" t="str">
        <f ca="1">IFERROR(__xludf.DUMMYFUNCTION("""COMPUTED_VALUE"""),"CREATIVE")</f>
        <v>CREATIVE</v>
      </c>
      <c r="I515" s="46" t="str">
        <f ca="1">IFERROR(__xludf.DUMMYFUNCTION("""COMPUTED_VALUE"""),"HO")</f>
        <v>HO</v>
      </c>
      <c r="J515" s="46" t="str">
        <f ca="1">IFERROR(__xludf.DUMMYFUNCTION("""COMPUTED_VALUE"""),"FIN")</f>
        <v>FIN</v>
      </c>
      <c r="K515" s="46" t="str">
        <f ca="1">IFERROR(__xludf.DUMMYFUNCTION("""COMPUTED_VALUE"""),"FIN")</f>
        <v>FIN</v>
      </c>
      <c r="L515" s="46" t="str">
        <f ca="1">IFERROR(__xludf.DUMMYFUNCTION("""COMPUTED_VALUE"""),"PRO")</f>
        <v>PRO</v>
      </c>
      <c r="M515" s="46" t="str">
        <f ca="1">IFERROR(__xludf.DUMMYFUNCTION("""COMPUTED_VALUE"""),"Leave")</f>
        <v>Leave</v>
      </c>
      <c r="N515" s="46" t="str">
        <f ca="1">IFERROR(__xludf.DUMMYFUNCTION("""COMPUTED_VALUE"""),"x")</f>
        <v>x</v>
      </c>
    </row>
    <row r="516" spans="1:14">
      <c r="A516" s="45">
        <f ca="1">IFERROR(__xludf.DUMMYFUNCTION("""COMPUTED_VALUE"""),45420.5833333333)</f>
        <v>45420.583333333299</v>
      </c>
      <c r="B516" s="45">
        <f ca="1">IFERROR(__xludf.DUMMYFUNCTION("""COMPUTED_VALUE"""),45668.625)</f>
        <v>45668.625</v>
      </c>
      <c r="C516" s="46">
        <f ca="1">IFERROR(__xludf.DUMMYFUNCTION("""COMPUTED_VALUE"""),517)</f>
        <v>517</v>
      </c>
      <c r="D516" s="47" t="str">
        <f ca="1">IFERROR(__xludf.DUMMYFUNCTION("""COMPUTED_VALUE"""),"C0272")</f>
        <v>C0272</v>
      </c>
      <c r="E516" s="46" t="str">
        <f ca="1">IFERROR(__xludf.DUMMYFUNCTION("""COMPUTED_VALUE"""),"NGUYỄN NGỌC KIM THANH")</f>
        <v>NGUYỄN NGỌC KIM THANH</v>
      </c>
      <c r="F516" s="46" t="str">
        <f ca="1">IFERROR(__xludf.DUMMYFUNCTION("""COMPUTED_VALUE"""),"NGUYEN NGOC KIM THANH")</f>
        <v>NGUYEN NGOC KIM THANH</v>
      </c>
      <c r="G516" s="45">
        <f ca="1">IFERROR(__xludf.DUMMYFUNCTION("""COMPUTED_VALUE"""),36384.5833333333)</f>
        <v>36384.583333333299</v>
      </c>
      <c r="H516" s="45" t="str">
        <f ca="1">IFERROR(__xludf.DUMMYFUNCTION("""COMPUTED_VALUE"""),"CREATIVE")</f>
        <v>CREATIVE</v>
      </c>
      <c r="I516" s="46" t="str">
        <f ca="1">IFERROR(__xludf.DUMMYFUNCTION("""COMPUTED_VALUE"""),"HO")</f>
        <v>HO</v>
      </c>
      <c r="J516" s="46" t="str">
        <f ca="1">IFERROR(__xludf.DUMMYFUNCTION("""COMPUTED_VALUE"""),"FIN")</f>
        <v>FIN</v>
      </c>
      <c r="K516" s="46" t="str">
        <f ca="1">IFERROR(__xludf.DUMMYFUNCTION("""COMPUTED_VALUE"""),"FIN")</f>
        <v>FIN</v>
      </c>
      <c r="L516" s="46" t="str">
        <f ca="1">IFERROR(__xludf.DUMMYFUNCTION("""COMPUTED_VALUE"""),"FTE")</f>
        <v>FTE</v>
      </c>
      <c r="M516" s="46" t="str">
        <f ca="1">IFERROR(__xludf.DUMMYFUNCTION("""COMPUTED_VALUE"""),"Leave")</f>
        <v>Leave</v>
      </c>
      <c r="N516" s="46" t="str">
        <f ca="1">IFERROR(__xludf.DUMMYFUNCTION("""COMPUTED_VALUE"""),"x")</f>
        <v>x</v>
      </c>
    </row>
    <row r="517" spans="1:14">
      <c r="A517" s="45">
        <f ca="1">IFERROR(__xludf.DUMMYFUNCTION("""COMPUTED_VALUE"""),45419.5833333333)</f>
        <v>45419.583333333299</v>
      </c>
      <c r="B517" s="45">
        <f ca="1">IFERROR(__xludf.DUMMYFUNCTION("""COMPUTED_VALUE"""),45421.5833333333)</f>
        <v>45421.583333333299</v>
      </c>
      <c r="C517" s="46">
        <f ca="1">IFERROR(__xludf.DUMMYFUNCTION("""COMPUTED_VALUE"""),518)</f>
        <v>518</v>
      </c>
      <c r="D517" s="47" t="str">
        <f ca="1">IFERROR(__xludf.DUMMYFUNCTION("""COMPUTED_VALUE"""),"C0273")</f>
        <v>C0273</v>
      </c>
      <c r="E517" s="46" t="str">
        <f ca="1">IFERROR(__xludf.DUMMYFUNCTION("""COMPUTED_VALUE"""),"NGUYỄN THỊ BĂNG TUYỀN")</f>
        <v>NGUYỄN THỊ BĂNG TUYỀN</v>
      </c>
      <c r="F517" s="46" t="str">
        <f ca="1">IFERROR(__xludf.DUMMYFUNCTION("""COMPUTED_VALUE"""),"NGUYEN THI BANG TUYEN")</f>
        <v>NGUYEN THI BANG TUYEN</v>
      </c>
      <c r="G517" s="45">
        <f ca="1">IFERROR(__xludf.DUMMYFUNCTION("""COMPUTED_VALUE"""),27074.625)</f>
        <v>27074.625</v>
      </c>
      <c r="H517" s="45" t="str">
        <f ca="1">IFERROR(__xludf.DUMMYFUNCTION("""COMPUTED_VALUE"""),"SHADOW")</f>
        <v>SHADOW</v>
      </c>
      <c r="I517" s="46" t="str">
        <f ca="1">IFERROR(__xludf.DUMMYFUNCTION("""COMPUTED_VALUE"""),"STORE")</f>
        <v>STORE</v>
      </c>
      <c r="J517" s="46" t="str">
        <f ca="1">IFERROR(__xludf.DUMMYFUNCTION("""COMPUTED_VALUE"""),"BAKES PASTEUR")</f>
        <v>BAKES PASTEUR</v>
      </c>
      <c r="K517" s="46" t="str">
        <f ca="1">IFERROR(__xludf.DUMMYFUNCTION("""COMPUTED_VALUE"""),"STR")</f>
        <v>STR</v>
      </c>
      <c r="L517" s="46" t="str">
        <f ca="1">IFERROR(__xludf.DUMMYFUNCTION("""COMPUTED_VALUE"""),"PRO")</f>
        <v>PRO</v>
      </c>
      <c r="M517" s="46" t="str">
        <f ca="1">IFERROR(__xludf.DUMMYFUNCTION("""COMPUTED_VALUE"""),"Leave")</f>
        <v>Leave</v>
      </c>
      <c r="N517" s="46" t="str">
        <f ca="1">IFERROR(__xludf.DUMMYFUNCTION("""COMPUTED_VALUE"""),"x")</f>
        <v>x</v>
      </c>
    </row>
    <row r="518" spans="1:14">
      <c r="A518" s="45">
        <f ca="1">IFERROR(__xludf.DUMMYFUNCTION("""COMPUTED_VALUE"""),45426.5833333333)</f>
        <v>45426.583333333299</v>
      </c>
      <c r="B518" s="45">
        <f ca="1">IFERROR(__xludf.DUMMYFUNCTION("""COMPUTED_VALUE"""),45493.5833333333)</f>
        <v>45493.583333333299</v>
      </c>
      <c r="C518" s="46">
        <f ca="1">IFERROR(__xludf.DUMMYFUNCTION("""COMPUTED_VALUE"""),519)</f>
        <v>519</v>
      </c>
      <c r="D518" s="47" t="str">
        <f ca="1">IFERROR(__xludf.DUMMYFUNCTION("""COMPUTED_VALUE"""),"C0274")</f>
        <v>C0274</v>
      </c>
      <c r="E518" s="46" t="str">
        <f ca="1">IFERROR(__xludf.DUMMYFUNCTION("""COMPUTED_VALUE"""),"NGUYỄN TUẤN ĐẠT")</f>
        <v>NGUYỄN TUẤN ĐẠT</v>
      </c>
      <c r="F518" s="46" t="str">
        <f ca="1">IFERROR(__xludf.DUMMYFUNCTION("""COMPUTED_VALUE"""),"NGUYEN TUAN DAT")</f>
        <v>NGUYEN TUAN DAT</v>
      </c>
      <c r="G518" s="45">
        <f ca="1">IFERROR(__xludf.DUMMYFUNCTION("""COMPUTED_VALUE"""),36544.625)</f>
        <v>36544.625</v>
      </c>
      <c r="H518" s="45" t="str">
        <f ca="1">IFERROR(__xludf.DUMMYFUNCTION("""COMPUTED_VALUE"""),"CREATIVE")</f>
        <v>CREATIVE</v>
      </c>
      <c r="I518" s="46" t="str">
        <f ca="1">IFERROR(__xludf.DUMMYFUNCTION("""COMPUTED_VALUE"""),"HO")</f>
        <v>HO</v>
      </c>
      <c r="J518" s="46" t="str">
        <f ca="1">IFERROR(__xludf.DUMMYFUNCTION("""COMPUTED_VALUE"""),"GRA")</f>
        <v>GRA</v>
      </c>
      <c r="K518" s="46" t="str">
        <f ca="1">IFERROR(__xludf.DUMMYFUNCTION("""COMPUTED_VALUE"""),"GRA")</f>
        <v>GRA</v>
      </c>
      <c r="L518" s="46" t="str">
        <f ca="1">IFERROR(__xludf.DUMMYFUNCTION("""COMPUTED_VALUE"""),"PRO")</f>
        <v>PRO</v>
      </c>
      <c r="M518" s="46" t="str">
        <f ca="1">IFERROR(__xludf.DUMMYFUNCTION("""COMPUTED_VALUE"""),"Leave")</f>
        <v>Leave</v>
      </c>
      <c r="N518" s="46" t="str">
        <f ca="1">IFERROR(__xludf.DUMMYFUNCTION("""COMPUTED_VALUE"""),"x")</f>
        <v>x</v>
      </c>
    </row>
    <row r="519" spans="1:14">
      <c r="A519" s="45">
        <f ca="1">IFERROR(__xludf.DUMMYFUNCTION("""COMPUTED_VALUE"""),45426.5833333333)</f>
        <v>45426.583333333299</v>
      </c>
      <c r="B519" s="45">
        <f ca="1">IFERROR(__xludf.DUMMYFUNCTION("""COMPUTED_VALUE"""),45505.5833333333)</f>
        <v>45505.583333333299</v>
      </c>
      <c r="C519" s="46">
        <f ca="1">IFERROR(__xludf.DUMMYFUNCTION("""COMPUTED_VALUE"""),520)</f>
        <v>520</v>
      </c>
      <c r="D519" s="47" t="str">
        <f ca="1">IFERROR(__xludf.DUMMYFUNCTION("""COMPUTED_VALUE"""),"C0275")</f>
        <v>C0275</v>
      </c>
      <c r="E519" s="46" t="str">
        <f ca="1">IFERROR(__xludf.DUMMYFUNCTION("""COMPUTED_VALUE"""),"LÊ PHƯƠNG DUY")</f>
        <v>LÊ PHƯƠNG DUY</v>
      </c>
      <c r="F519" s="46" t="str">
        <f ca="1">IFERROR(__xludf.DUMMYFUNCTION("""COMPUTED_VALUE"""),"LE PHUONG DUY")</f>
        <v>LE PHUONG DUY</v>
      </c>
      <c r="G519" s="45">
        <f ca="1">IFERROR(__xludf.DUMMYFUNCTION("""COMPUTED_VALUE"""),37000.5833333333)</f>
        <v>37000.583333333299</v>
      </c>
      <c r="H519" s="45" t="str">
        <f ca="1">IFERROR(__xludf.DUMMYFUNCTION("""COMPUTED_VALUE"""),"BAKES")</f>
        <v>BAKES</v>
      </c>
      <c r="I519" s="46" t="str">
        <f ca="1">IFERROR(__xludf.DUMMYFUNCTION("""COMPUTED_VALUE"""),"STORE")</f>
        <v>STORE</v>
      </c>
      <c r="J519" s="46" t="str">
        <f ca="1">IFERROR(__xludf.DUMMYFUNCTION("""COMPUTED_VALUE"""),"BAKES D2")</f>
        <v>BAKES D2</v>
      </c>
      <c r="K519" s="46" t="str">
        <f ca="1">IFERROR(__xludf.DUMMYFUNCTION("""COMPUTED_VALUE"""),"STR")</f>
        <v>STR</v>
      </c>
      <c r="L519" s="46" t="str">
        <f ca="1">IFERROR(__xludf.DUMMYFUNCTION("""COMPUTED_VALUE"""),"PTE")</f>
        <v>PTE</v>
      </c>
      <c r="M519" s="46" t="str">
        <f ca="1">IFERROR(__xludf.DUMMYFUNCTION("""COMPUTED_VALUE"""),"Leave")</f>
        <v>Leave</v>
      </c>
      <c r="N519" s="46" t="str">
        <f ca="1">IFERROR(__xludf.DUMMYFUNCTION("""COMPUTED_VALUE"""),"x")</f>
        <v>x</v>
      </c>
    </row>
    <row r="520" spans="1:14">
      <c r="A520" s="45">
        <f ca="1">IFERROR(__xludf.DUMMYFUNCTION("""COMPUTED_VALUE"""),45426.5833333333)</f>
        <v>45426.583333333299</v>
      </c>
      <c r="B520" s="45">
        <f ca="1">IFERROR(__xludf.DUMMYFUNCTION("""COMPUTED_VALUE"""),45630.625)</f>
        <v>45630.625</v>
      </c>
      <c r="C520" s="46">
        <f ca="1">IFERROR(__xludf.DUMMYFUNCTION("""COMPUTED_VALUE"""),521)</f>
        <v>521</v>
      </c>
      <c r="D520" s="47" t="str">
        <f ca="1">IFERROR(__xludf.DUMMYFUNCTION("""COMPUTED_VALUE"""),"C0276")</f>
        <v>C0276</v>
      </c>
      <c r="E520" s="46" t="str">
        <f ca="1">IFERROR(__xludf.DUMMYFUNCTION("""COMPUTED_VALUE"""),"TRẦN NGỌC HƯƠNG TRANG")</f>
        <v>TRẦN NGỌC HƯƠNG TRANG</v>
      </c>
      <c r="F520" s="46" t="str">
        <f ca="1">IFERROR(__xludf.DUMMYFUNCTION("""COMPUTED_VALUE"""),"TRAN NGOC HUONG TRANG")</f>
        <v>TRAN NGOC HUONG TRANG</v>
      </c>
      <c r="G520" s="45">
        <f ca="1">IFERROR(__xludf.DUMMYFUNCTION("""COMPUTED_VALUE"""),35728.5833333333)</f>
        <v>35728.583333333299</v>
      </c>
      <c r="H520" s="45" t="str">
        <f ca="1">IFERROR(__xludf.DUMMYFUNCTION("""COMPUTED_VALUE"""),"BAKES")</f>
        <v>BAKES</v>
      </c>
      <c r="I520" s="46" t="str">
        <f ca="1">IFERROR(__xludf.DUMMYFUNCTION("""COMPUTED_VALUE"""),"STORE")</f>
        <v>STORE</v>
      </c>
      <c r="J520" s="46" t="str">
        <f ca="1">IFERROR(__xludf.DUMMYFUNCTION("""COMPUTED_VALUE"""),"BAKES D9")</f>
        <v>BAKES D9</v>
      </c>
      <c r="K520" s="46" t="str">
        <f ca="1">IFERROR(__xludf.DUMMYFUNCTION("""COMPUTED_VALUE"""),"Management team")</f>
        <v>Management team</v>
      </c>
      <c r="L520" s="46" t="str">
        <f ca="1">IFERROR(__xludf.DUMMYFUNCTION("""COMPUTED_VALUE"""),"FTE")</f>
        <v>FTE</v>
      </c>
      <c r="M520" s="46" t="str">
        <f ca="1">IFERROR(__xludf.DUMMYFUNCTION("""COMPUTED_VALUE"""),"Leave")</f>
        <v>Leave</v>
      </c>
      <c r="N520" s="46" t="str">
        <f ca="1">IFERROR(__xludf.DUMMYFUNCTION("""COMPUTED_VALUE"""),"x")</f>
        <v>x</v>
      </c>
    </row>
    <row r="521" spans="1:14">
      <c r="A521" s="45">
        <f ca="1">IFERROR(__xludf.DUMMYFUNCTION("""COMPUTED_VALUE"""),45426.5833333333)</f>
        <v>45426.583333333299</v>
      </c>
      <c r="B521" s="45">
        <f ca="1">IFERROR(__xludf.DUMMYFUNCTION("""COMPUTED_VALUE"""),45723.625)</f>
        <v>45723.625</v>
      </c>
      <c r="C521" s="46">
        <f ca="1">IFERROR(__xludf.DUMMYFUNCTION("""COMPUTED_VALUE"""),522)</f>
        <v>522</v>
      </c>
      <c r="D521" s="47" t="str">
        <f ca="1">IFERROR(__xludf.DUMMYFUNCTION("""COMPUTED_VALUE"""),"C0277")</f>
        <v>C0277</v>
      </c>
      <c r="E521" s="46" t="str">
        <f ca="1">IFERROR(__xludf.DUMMYFUNCTION("""COMPUTED_VALUE"""),"NGUYỄN LÊ PHƯƠNG LINH")</f>
        <v>NGUYỄN LÊ PHƯƠNG LINH</v>
      </c>
      <c r="F521" s="46" t="str">
        <f ca="1">IFERROR(__xludf.DUMMYFUNCTION("""COMPUTED_VALUE"""),"NGUYEN LE PHUONG LINH")</f>
        <v>NGUYEN LE PHUONG LINH</v>
      </c>
      <c r="G521" s="45">
        <f ca="1">IFERROR(__xludf.DUMMYFUNCTION("""COMPUTED_VALUE"""),36383.5833333333)</f>
        <v>36383.583333333299</v>
      </c>
      <c r="H521" s="45" t="str">
        <f ca="1">IFERROR(__xludf.DUMMYFUNCTION("""COMPUTED_VALUE"""),"MATTE")</f>
        <v>MATTE</v>
      </c>
      <c r="I521" s="46" t="str">
        <f ca="1">IFERROR(__xludf.DUMMYFUNCTION("""COMPUTED_VALUE"""),"STORE")</f>
        <v>STORE</v>
      </c>
      <c r="J521" s="46" t="str">
        <f ca="1">IFERROR(__xludf.DUMMYFUNCTION("""COMPUTED_VALUE"""),"MATTE D7")</f>
        <v>MATTE D7</v>
      </c>
      <c r="K521" s="46" t="str">
        <f ca="1">IFERROR(__xludf.DUMMYFUNCTION("""COMPUTED_VALUE"""),"Management team")</f>
        <v>Management team</v>
      </c>
      <c r="L521" s="46" t="str">
        <f ca="1">IFERROR(__xludf.DUMMYFUNCTION("""COMPUTED_VALUE"""),"FTE")</f>
        <v>FTE</v>
      </c>
      <c r="M521" s="46" t="str">
        <f ca="1">IFERROR(__xludf.DUMMYFUNCTION("""COMPUTED_VALUE"""),"Leave")</f>
        <v>Leave</v>
      </c>
      <c r="N521" s="46" t="str">
        <f ca="1">IFERROR(__xludf.DUMMYFUNCTION("""COMPUTED_VALUE"""),"x")</f>
        <v>x</v>
      </c>
    </row>
    <row r="522" spans="1:14">
      <c r="A522" s="45">
        <f ca="1">IFERROR(__xludf.DUMMYFUNCTION("""COMPUTED_VALUE"""),45433.5833333333)</f>
        <v>45433.583333333299</v>
      </c>
      <c r="B522" s="45">
        <f ca="1">IFERROR(__xludf.DUMMYFUNCTION("""COMPUTED_VALUE"""),45627.625)</f>
        <v>45627.625</v>
      </c>
      <c r="C522" s="46">
        <f ca="1">IFERROR(__xludf.DUMMYFUNCTION("""COMPUTED_VALUE"""),523)</f>
        <v>523</v>
      </c>
      <c r="D522" s="47" t="str">
        <f ca="1">IFERROR(__xludf.DUMMYFUNCTION("""COMPUTED_VALUE"""),"C0279")</f>
        <v>C0279</v>
      </c>
      <c r="E522" s="46" t="str">
        <f ca="1">IFERROR(__xludf.DUMMYFUNCTION("""COMPUTED_VALUE"""),"TRẦN THU UYÊN")</f>
        <v>TRẦN THU UYÊN</v>
      </c>
      <c r="F522" s="46" t="str">
        <f ca="1">IFERROR(__xludf.DUMMYFUNCTION("""COMPUTED_VALUE"""),"TRAN THU UYEN")</f>
        <v>TRAN THU UYEN</v>
      </c>
      <c r="G522" s="45">
        <f ca="1">IFERROR(__xludf.DUMMYFUNCTION("""COMPUTED_VALUE"""),36815.5833333333)</f>
        <v>36815.583333333299</v>
      </c>
      <c r="H522" s="45" t="str">
        <f ca="1">IFERROR(__xludf.DUMMYFUNCTION("""COMPUTED_VALUE"""),"MATTE")</f>
        <v>MATTE</v>
      </c>
      <c r="I522" s="46" t="str">
        <f ca="1">IFERROR(__xludf.DUMMYFUNCTION("""COMPUTED_VALUE"""),"STORE")</f>
        <v>STORE</v>
      </c>
      <c r="J522" s="46" t="str">
        <f ca="1">IFERROR(__xludf.DUMMYFUNCTION("""COMPUTED_VALUE"""),"MATTE D7")</f>
        <v>MATTE D7</v>
      </c>
      <c r="K522" s="46" t="str">
        <f ca="1">IFERROR(__xludf.DUMMYFUNCTION("""COMPUTED_VALUE"""),"BAR")</f>
        <v>BAR</v>
      </c>
      <c r="L522" s="46" t="str">
        <f ca="1">IFERROR(__xludf.DUMMYFUNCTION("""COMPUTED_VALUE"""),"FTE")</f>
        <v>FTE</v>
      </c>
      <c r="M522" s="46" t="str">
        <f ca="1">IFERROR(__xludf.DUMMYFUNCTION("""COMPUTED_VALUE"""),"Leave")</f>
        <v>Leave</v>
      </c>
      <c r="N522" s="46" t="str">
        <f ca="1">IFERROR(__xludf.DUMMYFUNCTION("""COMPUTED_VALUE"""),"x")</f>
        <v>x</v>
      </c>
    </row>
    <row r="523" spans="1:14">
      <c r="A523" s="45">
        <f ca="1">IFERROR(__xludf.DUMMYFUNCTION("""COMPUTED_VALUE"""),45425.5833333333)</f>
        <v>45425.583333333299</v>
      </c>
      <c r="B523" s="45">
        <f ca="1">IFERROR(__xludf.DUMMYFUNCTION("""COMPUTED_VALUE"""),46174.5833333333)</f>
        <v>46174.583333333299</v>
      </c>
      <c r="C523" s="46">
        <f ca="1">IFERROR(__xludf.DUMMYFUNCTION("""COMPUTED_VALUE"""),524)</f>
        <v>524</v>
      </c>
      <c r="D523" s="47" t="str">
        <f ca="1">IFERROR(__xludf.DUMMYFUNCTION("""COMPUTED_VALUE"""),"C0280")</f>
        <v>C0280</v>
      </c>
      <c r="E523" s="46" t="str">
        <f ca="1">IFERROR(__xludf.DUMMYFUNCTION("""COMPUTED_VALUE"""),"NGUYỄN TRẦN HOÀNG BẢO")</f>
        <v>NGUYỄN TRẦN HOÀNG BẢO</v>
      </c>
      <c r="F523" s="46" t="str">
        <f ca="1">IFERROR(__xludf.DUMMYFUNCTION("""COMPUTED_VALUE"""),"NGUYEN TRAN HOANG BAO")</f>
        <v>NGUYEN TRAN HOANG BAO</v>
      </c>
      <c r="G523" s="45">
        <f ca="1">IFERROR(__xludf.DUMMYFUNCTION("""COMPUTED_VALUE"""),37323.625)</f>
        <v>37323.625</v>
      </c>
      <c r="H523" s="45" t="str">
        <f ca="1">IFERROR(__xludf.DUMMYFUNCTION("""COMPUTED_VALUE"""),"TLC")</f>
        <v>TLC</v>
      </c>
      <c r="I523" s="46" t="str">
        <f ca="1">IFERROR(__xludf.DUMMYFUNCTION("""COMPUTED_VALUE"""),"STORE")</f>
        <v>STORE</v>
      </c>
      <c r="J523" s="46" t="str">
        <f ca="1">IFERROR(__xludf.DUMMYFUNCTION("""COMPUTED_VALUE"""),"BLANK LOUNGE")</f>
        <v>BLANK LOUNGE</v>
      </c>
      <c r="K523" s="46" t="str">
        <f ca="1">IFERROR(__xludf.DUMMYFUNCTION("""COMPUTED_VALUE"""),"WAITSTAFF")</f>
        <v>WAITSTAFF</v>
      </c>
      <c r="L523" s="46" t="str">
        <f ca="1">IFERROR(__xludf.DUMMYFUNCTION("""COMPUTED_VALUE"""),"PTE")</f>
        <v>PTE</v>
      </c>
      <c r="M523" s="46" t="str">
        <f ca="1">IFERROR(__xludf.DUMMYFUNCTION("""COMPUTED_VALUE"""),"Leave")</f>
        <v>Leave</v>
      </c>
      <c r="N523" s="46" t="str">
        <f ca="1">IFERROR(__xludf.DUMMYFUNCTION("""COMPUTED_VALUE"""),"đủ")</f>
        <v>đủ</v>
      </c>
    </row>
    <row r="524" spans="1:14">
      <c r="A524" s="45">
        <f ca="1">IFERROR(__xludf.DUMMYFUNCTION("""COMPUTED_VALUE"""),45421.5833333333)</f>
        <v>45421.583333333299</v>
      </c>
      <c r="B524" s="45">
        <f ca="1">IFERROR(__xludf.DUMMYFUNCTION("""COMPUTED_VALUE"""),45593.5833333333)</f>
        <v>45593.583333333299</v>
      </c>
      <c r="C524" s="46">
        <f ca="1">IFERROR(__xludf.DUMMYFUNCTION("""COMPUTED_VALUE"""),525)</f>
        <v>525</v>
      </c>
      <c r="D524" s="47" t="str">
        <f ca="1">IFERROR(__xludf.DUMMYFUNCTION("""COMPUTED_VALUE"""),"C0281")</f>
        <v>C0281</v>
      </c>
      <c r="E524" s="46" t="str">
        <f ca="1">IFERROR(__xludf.DUMMYFUNCTION("""COMPUTED_VALUE"""),"LÊ THỊ HOÀNG DUNG")</f>
        <v>LÊ THỊ HOÀNG DUNG</v>
      </c>
      <c r="F524" s="46" t="str">
        <f ca="1">IFERROR(__xludf.DUMMYFUNCTION("""COMPUTED_VALUE"""),"LE THI HOANG DUNG")</f>
        <v>LE THI HOANG DUNG</v>
      </c>
      <c r="G524" s="45">
        <f ca="1">IFERROR(__xludf.DUMMYFUNCTION("""COMPUTED_VALUE"""),36830.625)</f>
        <v>36830.625</v>
      </c>
      <c r="H524" s="45" t="str">
        <f ca="1">IFERROR(__xludf.DUMMYFUNCTION("""COMPUTED_VALUE"""),"SHADOW")</f>
        <v>SHADOW</v>
      </c>
      <c r="I524" s="46" t="str">
        <f ca="1">IFERROR(__xludf.DUMMYFUNCTION("""COMPUTED_VALUE"""),"STORE")</f>
        <v>STORE</v>
      </c>
      <c r="J524" s="46" t="str">
        <f ca="1">IFERROR(__xludf.DUMMYFUNCTION("""COMPUTED_VALUE"""),"BAKES PASTEUR")</f>
        <v>BAKES PASTEUR</v>
      </c>
      <c r="K524" s="46" t="str">
        <f ca="1">IFERROR(__xludf.DUMMYFUNCTION("""COMPUTED_VALUE"""),"WAITSTAFF")</f>
        <v>WAITSTAFF</v>
      </c>
      <c r="L524" s="46" t="str">
        <f ca="1">IFERROR(__xludf.DUMMYFUNCTION("""COMPUTED_VALUE"""),"PTE")</f>
        <v>PTE</v>
      </c>
      <c r="M524" s="46" t="str">
        <f ca="1">IFERROR(__xludf.DUMMYFUNCTION("""COMPUTED_VALUE"""),"Leave")</f>
        <v>Leave</v>
      </c>
      <c r="N524" s="46" t="str">
        <f ca="1">IFERROR(__xludf.DUMMYFUNCTION("""COMPUTED_VALUE"""),"x")</f>
        <v>x</v>
      </c>
    </row>
    <row r="525" spans="1:14">
      <c r="A525" s="45">
        <f ca="1">IFERROR(__xludf.DUMMYFUNCTION("""COMPUTED_VALUE"""),45425.5833333333)</f>
        <v>45425.583333333299</v>
      </c>
      <c r="B525" s="45">
        <f ca="1">IFERROR(__xludf.DUMMYFUNCTION("""COMPUTED_VALUE"""),45616.625)</f>
        <v>45616.625</v>
      </c>
      <c r="C525" s="46">
        <f ca="1">IFERROR(__xludf.DUMMYFUNCTION("""COMPUTED_VALUE"""),526)</f>
        <v>526</v>
      </c>
      <c r="D525" s="47" t="str">
        <f ca="1">IFERROR(__xludf.DUMMYFUNCTION("""COMPUTED_VALUE"""),"C0282")</f>
        <v>C0282</v>
      </c>
      <c r="E525" s="46" t="str">
        <f ca="1">IFERROR(__xludf.DUMMYFUNCTION("""COMPUTED_VALUE"""),"ĐẶNG TÀI CHÍ")</f>
        <v>ĐẶNG TÀI CHÍ</v>
      </c>
      <c r="F525" s="46" t="str">
        <f ca="1">IFERROR(__xludf.DUMMYFUNCTION("""COMPUTED_VALUE"""),"DANG TAI CHI")</f>
        <v>DANG TAI CHI</v>
      </c>
      <c r="G525" s="45">
        <f ca="1">IFERROR(__xludf.DUMMYFUNCTION("""COMPUTED_VALUE"""),33965.625)</f>
        <v>33965.625</v>
      </c>
      <c r="H525" s="45" t="str">
        <f ca="1">IFERROR(__xludf.DUMMYFUNCTION("""COMPUTED_VALUE"""),"KITCHEN PASTRY")</f>
        <v>KITCHEN PASTRY</v>
      </c>
      <c r="I525" s="46" t="str">
        <f ca="1">IFERROR(__xludf.DUMMYFUNCTION("""COMPUTED_VALUE"""),"KITCHEN PASTRY")</f>
        <v>KITCHEN PASTRY</v>
      </c>
      <c r="J525" s="46" t="str">
        <f ca="1">IFERROR(__xludf.DUMMYFUNCTION("""COMPUTED_VALUE"""),"KITCHEN PASTRY")</f>
        <v>KITCHEN PASTRY</v>
      </c>
      <c r="K525" s="46" t="str">
        <f ca="1">IFERROR(__xludf.DUMMYFUNCTION("""COMPUTED_VALUE"""),"WAITSTAFF")</f>
        <v>WAITSTAFF</v>
      </c>
      <c r="L525" s="46" t="str">
        <f ca="1">IFERROR(__xludf.DUMMYFUNCTION("""COMPUTED_VALUE"""),"PTE")</f>
        <v>PTE</v>
      </c>
      <c r="M525" s="46" t="str">
        <f ca="1">IFERROR(__xludf.DUMMYFUNCTION("""COMPUTED_VALUE"""),"Leave")</f>
        <v>Leave</v>
      </c>
      <c r="N525" s="46" t="str">
        <f ca="1">IFERROR(__xludf.DUMMYFUNCTION("""COMPUTED_VALUE"""),"x")</f>
        <v>x</v>
      </c>
    </row>
    <row r="526" spans="1:14">
      <c r="A526" s="45">
        <f ca="1">IFERROR(__xludf.DUMMYFUNCTION("""COMPUTED_VALUE"""),45866.5833333333)</f>
        <v>45866.583333333299</v>
      </c>
      <c r="B526" s="45">
        <f ca="1">IFERROR(__xludf.DUMMYFUNCTION("""COMPUTED_VALUE"""),45932.5833333333)</f>
        <v>45932.583333333299</v>
      </c>
      <c r="C526" s="46">
        <f ca="1">IFERROR(__xludf.DUMMYFUNCTION("""COMPUTED_VALUE"""),527)</f>
        <v>527</v>
      </c>
      <c r="D526" s="47" t="str">
        <f ca="1">IFERROR(__xludf.DUMMYFUNCTION("""COMPUTED_VALUE"""),"C0283")</f>
        <v>C0283</v>
      </c>
      <c r="E526" s="46" t="str">
        <f ca="1">IFERROR(__xludf.DUMMYFUNCTION("""COMPUTED_VALUE"""),"NGUYỄN THỊ HẠNH DUNG")</f>
        <v>NGUYỄN THỊ HẠNH DUNG</v>
      </c>
      <c r="F526" s="46" t="str">
        <f ca="1">IFERROR(__xludf.DUMMYFUNCTION("""COMPUTED_VALUE"""),"NGUYEN THI HANH DUNG")</f>
        <v>NGUYEN THI HANH DUNG</v>
      </c>
      <c r="G526" s="45">
        <f ca="1">IFERROR(__xludf.DUMMYFUNCTION("""COMPUTED_VALUE"""),38252.5833333333)</f>
        <v>38252.583333333299</v>
      </c>
      <c r="H526" s="45" t="str">
        <f ca="1">IFERROR(__xludf.DUMMYFUNCTION("""COMPUTED_VALUE"""),"MOONCAKE")</f>
        <v>MOONCAKE</v>
      </c>
      <c r="I526" s="46" t="str">
        <f ca="1">IFERROR(__xludf.DUMMYFUNCTION("""COMPUTED_VALUE"""),"KITCHEN PASTRY")</f>
        <v>KITCHEN PASTRY</v>
      </c>
      <c r="J526" s="46" t="str">
        <f ca="1">IFERROR(__xludf.DUMMYFUNCTION("""COMPUTED_VALUE"""),"KITCHEN PASTRY")</f>
        <v>KITCHEN PASTRY</v>
      </c>
      <c r="K526" s="46" t="str">
        <f ca="1">IFERROR(__xludf.DUMMYFUNCTION("""COMPUTED_VALUE"""),"PACKAGING")</f>
        <v>PACKAGING</v>
      </c>
      <c r="L526" s="46" t="str">
        <f ca="1">IFERROR(__xludf.DUMMYFUNCTION("""COMPUTED_VALUE"""),"PTE")</f>
        <v>PTE</v>
      </c>
      <c r="M526" s="46" t="str">
        <f ca="1">IFERROR(__xludf.DUMMYFUNCTION("""COMPUTED_VALUE"""),"Leave")</f>
        <v>Leave</v>
      </c>
      <c r="N526" s="46" t="str">
        <f ca="1">IFERROR(__xludf.DUMMYFUNCTION("""COMPUTED_VALUE"""),"đủ")</f>
        <v>đủ</v>
      </c>
    </row>
    <row r="527" spans="1:14">
      <c r="A527" s="45">
        <f ca="1">IFERROR(__xludf.DUMMYFUNCTION("""COMPUTED_VALUE"""),45426.5833333333)</f>
        <v>45426.583333333299</v>
      </c>
      <c r="B527" s="45">
        <f ca="1">IFERROR(__xludf.DUMMYFUNCTION("""COMPUTED_VALUE"""),45807.5833333333)</f>
        <v>45807.583333333299</v>
      </c>
      <c r="C527" s="46">
        <f ca="1">IFERROR(__xludf.DUMMYFUNCTION("""COMPUTED_VALUE"""),528)</f>
        <v>528</v>
      </c>
      <c r="D527" s="47" t="str">
        <f ca="1">IFERROR(__xludf.DUMMYFUNCTION("""COMPUTED_VALUE"""),"C0284")</f>
        <v>C0284</v>
      </c>
      <c r="E527" s="46" t="str">
        <f ca="1">IFERROR(__xludf.DUMMYFUNCTION("""COMPUTED_VALUE"""),"NGUYỄN KHÁNH CHI")</f>
        <v>NGUYỄN KHÁNH CHI</v>
      </c>
      <c r="F527" s="46" t="str">
        <f ca="1">IFERROR(__xludf.DUMMYFUNCTION("""COMPUTED_VALUE"""),"NGUYEN KHANH CHI")</f>
        <v>NGUYEN KHANH CHI</v>
      </c>
      <c r="G527" s="45">
        <f ca="1">IFERROR(__xludf.DUMMYFUNCTION("""COMPUTED_VALUE"""),36866.625)</f>
        <v>36866.625</v>
      </c>
      <c r="H527" s="45" t="str">
        <f ca="1">IFERROR(__xludf.DUMMYFUNCTION("""COMPUTED_VALUE"""),"CREATIVE")</f>
        <v>CREATIVE</v>
      </c>
      <c r="I527" s="46" t="str">
        <f ca="1">IFERROR(__xludf.DUMMYFUNCTION("""COMPUTED_VALUE"""),"HO")</f>
        <v>HO</v>
      </c>
      <c r="J527" s="46" t="str">
        <f ca="1">IFERROR(__xludf.DUMMYFUNCTION("""COMPUTED_VALUE"""),"STU")</f>
        <v>STU</v>
      </c>
      <c r="K527" s="46" t="str">
        <f ca="1">IFERROR(__xludf.DUMMYFUNCTION("""COMPUTED_VALUE"""),"STU")</f>
        <v>STU</v>
      </c>
      <c r="L527" s="46" t="str">
        <f ca="1">IFERROR(__xludf.DUMMYFUNCTION("""COMPUTED_VALUE"""),"FTE")</f>
        <v>FTE</v>
      </c>
      <c r="M527" s="46" t="str">
        <f ca="1">IFERROR(__xludf.DUMMYFUNCTION("""COMPUTED_VALUE"""),"Leave")</f>
        <v>Leave</v>
      </c>
      <c r="N527" s="46" t="str">
        <f ca="1">IFERROR(__xludf.DUMMYFUNCTION("""COMPUTED_VALUE"""),"x")</f>
        <v>x</v>
      </c>
    </row>
    <row r="528" spans="1:14">
      <c r="A528" s="45">
        <f ca="1">IFERROR(__xludf.DUMMYFUNCTION("""COMPUTED_VALUE"""),45433.5833333333)</f>
        <v>45433.583333333299</v>
      </c>
      <c r="B528" s="45">
        <f ca="1">IFERROR(__xludf.DUMMYFUNCTION("""COMPUTED_VALUE"""),45618.625)</f>
        <v>45618.625</v>
      </c>
      <c r="C528" s="46">
        <f ca="1">IFERROR(__xludf.DUMMYFUNCTION("""COMPUTED_VALUE"""),529)</f>
        <v>529</v>
      </c>
      <c r="D528" s="47" t="str">
        <f ca="1">IFERROR(__xludf.DUMMYFUNCTION("""COMPUTED_VALUE"""),"C0285")</f>
        <v>C0285</v>
      </c>
      <c r="E528" s="46" t="str">
        <f ca="1">IFERROR(__xludf.DUMMYFUNCTION("""COMPUTED_VALUE"""),"HOÀNG OANH")</f>
        <v>HOÀNG OANH</v>
      </c>
      <c r="F528" s="46" t="str">
        <f ca="1">IFERROR(__xludf.DUMMYFUNCTION("""COMPUTED_VALUE"""),"HOANG OANH")</f>
        <v>HOANG OANH</v>
      </c>
      <c r="G528" s="45">
        <f ca="1">IFERROR(__xludf.DUMMYFUNCTION("""COMPUTED_VALUE"""),34076.5833333333)</f>
        <v>34076.583333333299</v>
      </c>
      <c r="H528" s="45" t="str">
        <f ca="1">IFERROR(__xludf.DUMMYFUNCTION("""COMPUTED_VALUE"""),"BAKES")</f>
        <v>BAKES</v>
      </c>
      <c r="I528" s="46" t="str">
        <f ca="1">IFERROR(__xludf.DUMMYFUNCTION("""COMPUTED_VALUE"""),"STORE")</f>
        <v>STORE</v>
      </c>
      <c r="J528" s="46" t="str">
        <f ca="1">IFERROR(__xludf.DUMMYFUNCTION("""COMPUTED_VALUE"""),"BAKES D9")</f>
        <v>BAKES D9</v>
      </c>
      <c r="K528" s="46" t="str">
        <f ca="1">IFERROR(__xludf.DUMMYFUNCTION("""COMPUTED_VALUE"""),"Management team")</f>
        <v>Management team</v>
      </c>
      <c r="L528" s="46" t="str">
        <f ca="1">IFERROR(__xludf.DUMMYFUNCTION("""COMPUTED_VALUE"""),"FTE")</f>
        <v>FTE</v>
      </c>
      <c r="M528" s="46" t="str">
        <f ca="1">IFERROR(__xludf.DUMMYFUNCTION("""COMPUTED_VALUE"""),"Leave")</f>
        <v>Leave</v>
      </c>
      <c r="N528" s="46" t="str">
        <f ca="1">IFERROR(__xludf.DUMMYFUNCTION("""COMPUTED_VALUE"""),"x")</f>
        <v>x</v>
      </c>
    </row>
    <row r="529" spans="1:14">
      <c r="A529" s="45">
        <f ca="1">IFERROR(__xludf.DUMMYFUNCTION("""COMPUTED_VALUE"""),45433.5833333333)</f>
        <v>45433.583333333299</v>
      </c>
      <c r="B529" s="45">
        <f ca="1">IFERROR(__xludf.DUMMYFUNCTION("""COMPUTED_VALUE"""),45485.5833333333)</f>
        <v>45485.583333333299</v>
      </c>
      <c r="C529" s="46">
        <f ca="1">IFERROR(__xludf.DUMMYFUNCTION("""COMPUTED_VALUE"""),530)</f>
        <v>530</v>
      </c>
      <c r="D529" s="47" t="str">
        <f ca="1">IFERROR(__xludf.DUMMYFUNCTION("""COMPUTED_VALUE"""),"C0286")</f>
        <v>C0286</v>
      </c>
      <c r="E529" s="46" t="str">
        <f ca="1">IFERROR(__xludf.DUMMYFUNCTION("""COMPUTED_VALUE"""),"NGUYỄN PHƯƠNG NGA")</f>
        <v>NGUYỄN PHƯƠNG NGA</v>
      </c>
      <c r="F529" s="46" t="str">
        <f ca="1">IFERROR(__xludf.DUMMYFUNCTION("""COMPUTED_VALUE"""),"NGUYEN PHUONG NGA")</f>
        <v>NGUYEN PHUONG NGA</v>
      </c>
      <c r="G529" s="45">
        <f ca="1">IFERROR(__xludf.DUMMYFUNCTION("""COMPUTED_VALUE"""),37279.625)</f>
        <v>37279.625</v>
      </c>
      <c r="H529" s="45" t="str">
        <f ca="1">IFERROR(__xludf.DUMMYFUNCTION("""COMPUTED_VALUE"""),"BAKES")</f>
        <v>BAKES</v>
      </c>
      <c r="I529" s="46" t="str">
        <f ca="1">IFERROR(__xludf.DUMMYFUNCTION("""COMPUTED_VALUE"""),"HO")</f>
        <v>HO</v>
      </c>
      <c r="J529" s="46" t="str">
        <f ca="1">IFERROR(__xludf.DUMMYFUNCTION("""COMPUTED_VALUE"""),"SAL")</f>
        <v>SAL</v>
      </c>
      <c r="K529" s="46" t="str">
        <f ca="1">IFERROR(__xludf.DUMMYFUNCTION("""COMPUTED_VALUE"""),"SAL")</f>
        <v>SAL</v>
      </c>
      <c r="L529" s="46" t="str">
        <f ca="1">IFERROR(__xludf.DUMMYFUNCTION("""COMPUTED_VALUE"""),"SER")</f>
        <v>SER</v>
      </c>
      <c r="M529" s="46" t="str">
        <f ca="1">IFERROR(__xludf.DUMMYFUNCTION("""COMPUTED_VALUE"""),"Leave")</f>
        <v>Leave</v>
      </c>
      <c r="N529" s="46" t="str">
        <f ca="1">IFERROR(__xludf.DUMMYFUNCTION("""COMPUTED_VALUE"""),"x")</f>
        <v>x</v>
      </c>
    </row>
    <row r="530" spans="1:14">
      <c r="A530" s="45">
        <f ca="1">IFERROR(__xludf.DUMMYFUNCTION("""COMPUTED_VALUE"""),45422.5833333333)</f>
        <v>45422.583333333299</v>
      </c>
      <c r="B530" s="45">
        <f ca="1">IFERROR(__xludf.DUMMYFUNCTION("""COMPUTED_VALUE"""),45901.5833333333)</f>
        <v>45901.583333333299</v>
      </c>
      <c r="C530" s="46">
        <f ca="1">IFERROR(__xludf.DUMMYFUNCTION("""COMPUTED_VALUE"""),531)</f>
        <v>531</v>
      </c>
      <c r="D530" s="47" t="str">
        <f ca="1">IFERROR(__xludf.DUMMYFUNCTION("""COMPUTED_VALUE"""),"C0288")</f>
        <v>C0288</v>
      </c>
      <c r="E530" s="46" t="str">
        <f ca="1">IFERROR(__xludf.DUMMYFUNCTION("""COMPUTED_VALUE"""),"BÙI HOÀNG LONG")</f>
        <v>BÙI HOÀNG LONG</v>
      </c>
      <c r="F530" s="46" t="str">
        <f ca="1">IFERROR(__xludf.DUMMYFUNCTION("""COMPUTED_VALUE"""),"BUI HOANG LONG")</f>
        <v>BUI HOANG LONG</v>
      </c>
      <c r="G530" s="45">
        <f ca="1">IFERROR(__xludf.DUMMYFUNCTION("""COMPUTED_VALUE"""),35819.625)</f>
        <v>35819.625</v>
      </c>
      <c r="H530" s="45" t="str">
        <f ca="1">IFERROR(__xludf.DUMMYFUNCTION("""COMPUTED_VALUE"""),"YESHI")</f>
        <v>YESHI</v>
      </c>
      <c r="I530" s="46" t="str">
        <f ca="1">IFERROR(__xludf.DUMMYFUNCTION("""COMPUTED_VALUE"""),"STORE")</f>
        <v>STORE</v>
      </c>
      <c r="J530" s="46" t="str">
        <f ca="1">IFERROR(__xludf.DUMMYFUNCTION("""COMPUTED_VALUE"""),"YESHI D3")</f>
        <v>YESHI D3</v>
      </c>
      <c r="K530" s="46" t="str">
        <f ca="1">IFERROR(__xludf.DUMMYFUNCTION("""COMPUTED_VALUE"""),"KIT")</f>
        <v>KIT</v>
      </c>
      <c r="L530" s="46" t="str">
        <f ca="1">IFERROR(__xludf.DUMMYFUNCTION("""COMPUTED_VALUE"""),"FTE")</f>
        <v>FTE</v>
      </c>
      <c r="M530" s="46" t="str">
        <f ca="1">IFERROR(__xludf.DUMMYFUNCTION("""COMPUTED_VALUE"""),"Leave")</f>
        <v>Leave</v>
      </c>
      <c r="N530" s="46" t="str">
        <f ca="1">IFERROR(__xludf.DUMMYFUNCTION("""COMPUTED_VALUE"""),"đủ")</f>
        <v>đủ</v>
      </c>
    </row>
    <row r="531" spans="1:14">
      <c r="A531" s="45">
        <f ca="1">IFERROR(__xludf.DUMMYFUNCTION("""COMPUTED_VALUE"""),45426.5833333333)</f>
        <v>45426.583333333299</v>
      </c>
      <c r="B531" s="45">
        <f ca="1">IFERROR(__xludf.DUMMYFUNCTION("""COMPUTED_VALUE"""),45652.625)</f>
        <v>45652.625</v>
      </c>
      <c r="C531" s="46">
        <f ca="1">IFERROR(__xludf.DUMMYFUNCTION("""COMPUTED_VALUE"""),532)</f>
        <v>532</v>
      </c>
      <c r="D531" s="47" t="str">
        <f ca="1">IFERROR(__xludf.DUMMYFUNCTION("""COMPUTED_VALUE"""),"C0289")</f>
        <v>C0289</v>
      </c>
      <c r="E531" s="46" t="str">
        <f ca="1">IFERROR(__xludf.DUMMYFUNCTION("""COMPUTED_VALUE"""),"ĐỖ TRỌNG NGHĨA")</f>
        <v>ĐỖ TRỌNG NGHĨA</v>
      </c>
      <c r="F531" s="46" t="str">
        <f ca="1">IFERROR(__xludf.DUMMYFUNCTION("""COMPUTED_VALUE"""),"DO TRONG NGHIA")</f>
        <v>DO TRONG NGHIA</v>
      </c>
      <c r="G531" s="45">
        <f ca="1">IFERROR(__xludf.DUMMYFUNCTION("""COMPUTED_VALUE"""),36162.625)</f>
        <v>36162.625</v>
      </c>
      <c r="H531" s="45" t="str">
        <f ca="1">IFERROR(__xludf.DUMMYFUNCTION("""COMPUTED_VALUE"""),"YESHI")</f>
        <v>YESHI</v>
      </c>
      <c r="I531" s="46" t="str">
        <f ca="1">IFERROR(__xludf.DUMMYFUNCTION("""COMPUTED_VALUE"""),"STORE")</f>
        <v>STORE</v>
      </c>
      <c r="J531" s="46" t="str">
        <f ca="1">IFERROR(__xludf.DUMMYFUNCTION("""COMPUTED_VALUE"""),"YESHI D2")</f>
        <v>YESHI D2</v>
      </c>
      <c r="K531" s="46" t="str">
        <f ca="1">IFERROR(__xludf.DUMMYFUNCTION("""COMPUTED_VALUE"""),"BAR")</f>
        <v>BAR</v>
      </c>
      <c r="L531" s="46" t="str">
        <f ca="1">IFERROR(__xludf.DUMMYFUNCTION("""COMPUTED_VALUE"""),"FTE")</f>
        <v>FTE</v>
      </c>
      <c r="M531" s="46" t="str">
        <f ca="1">IFERROR(__xludf.DUMMYFUNCTION("""COMPUTED_VALUE"""),"Leave")</f>
        <v>Leave</v>
      </c>
      <c r="N531" s="46" t="str">
        <f ca="1">IFERROR(__xludf.DUMMYFUNCTION("""COMPUTED_VALUE"""),"x")</f>
        <v>x</v>
      </c>
    </row>
    <row r="532" spans="1:14">
      <c r="A532" s="45">
        <f ca="1">IFERROR(__xludf.DUMMYFUNCTION("""COMPUTED_VALUE"""),45433.5833333333)</f>
        <v>45433.583333333299</v>
      </c>
      <c r="B532" s="45">
        <f ca="1">IFERROR(__xludf.DUMMYFUNCTION("""COMPUTED_VALUE"""),45649.625)</f>
        <v>45649.625</v>
      </c>
      <c r="C532" s="46">
        <f ca="1">IFERROR(__xludf.DUMMYFUNCTION("""COMPUTED_VALUE"""),533)</f>
        <v>533</v>
      </c>
      <c r="D532" s="47" t="str">
        <f ca="1">IFERROR(__xludf.DUMMYFUNCTION("""COMPUTED_VALUE"""),"C0290")</f>
        <v>C0290</v>
      </c>
      <c r="E532" s="46" t="str">
        <f ca="1">IFERROR(__xludf.DUMMYFUNCTION("""COMPUTED_VALUE"""),"PHẠM HOÀNG NGỌC NHI")</f>
        <v>PHẠM HOÀNG NGỌC NHI</v>
      </c>
      <c r="F532" s="46" t="str">
        <f ca="1">IFERROR(__xludf.DUMMYFUNCTION("""COMPUTED_VALUE"""),"PHAM HOANG NGOC NHI")</f>
        <v>PHAM HOANG NGOC NHI</v>
      </c>
      <c r="G532" s="45">
        <f ca="1">IFERROR(__xludf.DUMMYFUNCTION("""COMPUTED_VALUE"""),38521.5833333333)</f>
        <v>38521.583333333299</v>
      </c>
      <c r="H532" s="45" t="str">
        <f ca="1">IFERROR(__xludf.DUMMYFUNCTION("""COMPUTED_VALUE"""),"YESHI")</f>
        <v>YESHI</v>
      </c>
      <c r="I532" s="46" t="str">
        <f ca="1">IFERROR(__xludf.DUMMYFUNCTION("""COMPUTED_VALUE"""),"STORE")</f>
        <v>STORE</v>
      </c>
      <c r="J532" s="46" t="str">
        <f ca="1">IFERROR(__xludf.DUMMYFUNCTION("""COMPUTED_VALUE"""),"YESHI D2")</f>
        <v>YESHI D2</v>
      </c>
      <c r="K532" s="46" t="str">
        <f ca="1">IFERROR(__xludf.DUMMYFUNCTION("""COMPUTED_VALUE"""),"WAITSTAFF")</f>
        <v>WAITSTAFF</v>
      </c>
      <c r="L532" s="46" t="str">
        <f ca="1">IFERROR(__xludf.DUMMYFUNCTION("""COMPUTED_VALUE"""),"PTE")</f>
        <v>PTE</v>
      </c>
      <c r="M532" s="46" t="str">
        <f ca="1">IFERROR(__xludf.DUMMYFUNCTION("""COMPUTED_VALUE"""),"Leave")</f>
        <v>Leave</v>
      </c>
      <c r="N532" s="46" t="str">
        <f ca="1">IFERROR(__xludf.DUMMYFUNCTION("""COMPUTED_VALUE"""),"x")</f>
        <v>x</v>
      </c>
    </row>
    <row r="533" spans="1:14">
      <c r="A533" s="45">
        <f ca="1">IFERROR(__xludf.DUMMYFUNCTION("""COMPUTED_VALUE"""),45427.5833333333)</f>
        <v>45427.583333333299</v>
      </c>
      <c r="B533" s="45">
        <f ca="1">IFERROR(__xludf.DUMMYFUNCTION("""COMPUTED_VALUE"""),45587.5833333333)</f>
        <v>45587.583333333299</v>
      </c>
      <c r="C533" s="46">
        <f ca="1">IFERROR(__xludf.DUMMYFUNCTION("""COMPUTED_VALUE"""),534)</f>
        <v>534</v>
      </c>
      <c r="D533" s="47" t="str">
        <f ca="1">IFERROR(__xludf.DUMMYFUNCTION("""COMPUTED_VALUE"""),"C0291")</f>
        <v>C0291</v>
      </c>
      <c r="E533" s="46" t="str">
        <f ca="1">IFERROR(__xludf.DUMMYFUNCTION("""COMPUTED_VALUE"""),"NGUYỄN THỊ THU VÂN")</f>
        <v>NGUYỄN THỊ THU VÂN</v>
      </c>
      <c r="F533" s="46" t="str">
        <f ca="1">IFERROR(__xludf.DUMMYFUNCTION("""COMPUTED_VALUE"""),"NGUYEN THI THU VAN")</f>
        <v>NGUYEN THI THU VAN</v>
      </c>
      <c r="G533" s="45">
        <f ca="1">IFERROR(__xludf.DUMMYFUNCTION("""COMPUTED_VALUE"""),25906.6666666666)</f>
        <v>25906.666666666599</v>
      </c>
      <c r="H533" s="45" t="str">
        <f ca="1">IFERROR(__xludf.DUMMYFUNCTION("""COMPUTED_VALUE"""),"CREATIVE")</f>
        <v>CREATIVE</v>
      </c>
      <c r="I533" s="46" t="str">
        <f ca="1">IFERROR(__xludf.DUMMYFUNCTION("""COMPUTED_VALUE"""),"HO")</f>
        <v>HO</v>
      </c>
      <c r="J533" s="46" t="str">
        <f ca="1">IFERROR(__xludf.DUMMYFUNCTION("""COMPUTED_VALUE"""),"HRD")</f>
        <v>HRD</v>
      </c>
      <c r="K533" s="46" t="str">
        <f ca="1">IFERROR(__xludf.DUMMYFUNCTION("""COMPUTED_VALUE"""),"HRD")</f>
        <v>HRD</v>
      </c>
      <c r="L533" s="46" t="str">
        <f ca="1">IFERROR(__xludf.DUMMYFUNCTION("""COMPUTED_VALUE"""),"SER")</f>
        <v>SER</v>
      </c>
      <c r="M533" s="46" t="str">
        <f ca="1">IFERROR(__xludf.DUMMYFUNCTION("""COMPUTED_VALUE"""),"Leave")</f>
        <v>Leave</v>
      </c>
      <c r="N533" s="46" t="str">
        <f ca="1">IFERROR(__xludf.DUMMYFUNCTION("""COMPUTED_VALUE"""),"x")</f>
        <v>x</v>
      </c>
    </row>
    <row r="534" spans="1:14">
      <c r="A534" s="45">
        <f ca="1">IFERROR(__xludf.DUMMYFUNCTION("""COMPUTED_VALUE"""),45432.5833333333)</f>
        <v>45432.583333333299</v>
      </c>
      <c r="B534" s="45">
        <f ca="1">IFERROR(__xludf.DUMMYFUNCTION("""COMPUTED_VALUE"""),45536.5833333333)</f>
        <v>45536.583333333299</v>
      </c>
      <c r="C534" s="46">
        <f ca="1">IFERROR(__xludf.DUMMYFUNCTION("""COMPUTED_VALUE"""),535)</f>
        <v>535</v>
      </c>
      <c r="D534" s="47" t="str">
        <f ca="1">IFERROR(__xludf.DUMMYFUNCTION("""COMPUTED_VALUE"""),"C0293")</f>
        <v>C0293</v>
      </c>
      <c r="E534" s="46" t="str">
        <f ca="1">IFERROR(__xludf.DUMMYFUNCTION("""COMPUTED_VALUE"""),"LÊ NGỌC TRÂM ANH")</f>
        <v>LÊ NGỌC TRÂM ANH</v>
      </c>
      <c r="F534" s="46" t="str">
        <f ca="1">IFERROR(__xludf.DUMMYFUNCTION("""COMPUTED_VALUE"""),"LE NGOC TRAM ANH")</f>
        <v>LE NGOC TRAM ANH</v>
      </c>
      <c r="G534" s="45">
        <f ca="1">IFERROR(__xludf.DUMMYFUNCTION("""COMPUTED_VALUE"""),38593.5833333333)</f>
        <v>38593.583333333299</v>
      </c>
      <c r="H534" s="45" t="str">
        <f ca="1">IFERROR(__xludf.DUMMYFUNCTION("""COMPUTED_VALUE"""),"BAKES")</f>
        <v>BAKES</v>
      </c>
      <c r="I534" s="46" t="str">
        <f ca="1">IFERROR(__xludf.DUMMYFUNCTION("""COMPUTED_VALUE"""),"STORE")</f>
        <v>STORE</v>
      </c>
      <c r="J534" s="46" t="str">
        <f ca="1">IFERROR(__xludf.DUMMYFUNCTION("""COMPUTED_VALUE"""),"BAKES D9")</f>
        <v>BAKES D9</v>
      </c>
      <c r="K534" s="46" t="str">
        <f ca="1">IFERROR(__xludf.DUMMYFUNCTION("""COMPUTED_VALUE"""),"Cashier")</f>
        <v>Cashier</v>
      </c>
      <c r="L534" s="46" t="str">
        <f ca="1">IFERROR(__xludf.DUMMYFUNCTION("""COMPUTED_VALUE"""),"PTE")</f>
        <v>PTE</v>
      </c>
      <c r="M534" s="46" t="str">
        <f ca="1">IFERROR(__xludf.DUMMYFUNCTION("""COMPUTED_VALUE"""),"Leave")</f>
        <v>Leave</v>
      </c>
      <c r="N534" s="46" t="str">
        <f ca="1">IFERROR(__xludf.DUMMYFUNCTION("""COMPUTED_VALUE"""),"x")</f>
        <v>x</v>
      </c>
    </row>
    <row r="535" spans="1:14">
      <c r="A535" s="45">
        <f ca="1">IFERROR(__xludf.DUMMYFUNCTION("""COMPUTED_VALUE"""),45435.5833333333)</f>
        <v>45435.583333333299</v>
      </c>
      <c r="B535" s="45">
        <f ca="1">IFERROR(__xludf.DUMMYFUNCTION("""COMPUTED_VALUE"""),45779.5833333333)</f>
        <v>45779.583333333299</v>
      </c>
      <c r="C535" s="46">
        <f ca="1">IFERROR(__xludf.DUMMYFUNCTION("""COMPUTED_VALUE"""),536)</f>
        <v>536</v>
      </c>
      <c r="D535" s="47" t="str">
        <f ca="1">IFERROR(__xludf.DUMMYFUNCTION("""COMPUTED_VALUE"""),"C0294")</f>
        <v>C0294</v>
      </c>
      <c r="E535" s="46" t="str">
        <f ca="1">IFERROR(__xludf.DUMMYFUNCTION("""COMPUTED_VALUE"""),"LÊ ANH NGỌC")</f>
        <v>LÊ ANH NGỌC</v>
      </c>
      <c r="F535" s="46" t="str">
        <f ca="1">IFERROR(__xludf.DUMMYFUNCTION("""COMPUTED_VALUE"""),"LE ANH NGOC")</f>
        <v>LE ANH NGOC</v>
      </c>
      <c r="G535" s="45">
        <f ca="1">IFERROR(__xludf.DUMMYFUNCTION("""COMPUTED_VALUE"""),38207.5833333333)</f>
        <v>38207.583333333299</v>
      </c>
      <c r="H535" s="45" t="str">
        <f ca="1">IFERROR(__xludf.DUMMYFUNCTION("""COMPUTED_VALUE"""),"BAKES")</f>
        <v>BAKES</v>
      </c>
      <c r="I535" s="46" t="str">
        <f ca="1">IFERROR(__xludf.DUMMYFUNCTION("""COMPUTED_VALUE"""),"STORE")</f>
        <v>STORE</v>
      </c>
      <c r="J535" s="46" t="str">
        <f ca="1">IFERROR(__xludf.DUMMYFUNCTION("""COMPUTED_VALUE"""),"BAKES D9")</f>
        <v>BAKES D9</v>
      </c>
      <c r="K535" s="46" t="str">
        <f ca="1">IFERROR(__xludf.DUMMYFUNCTION("""COMPUTED_VALUE"""),"Cashier")</f>
        <v>Cashier</v>
      </c>
      <c r="L535" s="46" t="str">
        <f ca="1">IFERROR(__xludf.DUMMYFUNCTION("""COMPUTED_VALUE"""),"PTE")</f>
        <v>PTE</v>
      </c>
      <c r="M535" s="46" t="str">
        <f ca="1">IFERROR(__xludf.DUMMYFUNCTION("""COMPUTED_VALUE"""),"Leave")</f>
        <v>Leave</v>
      </c>
      <c r="N535" s="46" t="str">
        <f ca="1">IFERROR(__xludf.DUMMYFUNCTION("""COMPUTED_VALUE"""),"x")</f>
        <v>x</v>
      </c>
    </row>
    <row r="536" spans="1:14">
      <c r="A536" s="45">
        <f ca="1">IFERROR(__xludf.DUMMYFUNCTION("""COMPUTED_VALUE"""),45436.5833333333)</f>
        <v>45436.583333333299</v>
      </c>
      <c r="B536" s="45">
        <f ca="1">IFERROR(__xludf.DUMMYFUNCTION("""COMPUTED_VALUE"""),45505.5833333333)</f>
        <v>45505.583333333299</v>
      </c>
      <c r="C536" s="46">
        <f ca="1">IFERROR(__xludf.DUMMYFUNCTION("""COMPUTED_VALUE"""),537)</f>
        <v>537</v>
      </c>
      <c r="D536" s="47" t="str">
        <f ca="1">IFERROR(__xludf.DUMMYFUNCTION("""COMPUTED_VALUE"""),"C0295")</f>
        <v>C0295</v>
      </c>
      <c r="E536" s="46" t="str">
        <f ca="1">IFERROR(__xludf.DUMMYFUNCTION("""COMPUTED_VALUE"""),"BÙI TRUNG HIẾU")</f>
        <v>BÙI TRUNG HIẾU</v>
      </c>
      <c r="F536" s="46" t="str">
        <f ca="1">IFERROR(__xludf.DUMMYFUNCTION("""COMPUTED_VALUE"""),"BUI TRUNG HIEU")</f>
        <v>BUI TRUNG HIEU</v>
      </c>
      <c r="G536" s="45">
        <f ca="1">IFERROR(__xludf.DUMMYFUNCTION("""COMPUTED_VALUE"""),38087.5833333333)</f>
        <v>38087.583333333299</v>
      </c>
      <c r="H536" s="45" t="str">
        <f ca="1">IFERROR(__xludf.DUMMYFUNCTION("""COMPUTED_VALUE"""),"BAKES")</f>
        <v>BAKES</v>
      </c>
      <c r="I536" s="46" t="str">
        <f ca="1">IFERROR(__xludf.DUMMYFUNCTION("""COMPUTED_VALUE"""),"STORE")</f>
        <v>STORE</v>
      </c>
      <c r="J536" s="46" t="str">
        <f ca="1">IFERROR(__xludf.DUMMYFUNCTION("""COMPUTED_VALUE"""),"BAKES D9")</f>
        <v>BAKES D9</v>
      </c>
      <c r="K536" s="46" t="str">
        <f ca="1">IFERROR(__xludf.DUMMYFUNCTION("""COMPUTED_VALUE"""),"STR")</f>
        <v>STR</v>
      </c>
      <c r="L536" s="46" t="str">
        <f ca="1">IFERROR(__xludf.DUMMYFUNCTION("""COMPUTED_VALUE"""),"PTE")</f>
        <v>PTE</v>
      </c>
      <c r="M536" s="46" t="str">
        <f ca="1">IFERROR(__xludf.DUMMYFUNCTION("""COMPUTED_VALUE"""),"Leave")</f>
        <v>Leave</v>
      </c>
      <c r="N536" s="46" t="str">
        <f ca="1">IFERROR(__xludf.DUMMYFUNCTION("""COMPUTED_VALUE"""),"x")</f>
        <v>x</v>
      </c>
    </row>
    <row r="537" spans="1:14">
      <c r="A537" s="45">
        <f ca="1">IFERROR(__xludf.DUMMYFUNCTION("""COMPUTED_VALUE"""),45439.5833333333)</f>
        <v>45439.583333333299</v>
      </c>
      <c r="B537" s="45">
        <f ca="1">IFERROR(__xludf.DUMMYFUNCTION("""COMPUTED_VALUE"""),45536.5833333333)</f>
        <v>45536.583333333299</v>
      </c>
      <c r="C537" s="46">
        <f ca="1">IFERROR(__xludf.DUMMYFUNCTION("""COMPUTED_VALUE"""),538)</f>
        <v>538</v>
      </c>
      <c r="D537" s="47" t="str">
        <f ca="1">IFERROR(__xludf.DUMMYFUNCTION("""COMPUTED_VALUE"""),"C0297")</f>
        <v>C0297</v>
      </c>
      <c r="E537" s="46" t="str">
        <f ca="1">IFERROR(__xludf.DUMMYFUNCTION("""COMPUTED_VALUE"""),"NGUYỄN TRẦN ÁNH DƯƠNG")</f>
        <v>NGUYỄN TRẦN ÁNH DƯƠNG</v>
      </c>
      <c r="F537" s="46" t="str">
        <f ca="1">IFERROR(__xludf.DUMMYFUNCTION("""COMPUTED_VALUE"""),"NGUYEN TRAN ANH DUONG")</f>
        <v>NGUYEN TRAN ANH DUONG</v>
      </c>
      <c r="G537" s="45">
        <f ca="1">IFERROR(__xludf.DUMMYFUNCTION("""COMPUTED_VALUE"""),38632.5833333333)</f>
        <v>38632.583333333299</v>
      </c>
      <c r="H537" s="45" t="str">
        <f ca="1">IFERROR(__xludf.DUMMYFUNCTION("""COMPUTED_VALUE"""),"BAKES")</f>
        <v>BAKES</v>
      </c>
      <c r="I537" s="46" t="str">
        <f ca="1">IFERROR(__xludf.DUMMYFUNCTION("""COMPUTED_VALUE"""),"STORE")</f>
        <v>STORE</v>
      </c>
      <c r="J537" s="46" t="str">
        <f ca="1">IFERROR(__xludf.DUMMYFUNCTION("""COMPUTED_VALUE"""),"BAKES D9")</f>
        <v>BAKES D9</v>
      </c>
      <c r="K537" s="46" t="str">
        <f ca="1">IFERROR(__xludf.DUMMYFUNCTION("""COMPUTED_VALUE"""),"Waitstaff")</f>
        <v>Waitstaff</v>
      </c>
      <c r="L537" s="46" t="str">
        <f ca="1">IFERROR(__xludf.DUMMYFUNCTION("""COMPUTED_VALUE"""),"PTE")</f>
        <v>PTE</v>
      </c>
      <c r="M537" s="46" t="str">
        <f ca="1">IFERROR(__xludf.DUMMYFUNCTION("""COMPUTED_VALUE"""),"Leave")</f>
        <v>Leave</v>
      </c>
      <c r="N537" s="46" t="str">
        <f ca="1">IFERROR(__xludf.DUMMYFUNCTION("""COMPUTED_VALUE"""),"x")</f>
        <v>x</v>
      </c>
    </row>
    <row r="538" spans="1:14">
      <c r="A538" s="45">
        <f ca="1">IFERROR(__xludf.DUMMYFUNCTION("""COMPUTED_VALUE"""),45440.5833333333)</f>
        <v>45440.583333333299</v>
      </c>
      <c r="B538" s="45">
        <f ca="1">IFERROR(__xludf.DUMMYFUNCTION("""COMPUTED_VALUE"""),46186.5833333333)</f>
        <v>46186.583333333299</v>
      </c>
      <c r="C538" s="46">
        <f ca="1">IFERROR(__xludf.DUMMYFUNCTION("""COMPUTED_VALUE"""),539)</f>
        <v>539</v>
      </c>
      <c r="D538" s="47" t="str">
        <f ca="1">IFERROR(__xludf.DUMMYFUNCTION("""COMPUTED_VALUE"""),"C0298")</f>
        <v>C0298</v>
      </c>
      <c r="E538" s="46" t="str">
        <f ca="1">IFERROR(__xludf.DUMMYFUNCTION("""COMPUTED_VALUE"""),"TRẦN VĂN NHÂN")</f>
        <v>TRẦN VĂN NHÂN</v>
      </c>
      <c r="F538" s="46" t="str">
        <f ca="1">IFERROR(__xludf.DUMMYFUNCTION("""COMPUTED_VALUE"""),"TRAN VAN NHAN")</f>
        <v>TRAN VAN NHAN</v>
      </c>
      <c r="G538" s="45">
        <f ca="1">IFERROR(__xludf.DUMMYFUNCTION("""COMPUTED_VALUE"""),34488.5833333333)</f>
        <v>34488.583333333299</v>
      </c>
      <c r="H538" s="45" t="str">
        <f ca="1">IFERROR(__xludf.DUMMYFUNCTION("""COMPUTED_VALUE"""),"BAKES")</f>
        <v>BAKES</v>
      </c>
      <c r="I538" s="46" t="str">
        <f ca="1">IFERROR(__xludf.DUMMYFUNCTION("""COMPUTED_VALUE"""),"HO")</f>
        <v>HO</v>
      </c>
      <c r="J538" s="46" t="str">
        <f ca="1">IFERROR(__xludf.DUMMYFUNCTION("""COMPUTED_VALUE"""),"OPS")</f>
        <v>OPS</v>
      </c>
      <c r="K538" s="46" t="str">
        <f ca="1">IFERROR(__xludf.DUMMYFUNCTION("""COMPUTED_VALUE"""),"OPS")</f>
        <v>OPS</v>
      </c>
      <c r="L538" s="46" t="str">
        <f ca="1">IFERROR(__xludf.DUMMYFUNCTION("""COMPUTED_VALUE"""),"FTE")</f>
        <v>FTE</v>
      </c>
      <c r="M538" s="46" t="str">
        <f ca="1">IFERROR(__xludf.DUMMYFUNCTION("""COMPUTED_VALUE"""),"Leave")</f>
        <v>Leave</v>
      </c>
      <c r="N538" s="46" t="str">
        <f ca="1">IFERROR(__xludf.DUMMYFUNCTION("""COMPUTED_VALUE"""),"đủ")</f>
        <v>đủ</v>
      </c>
    </row>
    <row r="539" spans="1:14">
      <c r="A539" s="45">
        <f ca="1">IFERROR(__xludf.DUMMYFUNCTION("""COMPUTED_VALUE"""),45440.5833333333)</f>
        <v>45440.583333333299</v>
      </c>
      <c r="B539" s="45">
        <f ca="1">IFERROR(__xludf.DUMMYFUNCTION("""COMPUTED_VALUE"""),45661.625)</f>
        <v>45661.625</v>
      </c>
      <c r="C539" s="46">
        <f ca="1">IFERROR(__xludf.DUMMYFUNCTION("""COMPUTED_VALUE"""),540)</f>
        <v>540</v>
      </c>
      <c r="D539" s="47" t="str">
        <f ca="1">IFERROR(__xludf.DUMMYFUNCTION("""COMPUTED_VALUE"""),"C0299")</f>
        <v>C0299</v>
      </c>
      <c r="E539" s="46" t="str">
        <f ca="1">IFERROR(__xludf.DUMMYFUNCTION("""COMPUTED_VALUE"""),"HỒNG VĂN VINH")</f>
        <v>HỒNG VĂN VINH</v>
      </c>
      <c r="F539" s="46" t="str">
        <f ca="1">IFERROR(__xludf.DUMMYFUNCTION("""COMPUTED_VALUE"""),"HONG VAN VINH")</f>
        <v>HONG VAN VINH</v>
      </c>
      <c r="G539" s="45">
        <f ca="1">IFERROR(__xludf.DUMMYFUNCTION("""COMPUTED_VALUE"""),32220.625)</f>
        <v>32220.625</v>
      </c>
      <c r="H539" s="45" t="str">
        <f ca="1">IFERROR(__xludf.DUMMYFUNCTION("""COMPUTED_VALUE"""),"BAKES")</f>
        <v>BAKES</v>
      </c>
      <c r="I539" s="46" t="str">
        <f ca="1">IFERROR(__xludf.DUMMYFUNCTION("""COMPUTED_VALUE"""),"HO")</f>
        <v>HO</v>
      </c>
      <c r="J539" s="46" t="str">
        <f ca="1">IFERROR(__xludf.DUMMYFUNCTION("""COMPUTED_VALUE"""),"MKT")</f>
        <v>MKT</v>
      </c>
      <c r="K539" s="46" t="str">
        <f ca="1">IFERROR(__xludf.DUMMYFUNCTION("""COMPUTED_VALUE"""),"MKT")</f>
        <v>MKT</v>
      </c>
      <c r="L539" s="46" t="str">
        <f ca="1">IFERROR(__xludf.DUMMYFUNCTION("""COMPUTED_VALUE"""),"FTE")</f>
        <v>FTE</v>
      </c>
      <c r="M539" s="46" t="str">
        <f ca="1">IFERROR(__xludf.DUMMYFUNCTION("""COMPUTED_VALUE"""),"Leave")</f>
        <v>Leave</v>
      </c>
      <c r="N539" s="46" t="str">
        <f ca="1">IFERROR(__xludf.DUMMYFUNCTION("""COMPUTED_VALUE"""),"x")</f>
        <v>x</v>
      </c>
    </row>
    <row r="540" spans="1:14">
      <c r="A540" s="45">
        <f ca="1">IFERROR(__xludf.DUMMYFUNCTION("""COMPUTED_VALUE"""),45441.5833333333)</f>
        <v>45441.583333333299</v>
      </c>
      <c r="B540" s="45">
        <f ca="1">IFERROR(__xludf.DUMMYFUNCTION("""COMPUTED_VALUE"""),45462.5833333333)</f>
        <v>45462.583333333299</v>
      </c>
      <c r="C540" s="46">
        <f ca="1">IFERROR(__xludf.DUMMYFUNCTION("""COMPUTED_VALUE"""),541)</f>
        <v>541</v>
      </c>
      <c r="D540" s="47" t="str">
        <f ca="1">IFERROR(__xludf.DUMMYFUNCTION("""COMPUTED_VALUE"""),"C0300")</f>
        <v>C0300</v>
      </c>
      <c r="E540" s="46" t="str">
        <f ca="1">IFERROR(__xludf.DUMMYFUNCTION("""COMPUTED_VALUE"""),"LÊ ANH TUẤN")</f>
        <v>LÊ ANH TUẤN</v>
      </c>
      <c r="F540" s="46" t="str">
        <f ca="1">IFERROR(__xludf.DUMMYFUNCTION("""COMPUTED_VALUE"""),"LE ANH TUAN")</f>
        <v>LE ANH TUAN</v>
      </c>
      <c r="G540" s="45">
        <f ca="1">IFERROR(__xludf.DUMMYFUNCTION("""COMPUTED_VALUE"""),33400.5833333333)</f>
        <v>33400.583333333299</v>
      </c>
      <c r="H540" s="45" t="str">
        <f ca="1">IFERROR(__xludf.DUMMYFUNCTION("""COMPUTED_VALUE"""),"BAKES")</f>
        <v>BAKES</v>
      </c>
      <c r="I540" s="46" t="str">
        <f ca="1">IFERROR(__xludf.DUMMYFUNCTION("""COMPUTED_VALUE"""),"HO")</f>
        <v>HO</v>
      </c>
      <c r="J540" s="46" t="str">
        <f ca="1">IFERROR(__xludf.DUMMYFUNCTION("""COMPUTED_VALUE"""),"OPS")</f>
        <v>OPS</v>
      </c>
      <c r="K540" s="46" t="str">
        <f ca="1">IFERROR(__xludf.DUMMYFUNCTION("""COMPUTED_VALUE"""),"OPS")</f>
        <v>OPS</v>
      </c>
      <c r="L540" s="46" t="str">
        <f ca="1">IFERROR(__xludf.DUMMYFUNCTION("""COMPUTED_VALUE"""),"PRO")</f>
        <v>PRO</v>
      </c>
      <c r="M540" s="46" t="str">
        <f ca="1">IFERROR(__xludf.DUMMYFUNCTION("""COMPUTED_VALUE"""),"Leave")</f>
        <v>Leave</v>
      </c>
      <c r="N540" s="46" t="str">
        <f ca="1">IFERROR(__xludf.DUMMYFUNCTION("""COMPUTED_VALUE"""),"x")</f>
        <v>x</v>
      </c>
    </row>
    <row r="541" spans="1:14">
      <c r="A541" s="45">
        <f ca="1">IFERROR(__xludf.DUMMYFUNCTION("""COMPUTED_VALUE"""),45431.5833333333)</f>
        <v>45431.583333333299</v>
      </c>
      <c r="B541" s="45">
        <f ca="1">IFERROR(__xludf.DUMMYFUNCTION("""COMPUTED_VALUE"""),45483.5833333333)</f>
        <v>45483.583333333299</v>
      </c>
      <c r="C541" s="46">
        <f ca="1">IFERROR(__xludf.DUMMYFUNCTION("""COMPUTED_VALUE"""),542)</f>
        <v>542</v>
      </c>
      <c r="D541" s="47" t="str">
        <f ca="1">IFERROR(__xludf.DUMMYFUNCTION("""COMPUTED_VALUE"""),"C0301")</f>
        <v>C0301</v>
      </c>
      <c r="E541" s="46" t="str">
        <f ca="1">IFERROR(__xludf.DUMMYFUNCTION("""COMPUTED_VALUE"""),"BÙI THÀNH NAM")</f>
        <v>BÙI THÀNH NAM</v>
      </c>
      <c r="F541" s="46" t="str">
        <f ca="1">IFERROR(__xludf.DUMMYFUNCTION("""COMPUTED_VALUE"""),"BUI THANH NAM")</f>
        <v>BUI THANH NAM</v>
      </c>
      <c r="G541" s="45">
        <f ca="1">IFERROR(__xludf.DUMMYFUNCTION("""COMPUTED_VALUE"""),36599.625)</f>
        <v>36599.625</v>
      </c>
      <c r="H541" s="45" t="str">
        <f ca="1">IFERROR(__xludf.DUMMYFUNCTION("""COMPUTED_VALUE"""),"KITCHEN PASTRY")</f>
        <v>KITCHEN PASTRY</v>
      </c>
      <c r="I541" s="46" t="str">
        <f ca="1">IFERROR(__xludf.DUMMYFUNCTION("""COMPUTED_VALUE"""),"KITCHEN PASTRY")</f>
        <v>KITCHEN PASTRY</v>
      </c>
      <c r="J541" s="46" t="str">
        <f ca="1">IFERROR(__xludf.DUMMYFUNCTION("""COMPUTED_VALUE"""),"BAKES D9")</f>
        <v>BAKES D9</v>
      </c>
      <c r="K541" s="46" t="str">
        <f ca="1">IFERROR(__xludf.DUMMYFUNCTION("""COMPUTED_VALUE"""),"BAKER")</f>
        <v>BAKER</v>
      </c>
      <c r="L541" s="46" t="str">
        <f ca="1">IFERROR(__xludf.DUMMYFUNCTION("""COMPUTED_VALUE"""),"PTE")</f>
        <v>PTE</v>
      </c>
      <c r="M541" s="46" t="str">
        <f ca="1">IFERROR(__xludf.DUMMYFUNCTION("""COMPUTED_VALUE"""),"Leave")</f>
        <v>Leave</v>
      </c>
      <c r="N541" s="46" t="str">
        <f ca="1">IFERROR(__xludf.DUMMYFUNCTION("""COMPUTED_VALUE"""),"đủ")</f>
        <v>đủ</v>
      </c>
    </row>
    <row r="542" spans="1:14">
      <c r="A542" s="45">
        <f ca="1">IFERROR(__xludf.DUMMYFUNCTION("""COMPUTED_VALUE"""),45426.5833333333)</f>
        <v>45426.583333333299</v>
      </c>
      <c r="B542" s="45">
        <f ca="1">IFERROR(__xludf.DUMMYFUNCTION("""COMPUTED_VALUE"""),45719.625)</f>
        <v>45719.625</v>
      </c>
      <c r="C542" s="46">
        <f ca="1">IFERROR(__xludf.DUMMYFUNCTION("""COMPUTED_VALUE"""),543)</f>
        <v>543</v>
      </c>
      <c r="D542" s="47" t="str">
        <f ca="1">IFERROR(__xludf.DUMMYFUNCTION("""COMPUTED_VALUE"""),"C0302")</f>
        <v>C0302</v>
      </c>
      <c r="E542" s="46" t="str">
        <f ca="1">IFERROR(__xludf.DUMMYFUNCTION("""COMPUTED_VALUE"""),"NGUYỄN TRƯỜNG ĐAN THANH")</f>
        <v>NGUYỄN TRƯỜNG ĐAN THANH</v>
      </c>
      <c r="F542" s="46" t="str">
        <f ca="1">IFERROR(__xludf.DUMMYFUNCTION("""COMPUTED_VALUE"""),"NGUYEN TRUONG DAN THANH")</f>
        <v>NGUYEN TRUONG DAN THANH</v>
      </c>
      <c r="G542" s="45">
        <f ca="1">IFERROR(__xludf.DUMMYFUNCTION("""COMPUTED_VALUE"""),37269.625)</f>
        <v>37269.625</v>
      </c>
      <c r="H542" s="45" t="str">
        <f ca="1">IFERROR(__xludf.DUMMYFUNCTION("""COMPUTED_VALUE"""),"MATTE")</f>
        <v>MATTE</v>
      </c>
      <c r="I542" s="46" t="str">
        <f ca="1">IFERROR(__xludf.DUMMYFUNCTION("""COMPUTED_VALUE"""),"STORE")</f>
        <v>STORE</v>
      </c>
      <c r="J542" s="46" t="str">
        <f ca="1">IFERROR(__xludf.DUMMYFUNCTION("""COMPUTED_VALUE"""),"MATTE D7")</f>
        <v>MATTE D7</v>
      </c>
      <c r="K542" s="46" t="str">
        <f ca="1">IFERROR(__xludf.DUMMYFUNCTION("""COMPUTED_VALUE"""),"BAR")</f>
        <v>BAR</v>
      </c>
      <c r="L542" s="46" t="str">
        <f ca="1">IFERROR(__xludf.DUMMYFUNCTION("""COMPUTED_VALUE"""),"FTE")</f>
        <v>FTE</v>
      </c>
      <c r="M542" s="46" t="str">
        <f ca="1">IFERROR(__xludf.DUMMYFUNCTION("""COMPUTED_VALUE"""),"Leave")</f>
        <v>Leave</v>
      </c>
      <c r="N542" s="46" t="str">
        <f ca="1">IFERROR(__xludf.DUMMYFUNCTION("""COMPUTED_VALUE"""),"x")</f>
        <v>x</v>
      </c>
    </row>
    <row r="543" spans="1:14">
      <c r="A543" s="45">
        <f ca="1">IFERROR(__xludf.DUMMYFUNCTION("""COMPUTED_VALUE"""),45436.5833333333)</f>
        <v>45436.583333333299</v>
      </c>
      <c r="B543" s="45">
        <f ca="1">IFERROR(__xludf.DUMMYFUNCTION("""COMPUTED_VALUE"""),45483.5833333333)</f>
        <v>45483.583333333299</v>
      </c>
      <c r="C543" s="46">
        <f ca="1">IFERROR(__xludf.DUMMYFUNCTION("""COMPUTED_VALUE"""),544)</f>
        <v>544</v>
      </c>
      <c r="D543" s="47" t="str">
        <f ca="1">IFERROR(__xludf.DUMMYFUNCTION("""COMPUTED_VALUE"""),"C0303")</f>
        <v>C0303</v>
      </c>
      <c r="E543" s="46" t="str">
        <f ca="1">IFERROR(__xludf.DUMMYFUNCTION("""COMPUTED_VALUE"""),"NGUYỄN THỊ NHÃ LINH")</f>
        <v>NGUYỄN THỊ NHÃ LINH</v>
      </c>
      <c r="F543" s="46" t="str">
        <f ca="1">IFERROR(__xludf.DUMMYFUNCTION("""COMPUTED_VALUE"""),"NGUYEN THI NHA LINH")</f>
        <v>NGUYEN THI NHA LINH</v>
      </c>
      <c r="G543" s="45">
        <f ca="1">IFERROR(__xludf.DUMMYFUNCTION("""COMPUTED_VALUE"""),38007.625)</f>
        <v>38007.625</v>
      </c>
      <c r="H543" s="45" t="str">
        <f ca="1">IFERROR(__xludf.DUMMYFUNCTION("""COMPUTED_VALUE"""),"BAKES")</f>
        <v>BAKES</v>
      </c>
      <c r="I543" s="46" t="str">
        <f ca="1">IFERROR(__xludf.DUMMYFUNCTION("""COMPUTED_VALUE"""),"STORE")</f>
        <v>STORE</v>
      </c>
      <c r="J543" s="46" t="str">
        <f ca="1">IFERROR(__xludf.DUMMYFUNCTION("""COMPUTED_VALUE"""),"BAKES D2")</f>
        <v>BAKES D2</v>
      </c>
      <c r="K543" s="46" t="str">
        <f ca="1">IFERROR(__xludf.DUMMYFUNCTION("""COMPUTED_VALUE"""),"STR")</f>
        <v>STR</v>
      </c>
      <c r="L543" s="46" t="str">
        <f ca="1">IFERROR(__xludf.DUMMYFUNCTION("""COMPUTED_VALUE"""),"PTE")</f>
        <v>PTE</v>
      </c>
      <c r="M543" s="46" t="str">
        <f ca="1">IFERROR(__xludf.DUMMYFUNCTION("""COMPUTED_VALUE"""),"Leave")</f>
        <v>Leave</v>
      </c>
      <c r="N543" s="46" t="str">
        <f ca="1">IFERROR(__xludf.DUMMYFUNCTION("""COMPUTED_VALUE"""),"x")</f>
        <v>x</v>
      </c>
    </row>
    <row r="544" spans="1:14">
      <c r="A544" s="45">
        <f ca="1">IFERROR(__xludf.DUMMYFUNCTION("""COMPUTED_VALUE"""),45435.5833333333)</f>
        <v>45435.583333333299</v>
      </c>
      <c r="B544" s="45">
        <f ca="1">IFERROR(__xludf.DUMMYFUNCTION("""COMPUTED_VALUE"""),45566.5833333333)</f>
        <v>45566.583333333299</v>
      </c>
      <c r="C544" s="46">
        <f ca="1">IFERROR(__xludf.DUMMYFUNCTION("""COMPUTED_VALUE"""),545)</f>
        <v>545</v>
      </c>
      <c r="D544" s="47" t="str">
        <f ca="1">IFERROR(__xludf.DUMMYFUNCTION("""COMPUTED_VALUE"""),"C0304")</f>
        <v>C0304</v>
      </c>
      <c r="E544" s="46" t="str">
        <f ca="1">IFERROR(__xludf.DUMMYFUNCTION("""COMPUTED_VALUE"""),"TĂNG MAI HOÀNG AN")</f>
        <v>TĂNG MAI HOÀNG AN</v>
      </c>
      <c r="F544" s="46" t="str">
        <f ca="1">IFERROR(__xludf.DUMMYFUNCTION("""COMPUTED_VALUE"""),"TANG MAI HOANG AN")</f>
        <v>TANG MAI HOANG AN</v>
      </c>
      <c r="G544" s="45">
        <f ca="1">IFERROR(__xludf.DUMMYFUNCTION("""COMPUTED_VALUE"""),37822.5833333333)</f>
        <v>37822.583333333299</v>
      </c>
      <c r="H544" s="45" t="str">
        <f ca="1">IFERROR(__xludf.DUMMYFUNCTION("""COMPUTED_VALUE"""),"BAKES")</f>
        <v>BAKES</v>
      </c>
      <c r="I544" s="46" t="str">
        <f ca="1">IFERROR(__xludf.DUMMYFUNCTION("""COMPUTED_VALUE"""),"STORE")</f>
        <v>STORE</v>
      </c>
      <c r="J544" s="46" t="str">
        <f ca="1">IFERROR(__xludf.DUMMYFUNCTION("""COMPUTED_VALUE"""),"BAKES D2")</f>
        <v>BAKES D2</v>
      </c>
      <c r="K544" s="46" t="str">
        <f ca="1">IFERROR(__xludf.DUMMYFUNCTION("""COMPUTED_VALUE"""),"WAITSTAFF")</f>
        <v>WAITSTAFF</v>
      </c>
      <c r="L544" s="46" t="str">
        <f ca="1">IFERROR(__xludf.DUMMYFUNCTION("""COMPUTED_VALUE"""),"PTE")</f>
        <v>PTE</v>
      </c>
      <c r="M544" s="46" t="str">
        <f ca="1">IFERROR(__xludf.DUMMYFUNCTION("""COMPUTED_VALUE"""),"Leave")</f>
        <v>Leave</v>
      </c>
      <c r="N544" s="46" t="str">
        <f ca="1">IFERROR(__xludf.DUMMYFUNCTION("""COMPUTED_VALUE"""),"x")</f>
        <v>x</v>
      </c>
    </row>
    <row r="545" spans="1:14">
      <c r="A545" s="45">
        <f ca="1">IFERROR(__xludf.DUMMYFUNCTION("""COMPUTED_VALUE"""),45421.5833333333)</f>
        <v>45421.583333333299</v>
      </c>
      <c r="B545" s="45">
        <f ca="1">IFERROR(__xludf.DUMMYFUNCTION("""COMPUTED_VALUE"""),45465.5833333333)</f>
        <v>45465.583333333299</v>
      </c>
      <c r="C545" s="46">
        <f ca="1">IFERROR(__xludf.DUMMYFUNCTION("""COMPUTED_VALUE"""),546)</f>
        <v>546</v>
      </c>
      <c r="D545" s="47" t="str">
        <f ca="1">IFERROR(__xludf.DUMMYFUNCTION("""COMPUTED_VALUE"""),"C0305")</f>
        <v>C0305</v>
      </c>
      <c r="E545" s="46" t="str">
        <f ca="1">IFERROR(__xludf.DUMMYFUNCTION("""COMPUTED_VALUE"""),"ĐOÀN PHI HÙNG")</f>
        <v>ĐOÀN PHI HÙNG</v>
      </c>
      <c r="F545" s="46" t="str">
        <f ca="1">IFERROR(__xludf.DUMMYFUNCTION("""COMPUTED_VALUE"""),"DOAN PHI HUNG")</f>
        <v>DOAN PHI HUNG</v>
      </c>
      <c r="G545" s="45">
        <f ca="1">IFERROR(__xludf.DUMMYFUNCTION("""COMPUTED_VALUE"""),38502.5833333333)</f>
        <v>38502.583333333299</v>
      </c>
      <c r="H545" s="45" t="str">
        <f ca="1">IFERROR(__xludf.DUMMYFUNCTION("""COMPUTED_VALUE"""),"YESHI")</f>
        <v>YESHI</v>
      </c>
      <c r="I545" s="46" t="str">
        <f ca="1">IFERROR(__xludf.DUMMYFUNCTION("""COMPUTED_VALUE"""),"STORE")</f>
        <v>STORE</v>
      </c>
      <c r="J545" s="46" t="str">
        <f ca="1">IFERROR(__xludf.DUMMYFUNCTION("""COMPUTED_VALUE"""),"YESHI D2")</f>
        <v>YESHI D2</v>
      </c>
      <c r="K545" s="46" t="str">
        <f ca="1">IFERROR(__xludf.DUMMYFUNCTION("""COMPUTED_VALUE"""),"STR")</f>
        <v>STR</v>
      </c>
      <c r="L545" s="46" t="str">
        <f ca="1">IFERROR(__xludf.DUMMYFUNCTION("""COMPUTED_VALUE"""),"PTE")</f>
        <v>PTE</v>
      </c>
      <c r="M545" s="46" t="str">
        <f ca="1">IFERROR(__xludf.DUMMYFUNCTION("""COMPUTED_VALUE"""),"Leave")</f>
        <v>Leave</v>
      </c>
      <c r="N545" s="46" t="str">
        <f ca="1">IFERROR(__xludf.DUMMYFUNCTION("""COMPUTED_VALUE"""),"x")</f>
        <v>x</v>
      </c>
    </row>
    <row r="546" spans="1:14">
      <c r="A546" s="45">
        <f ca="1">IFERROR(__xludf.DUMMYFUNCTION("""COMPUTED_VALUE"""),45447.5833333333)</f>
        <v>45447.583333333299</v>
      </c>
      <c r="B546" s="45">
        <f ca="1">IFERROR(__xludf.DUMMYFUNCTION("""COMPUTED_VALUE"""),45640.625)</f>
        <v>45640.625</v>
      </c>
      <c r="C546" s="46">
        <f ca="1">IFERROR(__xludf.DUMMYFUNCTION("""COMPUTED_VALUE"""),547)</f>
        <v>547</v>
      </c>
      <c r="D546" s="47" t="str">
        <f ca="1">IFERROR(__xludf.DUMMYFUNCTION("""COMPUTED_VALUE"""),"C0306")</f>
        <v>C0306</v>
      </c>
      <c r="E546" s="46" t="str">
        <f ca="1">IFERROR(__xludf.DUMMYFUNCTION("""COMPUTED_VALUE"""),"VŨ PHẠM LAM GIANG")</f>
        <v>VŨ PHẠM LAM GIANG</v>
      </c>
      <c r="F546" s="46" t="str">
        <f ca="1">IFERROR(__xludf.DUMMYFUNCTION("""COMPUTED_VALUE"""),"VU PHAM LAM GIANG")</f>
        <v>VU PHAM LAM GIANG</v>
      </c>
      <c r="G546" s="45">
        <f ca="1">IFERROR(__xludf.DUMMYFUNCTION("""COMPUTED_VALUE"""),37849.5833333333)</f>
        <v>37849.583333333299</v>
      </c>
      <c r="H546" s="45" t="str">
        <f ca="1">IFERROR(__xludf.DUMMYFUNCTION("""COMPUTED_VALUE"""),"CREATIVE")</f>
        <v>CREATIVE</v>
      </c>
      <c r="I546" s="46" t="str">
        <f ca="1">IFERROR(__xludf.DUMMYFUNCTION("""COMPUTED_VALUE"""),"HO")</f>
        <v>HO</v>
      </c>
      <c r="J546" s="46" t="str">
        <f ca="1">IFERROR(__xludf.DUMMYFUNCTION("""COMPUTED_VALUE"""),"HRD")</f>
        <v>HRD</v>
      </c>
      <c r="K546" s="46" t="str">
        <f ca="1">IFERROR(__xludf.DUMMYFUNCTION("""COMPUTED_VALUE"""),"HRD")</f>
        <v>HRD</v>
      </c>
      <c r="L546" s="46" t="str">
        <f ca="1">IFERROR(__xludf.DUMMYFUNCTION("""COMPUTED_VALUE"""),"SER")</f>
        <v>SER</v>
      </c>
      <c r="M546" s="46" t="str">
        <f ca="1">IFERROR(__xludf.DUMMYFUNCTION("""COMPUTED_VALUE"""),"Leave")</f>
        <v>Leave</v>
      </c>
      <c r="N546" s="46" t="str">
        <f ca="1">IFERROR(__xludf.DUMMYFUNCTION("""COMPUTED_VALUE"""),"x")</f>
        <v>x</v>
      </c>
    </row>
    <row r="547" spans="1:14">
      <c r="A547" s="45">
        <f ca="1">IFERROR(__xludf.DUMMYFUNCTION("""COMPUTED_VALUE"""),45447.5833333333)</f>
        <v>45447.583333333299</v>
      </c>
      <c r="B547" s="45">
        <f ca="1">IFERROR(__xludf.DUMMYFUNCTION("""COMPUTED_VALUE"""),45449.5833333333)</f>
        <v>45449.583333333299</v>
      </c>
      <c r="C547" s="46">
        <f ca="1">IFERROR(__xludf.DUMMYFUNCTION("""COMPUTED_VALUE"""),548)</f>
        <v>548</v>
      </c>
      <c r="D547" s="47" t="str">
        <f ca="1">IFERROR(__xludf.DUMMYFUNCTION("""COMPUTED_VALUE"""),"C0307")</f>
        <v>C0307</v>
      </c>
      <c r="E547" s="46" t="str">
        <f ca="1">IFERROR(__xludf.DUMMYFUNCTION("""COMPUTED_VALUE"""),"LÊ THỊ MỘNG KHA")</f>
        <v>LÊ THỊ MỘNG KHA</v>
      </c>
      <c r="F547" s="46" t="str">
        <f ca="1">IFERROR(__xludf.DUMMYFUNCTION("""COMPUTED_VALUE"""),"LE THI MONG KHA")</f>
        <v>LE THI MONG KHA</v>
      </c>
      <c r="G547" s="45">
        <f ca="1">IFERROR(__xludf.DUMMYFUNCTION("""COMPUTED_VALUE"""),33967.625)</f>
        <v>33967.625</v>
      </c>
      <c r="H547" s="45" t="str">
        <f ca="1">IFERROR(__xludf.DUMMYFUNCTION("""COMPUTED_VALUE"""),"CREATIVE")</f>
        <v>CREATIVE</v>
      </c>
      <c r="I547" s="46" t="str">
        <f ca="1">IFERROR(__xludf.DUMMYFUNCTION("""COMPUTED_VALUE"""),"HO")</f>
        <v>HO</v>
      </c>
      <c r="J547" s="46" t="str">
        <f ca="1">IFERROR(__xludf.DUMMYFUNCTION("""COMPUTED_VALUE"""),"FIN")</f>
        <v>FIN</v>
      </c>
      <c r="K547" s="46" t="str">
        <f ca="1">IFERROR(__xludf.DUMMYFUNCTION("""COMPUTED_VALUE"""),"FIN")</f>
        <v>FIN</v>
      </c>
      <c r="L547" s="46" t="str">
        <f ca="1">IFERROR(__xludf.DUMMYFUNCTION("""COMPUTED_VALUE"""),"PRO")</f>
        <v>PRO</v>
      </c>
      <c r="M547" s="46" t="str">
        <f ca="1">IFERROR(__xludf.DUMMYFUNCTION("""COMPUTED_VALUE"""),"Leave")</f>
        <v>Leave</v>
      </c>
      <c r="N547" s="46" t="str">
        <f ca="1">IFERROR(__xludf.DUMMYFUNCTION("""COMPUTED_VALUE"""),"x")</f>
        <v>x</v>
      </c>
    </row>
    <row r="548" spans="1:14">
      <c r="A548" s="45">
        <f ca="1">IFERROR(__xludf.DUMMYFUNCTION("""COMPUTED_VALUE"""),45447.5833333333)</f>
        <v>45447.583333333299</v>
      </c>
      <c r="B548" s="45">
        <f ca="1">IFERROR(__xludf.DUMMYFUNCTION("""COMPUTED_VALUE"""),45507.5833333333)</f>
        <v>45507.583333333299</v>
      </c>
      <c r="C548" s="46">
        <f ca="1">IFERROR(__xludf.DUMMYFUNCTION("""COMPUTED_VALUE"""),549)</f>
        <v>549</v>
      </c>
      <c r="D548" s="47" t="str">
        <f ca="1">IFERROR(__xludf.DUMMYFUNCTION("""COMPUTED_VALUE"""),"C0308")</f>
        <v>C0308</v>
      </c>
      <c r="E548" s="46" t="str">
        <f ca="1">IFERROR(__xludf.DUMMYFUNCTION("""COMPUTED_VALUE"""),"NGUYỄN BÌNH AN")</f>
        <v>NGUYỄN BÌNH AN</v>
      </c>
      <c r="F548" s="46" t="str">
        <f ca="1">IFERROR(__xludf.DUMMYFUNCTION("""COMPUTED_VALUE"""),"NGUYEN BINH AN")</f>
        <v>NGUYEN BINH AN</v>
      </c>
      <c r="G548" s="45">
        <f ca="1">IFERROR(__xludf.DUMMYFUNCTION("""COMPUTED_VALUE"""),36203.625)</f>
        <v>36203.625</v>
      </c>
      <c r="H548" s="45" t="str">
        <f ca="1">IFERROR(__xludf.DUMMYFUNCTION("""COMPUTED_VALUE"""),"TLC")</f>
        <v>TLC</v>
      </c>
      <c r="I548" s="46" t="str">
        <f ca="1">IFERROR(__xludf.DUMMYFUNCTION("""COMPUTED_VALUE"""),"HO")</f>
        <v>HO</v>
      </c>
      <c r="J548" s="46" t="str">
        <f ca="1">IFERROR(__xludf.DUMMYFUNCTION("""COMPUTED_VALUE"""),"PRO")</f>
        <v>PRO</v>
      </c>
      <c r="K548" s="46" t="str">
        <f ca="1">IFERROR(__xludf.DUMMYFUNCTION("""COMPUTED_VALUE"""),"PRO")</f>
        <v>PRO</v>
      </c>
      <c r="L548" s="46" t="str">
        <f ca="1">IFERROR(__xludf.DUMMYFUNCTION("""COMPUTED_VALUE"""),"PRO")</f>
        <v>PRO</v>
      </c>
      <c r="M548" s="46" t="str">
        <f ca="1">IFERROR(__xludf.DUMMYFUNCTION("""COMPUTED_VALUE"""),"Leave")</f>
        <v>Leave</v>
      </c>
      <c r="N548" s="46" t="str">
        <f ca="1">IFERROR(__xludf.DUMMYFUNCTION("""COMPUTED_VALUE"""),"x")</f>
        <v>x</v>
      </c>
    </row>
    <row r="549" spans="1:14">
      <c r="A549" s="45">
        <f ca="1">IFERROR(__xludf.DUMMYFUNCTION("""COMPUTED_VALUE"""),45447.5833333333)</f>
        <v>45447.583333333299</v>
      </c>
      <c r="B549" s="45"/>
      <c r="C549" s="46">
        <f ca="1">IFERROR(__xludf.DUMMYFUNCTION("""COMPUTED_VALUE"""),550)</f>
        <v>550</v>
      </c>
      <c r="D549" s="47" t="str">
        <f ca="1">IFERROR(__xludf.DUMMYFUNCTION("""COMPUTED_VALUE"""),"C0309")</f>
        <v>C0309</v>
      </c>
      <c r="E549" s="46" t="str">
        <f ca="1">IFERROR(__xludf.DUMMYFUNCTION("""COMPUTED_VALUE"""),"PHẠM THỊ MINH NGUYỆT")</f>
        <v>PHẠM THỊ MINH NGUYỆT</v>
      </c>
      <c r="F549" s="46" t="str">
        <f ca="1">IFERROR(__xludf.DUMMYFUNCTION("""COMPUTED_VALUE"""),"PHAM THI MINH NGUYET")</f>
        <v>PHAM THI MINH NGUYET</v>
      </c>
      <c r="G549" s="45">
        <f ca="1">IFERROR(__xludf.DUMMYFUNCTION("""COMPUTED_VALUE"""),36876.625)</f>
        <v>36876.625</v>
      </c>
      <c r="H549" s="45" t="str">
        <f ca="1">IFERROR(__xludf.DUMMYFUNCTION("""COMPUTED_VALUE"""),"BAKES")</f>
        <v>BAKES</v>
      </c>
      <c r="I549" s="46" t="str">
        <f ca="1">IFERROR(__xludf.DUMMYFUNCTION("""COMPUTED_VALUE"""),"HO")</f>
        <v>HO</v>
      </c>
      <c r="J549" s="46" t="str">
        <f ca="1">IFERROR(__xludf.DUMMYFUNCTION("""COMPUTED_VALUE"""),"SAL")</f>
        <v>SAL</v>
      </c>
      <c r="K549" s="46" t="str">
        <f ca="1">IFERROR(__xludf.DUMMYFUNCTION("""COMPUTED_VALUE"""),"SAL")</f>
        <v>SAL</v>
      </c>
      <c r="L549" s="46" t="str">
        <f ca="1">IFERROR(__xludf.DUMMYFUNCTION("""COMPUTED_VALUE"""),"FTE")</f>
        <v>FTE</v>
      </c>
      <c r="M549" s="46" t="str">
        <f ca="1">IFERROR(__xludf.DUMMYFUNCTION("""COMPUTED_VALUE"""),"On")</f>
        <v>On</v>
      </c>
      <c r="N549" s="46" t="str">
        <f ca="1">IFERROR(__xludf.DUMMYFUNCTION("""COMPUTED_VALUE"""),"đủ")</f>
        <v>đủ</v>
      </c>
    </row>
    <row r="550" spans="1:14">
      <c r="A550" s="45">
        <f ca="1">IFERROR(__xludf.DUMMYFUNCTION("""COMPUTED_VALUE"""),45447.5833333333)</f>
        <v>45447.583333333299</v>
      </c>
      <c r="B550" s="45">
        <f ca="1">IFERROR(__xludf.DUMMYFUNCTION("""COMPUTED_VALUE"""),45507.5833333333)</f>
        <v>45507.583333333299</v>
      </c>
      <c r="C550" s="46">
        <f ca="1">IFERROR(__xludf.DUMMYFUNCTION("""COMPUTED_VALUE"""),551)</f>
        <v>551</v>
      </c>
      <c r="D550" s="47" t="str">
        <f ca="1">IFERROR(__xludf.DUMMYFUNCTION("""COMPUTED_VALUE"""),"C0310")</f>
        <v>C0310</v>
      </c>
      <c r="E550" s="46" t="str">
        <f ca="1">IFERROR(__xludf.DUMMYFUNCTION("""COMPUTED_VALUE"""),"PHẠM HOÀNG YẾN")</f>
        <v>PHẠM HOÀNG YẾN</v>
      </c>
      <c r="F550" s="46" t="str">
        <f ca="1">IFERROR(__xludf.DUMMYFUNCTION("""COMPUTED_VALUE"""),"PHAM HOANG YEN")</f>
        <v>PHAM HOANG YEN</v>
      </c>
      <c r="G550" s="45">
        <f ca="1">IFERROR(__xludf.DUMMYFUNCTION("""COMPUTED_VALUE"""),36793.5833333333)</f>
        <v>36793.583333333299</v>
      </c>
      <c r="H550" s="45" t="str">
        <f ca="1">IFERROR(__xludf.DUMMYFUNCTION("""COMPUTED_VALUE"""),"CREATIVE")</f>
        <v>CREATIVE</v>
      </c>
      <c r="I550" s="46" t="str">
        <f ca="1">IFERROR(__xludf.DUMMYFUNCTION("""COMPUTED_VALUE"""),"HO")</f>
        <v>HO</v>
      </c>
      <c r="J550" s="46" t="str">
        <f ca="1">IFERROR(__xludf.DUMMYFUNCTION("""COMPUTED_VALUE"""),"SPD")</f>
        <v>SPD</v>
      </c>
      <c r="K550" s="46" t="str">
        <f ca="1">IFERROR(__xludf.DUMMYFUNCTION("""COMPUTED_VALUE"""),"SPD")</f>
        <v>SPD</v>
      </c>
      <c r="L550" s="46" t="str">
        <f ca="1">IFERROR(__xludf.DUMMYFUNCTION("""COMPUTED_VALUE"""),"PRO")</f>
        <v>PRO</v>
      </c>
      <c r="M550" s="46" t="str">
        <f ca="1">IFERROR(__xludf.DUMMYFUNCTION("""COMPUTED_VALUE"""),"Leave")</f>
        <v>Leave</v>
      </c>
      <c r="N550" s="46" t="str">
        <f ca="1">IFERROR(__xludf.DUMMYFUNCTION("""COMPUTED_VALUE"""),"x")</f>
        <v>x</v>
      </c>
    </row>
    <row r="551" spans="1:14">
      <c r="A551" s="45">
        <f ca="1">IFERROR(__xludf.DUMMYFUNCTION("""COMPUTED_VALUE"""),45444.5833333333)</f>
        <v>45444.583333333299</v>
      </c>
      <c r="B551" s="45">
        <f ca="1">IFERROR(__xludf.DUMMYFUNCTION("""COMPUTED_VALUE"""),45623.625)</f>
        <v>45623.625</v>
      </c>
      <c r="C551" s="46">
        <f ca="1">IFERROR(__xludf.DUMMYFUNCTION("""COMPUTED_VALUE"""),552)</f>
        <v>552</v>
      </c>
      <c r="D551" s="47" t="str">
        <f ca="1">IFERROR(__xludf.DUMMYFUNCTION("""COMPUTED_VALUE"""),"C0311")</f>
        <v>C0311</v>
      </c>
      <c r="E551" s="46" t="str">
        <f ca="1">IFERROR(__xludf.DUMMYFUNCTION("""COMPUTED_VALUE"""),"VŨ ĐỨC HUY")</f>
        <v>VŨ ĐỨC HUY</v>
      </c>
      <c r="F551" s="46" t="str">
        <f ca="1">IFERROR(__xludf.DUMMYFUNCTION("""COMPUTED_VALUE"""),"VU DUC HUY")</f>
        <v>VU DUC HUY</v>
      </c>
      <c r="G551" s="45">
        <f ca="1">IFERROR(__xludf.DUMMYFUNCTION("""COMPUTED_VALUE"""),38518.5833333333)</f>
        <v>38518.583333333299</v>
      </c>
      <c r="H551" s="45" t="str">
        <f ca="1">IFERROR(__xludf.DUMMYFUNCTION("""COMPUTED_VALUE"""),"BAKES")</f>
        <v>BAKES</v>
      </c>
      <c r="I551" s="46" t="str">
        <f ca="1">IFERROR(__xludf.DUMMYFUNCTION("""COMPUTED_VALUE"""),"STORE")</f>
        <v>STORE</v>
      </c>
      <c r="J551" s="46" t="str">
        <f ca="1">IFERROR(__xludf.DUMMYFUNCTION("""COMPUTED_VALUE"""),"BAKES D9")</f>
        <v>BAKES D9</v>
      </c>
      <c r="K551" s="46" t="str">
        <f ca="1">IFERROR(__xludf.DUMMYFUNCTION("""COMPUTED_VALUE"""),"BAR")</f>
        <v>BAR</v>
      </c>
      <c r="L551" s="46" t="str">
        <f ca="1">IFERROR(__xludf.DUMMYFUNCTION("""COMPUTED_VALUE"""),"PTE")</f>
        <v>PTE</v>
      </c>
      <c r="M551" s="46" t="str">
        <f ca="1">IFERROR(__xludf.DUMMYFUNCTION("""COMPUTED_VALUE"""),"Leave")</f>
        <v>Leave</v>
      </c>
      <c r="N551" s="46" t="str">
        <f ca="1">IFERROR(__xludf.DUMMYFUNCTION("""COMPUTED_VALUE"""),"x")</f>
        <v>x</v>
      </c>
    </row>
    <row r="552" spans="1:14">
      <c r="A552" s="45">
        <f ca="1">IFERROR(__xludf.DUMMYFUNCTION("""COMPUTED_VALUE"""),45444.5833333333)</f>
        <v>45444.583333333299</v>
      </c>
      <c r="B552" s="45">
        <f ca="1">IFERROR(__xludf.DUMMYFUNCTION("""COMPUTED_VALUE"""),45530.5833333333)</f>
        <v>45530.583333333299</v>
      </c>
      <c r="C552" s="46">
        <f ca="1">IFERROR(__xludf.DUMMYFUNCTION("""COMPUTED_VALUE"""),553)</f>
        <v>553</v>
      </c>
      <c r="D552" s="47" t="str">
        <f ca="1">IFERROR(__xludf.DUMMYFUNCTION("""COMPUTED_VALUE"""),"C0312")</f>
        <v>C0312</v>
      </c>
      <c r="E552" s="46" t="str">
        <f ca="1">IFERROR(__xludf.DUMMYFUNCTION("""COMPUTED_VALUE"""),"NGUYỄN THỊ ANH THƯ")</f>
        <v>NGUYỄN THỊ ANH THƯ</v>
      </c>
      <c r="F552" s="46" t="str">
        <f ca="1">IFERROR(__xludf.DUMMYFUNCTION("""COMPUTED_VALUE"""),"NGUYEN THI ANH THU")</f>
        <v>NGUYEN THI ANH THU</v>
      </c>
      <c r="G552" s="45">
        <f ca="1">IFERROR(__xludf.DUMMYFUNCTION("""COMPUTED_VALUE"""),38194.5833333333)</f>
        <v>38194.583333333299</v>
      </c>
      <c r="H552" s="45" t="str">
        <f ca="1">IFERROR(__xludf.DUMMYFUNCTION("""COMPUTED_VALUE"""),"BAKES")</f>
        <v>BAKES</v>
      </c>
      <c r="I552" s="46" t="str">
        <f ca="1">IFERROR(__xludf.DUMMYFUNCTION("""COMPUTED_VALUE"""),"STORE")</f>
        <v>STORE</v>
      </c>
      <c r="J552" s="46" t="str">
        <f ca="1">IFERROR(__xludf.DUMMYFUNCTION("""COMPUTED_VALUE"""),"BAKES D9")</f>
        <v>BAKES D9</v>
      </c>
      <c r="K552" s="46" t="str">
        <f ca="1">IFERROR(__xludf.DUMMYFUNCTION("""COMPUTED_VALUE"""),"BAR")</f>
        <v>BAR</v>
      </c>
      <c r="L552" s="46" t="str">
        <f ca="1">IFERROR(__xludf.DUMMYFUNCTION("""COMPUTED_VALUE"""),"FTE")</f>
        <v>FTE</v>
      </c>
      <c r="M552" s="46" t="str">
        <f ca="1">IFERROR(__xludf.DUMMYFUNCTION("""COMPUTED_VALUE"""),"Leave")</f>
        <v>Leave</v>
      </c>
      <c r="N552" s="46" t="str">
        <f ca="1">IFERROR(__xludf.DUMMYFUNCTION("""COMPUTED_VALUE"""),"x")</f>
        <v>x</v>
      </c>
    </row>
    <row r="553" spans="1:14">
      <c r="A553" s="45">
        <f ca="1">IFERROR(__xludf.DUMMYFUNCTION("""COMPUTED_VALUE"""),45449.5833333333)</f>
        <v>45449.583333333299</v>
      </c>
      <c r="B553" s="45">
        <f ca="1">IFERROR(__xludf.DUMMYFUNCTION("""COMPUTED_VALUE"""),45720.625)</f>
        <v>45720.625</v>
      </c>
      <c r="C553" s="46">
        <f ca="1">IFERROR(__xludf.DUMMYFUNCTION("""COMPUTED_VALUE"""),554)</f>
        <v>554</v>
      </c>
      <c r="D553" s="47" t="str">
        <f ca="1">IFERROR(__xludf.DUMMYFUNCTION("""COMPUTED_VALUE"""),"C0313")</f>
        <v>C0313</v>
      </c>
      <c r="E553" s="46" t="str">
        <f ca="1">IFERROR(__xludf.DUMMYFUNCTION("""COMPUTED_VALUE"""),"VÕ THANH LONG")</f>
        <v>VÕ THANH LONG</v>
      </c>
      <c r="F553" s="46" t="str">
        <f ca="1">IFERROR(__xludf.DUMMYFUNCTION("""COMPUTED_VALUE"""),"VO THANH LONG")</f>
        <v>VO THANH LONG</v>
      </c>
      <c r="G553" s="45">
        <f ca="1">IFERROR(__xludf.DUMMYFUNCTION("""COMPUTED_VALUE"""),36832.625)</f>
        <v>36832.625</v>
      </c>
      <c r="H553" s="45" t="str">
        <f ca="1">IFERROR(__xludf.DUMMYFUNCTION("""COMPUTED_VALUE"""),"SHADOW")</f>
        <v>SHADOW</v>
      </c>
      <c r="I553" s="46" t="str">
        <f ca="1">IFERROR(__xludf.DUMMYFUNCTION("""COMPUTED_VALUE"""),"STORE")</f>
        <v>STORE</v>
      </c>
      <c r="J553" s="46" t="str">
        <f ca="1">IFERROR(__xludf.DUMMYFUNCTION("""COMPUTED_VALUE"""),"BAKES PASTEUR")</f>
        <v>BAKES PASTEUR</v>
      </c>
      <c r="K553" s="46" t="str">
        <f ca="1">IFERROR(__xludf.DUMMYFUNCTION("""COMPUTED_VALUE"""),"WAITSTAFF")</f>
        <v>WAITSTAFF</v>
      </c>
      <c r="L553" s="46" t="str">
        <f ca="1">IFERROR(__xludf.DUMMYFUNCTION("""COMPUTED_VALUE"""),"PTE")</f>
        <v>PTE</v>
      </c>
      <c r="M553" s="46" t="str">
        <f ca="1">IFERROR(__xludf.DUMMYFUNCTION("""COMPUTED_VALUE"""),"Leave")</f>
        <v>Leave</v>
      </c>
      <c r="N553" s="46" t="str">
        <f ca="1">IFERROR(__xludf.DUMMYFUNCTION("""COMPUTED_VALUE"""),"đủ")</f>
        <v>đủ</v>
      </c>
    </row>
    <row r="554" spans="1:14">
      <c r="A554" s="45">
        <f ca="1">IFERROR(__xludf.DUMMYFUNCTION("""COMPUTED_VALUE"""),45453.5833333333)</f>
        <v>45453.583333333299</v>
      </c>
      <c r="B554" s="45">
        <f ca="1">IFERROR(__xludf.DUMMYFUNCTION("""COMPUTED_VALUE"""),45551.5833333333)</f>
        <v>45551.583333333299</v>
      </c>
      <c r="C554" s="46">
        <f ca="1">IFERROR(__xludf.DUMMYFUNCTION("""COMPUTED_VALUE"""),555)</f>
        <v>555</v>
      </c>
      <c r="D554" s="47" t="str">
        <f ca="1">IFERROR(__xludf.DUMMYFUNCTION("""COMPUTED_VALUE"""),"C0314")</f>
        <v>C0314</v>
      </c>
      <c r="E554" s="46" t="str">
        <f ca="1">IFERROR(__xludf.DUMMYFUNCTION("""COMPUTED_VALUE"""),"TRẦN DIỆP THỂ YẾN")</f>
        <v>TRẦN DIỆP THỂ YẾN</v>
      </c>
      <c r="F554" s="46" t="str">
        <f ca="1">IFERROR(__xludf.DUMMYFUNCTION("""COMPUTED_VALUE"""),"TRAN DIEP THE YEN")</f>
        <v>TRAN DIEP THE YEN</v>
      </c>
      <c r="G554" s="45">
        <f ca="1">IFERROR(__xludf.DUMMYFUNCTION("""COMPUTED_VALUE"""),37427.5833333333)</f>
        <v>37427.583333333299</v>
      </c>
      <c r="H554" s="45" t="str">
        <f ca="1">IFERROR(__xludf.DUMMYFUNCTION("""COMPUTED_VALUE"""),"SHADOW")</f>
        <v>SHADOW</v>
      </c>
      <c r="I554" s="46" t="str">
        <f ca="1">IFERROR(__xludf.DUMMYFUNCTION("""COMPUTED_VALUE"""),"STORE")</f>
        <v>STORE</v>
      </c>
      <c r="J554" s="46" t="str">
        <f ca="1">IFERROR(__xludf.DUMMYFUNCTION("""COMPUTED_VALUE"""),"BAKES PASTEUR")</f>
        <v>BAKES PASTEUR</v>
      </c>
      <c r="K554" s="46" t="str">
        <f ca="1">IFERROR(__xludf.DUMMYFUNCTION("""COMPUTED_VALUE"""),"BAR")</f>
        <v>BAR</v>
      </c>
      <c r="L554" s="46" t="str">
        <f ca="1">IFERROR(__xludf.DUMMYFUNCTION("""COMPUTED_VALUE"""),"PTE")</f>
        <v>PTE</v>
      </c>
      <c r="M554" s="46" t="str">
        <f ca="1">IFERROR(__xludf.DUMMYFUNCTION("""COMPUTED_VALUE"""),"Leave")</f>
        <v>Leave</v>
      </c>
      <c r="N554" s="46" t="str">
        <f ca="1">IFERROR(__xludf.DUMMYFUNCTION("""COMPUTED_VALUE"""),"x")</f>
        <v>x</v>
      </c>
    </row>
    <row r="555" spans="1:14">
      <c r="A555" s="45">
        <f ca="1">IFERROR(__xludf.DUMMYFUNCTION("""COMPUTED_VALUE"""),45447.5833333333)</f>
        <v>45447.583333333299</v>
      </c>
      <c r="B555" s="45">
        <f ca="1">IFERROR(__xludf.DUMMYFUNCTION("""COMPUTED_VALUE"""),45458.5833333333)</f>
        <v>45458.583333333299</v>
      </c>
      <c r="C555" s="46">
        <f ca="1">IFERROR(__xludf.DUMMYFUNCTION("""COMPUTED_VALUE"""),556)</f>
        <v>556</v>
      </c>
      <c r="D555" s="47" t="str">
        <f ca="1">IFERROR(__xludf.DUMMYFUNCTION("""COMPUTED_VALUE"""),"C0315")</f>
        <v>C0315</v>
      </c>
      <c r="E555" s="46" t="str">
        <f ca="1">IFERROR(__xludf.DUMMYFUNCTION("""COMPUTED_VALUE"""),"NGÔ THỊ TRÚC PHƯƠNG")</f>
        <v>NGÔ THỊ TRÚC PHƯƠNG</v>
      </c>
      <c r="F555" s="46" t="str">
        <f ca="1">IFERROR(__xludf.DUMMYFUNCTION("""COMPUTED_VALUE"""),"NGO THI TRUC PHUONG")</f>
        <v>NGO THI TRUC PHUONG</v>
      </c>
      <c r="G555" s="45">
        <f ca="1">IFERROR(__xludf.DUMMYFUNCTION("""COMPUTED_VALUE"""),33723.5833333333)</f>
        <v>33723.583333333299</v>
      </c>
      <c r="H555" s="45" t="str">
        <f ca="1">IFERROR(__xludf.DUMMYFUNCTION("""COMPUTED_VALUE"""),"BAKES")</f>
        <v>BAKES</v>
      </c>
      <c r="I555" s="46" t="str">
        <f ca="1">IFERROR(__xludf.DUMMYFUNCTION("""COMPUTED_VALUE"""),"STORE")</f>
        <v>STORE</v>
      </c>
      <c r="J555" s="46" t="str">
        <f ca="1">IFERROR(__xludf.DUMMYFUNCTION("""COMPUTED_VALUE"""),"BAKES D9")</f>
        <v>BAKES D9</v>
      </c>
      <c r="K555" s="46" t="str">
        <f ca="1">IFERROR(__xludf.DUMMYFUNCTION("""COMPUTED_VALUE"""),"STR")</f>
        <v>STR</v>
      </c>
      <c r="L555" s="46" t="str">
        <f ca="1">IFERROR(__xludf.DUMMYFUNCTION("""COMPUTED_VALUE"""),"PRO")</f>
        <v>PRO</v>
      </c>
      <c r="M555" s="46" t="str">
        <f ca="1">IFERROR(__xludf.DUMMYFUNCTION("""COMPUTED_VALUE"""),"Leave")</f>
        <v>Leave</v>
      </c>
      <c r="N555" s="46" t="str">
        <f ca="1">IFERROR(__xludf.DUMMYFUNCTION("""COMPUTED_VALUE"""),"x")</f>
        <v>x</v>
      </c>
    </row>
    <row r="556" spans="1:14">
      <c r="A556" s="45">
        <f ca="1">IFERROR(__xludf.DUMMYFUNCTION("""COMPUTED_VALUE"""),45454.5833333333)</f>
        <v>45454.583333333299</v>
      </c>
      <c r="B556" s="45">
        <f ca="1">IFERROR(__xludf.DUMMYFUNCTION("""COMPUTED_VALUE"""),45649.625)</f>
        <v>45649.625</v>
      </c>
      <c r="C556" s="46">
        <f ca="1">IFERROR(__xludf.DUMMYFUNCTION("""COMPUTED_VALUE"""),557)</f>
        <v>557</v>
      </c>
      <c r="D556" s="47" t="str">
        <f ca="1">IFERROR(__xludf.DUMMYFUNCTION("""COMPUTED_VALUE"""),"C0316")</f>
        <v>C0316</v>
      </c>
      <c r="E556" s="46" t="str">
        <f ca="1">IFERROR(__xludf.DUMMYFUNCTION("""COMPUTED_VALUE"""),"PHAN THỊ BẢO NGỌC")</f>
        <v>PHAN THỊ BẢO NGỌC</v>
      </c>
      <c r="F556" s="46" t="str">
        <f ca="1">IFERROR(__xludf.DUMMYFUNCTION("""COMPUTED_VALUE"""),"PHAN THI BAO NGOC")</f>
        <v>PHAN THI BAO NGOC</v>
      </c>
      <c r="G556" s="45">
        <f ca="1">IFERROR(__xludf.DUMMYFUNCTION("""COMPUTED_VALUE"""),36448.5833333333)</f>
        <v>36448.583333333299</v>
      </c>
      <c r="H556" s="45" t="str">
        <f ca="1">IFERROR(__xludf.DUMMYFUNCTION("""COMPUTED_VALUE"""),"YESHI")</f>
        <v>YESHI</v>
      </c>
      <c r="I556" s="46" t="str">
        <f ca="1">IFERROR(__xludf.DUMMYFUNCTION("""COMPUTED_VALUE"""),"STORE")</f>
        <v>STORE</v>
      </c>
      <c r="J556" s="46" t="str">
        <f ca="1">IFERROR(__xludf.DUMMYFUNCTION("""COMPUTED_VALUE"""),"YESHI D2")</f>
        <v>YESHI D2</v>
      </c>
      <c r="K556" s="46" t="str">
        <f ca="1">IFERROR(__xludf.DUMMYFUNCTION("""COMPUTED_VALUE"""),"WAITSTAFF")</f>
        <v>WAITSTAFF</v>
      </c>
      <c r="L556" s="46" t="str">
        <f ca="1">IFERROR(__xludf.DUMMYFUNCTION("""COMPUTED_VALUE"""),"PTE")</f>
        <v>PTE</v>
      </c>
      <c r="M556" s="46" t="str">
        <f ca="1">IFERROR(__xludf.DUMMYFUNCTION("""COMPUTED_VALUE"""),"Leave")</f>
        <v>Leave</v>
      </c>
      <c r="N556" s="46" t="str">
        <f ca="1">IFERROR(__xludf.DUMMYFUNCTION("""COMPUTED_VALUE"""),"x")</f>
        <v>x</v>
      </c>
    </row>
    <row r="557" spans="1:14">
      <c r="A557" s="45">
        <f ca="1">IFERROR(__xludf.DUMMYFUNCTION("""COMPUTED_VALUE"""),45447.5833333333)</f>
        <v>45447.583333333299</v>
      </c>
      <c r="B557" s="45">
        <f ca="1">IFERROR(__xludf.DUMMYFUNCTION("""COMPUTED_VALUE"""),45510.5833333333)</f>
        <v>45510.583333333299</v>
      </c>
      <c r="C557" s="46">
        <f ca="1">IFERROR(__xludf.DUMMYFUNCTION("""COMPUTED_VALUE"""),558)</f>
        <v>558</v>
      </c>
      <c r="D557" s="47" t="str">
        <f ca="1">IFERROR(__xludf.DUMMYFUNCTION("""COMPUTED_VALUE"""),"C0317")</f>
        <v>C0317</v>
      </c>
      <c r="E557" s="46" t="str">
        <f ca="1">IFERROR(__xludf.DUMMYFUNCTION("""COMPUTED_VALUE"""),"QUÁCH THỊ KIM CHI")</f>
        <v>QUÁCH THỊ KIM CHI</v>
      </c>
      <c r="F557" s="46" t="str">
        <f ca="1">IFERROR(__xludf.DUMMYFUNCTION("""COMPUTED_VALUE"""),"QUACH THI KIM CHI")</f>
        <v>QUACH THI KIM CHI</v>
      </c>
      <c r="G557" s="45">
        <f ca="1">IFERROR(__xludf.DUMMYFUNCTION("""COMPUTED_VALUE"""),29938.625)</f>
        <v>29938.625</v>
      </c>
      <c r="H557" s="45" t="str">
        <f ca="1">IFERROR(__xludf.DUMMYFUNCTION("""COMPUTED_VALUE"""),"YESHI")</f>
        <v>YESHI</v>
      </c>
      <c r="I557" s="46" t="str">
        <f ca="1">IFERROR(__xludf.DUMMYFUNCTION("""COMPUTED_VALUE"""),"STORE")</f>
        <v>STORE</v>
      </c>
      <c r="J557" s="46" t="str">
        <f ca="1">IFERROR(__xludf.DUMMYFUNCTION("""COMPUTED_VALUE"""),"YESHI D2")</f>
        <v>YESHI D2</v>
      </c>
      <c r="K557" s="46" t="str">
        <f ca="1">IFERROR(__xludf.DUMMYFUNCTION("""COMPUTED_VALUE"""),"CLEANER")</f>
        <v>CLEANER</v>
      </c>
      <c r="L557" s="46" t="str">
        <f ca="1">IFERROR(__xludf.DUMMYFUNCTION("""COMPUTED_VALUE"""),"PTE")</f>
        <v>PTE</v>
      </c>
      <c r="M557" s="46" t="str">
        <f ca="1">IFERROR(__xludf.DUMMYFUNCTION("""COMPUTED_VALUE"""),"Leave")</f>
        <v>Leave</v>
      </c>
      <c r="N557" s="46" t="str">
        <f ca="1">IFERROR(__xludf.DUMMYFUNCTION("""COMPUTED_VALUE"""),"x")</f>
        <v>x</v>
      </c>
    </row>
    <row r="558" spans="1:14">
      <c r="A558" s="45">
        <f ca="1">IFERROR(__xludf.DUMMYFUNCTION("""COMPUTED_VALUE"""),45445.5833333333)</f>
        <v>45445.583333333299</v>
      </c>
      <c r="B558" s="45">
        <f ca="1">IFERROR(__xludf.DUMMYFUNCTION("""COMPUTED_VALUE"""),45460.5833333333)</f>
        <v>45460.583333333299</v>
      </c>
      <c r="C558" s="46">
        <f ca="1">IFERROR(__xludf.DUMMYFUNCTION("""COMPUTED_VALUE"""),559)</f>
        <v>559</v>
      </c>
      <c r="D558" s="47" t="str">
        <f ca="1">IFERROR(__xludf.DUMMYFUNCTION("""COMPUTED_VALUE"""),"C0318")</f>
        <v>C0318</v>
      </c>
      <c r="E558" s="46" t="str">
        <f ca="1">IFERROR(__xludf.DUMMYFUNCTION("""COMPUTED_VALUE"""),"PHẠM VŨ DUY ANH")</f>
        <v>PHẠM VŨ DUY ANH</v>
      </c>
      <c r="F558" s="46" t="str">
        <f ca="1">IFERROR(__xludf.DUMMYFUNCTION("""COMPUTED_VALUE"""),"PHAM VU DUY ANH")</f>
        <v>PHAM VU DUY ANH</v>
      </c>
      <c r="G558" s="45">
        <f ca="1">IFERROR(__xludf.DUMMYFUNCTION("""COMPUTED_VALUE"""),37500.5833333333)</f>
        <v>37500.583333333299</v>
      </c>
      <c r="H558" s="45" t="str">
        <f ca="1">IFERROR(__xludf.DUMMYFUNCTION("""COMPUTED_VALUE"""),"YESHI")</f>
        <v>YESHI</v>
      </c>
      <c r="I558" s="46" t="str">
        <f ca="1">IFERROR(__xludf.DUMMYFUNCTION("""COMPUTED_VALUE"""),"STORE")</f>
        <v>STORE</v>
      </c>
      <c r="J558" s="46" t="str">
        <f ca="1">IFERROR(__xludf.DUMMYFUNCTION("""COMPUTED_VALUE"""),"YESHI D2")</f>
        <v>YESHI D2</v>
      </c>
      <c r="K558" s="46" t="str">
        <f ca="1">IFERROR(__xludf.DUMMYFUNCTION("""COMPUTED_VALUE"""),"STR")</f>
        <v>STR</v>
      </c>
      <c r="L558" s="46" t="str">
        <f ca="1">IFERROR(__xludf.DUMMYFUNCTION("""COMPUTED_VALUE"""),"PTE")</f>
        <v>PTE</v>
      </c>
      <c r="M558" s="46" t="str">
        <f ca="1">IFERROR(__xludf.DUMMYFUNCTION("""COMPUTED_VALUE"""),"Leave")</f>
        <v>Leave</v>
      </c>
      <c r="N558" s="46" t="str">
        <f ca="1">IFERROR(__xludf.DUMMYFUNCTION("""COMPUTED_VALUE"""),"x")</f>
        <v>x</v>
      </c>
    </row>
    <row r="559" spans="1:14">
      <c r="A559" s="45">
        <f ca="1">IFERROR(__xludf.DUMMYFUNCTION("""COMPUTED_VALUE"""),45444.5833333333)</f>
        <v>45444.583333333299</v>
      </c>
      <c r="B559" s="45">
        <f ca="1">IFERROR(__xludf.DUMMYFUNCTION("""COMPUTED_VALUE"""),45460.5833333333)</f>
        <v>45460.583333333299</v>
      </c>
      <c r="C559" s="46">
        <f ca="1">IFERROR(__xludf.DUMMYFUNCTION("""COMPUTED_VALUE"""),560)</f>
        <v>560</v>
      </c>
      <c r="D559" s="47" t="str">
        <f ca="1">IFERROR(__xludf.DUMMYFUNCTION("""COMPUTED_VALUE"""),"C0319")</f>
        <v>C0319</v>
      </c>
      <c r="E559" s="46" t="str">
        <f ca="1">IFERROR(__xludf.DUMMYFUNCTION("""COMPUTED_VALUE"""),"NGUYỄN HỒ BẢO HÂN")</f>
        <v>NGUYỄN HỒ BẢO HÂN</v>
      </c>
      <c r="F559" s="46" t="str">
        <f ca="1">IFERROR(__xludf.DUMMYFUNCTION("""COMPUTED_VALUE"""),"NGUYEN HO BAO HAN")</f>
        <v>NGUYEN HO BAO HAN</v>
      </c>
      <c r="G559" s="45">
        <f ca="1">IFERROR(__xludf.DUMMYFUNCTION("""COMPUTED_VALUE"""),38224.5833333333)</f>
        <v>38224.583333333299</v>
      </c>
      <c r="H559" s="45" t="str">
        <f ca="1">IFERROR(__xludf.DUMMYFUNCTION("""COMPUTED_VALUE"""),"BAKES")</f>
        <v>BAKES</v>
      </c>
      <c r="I559" s="46" t="str">
        <f ca="1">IFERROR(__xludf.DUMMYFUNCTION("""COMPUTED_VALUE"""),"STORE")</f>
        <v>STORE</v>
      </c>
      <c r="J559" s="46" t="str">
        <f ca="1">IFERROR(__xludf.DUMMYFUNCTION("""COMPUTED_VALUE"""),"BAKES D9")</f>
        <v>BAKES D9</v>
      </c>
      <c r="K559" s="46" t="str">
        <f ca="1">IFERROR(__xludf.DUMMYFUNCTION("""COMPUTED_VALUE"""),"STR")</f>
        <v>STR</v>
      </c>
      <c r="L559" s="46" t="str">
        <f ca="1">IFERROR(__xludf.DUMMYFUNCTION("""COMPUTED_VALUE"""),"PTE")</f>
        <v>PTE</v>
      </c>
      <c r="M559" s="46" t="str">
        <f ca="1">IFERROR(__xludf.DUMMYFUNCTION("""COMPUTED_VALUE"""),"Leave")</f>
        <v>Leave</v>
      </c>
      <c r="N559" s="46" t="str">
        <f ca="1">IFERROR(__xludf.DUMMYFUNCTION("""COMPUTED_VALUE"""),"x")</f>
        <v>x</v>
      </c>
    </row>
    <row r="560" spans="1:14">
      <c r="A560" s="45">
        <f ca="1">IFERROR(__xludf.DUMMYFUNCTION("""COMPUTED_VALUE"""),45448.5833333333)</f>
        <v>45448.583333333299</v>
      </c>
      <c r="B560" s="45">
        <f ca="1">IFERROR(__xludf.DUMMYFUNCTION("""COMPUTED_VALUE"""),45889.5833333333)</f>
        <v>45889.583333333299</v>
      </c>
      <c r="C560" s="46">
        <f ca="1">IFERROR(__xludf.DUMMYFUNCTION("""COMPUTED_VALUE"""),561)</f>
        <v>561</v>
      </c>
      <c r="D560" s="47" t="str">
        <f ca="1">IFERROR(__xludf.DUMMYFUNCTION("""COMPUTED_VALUE"""),"C0320")</f>
        <v>C0320</v>
      </c>
      <c r="E560" s="46" t="str">
        <f ca="1">IFERROR(__xludf.DUMMYFUNCTION("""COMPUTED_VALUE"""),"NGUYỄN NGỌC QUỲNH NHI")</f>
        <v>NGUYỄN NGỌC QUỲNH NHI</v>
      </c>
      <c r="F560" s="46" t="str">
        <f ca="1">IFERROR(__xludf.DUMMYFUNCTION("""COMPUTED_VALUE"""),"NGUYEN NGOC QUYNH NHI")</f>
        <v>NGUYEN NGOC QUYNH NHI</v>
      </c>
      <c r="G560" s="45">
        <f ca="1">IFERROR(__xludf.DUMMYFUNCTION("""COMPUTED_VALUE"""),38099.5833333333)</f>
        <v>38099.583333333299</v>
      </c>
      <c r="H560" s="45" t="str">
        <f ca="1">IFERROR(__xludf.DUMMYFUNCTION("""COMPUTED_VALUE"""),"BAKES")</f>
        <v>BAKES</v>
      </c>
      <c r="I560" s="46" t="str">
        <f ca="1">IFERROR(__xludf.DUMMYFUNCTION("""COMPUTED_VALUE"""),"STORE")</f>
        <v>STORE</v>
      </c>
      <c r="J560" s="46" t="str">
        <f ca="1">IFERROR(__xludf.DUMMYFUNCTION("""COMPUTED_VALUE"""),"BAKES D9")</f>
        <v>BAKES D9</v>
      </c>
      <c r="K560" s="46" t="str">
        <f ca="1">IFERROR(__xludf.DUMMYFUNCTION("""COMPUTED_VALUE"""),"BAR")</f>
        <v>BAR</v>
      </c>
      <c r="L560" s="46" t="str">
        <f ca="1">IFERROR(__xludf.DUMMYFUNCTION("""COMPUTED_VALUE"""),"FTE")</f>
        <v>FTE</v>
      </c>
      <c r="M560" s="46" t="str">
        <f ca="1">IFERROR(__xludf.DUMMYFUNCTION("""COMPUTED_VALUE"""),"Leave")</f>
        <v>Leave</v>
      </c>
      <c r="N560" s="46" t="str">
        <f ca="1">IFERROR(__xludf.DUMMYFUNCTION("""COMPUTED_VALUE"""),"đủ")</f>
        <v>đủ</v>
      </c>
    </row>
    <row r="561" spans="1:14">
      <c r="A561" s="45">
        <f ca="1">IFERROR(__xludf.DUMMYFUNCTION("""COMPUTED_VALUE"""),45450.5833333333)</f>
        <v>45450.583333333299</v>
      </c>
      <c r="B561" s="45">
        <f ca="1">IFERROR(__xludf.DUMMYFUNCTION("""COMPUTED_VALUE"""),45454.5833333333)</f>
        <v>45454.583333333299</v>
      </c>
      <c r="C561" s="46">
        <f ca="1">IFERROR(__xludf.DUMMYFUNCTION("""COMPUTED_VALUE"""),562)</f>
        <v>562</v>
      </c>
      <c r="D561" s="47" t="str">
        <f ca="1">IFERROR(__xludf.DUMMYFUNCTION("""COMPUTED_VALUE"""),"C0321")</f>
        <v>C0321</v>
      </c>
      <c r="E561" s="46" t="str">
        <f ca="1">IFERROR(__xludf.DUMMYFUNCTION("""COMPUTED_VALUE"""),"NGUYỄN THU NGÂN")</f>
        <v>NGUYỄN THU NGÂN</v>
      </c>
      <c r="F561" s="46" t="str">
        <f ca="1">IFERROR(__xludf.DUMMYFUNCTION("""COMPUTED_VALUE"""),"NGUYEN THU NGAN")</f>
        <v>NGUYEN THU NGAN</v>
      </c>
      <c r="G561" s="45">
        <f ca="1">IFERROR(__xludf.DUMMYFUNCTION("""COMPUTED_VALUE"""),38341.625)</f>
        <v>38341.625</v>
      </c>
      <c r="H561" s="45" t="str">
        <f ca="1">IFERROR(__xludf.DUMMYFUNCTION("""COMPUTED_VALUE"""),"BAKES")</f>
        <v>BAKES</v>
      </c>
      <c r="I561" s="46" t="str">
        <f ca="1">IFERROR(__xludf.DUMMYFUNCTION("""COMPUTED_VALUE"""),"STORE")</f>
        <v>STORE</v>
      </c>
      <c r="J561" s="46" t="str">
        <f ca="1">IFERROR(__xludf.DUMMYFUNCTION("""COMPUTED_VALUE"""),"BAKES D9")</f>
        <v>BAKES D9</v>
      </c>
      <c r="K561" s="46" t="str">
        <f ca="1">IFERROR(__xludf.DUMMYFUNCTION("""COMPUTED_VALUE"""),"STR")</f>
        <v>STR</v>
      </c>
      <c r="L561" s="46" t="str">
        <f ca="1">IFERROR(__xludf.DUMMYFUNCTION("""COMPUTED_VALUE"""),"PTE")</f>
        <v>PTE</v>
      </c>
      <c r="M561" s="46" t="str">
        <f ca="1">IFERROR(__xludf.DUMMYFUNCTION("""COMPUTED_VALUE"""),"Leave")</f>
        <v>Leave</v>
      </c>
      <c r="N561" s="46" t="str">
        <f ca="1">IFERROR(__xludf.DUMMYFUNCTION("""COMPUTED_VALUE"""),"x")</f>
        <v>x</v>
      </c>
    </row>
    <row r="562" spans="1:14">
      <c r="A562" s="45">
        <f ca="1">IFERROR(__xludf.DUMMYFUNCTION("""COMPUTED_VALUE"""),45448.5833333333)</f>
        <v>45448.583333333299</v>
      </c>
      <c r="B562" s="45">
        <f ca="1">IFERROR(__xludf.DUMMYFUNCTION("""COMPUTED_VALUE"""),45624.625)</f>
        <v>45624.625</v>
      </c>
      <c r="C562" s="46">
        <f ca="1">IFERROR(__xludf.DUMMYFUNCTION("""COMPUTED_VALUE"""),563)</f>
        <v>563</v>
      </c>
      <c r="D562" s="47" t="str">
        <f ca="1">IFERROR(__xludf.DUMMYFUNCTION("""COMPUTED_VALUE"""),"C0322")</f>
        <v>C0322</v>
      </c>
      <c r="E562" s="46" t="str">
        <f ca="1">IFERROR(__xludf.DUMMYFUNCTION("""COMPUTED_VALUE"""),"NGUYỄN THÀNH TRUNG")</f>
        <v>NGUYỄN THÀNH TRUNG</v>
      </c>
      <c r="F562" s="46" t="str">
        <f ca="1">IFERROR(__xludf.DUMMYFUNCTION("""COMPUTED_VALUE"""),"NGUYEN THANH TRUNG")</f>
        <v>NGUYEN THANH TRUNG</v>
      </c>
      <c r="G562" s="45">
        <f ca="1">IFERROR(__xludf.DUMMYFUNCTION("""COMPUTED_VALUE"""),37750.5833333333)</f>
        <v>37750.583333333299</v>
      </c>
      <c r="H562" s="45" t="str">
        <f ca="1">IFERROR(__xludf.DUMMYFUNCTION("""COMPUTED_VALUE"""),"BAKES")</f>
        <v>BAKES</v>
      </c>
      <c r="I562" s="46" t="str">
        <f ca="1">IFERROR(__xludf.DUMMYFUNCTION("""COMPUTED_VALUE"""),"STORE")</f>
        <v>STORE</v>
      </c>
      <c r="J562" s="46" t="str">
        <f ca="1">IFERROR(__xludf.DUMMYFUNCTION("""COMPUTED_VALUE"""),"BAKES D9")</f>
        <v>BAKES D9</v>
      </c>
      <c r="K562" s="46" t="str">
        <f ca="1">IFERROR(__xludf.DUMMYFUNCTION("""COMPUTED_VALUE"""),"BAR")</f>
        <v>BAR</v>
      </c>
      <c r="L562" s="46" t="str">
        <f ca="1">IFERROR(__xludf.DUMMYFUNCTION("""COMPUTED_VALUE"""),"PTE")</f>
        <v>PTE</v>
      </c>
      <c r="M562" s="46" t="str">
        <f ca="1">IFERROR(__xludf.DUMMYFUNCTION("""COMPUTED_VALUE"""),"Leave")</f>
        <v>Leave</v>
      </c>
      <c r="N562" s="46" t="str">
        <f ca="1">IFERROR(__xludf.DUMMYFUNCTION("""COMPUTED_VALUE"""),"x")</f>
        <v>x</v>
      </c>
    </row>
    <row r="563" spans="1:14">
      <c r="A563" s="45">
        <f ca="1">IFERROR(__xludf.DUMMYFUNCTION("""COMPUTED_VALUE"""),45444.5833333333)</f>
        <v>45444.583333333299</v>
      </c>
      <c r="B563" s="45">
        <f ca="1">IFERROR(__xludf.DUMMYFUNCTION("""COMPUTED_VALUE"""),45825.5833333333)</f>
        <v>45825.583333333299</v>
      </c>
      <c r="C563" s="46">
        <f ca="1">IFERROR(__xludf.DUMMYFUNCTION("""COMPUTED_VALUE"""),564)</f>
        <v>564</v>
      </c>
      <c r="D563" s="47" t="str">
        <f ca="1">IFERROR(__xludf.DUMMYFUNCTION("""COMPUTED_VALUE"""),"C0323")</f>
        <v>C0323</v>
      </c>
      <c r="E563" s="46" t="str">
        <f ca="1">IFERROR(__xludf.DUMMYFUNCTION("""COMPUTED_VALUE"""),"NGUYỄN THỊ TƯỜNG VY")</f>
        <v>NGUYỄN THỊ TƯỜNG VY</v>
      </c>
      <c r="F563" s="46" t="str">
        <f ca="1">IFERROR(__xludf.DUMMYFUNCTION("""COMPUTED_VALUE"""),"NGUYEN THI TUONG VY")</f>
        <v>NGUYEN THI TUONG VY</v>
      </c>
      <c r="G563" s="45">
        <f ca="1">IFERROR(__xludf.DUMMYFUNCTION("""COMPUTED_VALUE"""),38234.5833333333)</f>
        <v>38234.583333333299</v>
      </c>
      <c r="H563" s="45" t="str">
        <f ca="1">IFERROR(__xludf.DUMMYFUNCTION("""COMPUTED_VALUE"""),"BAKES")</f>
        <v>BAKES</v>
      </c>
      <c r="I563" s="46" t="str">
        <f ca="1">IFERROR(__xludf.DUMMYFUNCTION("""COMPUTED_VALUE"""),"STORE")</f>
        <v>STORE</v>
      </c>
      <c r="J563" s="46" t="str">
        <f ca="1">IFERROR(__xludf.DUMMYFUNCTION("""COMPUTED_VALUE"""),"BAKES D9")</f>
        <v>BAKES D9</v>
      </c>
      <c r="K563" s="46" t="str">
        <f ca="1">IFERROR(__xludf.DUMMYFUNCTION("""COMPUTED_VALUE"""),"BAR")</f>
        <v>BAR</v>
      </c>
      <c r="L563" s="46" t="str">
        <f ca="1">IFERROR(__xludf.DUMMYFUNCTION("""COMPUTED_VALUE"""),"PTE")</f>
        <v>PTE</v>
      </c>
      <c r="M563" s="46" t="str">
        <f ca="1">IFERROR(__xludf.DUMMYFUNCTION("""COMPUTED_VALUE"""),"Leave")</f>
        <v>Leave</v>
      </c>
      <c r="N563" s="46" t="str">
        <f ca="1">IFERROR(__xludf.DUMMYFUNCTION("""COMPUTED_VALUE"""),"x")</f>
        <v>x</v>
      </c>
    </row>
    <row r="564" spans="1:14">
      <c r="A564" s="45">
        <f ca="1">IFERROR(__xludf.DUMMYFUNCTION("""COMPUTED_VALUE"""),45460.5833333333)</f>
        <v>45460.583333333299</v>
      </c>
      <c r="B564" s="45">
        <f ca="1">IFERROR(__xludf.DUMMYFUNCTION("""COMPUTED_VALUE"""),45474.5833333333)</f>
        <v>45474.583333333299</v>
      </c>
      <c r="C564" s="46">
        <f ca="1">IFERROR(__xludf.DUMMYFUNCTION("""COMPUTED_VALUE"""),565)</f>
        <v>565</v>
      </c>
      <c r="D564" s="47" t="str">
        <f ca="1">IFERROR(__xludf.DUMMYFUNCTION("""COMPUTED_VALUE"""),"C0324")</f>
        <v>C0324</v>
      </c>
      <c r="E564" s="46" t="str">
        <f ca="1">IFERROR(__xludf.DUMMYFUNCTION("""COMPUTED_VALUE"""),"NGUYỄN ÁNH MAI")</f>
        <v>NGUYỄN ÁNH MAI</v>
      </c>
      <c r="F564" s="46" t="str">
        <f ca="1">IFERROR(__xludf.DUMMYFUNCTION("""COMPUTED_VALUE"""),"NGUYEN ANH MAI")</f>
        <v>NGUYEN ANH MAI</v>
      </c>
      <c r="G564" s="45">
        <f ca="1">IFERROR(__xludf.DUMMYFUNCTION("""COMPUTED_VALUE"""),37536.5833333333)</f>
        <v>37536.583333333299</v>
      </c>
      <c r="H564" s="45" t="str">
        <f ca="1">IFERROR(__xludf.DUMMYFUNCTION("""COMPUTED_VALUE"""),"BAKES")</f>
        <v>BAKES</v>
      </c>
      <c r="I564" s="46" t="str">
        <f ca="1">IFERROR(__xludf.DUMMYFUNCTION("""COMPUTED_VALUE"""),"STORE")</f>
        <v>STORE</v>
      </c>
      <c r="J564" s="46" t="str">
        <f ca="1">IFERROR(__xludf.DUMMYFUNCTION("""COMPUTED_VALUE"""),"BAKES D9")</f>
        <v>BAKES D9</v>
      </c>
      <c r="K564" s="46" t="str">
        <f ca="1">IFERROR(__xludf.DUMMYFUNCTION("""COMPUTED_VALUE"""),"STR")</f>
        <v>STR</v>
      </c>
      <c r="L564" s="46" t="str">
        <f ca="1">IFERROR(__xludf.DUMMYFUNCTION("""COMPUTED_VALUE"""),"PRO")</f>
        <v>PRO</v>
      </c>
      <c r="M564" s="46" t="str">
        <f ca="1">IFERROR(__xludf.DUMMYFUNCTION("""COMPUTED_VALUE"""),"Leave")</f>
        <v>Leave</v>
      </c>
      <c r="N564" s="46" t="str">
        <f ca="1">IFERROR(__xludf.DUMMYFUNCTION("""COMPUTED_VALUE"""),"x")</f>
        <v>x</v>
      </c>
    </row>
    <row r="565" spans="1:14">
      <c r="A565" s="45">
        <f ca="1">IFERROR(__xludf.DUMMYFUNCTION("""COMPUTED_VALUE"""),45446.5833333333)</f>
        <v>45446.583333333299</v>
      </c>
      <c r="B565" s="45">
        <f ca="1">IFERROR(__xludf.DUMMYFUNCTION("""COMPUTED_VALUE"""),45531.5833333333)</f>
        <v>45531.583333333299</v>
      </c>
      <c r="C565" s="46">
        <f ca="1">IFERROR(__xludf.DUMMYFUNCTION("""COMPUTED_VALUE"""),566)</f>
        <v>566</v>
      </c>
      <c r="D565" s="47" t="str">
        <f ca="1">IFERROR(__xludf.DUMMYFUNCTION("""COMPUTED_VALUE"""),"C0325")</f>
        <v>C0325</v>
      </c>
      <c r="E565" s="46" t="str">
        <f ca="1">IFERROR(__xludf.DUMMYFUNCTION("""COMPUTED_VALUE"""),"NGUYỄN THỊ LY NA")</f>
        <v>NGUYỄN THỊ LY NA</v>
      </c>
      <c r="F565" s="46" t="str">
        <f ca="1">IFERROR(__xludf.DUMMYFUNCTION("""COMPUTED_VALUE"""),"NGUYEN THI LYNA")</f>
        <v>NGUYEN THI LYNA</v>
      </c>
      <c r="G565" s="45">
        <f ca="1">IFERROR(__xludf.DUMMYFUNCTION("""COMPUTED_VALUE"""),34696.625)</f>
        <v>34696.625</v>
      </c>
      <c r="H565" s="45" t="str">
        <f ca="1">IFERROR(__xludf.DUMMYFUNCTION("""COMPUTED_VALUE"""),"BAKES")</f>
        <v>BAKES</v>
      </c>
      <c r="I565" s="46" t="str">
        <f ca="1">IFERROR(__xludf.DUMMYFUNCTION("""COMPUTED_VALUE"""),"STORE")</f>
        <v>STORE</v>
      </c>
      <c r="J565" s="46" t="str">
        <f ca="1">IFERROR(__xludf.DUMMYFUNCTION("""COMPUTED_VALUE"""),"BAKES D9")</f>
        <v>BAKES D9</v>
      </c>
      <c r="K565" s="46" t="str">
        <f ca="1">IFERROR(__xludf.DUMMYFUNCTION("""COMPUTED_VALUE"""),"BAR")</f>
        <v>BAR</v>
      </c>
      <c r="L565" s="46" t="str">
        <f ca="1">IFERROR(__xludf.DUMMYFUNCTION("""COMPUTED_VALUE"""),"PRO")</f>
        <v>PRO</v>
      </c>
      <c r="M565" s="46" t="str">
        <f ca="1">IFERROR(__xludf.DUMMYFUNCTION("""COMPUTED_VALUE"""),"Leave")</f>
        <v>Leave</v>
      </c>
      <c r="N565" s="46" t="str">
        <f ca="1">IFERROR(__xludf.DUMMYFUNCTION("""COMPUTED_VALUE"""),"x")</f>
        <v>x</v>
      </c>
    </row>
    <row r="566" spans="1:14">
      <c r="A566" s="45">
        <f ca="1">IFERROR(__xludf.DUMMYFUNCTION("""COMPUTED_VALUE"""),45440.5833333333)</f>
        <v>45440.583333333299</v>
      </c>
      <c r="B566" s="45">
        <f ca="1">IFERROR(__xludf.DUMMYFUNCTION("""COMPUTED_VALUE"""),46113.5833333333)</f>
        <v>46113.583333333299</v>
      </c>
      <c r="C566" s="46">
        <f ca="1">IFERROR(__xludf.DUMMYFUNCTION("""COMPUTED_VALUE"""),567)</f>
        <v>567</v>
      </c>
      <c r="D566" s="47" t="str">
        <f ca="1">IFERROR(__xludf.DUMMYFUNCTION("""COMPUTED_VALUE"""),"C0326")</f>
        <v>C0326</v>
      </c>
      <c r="E566" s="46" t="str">
        <f ca="1">IFERROR(__xludf.DUMMYFUNCTION("""COMPUTED_VALUE"""),"NGUYỄN MINH SÁNG")</f>
        <v>NGUYỄN MINH SÁNG</v>
      </c>
      <c r="F566" s="46" t="str">
        <f ca="1">IFERROR(__xludf.DUMMYFUNCTION("""COMPUTED_VALUE"""),"NGUYEN MINH SANG")</f>
        <v>NGUYEN MINH SANG</v>
      </c>
      <c r="G566" s="45">
        <f ca="1">IFERROR(__xludf.DUMMYFUNCTION("""COMPUTED_VALUE"""),36783.5833333333)</f>
        <v>36783.583333333299</v>
      </c>
      <c r="H566" s="45" t="str">
        <f ca="1">IFERROR(__xludf.DUMMYFUNCTION("""COMPUTED_VALUE"""),"TLC")</f>
        <v>TLC</v>
      </c>
      <c r="I566" s="46" t="str">
        <f ca="1">IFERROR(__xludf.DUMMYFUNCTION("""COMPUTED_VALUE"""),"STORE")</f>
        <v>STORE</v>
      </c>
      <c r="J566" s="46" t="str">
        <f ca="1">IFERROR(__xludf.DUMMYFUNCTION("""COMPUTED_VALUE"""),"BLANK LOUNGE")</f>
        <v>BLANK LOUNGE</v>
      </c>
      <c r="K566" s="46" t="str">
        <f ca="1">IFERROR(__xludf.DUMMYFUNCTION("""COMPUTED_VALUE"""),"KIT")</f>
        <v>KIT</v>
      </c>
      <c r="L566" s="46" t="str">
        <f ca="1">IFERROR(__xludf.DUMMYFUNCTION("""COMPUTED_VALUE"""),"PTE")</f>
        <v>PTE</v>
      </c>
      <c r="M566" s="46" t="str">
        <f ca="1">IFERROR(__xludf.DUMMYFUNCTION("""COMPUTED_VALUE"""),"Leave")</f>
        <v>Leave</v>
      </c>
      <c r="N566" s="46" t="str">
        <f ca="1">IFERROR(__xludf.DUMMYFUNCTION("""COMPUTED_VALUE"""),"đủ")</f>
        <v>đủ</v>
      </c>
    </row>
    <row r="567" spans="1:14">
      <c r="A567" s="45">
        <f ca="1">IFERROR(__xludf.DUMMYFUNCTION("""COMPUTED_VALUE"""),45460.5833333333)</f>
        <v>45460.583333333299</v>
      </c>
      <c r="B567" s="45">
        <f ca="1">IFERROR(__xludf.DUMMYFUNCTION("""COMPUTED_VALUE"""),45747.5833333333)</f>
        <v>45747.583333333299</v>
      </c>
      <c r="C567" s="46">
        <f ca="1">IFERROR(__xludf.DUMMYFUNCTION("""COMPUTED_VALUE"""),568)</f>
        <v>568</v>
      </c>
      <c r="D567" s="47" t="str">
        <f ca="1">IFERROR(__xludf.DUMMYFUNCTION("""COMPUTED_VALUE"""),"C0327")</f>
        <v>C0327</v>
      </c>
      <c r="E567" s="46" t="str">
        <f ca="1">IFERROR(__xludf.DUMMYFUNCTION("""COMPUTED_VALUE"""),"NGUYỄN ĐỨC HOÀNG")</f>
        <v>NGUYỄN ĐỨC HOÀNG</v>
      </c>
      <c r="F567" s="46" t="str">
        <f ca="1">IFERROR(__xludf.DUMMYFUNCTION("""COMPUTED_VALUE"""),"NGUYEN DUC HOANG")</f>
        <v>NGUYEN DUC HOANG</v>
      </c>
      <c r="G567" s="45">
        <f ca="1">IFERROR(__xludf.DUMMYFUNCTION("""COMPUTED_VALUE"""),38295.625)</f>
        <v>38295.625</v>
      </c>
      <c r="H567" s="45" t="str">
        <f ca="1">IFERROR(__xludf.DUMMYFUNCTION("""COMPUTED_VALUE"""),"BAKES")</f>
        <v>BAKES</v>
      </c>
      <c r="I567" s="46" t="str">
        <f ca="1">IFERROR(__xludf.DUMMYFUNCTION("""COMPUTED_VALUE"""),"STORE")</f>
        <v>STORE</v>
      </c>
      <c r="J567" s="46" t="str">
        <f ca="1">IFERROR(__xludf.DUMMYFUNCTION("""COMPUTED_VALUE"""),"BAKES D9")</f>
        <v>BAKES D9</v>
      </c>
      <c r="K567" s="46" t="str">
        <f ca="1">IFERROR(__xludf.DUMMYFUNCTION("""COMPUTED_VALUE"""),"WAITSTAFF")</f>
        <v>WAITSTAFF</v>
      </c>
      <c r="L567" s="46" t="str">
        <f ca="1">IFERROR(__xludf.DUMMYFUNCTION("""COMPUTED_VALUE"""),"PTE")</f>
        <v>PTE</v>
      </c>
      <c r="M567" s="46" t="str">
        <f ca="1">IFERROR(__xludf.DUMMYFUNCTION("""COMPUTED_VALUE"""),"Leave")</f>
        <v>Leave</v>
      </c>
      <c r="N567" s="46" t="str">
        <f ca="1">IFERROR(__xludf.DUMMYFUNCTION("""COMPUTED_VALUE"""),"đủ")</f>
        <v>đủ</v>
      </c>
    </row>
    <row r="568" spans="1:14">
      <c r="A568" s="45">
        <f ca="1">IFERROR(__xludf.DUMMYFUNCTION("""COMPUTED_VALUE"""),45467.5833333333)</f>
        <v>45467.583333333299</v>
      </c>
      <c r="B568" s="45">
        <f ca="1">IFERROR(__xludf.DUMMYFUNCTION("""COMPUTED_VALUE"""),45495.5833333333)</f>
        <v>45495.583333333299</v>
      </c>
      <c r="C568" s="46">
        <f ca="1">IFERROR(__xludf.DUMMYFUNCTION("""COMPUTED_VALUE"""),569)</f>
        <v>569</v>
      </c>
      <c r="D568" s="47" t="str">
        <f ca="1">IFERROR(__xludf.DUMMYFUNCTION("""COMPUTED_VALUE"""),"C0328")</f>
        <v>C0328</v>
      </c>
      <c r="E568" s="46" t="str">
        <f ca="1">IFERROR(__xludf.DUMMYFUNCTION("""COMPUTED_VALUE"""),"LÊ TUẤN ANH")</f>
        <v>LÊ TUẤN ANH</v>
      </c>
      <c r="F568" s="46" t="str">
        <f ca="1">IFERROR(__xludf.DUMMYFUNCTION("""COMPUTED_VALUE"""),"LE TUAN ANH")</f>
        <v>LE TUAN ANH</v>
      </c>
      <c r="G568" s="45">
        <f ca="1">IFERROR(__xludf.DUMMYFUNCTION("""COMPUTED_VALUE"""),36836.625)</f>
        <v>36836.625</v>
      </c>
      <c r="H568" s="45" t="str">
        <f ca="1">IFERROR(__xludf.DUMMYFUNCTION("""COMPUTED_VALUE"""),"KITCHEN PASTRY")</f>
        <v>KITCHEN PASTRY</v>
      </c>
      <c r="I568" s="46" t="str">
        <f ca="1">IFERROR(__xludf.DUMMYFUNCTION("""COMPUTED_VALUE"""),"KITCHEN PASTRY")</f>
        <v>KITCHEN PASTRY</v>
      </c>
      <c r="J568" s="46" t="str">
        <f ca="1">IFERROR(__xludf.DUMMYFUNCTION("""COMPUTED_VALUE"""),"BAKES D9")</f>
        <v>BAKES D9</v>
      </c>
      <c r="K568" s="46" t="str">
        <f ca="1">IFERROR(__xludf.DUMMYFUNCTION("""COMPUTED_VALUE"""),"BAKER")</f>
        <v>BAKER</v>
      </c>
      <c r="L568" s="46" t="str">
        <f ca="1">IFERROR(__xludf.DUMMYFUNCTION("""COMPUTED_VALUE"""),"PRO")</f>
        <v>PRO</v>
      </c>
      <c r="M568" s="46" t="str">
        <f ca="1">IFERROR(__xludf.DUMMYFUNCTION("""COMPUTED_VALUE"""),"Leave")</f>
        <v>Leave</v>
      </c>
      <c r="N568" s="46" t="str">
        <f ca="1">IFERROR(__xludf.DUMMYFUNCTION("""COMPUTED_VALUE"""),"đủ")</f>
        <v>đủ</v>
      </c>
    </row>
    <row r="569" spans="1:14">
      <c r="A569" s="45">
        <f ca="1">IFERROR(__xludf.DUMMYFUNCTION("""COMPUTED_VALUE"""),45463.5833333333)</f>
        <v>45463.583333333299</v>
      </c>
      <c r="B569" s="45">
        <f ca="1">IFERROR(__xludf.DUMMYFUNCTION("""COMPUTED_VALUE"""),45704.625)</f>
        <v>45704.625</v>
      </c>
      <c r="C569" s="46">
        <f ca="1">IFERROR(__xludf.DUMMYFUNCTION("""COMPUTED_VALUE"""),570)</f>
        <v>570</v>
      </c>
      <c r="D569" s="47" t="str">
        <f ca="1">IFERROR(__xludf.DUMMYFUNCTION("""COMPUTED_VALUE"""),"C0329")</f>
        <v>C0329</v>
      </c>
      <c r="E569" s="46" t="str">
        <f ca="1">IFERROR(__xludf.DUMMYFUNCTION("""COMPUTED_VALUE"""),"TRẦN GIA HUY")</f>
        <v>TRẦN GIA HUY</v>
      </c>
      <c r="F569" s="46" t="str">
        <f ca="1">IFERROR(__xludf.DUMMYFUNCTION("""COMPUTED_VALUE"""),"TRAN GIA HUY")</f>
        <v>TRAN GIA HUY</v>
      </c>
      <c r="G569" s="45">
        <f ca="1">IFERROR(__xludf.DUMMYFUNCTION("""COMPUTED_VALUE"""),36796.5833333333)</f>
        <v>36796.583333333299</v>
      </c>
      <c r="H569" s="45" t="str">
        <f ca="1">IFERROR(__xludf.DUMMYFUNCTION("""COMPUTED_VALUE"""),"YESHI")</f>
        <v>YESHI</v>
      </c>
      <c r="I569" s="46" t="str">
        <f ca="1">IFERROR(__xludf.DUMMYFUNCTION("""COMPUTED_VALUE"""),"STORE")</f>
        <v>STORE</v>
      </c>
      <c r="J569" s="46" t="str">
        <f ca="1">IFERROR(__xludf.DUMMYFUNCTION("""COMPUTED_VALUE"""),"YESHI D2")</f>
        <v>YESHI D2</v>
      </c>
      <c r="K569" s="46" t="str">
        <f ca="1">IFERROR(__xludf.DUMMYFUNCTION("""COMPUTED_VALUE"""),"KIT")</f>
        <v>KIT</v>
      </c>
      <c r="L569" s="46" t="str">
        <f ca="1">IFERROR(__xludf.DUMMYFUNCTION("""COMPUTED_VALUE"""),"FTE")</f>
        <v>FTE</v>
      </c>
      <c r="M569" s="46" t="str">
        <f ca="1">IFERROR(__xludf.DUMMYFUNCTION("""COMPUTED_VALUE"""),"Leave")</f>
        <v>Leave</v>
      </c>
      <c r="N569" s="46" t="str">
        <f ca="1">IFERROR(__xludf.DUMMYFUNCTION("""COMPUTED_VALUE"""),"x")</f>
        <v>x</v>
      </c>
    </row>
    <row r="570" spans="1:14">
      <c r="A570" s="45">
        <f ca="1">IFERROR(__xludf.DUMMYFUNCTION("""COMPUTED_VALUE"""),45454.5833333333)</f>
        <v>45454.583333333299</v>
      </c>
      <c r="B570" s="45">
        <f ca="1">IFERROR(__xludf.DUMMYFUNCTION("""COMPUTED_VALUE"""),45557.5833333333)</f>
        <v>45557.583333333299</v>
      </c>
      <c r="C570" s="46">
        <f ca="1">IFERROR(__xludf.DUMMYFUNCTION("""COMPUTED_VALUE"""),571)</f>
        <v>571</v>
      </c>
      <c r="D570" s="47" t="str">
        <f ca="1">IFERROR(__xludf.DUMMYFUNCTION("""COMPUTED_VALUE"""),"C0330")</f>
        <v>C0330</v>
      </c>
      <c r="E570" s="46" t="str">
        <f ca="1">IFERROR(__xludf.DUMMYFUNCTION("""COMPUTED_VALUE"""),"LÊ THỊ THÙY DƯƠNG")</f>
        <v>LÊ THỊ THÙY DƯƠNG</v>
      </c>
      <c r="F570" s="46" t="str">
        <f ca="1">IFERROR(__xludf.DUMMYFUNCTION("""COMPUTED_VALUE"""),"LE THI THUY DUONG")</f>
        <v>LE THI THUY DUONG</v>
      </c>
      <c r="G570" s="45">
        <f ca="1">IFERROR(__xludf.DUMMYFUNCTION("""COMPUTED_VALUE"""),38200.5833333333)</f>
        <v>38200.583333333299</v>
      </c>
      <c r="H570" s="45" t="str">
        <f ca="1">IFERROR(__xludf.DUMMYFUNCTION("""COMPUTED_VALUE"""),"SHADOW")</f>
        <v>SHADOW</v>
      </c>
      <c r="I570" s="46" t="str">
        <f ca="1">IFERROR(__xludf.DUMMYFUNCTION("""COMPUTED_VALUE"""),"STORE")</f>
        <v>STORE</v>
      </c>
      <c r="J570" s="46" t="str">
        <f ca="1">IFERROR(__xludf.DUMMYFUNCTION("""COMPUTED_VALUE"""),"BAKES PASTEUR")</f>
        <v>BAKES PASTEUR</v>
      </c>
      <c r="K570" s="46" t="str">
        <f ca="1">IFERROR(__xludf.DUMMYFUNCTION("""COMPUTED_VALUE"""),"WAITSTAFF")</f>
        <v>WAITSTAFF</v>
      </c>
      <c r="L570" s="46" t="str">
        <f ca="1">IFERROR(__xludf.DUMMYFUNCTION("""COMPUTED_VALUE"""),"PTE")</f>
        <v>PTE</v>
      </c>
      <c r="M570" s="46" t="str">
        <f ca="1">IFERROR(__xludf.DUMMYFUNCTION("""COMPUTED_VALUE"""),"Leave")</f>
        <v>Leave</v>
      </c>
      <c r="N570" s="46" t="str">
        <f ca="1">IFERROR(__xludf.DUMMYFUNCTION("""COMPUTED_VALUE"""),"x")</f>
        <v>x</v>
      </c>
    </row>
    <row r="571" spans="1:14">
      <c r="A571" s="45">
        <f ca="1">IFERROR(__xludf.DUMMYFUNCTION("""COMPUTED_VALUE"""),45464.5833333333)</f>
        <v>45464.583333333299</v>
      </c>
      <c r="B571" s="45">
        <f ca="1">IFERROR(__xludf.DUMMYFUNCTION("""COMPUTED_VALUE"""),45769.5833333333)</f>
        <v>45769.583333333299</v>
      </c>
      <c r="C571" s="46">
        <f ca="1">IFERROR(__xludf.DUMMYFUNCTION("""COMPUTED_VALUE"""),572)</f>
        <v>572</v>
      </c>
      <c r="D571" s="47" t="str">
        <f ca="1">IFERROR(__xludf.DUMMYFUNCTION("""COMPUTED_VALUE"""),"C0331")</f>
        <v>C0331</v>
      </c>
      <c r="E571" s="46" t="str">
        <f ca="1">IFERROR(__xludf.DUMMYFUNCTION("""COMPUTED_VALUE"""),"TRẦN THỊ TRÚC LINH")</f>
        <v>TRẦN THỊ TRÚC LINH</v>
      </c>
      <c r="F571" s="46" t="str">
        <f ca="1">IFERROR(__xludf.DUMMYFUNCTION("""COMPUTED_VALUE"""),"TRAN THI TRUC LINH")</f>
        <v>TRAN THI TRUC LINH</v>
      </c>
      <c r="G571" s="45">
        <f ca="1">IFERROR(__xludf.DUMMYFUNCTION("""COMPUTED_VALUE"""),36102.625)</f>
        <v>36102.625</v>
      </c>
      <c r="H571" s="45" t="str">
        <f ca="1">IFERROR(__xludf.DUMMYFUNCTION("""COMPUTED_VALUE"""),"YESHI")</f>
        <v>YESHI</v>
      </c>
      <c r="I571" s="46" t="str">
        <f ca="1">IFERROR(__xludf.DUMMYFUNCTION("""COMPUTED_VALUE"""),"STORE")</f>
        <v>STORE</v>
      </c>
      <c r="J571" s="46" t="str">
        <f ca="1">IFERROR(__xludf.DUMMYFUNCTION("""COMPUTED_VALUE"""),"YESHI D2")</f>
        <v>YESHI D2</v>
      </c>
      <c r="K571" s="46" t="str">
        <f ca="1">IFERROR(__xludf.DUMMYFUNCTION("""COMPUTED_VALUE"""),"KIT")</f>
        <v>KIT</v>
      </c>
      <c r="L571" s="46" t="str">
        <f ca="1">IFERROR(__xludf.DUMMYFUNCTION("""COMPUTED_VALUE"""),"FTE")</f>
        <v>FTE</v>
      </c>
      <c r="M571" s="46" t="str">
        <f ca="1">IFERROR(__xludf.DUMMYFUNCTION("""COMPUTED_VALUE"""),"Leave")</f>
        <v>Leave</v>
      </c>
      <c r="N571" s="46" t="str">
        <f ca="1">IFERROR(__xludf.DUMMYFUNCTION("""COMPUTED_VALUE"""),"x")</f>
        <v>x</v>
      </c>
    </row>
    <row r="572" spans="1:14">
      <c r="A572" s="45">
        <f ca="1">IFERROR(__xludf.DUMMYFUNCTION("""COMPUTED_VALUE"""),45468.5833333333)</f>
        <v>45468.583333333299</v>
      </c>
      <c r="B572" s="45">
        <f ca="1">IFERROR(__xludf.DUMMYFUNCTION("""COMPUTED_VALUE"""),45474.5833333333)</f>
        <v>45474.583333333299</v>
      </c>
      <c r="C572" s="46">
        <f ca="1">IFERROR(__xludf.DUMMYFUNCTION("""COMPUTED_VALUE"""),573)</f>
        <v>573</v>
      </c>
      <c r="D572" s="47" t="str">
        <f ca="1">IFERROR(__xludf.DUMMYFUNCTION("""COMPUTED_VALUE"""),"C0332")</f>
        <v>C0332</v>
      </c>
      <c r="E572" s="46" t="str">
        <f ca="1">IFERROR(__xludf.DUMMYFUNCTION("""COMPUTED_VALUE"""),"TRẦN HIỀN NHI")</f>
        <v>TRẦN HIỀN NHI</v>
      </c>
      <c r="F572" s="46" t="str">
        <f ca="1">IFERROR(__xludf.DUMMYFUNCTION("""COMPUTED_VALUE"""),"TRAN HIEN NHI")</f>
        <v>TRAN HIEN NHI</v>
      </c>
      <c r="G572" s="45">
        <f ca="1">IFERROR(__xludf.DUMMYFUNCTION("""COMPUTED_VALUE"""),36484.625)</f>
        <v>36484.625</v>
      </c>
      <c r="H572" s="45" t="str">
        <f ca="1">IFERROR(__xludf.DUMMYFUNCTION("""COMPUTED_VALUE"""),"SHADOW")</f>
        <v>SHADOW</v>
      </c>
      <c r="I572" s="46" t="str">
        <f ca="1">IFERROR(__xludf.DUMMYFUNCTION("""COMPUTED_VALUE"""),"STORE")</f>
        <v>STORE</v>
      </c>
      <c r="J572" s="46" t="str">
        <f ca="1">IFERROR(__xludf.DUMMYFUNCTION("""COMPUTED_VALUE"""),"BAKES PASTEUR")</f>
        <v>BAKES PASTEUR</v>
      </c>
      <c r="K572" s="46" t="str">
        <f ca="1">IFERROR(__xludf.DUMMYFUNCTION("""COMPUTED_VALUE"""),"STR")</f>
        <v>STR</v>
      </c>
      <c r="L572" s="46" t="str">
        <f ca="1">IFERROR(__xludf.DUMMYFUNCTION("""COMPUTED_VALUE"""),"PRO")</f>
        <v>PRO</v>
      </c>
      <c r="M572" s="46" t="str">
        <f ca="1">IFERROR(__xludf.DUMMYFUNCTION("""COMPUTED_VALUE"""),"Leave")</f>
        <v>Leave</v>
      </c>
      <c r="N572" s="46" t="str">
        <f ca="1">IFERROR(__xludf.DUMMYFUNCTION("""COMPUTED_VALUE"""),"x")</f>
        <v>x</v>
      </c>
    </row>
    <row r="573" spans="1:14">
      <c r="A573" s="45">
        <f ca="1">IFERROR(__xludf.DUMMYFUNCTION("""COMPUTED_VALUE"""),45470.5833333333)</f>
        <v>45470.583333333299</v>
      </c>
      <c r="B573" s="45"/>
      <c r="C573" s="46">
        <f ca="1">IFERROR(__xludf.DUMMYFUNCTION("""COMPUTED_VALUE"""),574)</f>
        <v>574</v>
      </c>
      <c r="D573" s="47" t="str">
        <f ca="1">IFERROR(__xludf.DUMMYFUNCTION("""COMPUTED_VALUE"""),"C0333")</f>
        <v>C0333</v>
      </c>
      <c r="E573" s="46" t="str">
        <f ca="1">IFERROR(__xludf.DUMMYFUNCTION("""COMPUTED_VALUE"""),"NGUYỄN THỊ NGUYÊN THẢO")</f>
        <v>NGUYỄN THỊ NGUYÊN THẢO</v>
      </c>
      <c r="F573" s="46" t="str">
        <f ca="1">IFERROR(__xludf.DUMMYFUNCTION("""COMPUTED_VALUE"""),"NGUYEN THI NGUYEN THAO")</f>
        <v>NGUYEN THI NGUYEN THAO</v>
      </c>
      <c r="G573" s="45">
        <f ca="1">IFERROR(__xludf.DUMMYFUNCTION("""COMPUTED_VALUE"""),37812.5833333333)</f>
        <v>37812.583333333299</v>
      </c>
      <c r="H573" s="45" t="str">
        <f ca="1">IFERROR(__xludf.DUMMYFUNCTION("""COMPUTED_VALUE"""),"YESHI")</f>
        <v>YESHI</v>
      </c>
      <c r="I573" s="46" t="str">
        <f ca="1">IFERROR(__xludf.DUMMYFUNCTION("""COMPUTED_VALUE"""),"HO")</f>
        <v>HO</v>
      </c>
      <c r="J573" s="46" t="str">
        <f ca="1">IFERROR(__xludf.DUMMYFUNCTION("""COMPUTED_VALUE"""),"BE")</f>
        <v>BE</v>
      </c>
      <c r="K573" s="46" t="str">
        <f ca="1">IFERROR(__xludf.DUMMYFUNCTION("""COMPUTED_VALUE"""),"BE")</f>
        <v>BE</v>
      </c>
      <c r="L573" s="46" t="str">
        <f ca="1">IFERROR(__xludf.DUMMYFUNCTION("""COMPUTED_VALUE"""),"FTE")</f>
        <v>FTE</v>
      </c>
      <c r="M573" s="46" t="str">
        <f ca="1">IFERROR(__xludf.DUMMYFUNCTION("""COMPUTED_VALUE"""),"On")</f>
        <v>On</v>
      </c>
      <c r="N573" s="46" t="str">
        <f ca="1">IFERROR(__xludf.DUMMYFUNCTION("""COMPUTED_VALUE"""),"đủ")</f>
        <v>đủ</v>
      </c>
    </row>
    <row r="574" spans="1:14">
      <c r="A574" s="45">
        <f ca="1">IFERROR(__xludf.DUMMYFUNCTION("""COMPUTED_VALUE"""),45470.5833333333)</f>
        <v>45470.583333333299</v>
      </c>
      <c r="B574" s="45"/>
      <c r="C574" s="46">
        <f ca="1">IFERROR(__xludf.DUMMYFUNCTION("""COMPUTED_VALUE"""),575)</f>
        <v>575</v>
      </c>
      <c r="D574" s="47" t="str">
        <f ca="1">IFERROR(__xludf.DUMMYFUNCTION("""COMPUTED_VALUE"""),"C0334")</f>
        <v>C0334</v>
      </c>
      <c r="E574" s="46" t="str">
        <f ca="1">IFERROR(__xludf.DUMMYFUNCTION("""COMPUTED_VALUE"""),"ĐẶNG MINH HIẾU")</f>
        <v>ĐẶNG MINH HIẾU</v>
      </c>
      <c r="F574" s="46" t="str">
        <f ca="1">IFERROR(__xludf.DUMMYFUNCTION("""COMPUTED_VALUE"""),"DANG MINH HIEU")</f>
        <v>DANG MINH HIEU</v>
      </c>
      <c r="G574" s="45">
        <f ca="1">IFERROR(__xludf.DUMMYFUNCTION("""COMPUTED_VALUE"""),36370.5833333333)</f>
        <v>36370.583333333299</v>
      </c>
      <c r="H574" s="45" t="str">
        <f ca="1">IFERROR(__xludf.DUMMYFUNCTION("""COMPUTED_VALUE"""),"BAKES")</f>
        <v>BAKES</v>
      </c>
      <c r="I574" s="46" t="str">
        <f ca="1">IFERROR(__xludf.DUMMYFUNCTION("""COMPUTED_VALUE"""),"HO")</f>
        <v>HO</v>
      </c>
      <c r="J574" s="46" t="str">
        <f ca="1">IFERROR(__xludf.DUMMYFUNCTION("""COMPUTED_VALUE"""),"OPS")</f>
        <v>OPS</v>
      </c>
      <c r="K574" s="46" t="str">
        <f ca="1">IFERROR(__xludf.DUMMYFUNCTION("""COMPUTED_VALUE"""),"OPS")</f>
        <v>OPS</v>
      </c>
      <c r="L574" s="46" t="str">
        <f ca="1">IFERROR(__xludf.DUMMYFUNCTION("""COMPUTED_VALUE"""),"FTE")</f>
        <v>FTE</v>
      </c>
      <c r="M574" s="46" t="str">
        <f ca="1">IFERROR(__xludf.DUMMYFUNCTION("""COMPUTED_VALUE"""),"On")</f>
        <v>On</v>
      </c>
      <c r="N574" s="46" t="str">
        <f ca="1">IFERROR(__xludf.DUMMYFUNCTION("""COMPUTED_VALUE"""),"đủ")</f>
        <v>đủ</v>
      </c>
    </row>
    <row r="575" spans="1:14">
      <c r="A575" s="45">
        <f ca="1">IFERROR(__xludf.DUMMYFUNCTION("""COMPUTED_VALUE"""),45470.5833333333)</f>
        <v>45470.583333333299</v>
      </c>
      <c r="B575" s="45">
        <f ca="1">IFERROR(__xludf.DUMMYFUNCTION("""COMPUTED_VALUE"""),45473.5833333333)</f>
        <v>45473.583333333299</v>
      </c>
      <c r="C575" s="46">
        <f ca="1">IFERROR(__xludf.DUMMYFUNCTION("""COMPUTED_VALUE"""),576)</f>
        <v>576</v>
      </c>
      <c r="D575" s="47" t="str">
        <f ca="1">IFERROR(__xludf.DUMMYFUNCTION("""COMPUTED_VALUE"""),"C0335")</f>
        <v>C0335</v>
      </c>
      <c r="E575" s="46" t="str">
        <f ca="1">IFERROR(__xludf.DUMMYFUNCTION("""COMPUTED_VALUE"""),"BÙI VĂN DƯƠNG")</f>
        <v>BÙI VĂN DƯƠNG</v>
      </c>
      <c r="F575" s="46" t="str">
        <f ca="1">IFERROR(__xludf.DUMMYFUNCTION("""COMPUTED_VALUE"""),"BUI VAN DUONG")</f>
        <v>BUI VAN DUONG</v>
      </c>
      <c r="G575" s="45">
        <f ca="1">IFERROR(__xludf.DUMMYFUNCTION("""COMPUTED_VALUE"""),37825.5833333333)</f>
        <v>37825.583333333299</v>
      </c>
      <c r="H575" s="45" t="str">
        <f ca="1">IFERROR(__xludf.DUMMYFUNCTION("""COMPUTED_VALUE"""),"YESHI")</f>
        <v>YESHI</v>
      </c>
      <c r="I575" s="46" t="str">
        <f ca="1">IFERROR(__xludf.DUMMYFUNCTION("""COMPUTED_VALUE"""),"STORE")</f>
        <v>STORE</v>
      </c>
      <c r="J575" s="46" t="str">
        <f ca="1">IFERROR(__xludf.DUMMYFUNCTION("""COMPUTED_VALUE"""),"YESHI D2")</f>
        <v>YESHI D2</v>
      </c>
      <c r="K575" s="46" t="str">
        <f ca="1">IFERROR(__xludf.DUMMYFUNCTION("""COMPUTED_VALUE"""),"KIT")</f>
        <v>KIT</v>
      </c>
      <c r="L575" s="46" t="str">
        <f ca="1">IFERROR(__xludf.DUMMYFUNCTION("""COMPUTED_VALUE"""),"PRO")</f>
        <v>PRO</v>
      </c>
      <c r="M575" s="46" t="str">
        <f ca="1">IFERROR(__xludf.DUMMYFUNCTION("""COMPUTED_VALUE"""),"Leave")</f>
        <v>Leave</v>
      </c>
      <c r="N575" s="46" t="str">
        <f ca="1">IFERROR(__xludf.DUMMYFUNCTION("""COMPUTED_VALUE"""),"x")</f>
        <v>x</v>
      </c>
    </row>
    <row r="576" spans="1:14">
      <c r="A576" s="45">
        <f ca="1">IFERROR(__xludf.DUMMYFUNCTION("""COMPUTED_VALUE"""),45467.5833333333)</f>
        <v>45467.583333333299</v>
      </c>
      <c r="B576" s="45">
        <f ca="1">IFERROR(__xludf.DUMMYFUNCTION("""COMPUTED_VALUE"""),45510.5833333333)</f>
        <v>45510.583333333299</v>
      </c>
      <c r="C576" s="46">
        <f ca="1">IFERROR(__xludf.DUMMYFUNCTION("""COMPUTED_VALUE"""),577)</f>
        <v>577</v>
      </c>
      <c r="D576" s="47" t="str">
        <f ca="1">IFERROR(__xludf.DUMMYFUNCTION("""COMPUTED_VALUE"""),"C0336")</f>
        <v>C0336</v>
      </c>
      <c r="E576" s="46" t="str">
        <f ca="1">IFERROR(__xludf.DUMMYFUNCTION("""COMPUTED_VALUE"""),"NGUYỄN THỊ BÍCH NGỌC")</f>
        <v>NGUYỄN THỊ BÍCH NGỌC</v>
      </c>
      <c r="F576" s="46" t="str">
        <f ca="1">IFERROR(__xludf.DUMMYFUNCTION("""COMPUTED_VALUE"""),"NGUYEN THI BICH NGOC")</f>
        <v>NGUYEN THI BICH NGOC</v>
      </c>
      <c r="G576" s="45">
        <f ca="1">IFERROR(__xludf.DUMMYFUNCTION("""COMPUTED_VALUE"""),33135.5833333333)</f>
        <v>33135.583333333299</v>
      </c>
      <c r="H576" s="45" t="str">
        <f ca="1">IFERROR(__xludf.DUMMYFUNCTION("""COMPUTED_VALUE"""),"KITCHEN PASTRY")</f>
        <v>KITCHEN PASTRY</v>
      </c>
      <c r="I576" s="46" t="str">
        <f ca="1">IFERROR(__xludf.DUMMYFUNCTION("""COMPUTED_VALUE"""),"KITCHEN PASTRY")</f>
        <v>KITCHEN PASTRY</v>
      </c>
      <c r="J576" s="46" t="str">
        <f ca="1">IFERROR(__xludf.DUMMYFUNCTION("""COMPUTED_VALUE"""),"KITCHEN PASTRY")</f>
        <v>KITCHEN PASTRY</v>
      </c>
      <c r="K576" s="46" t="str">
        <f ca="1">IFERROR(__xludf.DUMMYFUNCTION("""COMPUTED_VALUE"""),"PASTRY")</f>
        <v>PASTRY</v>
      </c>
      <c r="L576" s="46" t="str">
        <f ca="1">IFERROR(__xludf.DUMMYFUNCTION("""COMPUTED_VALUE"""),"PTE")</f>
        <v>PTE</v>
      </c>
      <c r="M576" s="46" t="str">
        <f ca="1">IFERROR(__xludf.DUMMYFUNCTION("""COMPUTED_VALUE"""),"Leave")</f>
        <v>Leave</v>
      </c>
      <c r="N576" s="46" t="str">
        <f ca="1">IFERROR(__xludf.DUMMYFUNCTION("""COMPUTED_VALUE"""),"x")</f>
        <v>x</v>
      </c>
    </row>
    <row r="577" spans="1:14">
      <c r="A577" s="45">
        <f ca="1">IFERROR(__xludf.DUMMYFUNCTION("""COMPUTED_VALUE"""),45470.5833333333)</f>
        <v>45470.583333333299</v>
      </c>
      <c r="B577" s="45">
        <f ca="1">IFERROR(__xludf.DUMMYFUNCTION("""COMPUTED_VALUE"""),45480.5833333333)</f>
        <v>45480.583333333299</v>
      </c>
      <c r="C577" s="46">
        <f ca="1">IFERROR(__xludf.DUMMYFUNCTION("""COMPUTED_VALUE"""),578)</f>
        <v>578</v>
      </c>
      <c r="D577" s="47" t="str">
        <f ca="1">IFERROR(__xludf.DUMMYFUNCTION("""COMPUTED_VALUE"""),"C0337")</f>
        <v>C0337</v>
      </c>
      <c r="E577" s="46" t="str">
        <f ca="1">IFERROR(__xludf.DUMMYFUNCTION("""COMPUTED_VALUE"""),"LÊ THỊ MINH THÙY")</f>
        <v>LÊ THỊ MINH THÙY</v>
      </c>
      <c r="F577" s="46" t="str">
        <f ca="1">IFERROR(__xludf.DUMMYFUNCTION("""COMPUTED_VALUE"""),"LE THI MINH THUY")</f>
        <v>LE THI MINH THUY</v>
      </c>
      <c r="G577" s="45">
        <f ca="1">IFERROR(__xludf.DUMMYFUNCTION("""COMPUTED_VALUE"""),31947.5833333333)</f>
        <v>31947.583333333299</v>
      </c>
      <c r="H577" s="45" t="str">
        <f ca="1">IFERROR(__xludf.DUMMYFUNCTION("""COMPUTED_VALUE"""),"BAKES")</f>
        <v>BAKES</v>
      </c>
      <c r="I577" s="46" t="str">
        <f ca="1">IFERROR(__xludf.DUMMYFUNCTION("""COMPUTED_VALUE"""),"HO")</f>
        <v>HO</v>
      </c>
      <c r="J577" s="46" t="str">
        <f ca="1">IFERROR(__xludf.DUMMYFUNCTION("""COMPUTED_VALUE"""),"OPS")</f>
        <v>OPS</v>
      </c>
      <c r="K577" s="46" t="str">
        <f ca="1">IFERROR(__xludf.DUMMYFUNCTION("""COMPUTED_VALUE"""),"OPS")</f>
        <v>OPS</v>
      </c>
      <c r="L577" s="46" t="str">
        <f ca="1">IFERROR(__xludf.DUMMYFUNCTION("""COMPUTED_VALUE"""),"PRO")</f>
        <v>PRO</v>
      </c>
      <c r="M577" s="46" t="str">
        <f ca="1">IFERROR(__xludf.DUMMYFUNCTION("""COMPUTED_VALUE"""),"Leave")</f>
        <v>Leave</v>
      </c>
      <c r="N577" s="46" t="str">
        <f ca="1">IFERROR(__xludf.DUMMYFUNCTION("""COMPUTED_VALUE"""),"x")</f>
        <v>x</v>
      </c>
    </row>
    <row r="578" spans="1:14">
      <c r="A578" s="45">
        <f ca="1">IFERROR(__xludf.DUMMYFUNCTION("""COMPUTED_VALUE"""),45464.5833333333)</f>
        <v>45464.583333333299</v>
      </c>
      <c r="B578" s="45">
        <f ca="1">IFERROR(__xludf.DUMMYFUNCTION("""COMPUTED_VALUE"""),45505.5833333333)</f>
        <v>45505.583333333299</v>
      </c>
      <c r="C578" s="46">
        <f ca="1">IFERROR(__xludf.DUMMYFUNCTION("""COMPUTED_VALUE"""),579)</f>
        <v>579</v>
      </c>
      <c r="D578" s="47" t="str">
        <f ca="1">IFERROR(__xludf.DUMMYFUNCTION("""COMPUTED_VALUE"""),"C0338")</f>
        <v>C0338</v>
      </c>
      <c r="E578" s="46" t="str">
        <f ca="1">IFERROR(__xludf.DUMMYFUNCTION("""COMPUTED_VALUE"""),"VÕ VĂN NHỰT TRƯỜNG")</f>
        <v>VÕ VĂN NHỰT TRƯỜNG</v>
      </c>
      <c r="F578" s="46" t="str">
        <f ca="1">IFERROR(__xludf.DUMMYFUNCTION("""COMPUTED_VALUE"""),"VO VAN NHUT TRUONG")</f>
        <v>VO VAN NHUT TRUONG</v>
      </c>
      <c r="G578" s="45">
        <f ca="1">IFERROR(__xludf.DUMMYFUNCTION("""COMPUTED_VALUE"""),35586.5833333333)</f>
        <v>35586.583333333299</v>
      </c>
      <c r="H578" s="45" t="str">
        <f ca="1">IFERROR(__xludf.DUMMYFUNCTION("""COMPUTED_VALUE"""),"YESHI")</f>
        <v>YESHI</v>
      </c>
      <c r="I578" s="46" t="str">
        <f ca="1">IFERROR(__xludf.DUMMYFUNCTION("""COMPUTED_VALUE"""),"STORE")</f>
        <v>STORE</v>
      </c>
      <c r="J578" s="46" t="str">
        <f ca="1">IFERROR(__xludf.DUMMYFUNCTION("""COMPUTED_VALUE"""),"YESHI D2")</f>
        <v>YESHI D2</v>
      </c>
      <c r="K578" s="46" t="str">
        <f ca="1">IFERROR(__xludf.DUMMYFUNCTION("""COMPUTED_VALUE"""),"KIT")</f>
        <v>KIT</v>
      </c>
      <c r="L578" s="46" t="str">
        <f ca="1">IFERROR(__xludf.DUMMYFUNCTION("""COMPUTED_VALUE"""),"PTE")</f>
        <v>PTE</v>
      </c>
      <c r="M578" s="46" t="str">
        <f ca="1">IFERROR(__xludf.DUMMYFUNCTION("""COMPUTED_VALUE"""),"Leave")</f>
        <v>Leave</v>
      </c>
      <c r="N578" s="46" t="str">
        <f ca="1">IFERROR(__xludf.DUMMYFUNCTION("""COMPUTED_VALUE"""),"x")</f>
        <v>x</v>
      </c>
    </row>
    <row r="579" spans="1:14">
      <c r="A579" s="45">
        <f ca="1">IFERROR(__xludf.DUMMYFUNCTION("""COMPUTED_VALUE"""),45471.5833333333)</f>
        <v>45471.583333333299</v>
      </c>
      <c r="B579" s="45">
        <f ca="1">IFERROR(__xludf.DUMMYFUNCTION("""COMPUTED_VALUE"""),45502.5833333333)</f>
        <v>45502.583333333299</v>
      </c>
      <c r="C579" s="46">
        <f ca="1">IFERROR(__xludf.DUMMYFUNCTION("""COMPUTED_VALUE"""),580)</f>
        <v>580</v>
      </c>
      <c r="D579" s="47" t="str">
        <f ca="1">IFERROR(__xludf.DUMMYFUNCTION("""COMPUTED_VALUE"""),"C0340")</f>
        <v>C0340</v>
      </c>
      <c r="E579" s="46" t="str">
        <f ca="1">IFERROR(__xludf.DUMMYFUNCTION("""COMPUTED_VALUE"""),"TRẦN THỊ XUÂN HẰNG")</f>
        <v>TRẦN THỊ XUÂN HẰNG</v>
      </c>
      <c r="F579" s="46" t="str">
        <f ca="1">IFERROR(__xludf.DUMMYFUNCTION("""COMPUTED_VALUE"""),"TRAN THI XUAN HANG")</f>
        <v>TRAN THI XUAN HANG</v>
      </c>
      <c r="G579" s="45">
        <f ca="1">IFERROR(__xludf.DUMMYFUNCTION("""COMPUTED_VALUE"""),33273.625)</f>
        <v>33273.625</v>
      </c>
      <c r="H579" s="45" t="str">
        <f ca="1">IFERROR(__xludf.DUMMYFUNCTION("""COMPUTED_VALUE"""),"SHADOW")</f>
        <v>SHADOW</v>
      </c>
      <c r="I579" s="46" t="str">
        <f ca="1">IFERROR(__xludf.DUMMYFUNCTION("""COMPUTED_VALUE"""),"STORE")</f>
        <v>STORE</v>
      </c>
      <c r="J579" s="46" t="str">
        <f ca="1">IFERROR(__xludf.DUMMYFUNCTION("""COMPUTED_VALUE"""),"BAKES PASTEUR")</f>
        <v>BAKES PASTEUR</v>
      </c>
      <c r="K579" s="46" t="str">
        <f ca="1">IFERROR(__xludf.DUMMYFUNCTION("""COMPUTED_VALUE"""),"STR")</f>
        <v>STR</v>
      </c>
      <c r="L579" s="46" t="str">
        <f ca="1">IFERROR(__xludf.DUMMYFUNCTION("""COMPUTED_VALUE"""),"PRO")</f>
        <v>PRO</v>
      </c>
      <c r="M579" s="46" t="str">
        <f ca="1">IFERROR(__xludf.DUMMYFUNCTION("""COMPUTED_VALUE"""),"Leave")</f>
        <v>Leave</v>
      </c>
      <c r="N579" s="46" t="str">
        <f ca="1">IFERROR(__xludf.DUMMYFUNCTION("""COMPUTED_VALUE"""),"x")</f>
        <v>x</v>
      </c>
    </row>
    <row r="580" spans="1:14">
      <c r="A580" s="45">
        <f ca="1">IFERROR(__xludf.DUMMYFUNCTION("""COMPUTED_VALUE"""),45461.5833333333)</f>
        <v>45461.583333333299</v>
      </c>
      <c r="B580" s="45">
        <f ca="1">IFERROR(__xludf.DUMMYFUNCTION("""COMPUTED_VALUE"""),45467.5833333333)</f>
        <v>45467.583333333299</v>
      </c>
      <c r="C580" s="46">
        <f ca="1">IFERROR(__xludf.DUMMYFUNCTION("""COMPUTED_VALUE"""),581)</f>
        <v>581</v>
      </c>
      <c r="D580" s="47" t="str">
        <f ca="1">IFERROR(__xludf.DUMMYFUNCTION("""COMPUTED_VALUE"""),"C0341")</f>
        <v>C0341</v>
      </c>
      <c r="E580" s="46" t="str">
        <f ca="1">IFERROR(__xludf.DUMMYFUNCTION("""COMPUTED_VALUE"""),"HUỲNH MINH THẾ")</f>
        <v>HUỲNH MINH THẾ</v>
      </c>
      <c r="F580" s="46" t="str">
        <f ca="1">IFERROR(__xludf.DUMMYFUNCTION("""COMPUTED_VALUE"""),"HUYNH MINH THE")</f>
        <v>HUYNH MINH THE</v>
      </c>
      <c r="G580" s="45">
        <f ca="1">IFERROR(__xludf.DUMMYFUNCTION("""COMPUTED_VALUE"""),36065.5833333333)</f>
        <v>36065.583333333299</v>
      </c>
      <c r="H580" s="45" t="str">
        <f ca="1">IFERROR(__xludf.DUMMYFUNCTION("""COMPUTED_VALUE"""),"YESHI")</f>
        <v>YESHI</v>
      </c>
      <c r="I580" s="46" t="str">
        <f ca="1">IFERROR(__xludf.DUMMYFUNCTION("""COMPUTED_VALUE"""),"STORE")</f>
        <v>STORE</v>
      </c>
      <c r="J580" s="46" t="str">
        <f ca="1">IFERROR(__xludf.DUMMYFUNCTION("""COMPUTED_VALUE"""),"YESHI D2")</f>
        <v>YESHI D2</v>
      </c>
      <c r="K580" s="46" t="str">
        <f ca="1">IFERROR(__xludf.DUMMYFUNCTION("""COMPUTED_VALUE"""),"KIT")</f>
        <v>KIT</v>
      </c>
      <c r="L580" s="46" t="str">
        <f ca="1">IFERROR(__xludf.DUMMYFUNCTION("""COMPUTED_VALUE"""),"PTE")</f>
        <v>PTE</v>
      </c>
      <c r="M580" s="46" t="str">
        <f ca="1">IFERROR(__xludf.DUMMYFUNCTION("""COMPUTED_VALUE"""),"Leave")</f>
        <v>Leave</v>
      </c>
      <c r="N580" s="46" t="str">
        <f ca="1">IFERROR(__xludf.DUMMYFUNCTION("""COMPUTED_VALUE"""),"x")</f>
        <v>x</v>
      </c>
    </row>
    <row r="581" spans="1:14">
      <c r="A581" s="45">
        <f ca="1">IFERROR(__xludf.DUMMYFUNCTION("""COMPUTED_VALUE"""),45475.5833333333)</f>
        <v>45475.583333333299</v>
      </c>
      <c r="B581" s="45">
        <f ca="1">IFERROR(__xludf.DUMMYFUNCTION("""COMPUTED_VALUE"""),45536.5833333333)</f>
        <v>45536.583333333299</v>
      </c>
      <c r="C581" s="46">
        <f ca="1">IFERROR(__xludf.DUMMYFUNCTION("""COMPUTED_VALUE"""),582)</f>
        <v>582</v>
      </c>
      <c r="D581" s="47" t="str">
        <f ca="1">IFERROR(__xludf.DUMMYFUNCTION("""COMPUTED_VALUE"""),"C0342")</f>
        <v>C0342</v>
      </c>
      <c r="E581" s="46" t="str">
        <f ca="1">IFERROR(__xludf.DUMMYFUNCTION("""COMPUTED_VALUE"""),"DƯƠNG BẢO TRANG")</f>
        <v>DƯƠNG BẢO TRANG</v>
      </c>
      <c r="F581" s="46" t="str">
        <f ca="1">IFERROR(__xludf.DUMMYFUNCTION("""COMPUTED_VALUE"""),"DUONG BAO TRANG")</f>
        <v>DUONG BAO TRANG</v>
      </c>
      <c r="G581" s="45">
        <f ca="1">IFERROR(__xludf.DUMMYFUNCTION("""COMPUTED_VALUE"""),34232.5833333333)</f>
        <v>34232.583333333299</v>
      </c>
      <c r="H581" s="45" t="str">
        <f ca="1">IFERROR(__xludf.DUMMYFUNCTION("""COMPUTED_VALUE"""),"YESHI")</f>
        <v>YESHI</v>
      </c>
      <c r="I581" s="46" t="str">
        <f ca="1">IFERROR(__xludf.DUMMYFUNCTION("""COMPUTED_VALUE"""),"STORE")</f>
        <v>STORE</v>
      </c>
      <c r="J581" s="46" t="str">
        <f ca="1">IFERROR(__xludf.DUMMYFUNCTION("""COMPUTED_VALUE"""),"YESHI D2")</f>
        <v>YESHI D2</v>
      </c>
      <c r="K581" s="46" t="str">
        <f ca="1">IFERROR(__xludf.DUMMYFUNCTION("""COMPUTED_VALUE"""),"KIT")</f>
        <v>KIT</v>
      </c>
      <c r="L581" s="46" t="str">
        <f ca="1">IFERROR(__xludf.DUMMYFUNCTION("""COMPUTED_VALUE"""),"PTE")</f>
        <v>PTE</v>
      </c>
      <c r="M581" s="46" t="str">
        <f ca="1">IFERROR(__xludf.DUMMYFUNCTION("""COMPUTED_VALUE"""),"Leave")</f>
        <v>Leave</v>
      </c>
      <c r="N581" s="46" t="str">
        <f ca="1">IFERROR(__xludf.DUMMYFUNCTION("""COMPUTED_VALUE"""),"x")</f>
        <v>x</v>
      </c>
    </row>
    <row r="582" spans="1:14">
      <c r="A582" s="45">
        <f ca="1">IFERROR(__xludf.DUMMYFUNCTION("""COMPUTED_VALUE"""),45475.5833333333)</f>
        <v>45475.583333333299</v>
      </c>
      <c r="B582" s="45">
        <f ca="1">IFERROR(__xludf.DUMMYFUNCTION("""COMPUTED_VALUE"""),45548.5833333333)</f>
        <v>45548.583333333299</v>
      </c>
      <c r="C582" s="46">
        <f ca="1">IFERROR(__xludf.DUMMYFUNCTION("""COMPUTED_VALUE"""),583)</f>
        <v>583</v>
      </c>
      <c r="D582" s="47" t="str">
        <f ca="1">IFERROR(__xludf.DUMMYFUNCTION("""COMPUTED_VALUE"""),"C0343")</f>
        <v>C0343</v>
      </c>
      <c r="E582" s="46" t="str">
        <f ca="1">IFERROR(__xludf.DUMMYFUNCTION("""COMPUTED_VALUE"""),"NGUYỄN HUYỀN VY")</f>
        <v>NGUYỄN HUYỀN VY</v>
      </c>
      <c r="F582" s="46" t="str">
        <f ca="1">IFERROR(__xludf.DUMMYFUNCTION("""COMPUTED_VALUE"""),"NGUYEN HUYEN VY")</f>
        <v>NGUYEN HUYEN VY</v>
      </c>
      <c r="G582" s="45">
        <f ca="1">IFERROR(__xludf.DUMMYFUNCTION("""COMPUTED_VALUE"""),37261.625)</f>
        <v>37261.625</v>
      </c>
      <c r="H582" s="45" t="str">
        <f ca="1">IFERROR(__xludf.DUMMYFUNCTION("""COMPUTED_VALUE"""),"BAKES")</f>
        <v>BAKES</v>
      </c>
      <c r="I582" s="46" t="str">
        <f ca="1">IFERROR(__xludf.DUMMYFUNCTION("""COMPUTED_VALUE"""),"HO")</f>
        <v>HO</v>
      </c>
      <c r="J582" s="46" t="str">
        <f ca="1">IFERROR(__xludf.DUMMYFUNCTION("""COMPUTED_VALUE"""),"FIN")</f>
        <v>FIN</v>
      </c>
      <c r="K582" s="46" t="str">
        <f ca="1">IFERROR(__xludf.DUMMYFUNCTION("""COMPUTED_VALUE"""),"FIN")</f>
        <v>FIN</v>
      </c>
      <c r="L582" s="46" t="str">
        <f ca="1">IFERROR(__xludf.DUMMYFUNCTION("""COMPUTED_VALUE"""),"PRO")</f>
        <v>PRO</v>
      </c>
      <c r="M582" s="46" t="str">
        <f ca="1">IFERROR(__xludf.DUMMYFUNCTION("""COMPUTED_VALUE"""),"Leave")</f>
        <v>Leave</v>
      </c>
      <c r="N582" s="46" t="str">
        <f ca="1">IFERROR(__xludf.DUMMYFUNCTION("""COMPUTED_VALUE"""),"x")</f>
        <v>x</v>
      </c>
    </row>
    <row r="583" spans="1:14">
      <c r="A583" s="45">
        <f ca="1">IFERROR(__xludf.DUMMYFUNCTION("""COMPUTED_VALUE"""),45476.5833333333)</f>
        <v>45476.583333333299</v>
      </c>
      <c r="B583" s="45">
        <f ca="1">IFERROR(__xludf.DUMMYFUNCTION("""COMPUTED_VALUE"""),45570.5833333333)</f>
        <v>45570.583333333299</v>
      </c>
      <c r="C583" s="46">
        <f ca="1">IFERROR(__xludf.DUMMYFUNCTION("""COMPUTED_VALUE"""),584)</f>
        <v>584</v>
      </c>
      <c r="D583" s="47" t="str">
        <f ca="1">IFERROR(__xludf.DUMMYFUNCTION("""COMPUTED_VALUE"""),"C0344")</f>
        <v>C0344</v>
      </c>
      <c r="E583" s="46" t="str">
        <f ca="1">IFERROR(__xludf.DUMMYFUNCTION("""COMPUTED_VALUE"""),"NGUYỂN TRẦN CẨM NHI")</f>
        <v>NGUYỂN TRẦN CẨM NHI</v>
      </c>
      <c r="F583" s="46" t="str">
        <f ca="1">IFERROR(__xludf.DUMMYFUNCTION("""COMPUTED_VALUE"""),"NGUYEN TRAN CAM NHI")</f>
        <v>NGUYEN TRAN CAM NHI</v>
      </c>
      <c r="G583" s="45">
        <f ca="1">IFERROR(__xludf.DUMMYFUNCTION("""COMPUTED_VALUE"""),35830.625)</f>
        <v>35830.625</v>
      </c>
      <c r="H583" s="45" t="str">
        <f ca="1">IFERROR(__xludf.DUMMYFUNCTION("""COMPUTED_VALUE"""),"CREATIVE")</f>
        <v>CREATIVE</v>
      </c>
      <c r="I583" s="46" t="str">
        <f ca="1">IFERROR(__xludf.DUMMYFUNCTION("""COMPUTED_VALUE"""),"HO")</f>
        <v>HO</v>
      </c>
      <c r="J583" s="46" t="str">
        <f ca="1">IFERROR(__xludf.DUMMYFUNCTION("""COMPUTED_VALUE"""),"GRA")</f>
        <v>GRA</v>
      </c>
      <c r="K583" s="46" t="str">
        <f ca="1">IFERROR(__xludf.DUMMYFUNCTION("""COMPUTED_VALUE"""),"GRA")</f>
        <v>GRA</v>
      </c>
      <c r="L583" s="46" t="str">
        <f ca="1">IFERROR(__xludf.DUMMYFUNCTION("""COMPUTED_VALUE"""),"SER")</f>
        <v>SER</v>
      </c>
      <c r="M583" s="46" t="str">
        <f ca="1">IFERROR(__xludf.DUMMYFUNCTION("""COMPUTED_VALUE"""),"Leave")</f>
        <v>Leave</v>
      </c>
      <c r="N583" s="46" t="str">
        <f ca="1">IFERROR(__xludf.DUMMYFUNCTION("""COMPUTED_VALUE"""),"x")</f>
        <v>x</v>
      </c>
    </row>
    <row r="584" spans="1:14">
      <c r="A584" s="45">
        <f ca="1">IFERROR(__xludf.DUMMYFUNCTION("""COMPUTED_VALUE"""),45483.5833333333)</f>
        <v>45483.583333333299</v>
      </c>
      <c r="B584" s="45">
        <f ca="1">IFERROR(__xludf.DUMMYFUNCTION("""COMPUTED_VALUE"""),45518.5833333333)</f>
        <v>45518.583333333299</v>
      </c>
      <c r="C584" s="46">
        <f ca="1">IFERROR(__xludf.DUMMYFUNCTION("""COMPUTED_VALUE"""),585)</f>
        <v>585</v>
      </c>
      <c r="D584" s="47" t="str">
        <f ca="1">IFERROR(__xludf.DUMMYFUNCTION("""COMPUTED_VALUE"""),"C0345")</f>
        <v>C0345</v>
      </c>
      <c r="E584" s="46" t="str">
        <f ca="1">IFERROR(__xludf.DUMMYFUNCTION("""COMPUTED_VALUE"""),"NGUYỄN NGỌC PHƯƠNG DUYÊN")</f>
        <v>NGUYỄN NGỌC PHƯƠNG DUYÊN</v>
      </c>
      <c r="F584" s="46" t="str">
        <f ca="1">IFERROR(__xludf.DUMMYFUNCTION("""COMPUTED_VALUE"""),"NGUYEN NGOC PHUONG DUYEN")</f>
        <v>NGUYEN NGOC PHUONG DUYEN</v>
      </c>
      <c r="G584" s="45">
        <f ca="1">IFERROR(__xludf.DUMMYFUNCTION("""COMPUTED_VALUE"""),35762.625)</f>
        <v>35762.625</v>
      </c>
      <c r="H584" s="45" t="str">
        <f ca="1">IFERROR(__xludf.DUMMYFUNCTION("""COMPUTED_VALUE"""),"CREATIVE")</f>
        <v>CREATIVE</v>
      </c>
      <c r="I584" s="46" t="str">
        <f ca="1">IFERROR(__xludf.DUMMYFUNCTION("""COMPUTED_VALUE"""),"HO")</f>
        <v>HO</v>
      </c>
      <c r="J584" s="46" t="str">
        <f ca="1">IFERROR(__xludf.DUMMYFUNCTION("""COMPUTED_VALUE"""),"SPD")</f>
        <v>SPD</v>
      </c>
      <c r="K584" s="46" t="str">
        <f ca="1">IFERROR(__xludf.DUMMYFUNCTION("""COMPUTED_VALUE"""),"SPD")</f>
        <v>SPD</v>
      </c>
      <c r="L584" s="46" t="str">
        <f ca="1">IFERROR(__xludf.DUMMYFUNCTION("""COMPUTED_VALUE"""),"PRO")</f>
        <v>PRO</v>
      </c>
      <c r="M584" s="46" t="str">
        <f ca="1">IFERROR(__xludf.DUMMYFUNCTION("""COMPUTED_VALUE"""),"Leave")</f>
        <v>Leave</v>
      </c>
      <c r="N584" s="46" t="str">
        <f ca="1">IFERROR(__xludf.DUMMYFUNCTION("""COMPUTED_VALUE"""),"x")</f>
        <v>x</v>
      </c>
    </row>
    <row r="585" spans="1:14">
      <c r="A585" s="45">
        <f ca="1">IFERROR(__xludf.DUMMYFUNCTION("""COMPUTED_VALUE"""),45475.5833333333)</f>
        <v>45475.583333333299</v>
      </c>
      <c r="B585" s="45">
        <f ca="1">IFERROR(__xludf.DUMMYFUNCTION("""COMPUTED_VALUE"""),46184.5833333333)</f>
        <v>46184.583333333299</v>
      </c>
      <c r="C585" s="46">
        <f ca="1">IFERROR(__xludf.DUMMYFUNCTION("""COMPUTED_VALUE"""),586)</f>
        <v>586</v>
      </c>
      <c r="D585" s="47" t="str">
        <f ca="1">IFERROR(__xludf.DUMMYFUNCTION("""COMPUTED_VALUE"""),"C0346")</f>
        <v>C0346</v>
      </c>
      <c r="E585" s="46" t="str">
        <f ca="1">IFERROR(__xludf.DUMMYFUNCTION("""COMPUTED_VALUE"""),"TRẦN ĐỨC DƯƠNG HÙNG")</f>
        <v>TRẦN ĐỨC DƯƠNG HÙNG</v>
      </c>
      <c r="F585" s="46" t="str">
        <f ca="1">IFERROR(__xludf.DUMMYFUNCTION("""COMPUTED_VALUE"""),"TRAN DUC DUONG HUNG")</f>
        <v>TRAN DUC DUONG HUNG</v>
      </c>
      <c r="G585" s="45">
        <f ca="1">IFERROR(__xludf.DUMMYFUNCTION("""COMPUTED_VALUE"""),38457.5833333333)</f>
        <v>38457.583333333299</v>
      </c>
      <c r="H585" s="45" t="str">
        <f ca="1">IFERROR(__xludf.DUMMYFUNCTION("""COMPUTED_VALUE"""),"YESHI")</f>
        <v>YESHI</v>
      </c>
      <c r="I585" s="46" t="str">
        <f ca="1">IFERROR(__xludf.DUMMYFUNCTION("""COMPUTED_VALUE"""),"STORE")</f>
        <v>STORE</v>
      </c>
      <c r="J585" s="46" t="str">
        <f ca="1">IFERROR(__xludf.DUMMYFUNCTION("""COMPUTED_VALUE"""),"YESHI D2")</f>
        <v>YESHI D2</v>
      </c>
      <c r="K585" s="46" t="str">
        <f ca="1">IFERROR(__xludf.DUMMYFUNCTION("""COMPUTED_VALUE"""),"KIT")</f>
        <v>KIT</v>
      </c>
      <c r="L585" s="46" t="str">
        <f ca="1">IFERROR(__xludf.DUMMYFUNCTION("""COMPUTED_VALUE"""),"FTE")</f>
        <v>FTE</v>
      </c>
      <c r="M585" s="46" t="str">
        <f ca="1">IFERROR(__xludf.DUMMYFUNCTION("""COMPUTED_VALUE"""),"Leave")</f>
        <v>Leave</v>
      </c>
      <c r="N585" s="46" t="str">
        <f ca="1">IFERROR(__xludf.DUMMYFUNCTION("""COMPUTED_VALUE"""),"đủ")</f>
        <v>đủ</v>
      </c>
    </row>
    <row r="586" spans="1:14">
      <c r="A586" s="45">
        <f ca="1">IFERROR(__xludf.DUMMYFUNCTION("""COMPUTED_VALUE"""),45474.5833333333)</f>
        <v>45474.583333333299</v>
      </c>
      <c r="B586" s="45">
        <f ca="1">IFERROR(__xludf.DUMMYFUNCTION("""COMPUTED_VALUE"""),45778.5833333333)</f>
        <v>45778.583333333299</v>
      </c>
      <c r="C586" s="46">
        <f ca="1">IFERROR(__xludf.DUMMYFUNCTION("""COMPUTED_VALUE"""),587)</f>
        <v>587</v>
      </c>
      <c r="D586" s="47" t="str">
        <f ca="1">IFERROR(__xludf.DUMMYFUNCTION("""COMPUTED_VALUE"""),"C0347")</f>
        <v>C0347</v>
      </c>
      <c r="E586" s="46" t="str">
        <f ca="1">IFERROR(__xludf.DUMMYFUNCTION("""COMPUTED_VALUE"""),"TÔ HỒNG NGỌC")</f>
        <v>TÔ HỒNG NGỌC</v>
      </c>
      <c r="F586" s="46" t="str">
        <f ca="1">IFERROR(__xludf.DUMMYFUNCTION("""COMPUTED_VALUE"""),"TO HONG NGOC")</f>
        <v>TO HONG NGOC</v>
      </c>
      <c r="G586" s="45">
        <f ca="1">IFERROR(__xludf.DUMMYFUNCTION("""COMPUTED_VALUE"""),37986.625)</f>
        <v>37986.625</v>
      </c>
      <c r="H586" s="45" t="str">
        <f ca="1">IFERROR(__xludf.DUMMYFUNCTION("""COMPUTED_VALUE"""),"SHADOW")</f>
        <v>SHADOW</v>
      </c>
      <c r="I586" s="46" t="str">
        <f ca="1">IFERROR(__xludf.DUMMYFUNCTION("""COMPUTED_VALUE"""),"STORE")</f>
        <v>STORE</v>
      </c>
      <c r="J586" s="46" t="str">
        <f ca="1">IFERROR(__xludf.DUMMYFUNCTION("""COMPUTED_VALUE"""),"BAKES PASTEUR")</f>
        <v>BAKES PASTEUR</v>
      </c>
      <c r="K586" s="46" t="str">
        <f ca="1">IFERROR(__xludf.DUMMYFUNCTION("""COMPUTED_VALUE"""),"WAITSTAFF")</f>
        <v>WAITSTAFF</v>
      </c>
      <c r="L586" s="46" t="str">
        <f ca="1">IFERROR(__xludf.DUMMYFUNCTION("""COMPUTED_VALUE"""),"FTE")</f>
        <v>FTE</v>
      </c>
      <c r="M586" s="46" t="str">
        <f ca="1">IFERROR(__xludf.DUMMYFUNCTION("""COMPUTED_VALUE"""),"Leave")</f>
        <v>Leave</v>
      </c>
      <c r="N586" s="46" t="str">
        <f ca="1">IFERROR(__xludf.DUMMYFUNCTION("""COMPUTED_VALUE"""),"x")</f>
        <v>x</v>
      </c>
    </row>
    <row r="587" spans="1:14">
      <c r="A587" s="45">
        <f ca="1">IFERROR(__xludf.DUMMYFUNCTION("""COMPUTED_VALUE"""),45572.5833333333)</f>
        <v>45572.583333333299</v>
      </c>
      <c r="B587" s="45">
        <f ca="1">IFERROR(__xludf.DUMMYFUNCTION("""COMPUTED_VALUE"""),45678.625)</f>
        <v>45678.625</v>
      </c>
      <c r="C587" s="46">
        <f ca="1">IFERROR(__xludf.DUMMYFUNCTION("""COMPUTED_VALUE"""),588)</f>
        <v>588</v>
      </c>
      <c r="D587" s="47" t="str">
        <f ca="1">IFERROR(__xludf.DUMMYFUNCTION("""COMPUTED_VALUE"""),"C0348")</f>
        <v>C0348</v>
      </c>
      <c r="E587" s="46" t="str">
        <f ca="1">IFERROR(__xludf.DUMMYFUNCTION("""COMPUTED_VALUE"""),"TRẦN TRỌNG NGHĨA")</f>
        <v>TRẦN TRỌNG NGHĨA</v>
      </c>
      <c r="F587" s="46" t="str">
        <f ca="1">IFERROR(__xludf.DUMMYFUNCTION("""COMPUTED_VALUE"""),"TRAN TRONG NGHIA")</f>
        <v>TRAN TRONG NGHIA</v>
      </c>
      <c r="G587" s="45">
        <f ca="1">IFERROR(__xludf.DUMMYFUNCTION("""COMPUTED_VALUE"""),36753.5833333333)</f>
        <v>36753.583333333299</v>
      </c>
      <c r="H587" s="45" t="str">
        <f ca="1">IFERROR(__xludf.DUMMYFUNCTION("""COMPUTED_VALUE"""),"KITCHEN PASTRY")</f>
        <v>KITCHEN PASTRY</v>
      </c>
      <c r="I587" s="46" t="str">
        <f ca="1">IFERROR(__xludf.DUMMYFUNCTION("""COMPUTED_VALUE"""),"KITCHEN PASTRY")</f>
        <v>KITCHEN PASTRY</v>
      </c>
      <c r="J587" s="46" t="str">
        <f ca="1">IFERROR(__xludf.DUMMYFUNCTION("""COMPUTED_VALUE"""),"KITCHEN PASTRY")</f>
        <v>KITCHEN PASTRY</v>
      </c>
      <c r="K587" s="46" t="str">
        <f ca="1">IFERROR(__xludf.DUMMYFUNCTION("""COMPUTED_VALUE"""),"BAKER")</f>
        <v>BAKER</v>
      </c>
      <c r="L587" s="46" t="str">
        <f ca="1">IFERROR(__xludf.DUMMYFUNCTION("""COMPUTED_VALUE"""),"PTE")</f>
        <v>PTE</v>
      </c>
      <c r="M587" s="46" t="str">
        <f ca="1">IFERROR(__xludf.DUMMYFUNCTION("""COMPUTED_VALUE"""),"Leave")</f>
        <v>Leave</v>
      </c>
      <c r="N587" s="46" t="str">
        <f ca="1">IFERROR(__xludf.DUMMYFUNCTION("""COMPUTED_VALUE"""),"đủ")</f>
        <v>đủ</v>
      </c>
    </row>
    <row r="588" spans="1:14">
      <c r="A588" s="45">
        <f ca="1">IFERROR(__xludf.DUMMYFUNCTION("""COMPUTED_VALUE"""),45483.5833333333)</f>
        <v>45483.583333333299</v>
      </c>
      <c r="B588" s="45">
        <f ca="1">IFERROR(__xludf.DUMMYFUNCTION("""COMPUTED_VALUE"""),45551.5833333333)</f>
        <v>45551.583333333299</v>
      </c>
      <c r="C588" s="46">
        <f ca="1">IFERROR(__xludf.DUMMYFUNCTION("""COMPUTED_VALUE"""),589)</f>
        <v>589</v>
      </c>
      <c r="D588" s="47" t="str">
        <f ca="1">IFERROR(__xludf.DUMMYFUNCTION("""COMPUTED_VALUE"""),"C0349")</f>
        <v>C0349</v>
      </c>
      <c r="E588" s="46" t="str">
        <f ca="1">IFERROR(__xludf.DUMMYFUNCTION("""COMPUTED_VALUE"""),"NGUYỄN ĐỨC HUY")</f>
        <v>NGUYỄN ĐỨC HUY</v>
      </c>
      <c r="F588" s="46" t="str">
        <f ca="1">IFERROR(__xludf.DUMMYFUNCTION("""COMPUTED_VALUE"""),"NGUYEN DUC HUY")</f>
        <v>NGUYEN DUC HUY</v>
      </c>
      <c r="G588" s="45">
        <f ca="1">IFERROR(__xludf.DUMMYFUNCTION("""COMPUTED_VALUE"""),37387.5833333333)</f>
        <v>37387.583333333299</v>
      </c>
      <c r="H588" s="45" t="str">
        <f ca="1">IFERROR(__xludf.DUMMYFUNCTION("""COMPUTED_VALUE"""),"MOONCAKE")</f>
        <v>MOONCAKE</v>
      </c>
      <c r="I588" s="46" t="str">
        <f ca="1">IFERROR(__xludf.DUMMYFUNCTION("""COMPUTED_VALUE"""),"KITCHEN PASTRY")</f>
        <v>KITCHEN PASTRY</v>
      </c>
      <c r="J588" s="46" t="str">
        <f ca="1">IFERROR(__xludf.DUMMYFUNCTION("""COMPUTED_VALUE"""),"KITCHEN PASTRY")</f>
        <v>KITCHEN PASTRY</v>
      </c>
      <c r="K588" s="46" t="str">
        <f ca="1">IFERROR(__xludf.DUMMYFUNCTION("""COMPUTED_VALUE"""),"PASTRY")</f>
        <v>PASTRY</v>
      </c>
      <c r="L588" s="46" t="str">
        <f ca="1">IFERROR(__xludf.DUMMYFUNCTION("""COMPUTED_VALUE"""),"PTE")</f>
        <v>PTE</v>
      </c>
      <c r="M588" s="46" t="str">
        <f ca="1">IFERROR(__xludf.DUMMYFUNCTION("""COMPUTED_VALUE"""),"Leave")</f>
        <v>Leave</v>
      </c>
      <c r="N588" s="46" t="str">
        <f ca="1">IFERROR(__xludf.DUMMYFUNCTION("""COMPUTED_VALUE"""),"đủ")</f>
        <v>đủ</v>
      </c>
    </row>
    <row r="589" spans="1:14">
      <c r="A589" s="45">
        <f ca="1">IFERROR(__xludf.DUMMYFUNCTION("""COMPUTED_VALUE"""),45483.5833333333)</f>
        <v>45483.583333333299</v>
      </c>
      <c r="B589" s="45">
        <f ca="1">IFERROR(__xludf.DUMMYFUNCTION("""COMPUTED_VALUE"""),45536.5833333333)</f>
        <v>45536.583333333299</v>
      </c>
      <c r="C589" s="46">
        <f ca="1">IFERROR(__xludf.DUMMYFUNCTION("""COMPUTED_VALUE"""),590)</f>
        <v>590</v>
      </c>
      <c r="D589" s="47" t="str">
        <f ca="1">IFERROR(__xludf.DUMMYFUNCTION("""COMPUTED_VALUE"""),"C0350")</f>
        <v>C0350</v>
      </c>
      <c r="E589" s="46" t="str">
        <f ca="1">IFERROR(__xludf.DUMMYFUNCTION("""COMPUTED_VALUE"""),"NGUYỄN BỘI YẾN")</f>
        <v>NGUYỄN BỘI YẾN</v>
      </c>
      <c r="F589" s="46" t="str">
        <f ca="1">IFERROR(__xludf.DUMMYFUNCTION("""COMPUTED_VALUE"""),"NGUYEN BOI YEN")</f>
        <v>NGUYEN BOI YEN</v>
      </c>
      <c r="G589" s="45">
        <f ca="1">IFERROR(__xludf.DUMMYFUNCTION("""COMPUTED_VALUE"""),34296.625)</f>
        <v>34296.625</v>
      </c>
      <c r="H589" s="45" t="str">
        <f ca="1">IFERROR(__xludf.DUMMYFUNCTION("""COMPUTED_VALUE"""),"MOONCAKE")</f>
        <v>MOONCAKE</v>
      </c>
      <c r="I589" s="46" t="str">
        <f ca="1">IFERROR(__xludf.DUMMYFUNCTION("""COMPUTED_VALUE"""),"KITCHEN PASTRY")</f>
        <v>KITCHEN PASTRY</v>
      </c>
      <c r="J589" s="46" t="str">
        <f ca="1">IFERROR(__xludf.DUMMYFUNCTION("""COMPUTED_VALUE"""),"KITCHEN PASTRY")</f>
        <v>KITCHEN PASTRY</v>
      </c>
      <c r="K589" s="46" t="str">
        <f ca="1">IFERROR(__xludf.DUMMYFUNCTION("""COMPUTED_VALUE"""),"PASTRY")</f>
        <v>PASTRY</v>
      </c>
      <c r="L589" s="46" t="str">
        <f ca="1">IFERROR(__xludf.DUMMYFUNCTION("""COMPUTED_VALUE"""),"PTE")</f>
        <v>PTE</v>
      </c>
      <c r="M589" s="46" t="str">
        <f ca="1">IFERROR(__xludf.DUMMYFUNCTION("""COMPUTED_VALUE"""),"Leave")</f>
        <v>Leave</v>
      </c>
      <c r="N589" s="46" t="str">
        <f ca="1">IFERROR(__xludf.DUMMYFUNCTION("""COMPUTED_VALUE"""),"đủ")</f>
        <v>đủ</v>
      </c>
    </row>
    <row r="590" spans="1:14">
      <c r="A590" s="45">
        <f ca="1">IFERROR(__xludf.DUMMYFUNCTION("""COMPUTED_VALUE"""),45483.5833333333)</f>
        <v>45483.583333333299</v>
      </c>
      <c r="B590" s="45">
        <f ca="1">IFERROR(__xludf.DUMMYFUNCTION("""COMPUTED_VALUE"""),45551.5833333333)</f>
        <v>45551.583333333299</v>
      </c>
      <c r="C590" s="46">
        <f ca="1">IFERROR(__xludf.DUMMYFUNCTION("""COMPUTED_VALUE"""),591)</f>
        <v>591</v>
      </c>
      <c r="D590" s="47" t="str">
        <f ca="1">IFERROR(__xludf.DUMMYFUNCTION("""COMPUTED_VALUE"""),"C0352")</f>
        <v>C0352</v>
      </c>
      <c r="E590" s="46" t="str">
        <f ca="1">IFERROR(__xludf.DUMMYFUNCTION("""COMPUTED_VALUE"""),"THÁI NGỌC NHƯ")</f>
        <v>THÁI NGỌC NHƯ</v>
      </c>
      <c r="F590" s="46" t="str">
        <f ca="1">IFERROR(__xludf.DUMMYFUNCTION("""COMPUTED_VALUE"""),"THAI NGOC NHU")</f>
        <v>THAI NGOC NHU</v>
      </c>
      <c r="G590" s="45">
        <f ca="1">IFERROR(__xludf.DUMMYFUNCTION("""COMPUTED_VALUE"""),37900.5833333333)</f>
        <v>37900.583333333299</v>
      </c>
      <c r="H590" s="45" t="str">
        <f ca="1">IFERROR(__xludf.DUMMYFUNCTION("""COMPUTED_VALUE"""),"MOONCAKE")</f>
        <v>MOONCAKE</v>
      </c>
      <c r="I590" s="46" t="str">
        <f ca="1">IFERROR(__xludf.DUMMYFUNCTION("""COMPUTED_VALUE"""),"KITCHEN PASTRY")</f>
        <v>KITCHEN PASTRY</v>
      </c>
      <c r="J590" s="46" t="str">
        <f ca="1">IFERROR(__xludf.DUMMYFUNCTION("""COMPUTED_VALUE"""),"KITCHEN PASTRY")</f>
        <v>KITCHEN PASTRY</v>
      </c>
      <c r="K590" s="46" t="str">
        <f ca="1">IFERROR(__xludf.DUMMYFUNCTION("""COMPUTED_VALUE"""),"PASTRY")</f>
        <v>PASTRY</v>
      </c>
      <c r="L590" s="46" t="str">
        <f ca="1">IFERROR(__xludf.DUMMYFUNCTION("""COMPUTED_VALUE"""),"PTE")</f>
        <v>PTE</v>
      </c>
      <c r="M590" s="46" t="str">
        <f ca="1">IFERROR(__xludf.DUMMYFUNCTION("""COMPUTED_VALUE"""),"Leave")</f>
        <v>Leave</v>
      </c>
      <c r="N590" s="46" t="str">
        <f ca="1">IFERROR(__xludf.DUMMYFUNCTION("""COMPUTED_VALUE"""),"đủ")</f>
        <v>đủ</v>
      </c>
    </row>
    <row r="591" spans="1:14">
      <c r="A591" s="45">
        <f ca="1">IFERROR(__xludf.DUMMYFUNCTION("""COMPUTED_VALUE"""),45483.5833333333)</f>
        <v>45483.583333333299</v>
      </c>
      <c r="B591" s="45">
        <f ca="1">IFERROR(__xludf.DUMMYFUNCTION("""COMPUTED_VALUE"""),45551.5833333333)</f>
        <v>45551.583333333299</v>
      </c>
      <c r="C591" s="46">
        <f ca="1">IFERROR(__xludf.DUMMYFUNCTION("""COMPUTED_VALUE"""),592)</f>
        <v>592</v>
      </c>
      <c r="D591" s="47" t="str">
        <f ca="1">IFERROR(__xludf.DUMMYFUNCTION("""COMPUTED_VALUE"""),"C0353")</f>
        <v>C0353</v>
      </c>
      <c r="E591" s="46" t="str">
        <f ca="1">IFERROR(__xludf.DUMMYFUNCTION("""COMPUTED_VALUE"""),"NGUYỄN THỊ KIỀU LOAN")</f>
        <v>NGUYỄN THỊ KIỀU LOAN</v>
      </c>
      <c r="F591" s="46" t="str">
        <f ca="1">IFERROR(__xludf.DUMMYFUNCTION("""COMPUTED_VALUE"""),"NGUYEN THI KIEU LOAN")</f>
        <v>NGUYEN THI KIEU LOAN</v>
      </c>
      <c r="G591" s="45">
        <f ca="1">IFERROR(__xludf.DUMMYFUNCTION("""COMPUTED_VALUE"""),35948.5833333333)</f>
        <v>35948.583333333299</v>
      </c>
      <c r="H591" s="45" t="str">
        <f ca="1">IFERROR(__xludf.DUMMYFUNCTION("""COMPUTED_VALUE"""),"MOONCAKE")</f>
        <v>MOONCAKE</v>
      </c>
      <c r="I591" s="46" t="str">
        <f ca="1">IFERROR(__xludf.DUMMYFUNCTION("""COMPUTED_VALUE"""),"KITCHEN PASTRY")</f>
        <v>KITCHEN PASTRY</v>
      </c>
      <c r="J591" s="46" t="str">
        <f ca="1">IFERROR(__xludf.DUMMYFUNCTION("""COMPUTED_VALUE"""),"KITCHEN PASTRY")</f>
        <v>KITCHEN PASTRY</v>
      </c>
      <c r="K591" s="46" t="str">
        <f ca="1">IFERROR(__xludf.DUMMYFUNCTION("""COMPUTED_VALUE"""),"PASTRY")</f>
        <v>PASTRY</v>
      </c>
      <c r="L591" s="46" t="str">
        <f ca="1">IFERROR(__xludf.DUMMYFUNCTION("""COMPUTED_VALUE"""),"PTE")</f>
        <v>PTE</v>
      </c>
      <c r="M591" s="46" t="str">
        <f ca="1">IFERROR(__xludf.DUMMYFUNCTION("""COMPUTED_VALUE"""),"Leave")</f>
        <v>Leave</v>
      </c>
      <c r="N591" s="46" t="str">
        <f ca="1">IFERROR(__xludf.DUMMYFUNCTION("""COMPUTED_VALUE"""),"x")</f>
        <v>x</v>
      </c>
    </row>
    <row r="592" spans="1:14">
      <c r="A592" s="45">
        <f ca="1">IFERROR(__xludf.DUMMYFUNCTION("""COMPUTED_VALUE"""),45483.5833333333)</f>
        <v>45483.583333333299</v>
      </c>
      <c r="B592" s="45">
        <f ca="1">IFERROR(__xludf.DUMMYFUNCTION("""COMPUTED_VALUE"""),45536.5833333333)</f>
        <v>45536.583333333299</v>
      </c>
      <c r="C592" s="46">
        <f ca="1">IFERROR(__xludf.DUMMYFUNCTION("""COMPUTED_VALUE"""),593)</f>
        <v>593</v>
      </c>
      <c r="D592" s="47" t="str">
        <f ca="1">IFERROR(__xludf.DUMMYFUNCTION("""COMPUTED_VALUE"""),"C0355")</f>
        <v>C0355</v>
      </c>
      <c r="E592" s="46" t="str">
        <f ca="1">IFERROR(__xludf.DUMMYFUNCTION("""COMPUTED_VALUE"""),"HUỲNH TRẦN HOÀI THƯƠNG")</f>
        <v>HUỲNH TRẦN HOÀI THƯƠNG</v>
      </c>
      <c r="F592" s="46" t="str">
        <f ca="1">IFERROR(__xludf.DUMMYFUNCTION("""COMPUTED_VALUE"""),"HUYNH TRAN HOAI THUONG")</f>
        <v>HUYNH TRAN HOAI THUONG</v>
      </c>
      <c r="G592" s="45">
        <f ca="1">IFERROR(__xludf.DUMMYFUNCTION("""COMPUTED_VALUE"""),38950.5833333333)</f>
        <v>38950.583333333299</v>
      </c>
      <c r="H592" s="45" t="str">
        <f ca="1">IFERROR(__xludf.DUMMYFUNCTION("""COMPUTED_VALUE"""),"MOONCAKE")</f>
        <v>MOONCAKE</v>
      </c>
      <c r="I592" s="46" t="str">
        <f ca="1">IFERROR(__xludf.DUMMYFUNCTION("""COMPUTED_VALUE"""),"KITCHEN PASTRY")</f>
        <v>KITCHEN PASTRY</v>
      </c>
      <c r="J592" s="46" t="str">
        <f ca="1">IFERROR(__xludf.DUMMYFUNCTION("""COMPUTED_VALUE"""),"KITCHEN PASTRY")</f>
        <v>KITCHEN PASTRY</v>
      </c>
      <c r="K592" s="46" t="str">
        <f ca="1">IFERROR(__xludf.DUMMYFUNCTION("""COMPUTED_VALUE"""),"PASTRY")</f>
        <v>PASTRY</v>
      </c>
      <c r="L592" s="46" t="str">
        <f ca="1">IFERROR(__xludf.DUMMYFUNCTION("""COMPUTED_VALUE"""),"PTE")</f>
        <v>PTE</v>
      </c>
      <c r="M592" s="46" t="str">
        <f ca="1">IFERROR(__xludf.DUMMYFUNCTION("""COMPUTED_VALUE"""),"Leave")</f>
        <v>Leave</v>
      </c>
      <c r="N592" s="46" t="str">
        <f ca="1">IFERROR(__xludf.DUMMYFUNCTION("""COMPUTED_VALUE"""),"đủ")</f>
        <v>đủ</v>
      </c>
    </row>
    <row r="593" spans="1:14">
      <c r="A593" s="45">
        <f ca="1">IFERROR(__xludf.DUMMYFUNCTION("""COMPUTED_VALUE"""),45483.5833333333)</f>
        <v>45483.583333333299</v>
      </c>
      <c r="B593" s="45">
        <f ca="1">IFERROR(__xludf.DUMMYFUNCTION("""COMPUTED_VALUE"""),45551.5833333333)</f>
        <v>45551.583333333299</v>
      </c>
      <c r="C593" s="46">
        <f ca="1">IFERROR(__xludf.DUMMYFUNCTION("""COMPUTED_VALUE"""),594)</f>
        <v>594</v>
      </c>
      <c r="D593" s="47" t="str">
        <f ca="1">IFERROR(__xludf.DUMMYFUNCTION("""COMPUTED_VALUE"""),"C0356")</f>
        <v>C0356</v>
      </c>
      <c r="E593" s="46" t="str">
        <f ca="1">IFERROR(__xludf.DUMMYFUNCTION("""COMPUTED_VALUE"""),"VÕ THỊ TUYẾT MAI")</f>
        <v>VÕ THỊ TUYẾT MAI</v>
      </c>
      <c r="F593" s="46" t="str">
        <f ca="1">IFERROR(__xludf.DUMMYFUNCTION("""COMPUTED_VALUE"""),"VO THI TUYET MAI")</f>
        <v>VO THI TUYET MAI</v>
      </c>
      <c r="G593" s="45">
        <f ca="1">IFERROR(__xludf.DUMMYFUNCTION("""COMPUTED_VALUE"""),37640.625)</f>
        <v>37640.625</v>
      </c>
      <c r="H593" s="45" t="str">
        <f ca="1">IFERROR(__xludf.DUMMYFUNCTION("""COMPUTED_VALUE"""),"MOONCAKE")</f>
        <v>MOONCAKE</v>
      </c>
      <c r="I593" s="46" t="str">
        <f ca="1">IFERROR(__xludf.DUMMYFUNCTION("""COMPUTED_VALUE"""),"KITCHEN PASTRY")</f>
        <v>KITCHEN PASTRY</v>
      </c>
      <c r="J593" s="46" t="str">
        <f ca="1">IFERROR(__xludf.DUMMYFUNCTION("""COMPUTED_VALUE"""),"KITCHEN PASTRY")</f>
        <v>KITCHEN PASTRY</v>
      </c>
      <c r="K593" s="46" t="str">
        <f ca="1">IFERROR(__xludf.DUMMYFUNCTION("""COMPUTED_VALUE"""),"PASTRY")</f>
        <v>PASTRY</v>
      </c>
      <c r="L593" s="46" t="str">
        <f ca="1">IFERROR(__xludf.DUMMYFUNCTION("""COMPUTED_VALUE"""),"PTE")</f>
        <v>PTE</v>
      </c>
      <c r="M593" s="46" t="str">
        <f ca="1">IFERROR(__xludf.DUMMYFUNCTION("""COMPUTED_VALUE"""),"Leave")</f>
        <v>Leave</v>
      </c>
      <c r="N593" s="46" t="str">
        <f ca="1">IFERROR(__xludf.DUMMYFUNCTION("""COMPUTED_VALUE"""),"đủ")</f>
        <v>đủ</v>
      </c>
    </row>
    <row r="594" spans="1:14">
      <c r="A594" s="45">
        <f ca="1">IFERROR(__xludf.DUMMYFUNCTION("""COMPUTED_VALUE"""),45483.5833333333)</f>
        <v>45483.583333333299</v>
      </c>
      <c r="B594" s="45">
        <f ca="1">IFERROR(__xludf.DUMMYFUNCTION("""COMPUTED_VALUE"""),45551.5833333333)</f>
        <v>45551.583333333299</v>
      </c>
      <c r="C594" s="46">
        <f ca="1">IFERROR(__xludf.DUMMYFUNCTION("""COMPUTED_VALUE"""),595)</f>
        <v>595</v>
      </c>
      <c r="D594" s="47" t="str">
        <f ca="1">IFERROR(__xludf.DUMMYFUNCTION("""COMPUTED_VALUE"""),"C0357")</f>
        <v>C0357</v>
      </c>
      <c r="E594" s="46" t="str">
        <f ca="1">IFERROR(__xludf.DUMMYFUNCTION("""COMPUTED_VALUE"""),"LÊ NGỌC HẠ VY")</f>
        <v>LÊ NGỌC HẠ VY</v>
      </c>
      <c r="F594" s="46" t="str">
        <f ca="1">IFERROR(__xludf.DUMMYFUNCTION("""COMPUTED_VALUE"""),"LE NGOC HA VY")</f>
        <v>LE NGOC HA VY</v>
      </c>
      <c r="G594" s="45">
        <f ca="1">IFERROR(__xludf.DUMMYFUNCTION("""COMPUTED_VALUE"""),37469.5833333333)</f>
        <v>37469.583333333299</v>
      </c>
      <c r="H594" s="45" t="str">
        <f ca="1">IFERROR(__xludf.DUMMYFUNCTION("""COMPUTED_VALUE"""),"MOONCAKE")</f>
        <v>MOONCAKE</v>
      </c>
      <c r="I594" s="46" t="str">
        <f ca="1">IFERROR(__xludf.DUMMYFUNCTION("""COMPUTED_VALUE"""),"KITCHEN PASTRY")</f>
        <v>KITCHEN PASTRY</v>
      </c>
      <c r="J594" s="46" t="str">
        <f ca="1">IFERROR(__xludf.DUMMYFUNCTION("""COMPUTED_VALUE"""),"KITCHEN PASTRY")</f>
        <v>KITCHEN PASTRY</v>
      </c>
      <c r="K594" s="46" t="str">
        <f ca="1">IFERROR(__xludf.DUMMYFUNCTION("""COMPUTED_VALUE"""),"PASTRY")</f>
        <v>PASTRY</v>
      </c>
      <c r="L594" s="46" t="str">
        <f ca="1">IFERROR(__xludf.DUMMYFUNCTION("""COMPUTED_VALUE"""),"PTE")</f>
        <v>PTE</v>
      </c>
      <c r="M594" s="46" t="str">
        <f ca="1">IFERROR(__xludf.DUMMYFUNCTION("""COMPUTED_VALUE"""),"Leave")</f>
        <v>Leave</v>
      </c>
      <c r="N594" s="46" t="str">
        <f ca="1">IFERROR(__xludf.DUMMYFUNCTION("""COMPUTED_VALUE"""),"đủ")</f>
        <v>đủ</v>
      </c>
    </row>
    <row r="595" spans="1:14">
      <c r="A595" s="45">
        <f ca="1">IFERROR(__xludf.DUMMYFUNCTION("""COMPUTED_VALUE"""),45483.5833333333)</f>
        <v>45483.583333333299</v>
      </c>
      <c r="B595" s="45">
        <f ca="1">IFERROR(__xludf.DUMMYFUNCTION("""COMPUTED_VALUE"""),45551.5833333333)</f>
        <v>45551.583333333299</v>
      </c>
      <c r="C595" s="46">
        <f ca="1">IFERROR(__xludf.DUMMYFUNCTION("""COMPUTED_VALUE"""),596)</f>
        <v>596</v>
      </c>
      <c r="D595" s="47" t="str">
        <f ca="1">IFERROR(__xludf.DUMMYFUNCTION("""COMPUTED_VALUE"""),"C0358")</f>
        <v>C0358</v>
      </c>
      <c r="E595" s="46" t="str">
        <f ca="1">IFERROR(__xludf.DUMMYFUNCTION("""COMPUTED_VALUE"""),"NGUYỄN THỊ HOÀNG TRINH")</f>
        <v>NGUYỄN THỊ HOÀNG TRINH</v>
      </c>
      <c r="F595" s="46" t="str">
        <f ca="1">IFERROR(__xludf.DUMMYFUNCTION("""COMPUTED_VALUE"""),"NGUYEN THI HOANG TRINH")</f>
        <v>NGUYEN THI HOANG TRINH</v>
      </c>
      <c r="G595" s="45">
        <f ca="1">IFERROR(__xludf.DUMMYFUNCTION("""COMPUTED_VALUE"""),35253.5833333333)</f>
        <v>35253.583333333299</v>
      </c>
      <c r="H595" s="45" t="str">
        <f ca="1">IFERROR(__xludf.DUMMYFUNCTION("""COMPUTED_VALUE"""),"MOONCAKE")</f>
        <v>MOONCAKE</v>
      </c>
      <c r="I595" s="46" t="str">
        <f ca="1">IFERROR(__xludf.DUMMYFUNCTION("""COMPUTED_VALUE"""),"KITCHEN PASTRY")</f>
        <v>KITCHEN PASTRY</v>
      </c>
      <c r="J595" s="46" t="str">
        <f ca="1">IFERROR(__xludf.DUMMYFUNCTION("""COMPUTED_VALUE"""),"KITCHEN PASTRY")</f>
        <v>KITCHEN PASTRY</v>
      </c>
      <c r="K595" s="46" t="str">
        <f ca="1">IFERROR(__xludf.DUMMYFUNCTION("""COMPUTED_VALUE"""),"PASTRY")</f>
        <v>PASTRY</v>
      </c>
      <c r="L595" s="46" t="str">
        <f ca="1">IFERROR(__xludf.DUMMYFUNCTION("""COMPUTED_VALUE"""),"PTE")</f>
        <v>PTE</v>
      </c>
      <c r="M595" s="46" t="str">
        <f ca="1">IFERROR(__xludf.DUMMYFUNCTION("""COMPUTED_VALUE"""),"Leave")</f>
        <v>Leave</v>
      </c>
      <c r="N595" s="46" t="str">
        <f ca="1">IFERROR(__xludf.DUMMYFUNCTION("""COMPUTED_VALUE"""),"đủ")</f>
        <v>đủ</v>
      </c>
    </row>
    <row r="596" spans="1:14">
      <c r="A596" s="45">
        <f ca="1">IFERROR(__xludf.DUMMYFUNCTION("""COMPUTED_VALUE"""),45483.5833333333)</f>
        <v>45483.583333333299</v>
      </c>
      <c r="B596" s="45">
        <f ca="1">IFERROR(__xludf.DUMMYFUNCTION("""COMPUTED_VALUE"""),45551.5833333333)</f>
        <v>45551.583333333299</v>
      </c>
      <c r="C596" s="46">
        <f ca="1">IFERROR(__xludf.DUMMYFUNCTION("""COMPUTED_VALUE"""),597)</f>
        <v>597</v>
      </c>
      <c r="D596" s="47" t="str">
        <f ca="1">IFERROR(__xludf.DUMMYFUNCTION("""COMPUTED_VALUE"""),"C0359")</f>
        <v>C0359</v>
      </c>
      <c r="E596" s="46" t="str">
        <f ca="1">IFERROR(__xludf.DUMMYFUNCTION("""COMPUTED_VALUE"""),"NGUYỄN HOÀNG NGỌC ÁNH")</f>
        <v>NGUYỄN HOÀNG NGỌC ÁNH</v>
      </c>
      <c r="F596" s="46" t="str">
        <f ca="1">IFERROR(__xludf.DUMMYFUNCTION("""COMPUTED_VALUE"""),"NGUYEN HOANG NGOC ANH")</f>
        <v>NGUYEN HOANG NGOC ANH</v>
      </c>
      <c r="G596" s="45">
        <f ca="1">IFERROR(__xludf.DUMMYFUNCTION("""COMPUTED_VALUE"""),37332.625)</f>
        <v>37332.625</v>
      </c>
      <c r="H596" s="45" t="str">
        <f ca="1">IFERROR(__xludf.DUMMYFUNCTION("""COMPUTED_VALUE"""),"MOONCAKE")</f>
        <v>MOONCAKE</v>
      </c>
      <c r="I596" s="46" t="str">
        <f ca="1">IFERROR(__xludf.DUMMYFUNCTION("""COMPUTED_VALUE"""),"KITCHEN PASTRY")</f>
        <v>KITCHEN PASTRY</v>
      </c>
      <c r="J596" s="46" t="str">
        <f ca="1">IFERROR(__xludf.DUMMYFUNCTION("""COMPUTED_VALUE"""),"KITCHEN PASTRY")</f>
        <v>KITCHEN PASTRY</v>
      </c>
      <c r="K596" s="46" t="str">
        <f ca="1">IFERROR(__xludf.DUMMYFUNCTION("""COMPUTED_VALUE"""),"PASTRY")</f>
        <v>PASTRY</v>
      </c>
      <c r="L596" s="46" t="str">
        <f ca="1">IFERROR(__xludf.DUMMYFUNCTION("""COMPUTED_VALUE"""),"PTE")</f>
        <v>PTE</v>
      </c>
      <c r="M596" s="46" t="str">
        <f ca="1">IFERROR(__xludf.DUMMYFUNCTION("""COMPUTED_VALUE"""),"Leave")</f>
        <v>Leave</v>
      </c>
      <c r="N596" s="46" t="str">
        <f ca="1">IFERROR(__xludf.DUMMYFUNCTION("""COMPUTED_VALUE"""),"đủ")</f>
        <v>đủ</v>
      </c>
    </row>
    <row r="597" spans="1:14">
      <c r="A597" s="45">
        <f ca="1">IFERROR(__xludf.DUMMYFUNCTION("""COMPUTED_VALUE"""),45474.5833333333)</f>
        <v>45474.583333333299</v>
      </c>
      <c r="B597" s="45">
        <f ca="1">IFERROR(__xludf.DUMMYFUNCTION("""COMPUTED_VALUE"""),45525.5833333333)</f>
        <v>45525.583333333299</v>
      </c>
      <c r="C597" s="46">
        <f ca="1">IFERROR(__xludf.DUMMYFUNCTION("""COMPUTED_VALUE"""),598)</f>
        <v>598</v>
      </c>
      <c r="D597" s="47" t="str">
        <f ca="1">IFERROR(__xludf.DUMMYFUNCTION("""COMPUTED_VALUE"""),"C0360")</f>
        <v>C0360</v>
      </c>
      <c r="E597" s="46" t="str">
        <f ca="1">IFERROR(__xludf.DUMMYFUNCTION("""COMPUTED_VALUE"""),"NGUYỄN THANH NGUYỆT TRÚC")</f>
        <v>NGUYỄN THANH NGUYỆT TRÚC</v>
      </c>
      <c r="F597" s="46" t="str">
        <f ca="1">IFERROR(__xludf.DUMMYFUNCTION("""COMPUTED_VALUE"""),"NGUYEN THANH NGUYET TRUC")</f>
        <v>NGUYEN THANH NGUYET TRUC</v>
      </c>
      <c r="G597" s="45">
        <f ca="1">IFERROR(__xludf.DUMMYFUNCTION("""COMPUTED_VALUE"""),37908.5833333333)</f>
        <v>37908.583333333299</v>
      </c>
      <c r="H597" s="45" t="str">
        <f ca="1">IFERROR(__xludf.DUMMYFUNCTION("""COMPUTED_VALUE"""),"BAKES")</f>
        <v>BAKES</v>
      </c>
      <c r="I597" s="46" t="str">
        <f ca="1">IFERROR(__xludf.DUMMYFUNCTION("""COMPUTED_VALUE"""),"STORE")</f>
        <v>STORE</v>
      </c>
      <c r="J597" s="46" t="str">
        <f ca="1">IFERROR(__xludf.DUMMYFUNCTION("""COMPUTED_VALUE"""),"BAKES D9")</f>
        <v>BAKES D9</v>
      </c>
      <c r="K597" s="46" t="str">
        <f ca="1">IFERROR(__xludf.DUMMYFUNCTION("""COMPUTED_VALUE"""),"Waitstaff")</f>
        <v>Waitstaff</v>
      </c>
      <c r="L597" s="46" t="str">
        <f ca="1">IFERROR(__xludf.DUMMYFUNCTION("""COMPUTED_VALUE"""),"PTE")</f>
        <v>PTE</v>
      </c>
      <c r="M597" s="46" t="str">
        <f ca="1">IFERROR(__xludf.DUMMYFUNCTION("""COMPUTED_VALUE"""),"Leave")</f>
        <v>Leave</v>
      </c>
      <c r="N597" s="46" t="str">
        <f ca="1">IFERROR(__xludf.DUMMYFUNCTION("""COMPUTED_VALUE"""),"x")</f>
        <v>x</v>
      </c>
    </row>
    <row r="598" spans="1:14">
      <c r="A598" s="45">
        <f ca="1">IFERROR(__xludf.DUMMYFUNCTION("""COMPUTED_VALUE"""),45490.5833333333)</f>
        <v>45490.583333333299</v>
      </c>
      <c r="B598" s="45">
        <f ca="1">IFERROR(__xludf.DUMMYFUNCTION("""COMPUTED_VALUE"""),45548.5833333333)</f>
        <v>45548.583333333299</v>
      </c>
      <c r="C598" s="46">
        <f ca="1">IFERROR(__xludf.DUMMYFUNCTION("""COMPUTED_VALUE"""),599)</f>
        <v>599</v>
      </c>
      <c r="D598" s="47" t="str">
        <f ca="1">IFERROR(__xludf.DUMMYFUNCTION("""COMPUTED_VALUE"""),"C0361")</f>
        <v>C0361</v>
      </c>
      <c r="E598" s="46" t="str">
        <f ca="1">IFERROR(__xludf.DUMMYFUNCTION("""COMPUTED_VALUE"""),"NGUYỄN THẢO MY")</f>
        <v>NGUYỄN THẢO MY</v>
      </c>
      <c r="F598" s="46" t="str">
        <f ca="1">IFERROR(__xludf.DUMMYFUNCTION("""COMPUTED_VALUE"""),"NGUYEN THAO MY")</f>
        <v>NGUYEN THAO MY</v>
      </c>
      <c r="G598" s="45">
        <f ca="1">IFERROR(__xludf.DUMMYFUNCTION("""COMPUTED_VALUE"""),38112.5833333333)</f>
        <v>38112.583333333299</v>
      </c>
      <c r="H598" s="45" t="str">
        <f ca="1">IFERROR(__xludf.DUMMYFUNCTION("""COMPUTED_VALUE"""),"BAKES")</f>
        <v>BAKES</v>
      </c>
      <c r="I598" s="46" t="str">
        <f ca="1">IFERROR(__xludf.DUMMYFUNCTION("""COMPUTED_VALUE"""),"HO")</f>
        <v>HO</v>
      </c>
      <c r="J598" s="46" t="str">
        <f ca="1">IFERROR(__xludf.DUMMYFUNCTION("""COMPUTED_VALUE"""),"SAL")</f>
        <v>SAL</v>
      </c>
      <c r="K598" s="46" t="str">
        <f ca="1">IFERROR(__xludf.DUMMYFUNCTION("""COMPUTED_VALUE"""),"SAL")</f>
        <v>SAL</v>
      </c>
      <c r="L598" s="46" t="str">
        <f ca="1">IFERROR(__xludf.DUMMYFUNCTION("""COMPUTED_VALUE"""),"SER")</f>
        <v>SER</v>
      </c>
      <c r="M598" s="46" t="str">
        <f ca="1">IFERROR(__xludf.DUMMYFUNCTION("""COMPUTED_VALUE"""),"Leave")</f>
        <v>Leave</v>
      </c>
      <c r="N598" s="46" t="str">
        <f ca="1">IFERROR(__xludf.DUMMYFUNCTION("""COMPUTED_VALUE"""),"x")</f>
        <v>x</v>
      </c>
    </row>
    <row r="599" spans="1:14">
      <c r="A599" s="45">
        <f ca="1">IFERROR(__xludf.DUMMYFUNCTION("""COMPUTED_VALUE"""),45474.5833333333)</f>
        <v>45474.583333333299</v>
      </c>
      <c r="B599" s="45">
        <f ca="1">IFERROR(__xludf.DUMMYFUNCTION("""COMPUTED_VALUE"""),45480.5833333333)</f>
        <v>45480.583333333299</v>
      </c>
      <c r="C599" s="46">
        <f ca="1">IFERROR(__xludf.DUMMYFUNCTION("""COMPUTED_VALUE"""),600)</f>
        <v>600</v>
      </c>
      <c r="D599" s="47" t="str">
        <f ca="1">IFERROR(__xludf.DUMMYFUNCTION("""COMPUTED_VALUE"""),"C0362")</f>
        <v>C0362</v>
      </c>
      <c r="E599" s="46" t="str">
        <f ca="1">IFERROR(__xludf.DUMMYFUNCTION("""COMPUTED_VALUE"""),"TRẦN CHÂU HOÀNG DUY")</f>
        <v>TRẦN CHÂU HOÀNG DUY</v>
      </c>
      <c r="F599" s="46" t="str">
        <f ca="1">IFERROR(__xludf.DUMMYFUNCTION("""COMPUTED_VALUE"""),"TRAN CHAU HOANG DUY")</f>
        <v>TRAN CHAU HOANG DUY</v>
      </c>
      <c r="G599" s="45">
        <f ca="1">IFERROR(__xludf.DUMMYFUNCTION("""COMPUTED_VALUE"""),36975.625)</f>
        <v>36975.625</v>
      </c>
      <c r="H599" s="45" t="str">
        <f ca="1">IFERROR(__xludf.DUMMYFUNCTION("""COMPUTED_VALUE"""),"BAKES")</f>
        <v>BAKES</v>
      </c>
      <c r="I599" s="46" t="str">
        <f ca="1">IFERROR(__xludf.DUMMYFUNCTION("""COMPUTED_VALUE"""),"STORE")</f>
        <v>STORE</v>
      </c>
      <c r="J599" s="46" t="str">
        <f ca="1">IFERROR(__xludf.DUMMYFUNCTION("""COMPUTED_VALUE"""),"BAKES D2")</f>
        <v>BAKES D2</v>
      </c>
      <c r="K599" s="46" t="str">
        <f ca="1">IFERROR(__xludf.DUMMYFUNCTION("""COMPUTED_VALUE"""),"STR")</f>
        <v>STR</v>
      </c>
      <c r="L599" s="46" t="str">
        <f ca="1">IFERROR(__xludf.DUMMYFUNCTION("""COMPUTED_VALUE"""),"PRO")</f>
        <v>PRO</v>
      </c>
      <c r="M599" s="46" t="str">
        <f ca="1">IFERROR(__xludf.DUMMYFUNCTION("""COMPUTED_VALUE"""),"Leave")</f>
        <v>Leave</v>
      </c>
      <c r="N599" s="46" t="str">
        <f ca="1">IFERROR(__xludf.DUMMYFUNCTION("""COMPUTED_VALUE"""),"x")</f>
        <v>x</v>
      </c>
    </row>
    <row r="600" spans="1:14">
      <c r="A600" s="45">
        <f ca="1">IFERROR(__xludf.DUMMYFUNCTION("""COMPUTED_VALUE"""),45488.5833333333)</f>
        <v>45488.583333333299</v>
      </c>
      <c r="B600" s="45">
        <f ca="1">IFERROR(__xludf.DUMMYFUNCTION("""COMPUTED_VALUE"""),45537.5833333333)</f>
        <v>45537.583333333299</v>
      </c>
      <c r="C600" s="46">
        <f ca="1">IFERROR(__xludf.DUMMYFUNCTION("""COMPUTED_VALUE"""),601)</f>
        <v>601</v>
      </c>
      <c r="D600" s="47" t="str">
        <f ca="1">IFERROR(__xludf.DUMMYFUNCTION("""COMPUTED_VALUE"""),"C0363")</f>
        <v>C0363</v>
      </c>
      <c r="E600" s="46" t="str">
        <f ca="1">IFERROR(__xludf.DUMMYFUNCTION("""COMPUTED_VALUE"""),"HUỲNH ĐỒNG THẢO NHI")</f>
        <v>HUỲNH ĐỒNG THẢO NHI</v>
      </c>
      <c r="F600" s="46" t="str">
        <f ca="1">IFERROR(__xludf.DUMMYFUNCTION("""COMPUTED_VALUE"""),"HUYNH DONG THAO NHI")</f>
        <v>HUYNH DONG THAO NHI</v>
      </c>
      <c r="G600" s="45">
        <f ca="1">IFERROR(__xludf.DUMMYFUNCTION("""COMPUTED_VALUE"""),38900.5833333333)</f>
        <v>38900.583333333299</v>
      </c>
      <c r="H600" s="45" t="str">
        <f ca="1">IFERROR(__xludf.DUMMYFUNCTION("""COMPUTED_VALUE"""),"BAKES")</f>
        <v>BAKES</v>
      </c>
      <c r="I600" s="46" t="str">
        <f ca="1">IFERROR(__xludf.DUMMYFUNCTION("""COMPUTED_VALUE"""),"STORE")</f>
        <v>STORE</v>
      </c>
      <c r="J600" s="46" t="str">
        <f ca="1">IFERROR(__xludf.DUMMYFUNCTION("""COMPUTED_VALUE"""),"BAKES D9")</f>
        <v>BAKES D9</v>
      </c>
      <c r="K600" s="46" t="str">
        <f ca="1">IFERROR(__xludf.DUMMYFUNCTION("""COMPUTED_VALUE"""),"Waitstaff")</f>
        <v>Waitstaff</v>
      </c>
      <c r="L600" s="46" t="str">
        <f ca="1">IFERROR(__xludf.DUMMYFUNCTION("""COMPUTED_VALUE"""),"PTE")</f>
        <v>PTE</v>
      </c>
      <c r="M600" s="46" t="str">
        <f ca="1">IFERROR(__xludf.DUMMYFUNCTION("""COMPUTED_VALUE"""),"Leave")</f>
        <v>Leave</v>
      </c>
      <c r="N600" s="46" t="str">
        <f ca="1">IFERROR(__xludf.DUMMYFUNCTION("""COMPUTED_VALUE"""),"x")</f>
        <v>x</v>
      </c>
    </row>
    <row r="601" spans="1:14">
      <c r="A601" s="45">
        <f ca="1">IFERROR(__xludf.DUMMYFUNCTION("""COMPUTED_VALUE"""),45489.5833333333)</f>
        <v>45489.583333333299</v>
      </c>
      <c r="B601" s="45">
        <f ca="1">IFERROR(__xludf.DUMMYFUNCTION("""COMPUTED_VALUE"""),45748.5833333333)</f>
        <v>45748.583333333299</v>
      </c>
      <c r="C601" s="46">
        <f ca="1">IFERROR(__xludf.DUMMYFUNCTION("""COMPUTED_VALUE"""),602)</f>
        <v>602</v>
      </c>
      <c r="D601" s="47" t="str">
        <f ca="1">IFERROR(__xludf.DUMMYFUNCTION("""COMPUTED_VALUE"""),"C0364")</f>
        <v>C0364</v>
      </c>
      <c r="E601" s="46" t="str">
        <f ca="1">IFERROR(__xludf.DUMMYFUNCTION("""COMPUTED_VALUE"""),"NGUYỄN NGỌC TÚ QUYÊN")</f>
        <v>NGUYỄN NGỌC TÚ QUYÊN</v>
      </c>
      <c r="F601" s="46" t="str">
        <f ca="1">IFERROR(__xludf.DUMMYFUNCTION("""COMPUTED_VALUE"""),"NGUYEN NGOC TU QUYEN")</f>
        <v>NGUYEN NGOC TU QUYEN</v>
      </c>
      <c r="G601" s="45">
        <f ca="1">IFERROR(__xludf.DUMMYFUNCTION("""COMPUTED_VALUE"""),37955.625)</f>
        <v>37955.625</v>
      </c>
      <c r="H601" s="45" t="str">
        <f ca="1">IFERROR(__xludf.DUMMYFUNCTION("""COMPUTED_VALUE"""),"TLC")</f>
        <v>TLC</v>
      </c>
      <c r="I601" s="46" t="str">
        <f ca="1">IFERROR(__xludf.DUMMYFUNCTION("""COMPUTED_VALUE"""),"STORE")</f>
        <v>STORE</v>
      </c>
      <c r="J601" s="46" t="str">
        <f ca="1">IFERROR(__xludf.DUMMYFUNCTION("""COMPUTED_VALUE"""),"BAKES HCR")</f>
        <v>BAKES HCR</v>
      </c>
      <c r="K601" s="46" t="str">
        <f ca="1">IFERROR(__xludf.DUMMYFUNCTION("""COMPUTED_VALUE"""),"WAITSTAFF")</f>
        <v>WAITSTAFF</v>
      </c>
      <c r="L601" s="46" t="str">
        <f ca="1">IFERROR(__xludf.DUMMYFUNCTION("""COMPUTED_VALUE"""),"PTE")</f>
        <v>PTE</v>
      </c>
      <c r="M601" s="46" t="str">
        <f ca="1">IFERROR(__xludf.DUMMYFUNCTION("""COMPUTED_VALUE"""),"Leave")</f>
        <v>Leave</v>
      </c>
      <c r="N601" s="46" t="str">
        <f ca="1">IFERROR(__xludf.DUMMYFUNCTION("""COMPUTED_VALUE"""),"x")</f>
        <v>x</v>
      </c>
    </row>
    <row r="602" spans="1:14">
      <c r="A602" s="45">
        <f ca="1">IFERROR(__xludf.DUMMYFUNCTION("""COMPUTED_VALUE"""),45482.5833333333)</f>
        <v>45482.583333333299</v>
      </c>
      <c r="B602" s="45">
        <f ca="1">IFERROR(__xludf.DUMMYFUNCTION("""COMPUTED_VALUE"""),46174.5833333333)</f>
        <v>46174.583333333299</v>
      </c>
      <c r="C602" s="46">
        <f ca="1">IFERROR(__xludf.DUMMYFUNCTION("""COMPUTED_VALUE"""),603)</f>
        <v>603</v>
      </c>
      <c r="D602" s="47" t="str">
        <f ca="1">IFERROR(__xludf.DUMMYFUNCTION("""COMPUTED_VALUE"""),"C0365")</f>
        <v>C0365</v>
      </c>
      <c r="E602" s="46" t="str">
        <f ca="1">IFERROR(__xludf.DUMMYFUNCTION("""COMPUTED_VALUE"""),"NGUYỄN NGỌC MỸ KHÁNH")</f>
        <v>NGUYỄN NGỌC MỸ KHÁNH</v>
      </c>
      <c r="F602" s="46" t="str">
        <f ca="1">IFERROR(__xludf.DUMMYFUNCTION("""COMPUTED_VALUE"""),"NGUYEN NGOC MY KHANH")</f>
        <v>NGUYEN NGOC MY KHANH</v>
      </c>
      <c r="G602" s="45">
        <f ca="1">IFERROR(__xludf.DUMMYFUNCTION("""COMPUTED_VALUE"""),36575.625)</f>
        <v>36575.625</v>
      </c>
      <c r="H602" s="45" t="str">
        <f ca="1">IFERROR(__xludf.DUMMYFUNCTION("""COMPUTED_VALUE"""),"YESHI")</f>
        <v>YESHI</v>
      </c>
      <c r="I602" s="46" t="str">
        <f ca="1">IFERROR(__xludf.DUMMYFUNCTION("""COMPUTED_VALUE"""),"STORE")</f>
        <v>STORE</v>
      </c>
      <c r="J602" s="46" t="str">
        <f ca="1">IFERROR(__xludf.DUMMYFUNCTION("""COMPUTED_VALUE"""),"YESHI D3")</f>
        <v>YESHI D3</v>
      </c>
      <c r="K602" s="46" t="str">
        <f ca="1">IFERROR(__xludf.DUMMYFUNCTION("""COMPUTED_VALUE"""),"CASHIER")</f>
        <v>CASHIER</v>
      </c>
      <c r="L602" s="46" t="str">
        <f ca="1">IFERROR(__xludf.DUMMYFUNCTION("""COMPUTED_VALUE"""),"FTE")</f>
        <v>FTE</v>
      </c>
      <c r="M602" s="46" t="str">
        <f ca="1">IFERROR(__xludf.DUMMYFUNCTION("""COMPUTED_VALUE"""),"Leave")</f>
        <v>Leave</v>
      </c>
      <c r="N602" s="46" t="str">
        <f ca="1">IFERROR(__xludf.DUMMYFUNCTION("""COMPUTED_VALUE"""),"đủ")</f>
        <v>đủ</v>
      </c>
    </row>
    <row r="603" spans="1:14">
      <c r="A603" s="45">
        <f ca="1">IFERROR(__xludf.DUMMYFUNCTION("""COMPUTED_VALUE"""),45482.5833333333)</f>
        <v>45482.583333333299</v>
      </c>
      <c r="B603" s="45">
        <f ca="1">IFERROR(__xludf.DUMMYFUNCTION("""COMPUTED_VALUE"""),45778.5833333333)</f>
        <v>45778.583333333299</v>
      </c>
      <c r="C603" s="46">
        <f ca="1">IFERROR(__xludf.DUMMYFUNCTION("""COMPUTED_VALUE"""),604)</f>
        <v>604</v>
      </c>
      <c r="D603" s="47" t="str">
        <f ca="1">IFERROR(__xludf.DUMMYFUNCTION("""COMPUTED_VALUE"""),"C0366")</f>
        <v>C0366</v>
      </c>
      <c r="E603" s="46" t="str">
        <f ca="1">IFERROR(__xludf.DUMMYFUNCTION("""COMPUTED_VALUE"""),"TRẦN MINH THƯƠNG")</f>
        <v>TRẦN MINH THƯƠNG</v>
      </c>
      <c r="F603" s="46" t="str">
        <f ca="1">IFERROR(__xludf.DUMMYFUNCTION("""COMPUTED_VALUE"""),"TRAN MINH THUONG")</f>
        <v>TRAN MINH THUONG</v>
      </c>
      <c r="G603" s="45">
        <f ca="1">IFERROR(__xludf.DUMMYFUNCTION("""COMPUTED_VALUE"""),36637.5833333333)</f>
        <v>36637.583333333299</v>
      </c>
      <c r="H603" s="45" t="str">
        <f ca="1">IFERROR(__xludf.DUMMYFUNCTION("""COMPUTED_VALUE"""),"BAKES")</f>
        <v>BAKES</v>
      </c>
      <c r="I603" s="46" t="str">
        <f ca="1">IFERROR(__xludf.DUMMYFUNCTION("""COMPUTED_VALUE"""),"STORE")</f>
        <v>STORE</v>
      </c>
      <c r="J603" s="46" t="str">
        <f ca="1">IFERROR(__xludf.DUMMYFUNCTION("""COMPUTED_VALUE"""),"BAKES D2")</f>
        <v>BAKES D2</v>
      </c>
      <c r="K603" s="46" t="str">
        <f ca="1">IFERROR(__xludf.DUMMYFUNCTION("""COMPUTED_VALUE"""),"BAR")</f>
        <v>BAR</v>
      </c>
      <c r="L603" s="46" t="str">
        <f ca="1">IFERROR(__xludf.DUMMYFUNCTION("""COMPUTED_VALUE"""),"FTE")</f>
        <v>FTE</v>
      </c>
      <c r="M603" s="46" t="str">
        <f ca="1">IFERROR(__xludf.DUMMYFUNCTION("""COMPUTED_VALUE"""),"Leave")</f>
        <v>Leave</v>
      </c>
      <c r="N603" s="46" t="str">
        <f ca="1">IFERROR(__xludf.DUMMYFUNCTION("""COMPUTED_VALUE"""),"x")</f>
        <v>x</v>
      </c>
    </row>
    <row r="604" spans="1:14">
      <c r="A604" s="45">
        <f ca="1">IFERROR(__xludf.DUMMYFUNCTION("""COMPUTED_VALUE"""),45719.625)</f>
        <v>45719.625</v>
      </c>
      <c r="B604" s="45"/>
      <c r="C604" s="46">
        <f ca="1">IFERROR(__xludf.DUMMYFUNCTION("""COMPUTED_VALUE"""),605)</f>
        <v>605</v>
      </c>
      <c r="D604" s="47" t="str">
        <f ca="1">IFERROR(__xludf.DUMMYFUNCTION("""COMPUTED_VALUE"""),"C0367")</f>
        <v>C0367</v>
      </c>
      <c r="E604" s="46" t="str">
        <f ca="1">IFERROR(__xludf.DUMMYFUNCTION("""COMPUTED_VALUE"""),"ĐÀO NHẬT QUANG")</f>
        <v>ĐÀO NHẬT QUANG</v>
      </c>
      <c r="F604" s="46" t="str">
        <f ca="1">IFERROR(__xludf.DUMMYFUNCTION("""COMPUTED_VALUE"""),"DAO NHAT QUANG")</f>
        <v>DAO NHAT QUANG</v>
      </c>
      <c r="G604" s="45">
        <f ca="1">IFERROR(__xludf.DUMMYFUNCTION("""COMPUTED_VALUE"""),33923.625)</f>
        <v>33923.625</v>
      </c>
      <c r="H604" s="45" t="str">
        <f ca="1">IFERROR(__xludf.DUMMYFUNCTION("""COMPUTED_VALUE"""),"KITCHEN PASTRY")</f>
        <v>KITCHEN PASTRY</v>
      </c>
      <c r="I604" s="46" t="str">
        <f ca="1">IFERROR(__xludf.DUMMYFUNCTION("""COMPUTED_VALUE"""),"KITCHEN PASTRY")</f>
        <v>KITCHEN PASTRY</v>
      </c>
      <c r="J604" s="46" t="str">
        <f ca="1">IFERROR(__xludf.DUMMYFUNCTION("""COMPUTED_VALUE"""),"KITCHEN PASTRY")</f>
        <v>KITCHEN PASTRY</v>
      </c>
      <c r="K604" s="46" t="str">
        <f ca="1">IFERROR(__xludf.DUMMYFUNCTION("""COMPUTED_VALUE"""),"Management team")</f>
        <v>Management team</v>
      </c>
      <c r="L604" s="46" t="str">
        <f ca="1">IFERROR(__xludf.DUMMYFUNCTION("""COMPUTED_VALUE"""),"FTE")</f>
        <v>FTE</v>
      </c>
      <c r="M604" s="46" t="str">
        <f ca="1">IFERROR(__xludf.DUMMYFUNCTION("""COMPUTED_VALUE"""),"On")</f>
        <v>On</v>
      </c>
      <c r="N604" s="46" t="str">
        <f ca="1">IFERROR(__xludf.DUMMYFUNCTION("""COMPUTED_VALUE"""),"đủ")</f>
        <v>đủ</v>
      </c>
    </row>
    <row r="605" spans="1:14">
      <c r="A605" s="45">
        <f ca="1">IFERROR(__xludf.DUMMYFUNCTION("""COMPUTED_VALUE"""),45495.5833333333)</f>
        <v>45495.583333333299</v>
      </c>
      <c r="B605" s="45">
        <f ca="1">IFERROR(__xludf.DUMMYFUNCTION("""COMPUTED_VALUE"""),45588.5833333333)</f>
        <v>45588.583333333299</v>
      </c>
      <c r="C605" s="46">
        <f ca="1">IFERROR(__xludf.DUMMYFUNCTION("""COMPUTED_VALUE"""),606)</f>
        <v>606</v>
      </c>
      <c r="D605" s="47" t="str">
        <f ca="1">IFERROR(__xludf.DUMMYFUNCTION("""COMPUTED_VALUE"""),"C0368")</f>
        <v>C0368</v>
      </c>
      <c r="E605" s="46" t="str">
        <f ca="1">IFERROR(__xludf.DUMMYFUNCTION("""COMPUTED_VALUE"""),"HUỲNH THỊ MỸ TRANG")</f>
        <v>HUỲNH THỊ MỸ TRANG</v>
      </c>
      <c r="F605" s="46" t="str">
        <f ca="1">IFERROR(__xludf.DUMMYFUNCTION("""COMPUTED_VALUE"""),"HUYNH THI MY TRANG")</f>
        <v>HUYNH THI MY TRANG</v>
      </c>
      <c r="G605" s="45">
        <f ca="1">IFERROR(__xludf.DUMMYFUNCTION("""COMPUTED_VALUE"""),36783.5833333333)</f>
        <v>36783.583333333299</v>
      </c>
      <c r="H605" s="45" t="str">
        <f ca="1">IFERROR(__xludf.DUMMYFUNCTION("""COMPUTED_VALUE"""),"BAKES")</f>
        <v>BAKES</v>
      </c>
      <c r="I605" s="46" t="str">
        <f ca="1">IFERROR(__xludf.DUMMYFUNCTION("""COMPUTED_VALUE"""),"HO")</f>
        <v>HO</v>
      </c>
      <c r="J605" s="46" t="str">
        <f ca="1">IFERROR(__xludf.DUMMYFUNCTION("""COMPUTED_VALUE"""),"FIN")</f>
        <v>FIN</v>
      </c>
      <c r="K605" s="46" t="str">
        <f ca="1">IFERROR(__xludf.DUMMYFUNCTION("""COMPUTED_VALUE"""),"FIN")</f>
        <v>FIN</v>
      </c>
      <c r="L605" s="46" t="str">
        <f ca="1">IFERROR(__xludf.DUMMYFUNCTION("""COMPUTED_VALUE"""),"FTE")</f>
        <v>FTE</v>
      </c>
      <c r="M605" s="46" t="str">
        <f ca="1">IFERROR(__xludf.DUMMYFUNCTION("""COMPUTED_VALUE"""),"Leave")</f>
        <v>Leave</v>
      </c>
      <c r="N605" s="46" t="str">
        <f ca="1">IFERROR(__xludf.DUMMYFUNCTION("""COMPUTED_VALUE"""),"x")</f>
        <v>x</v>
      </c>
    </row>
    <row r="606" spans="1:14">
      <c r="A606" s="45">
        <f ca="1">IFERROR(__xludf.DUMMYFUNCTION("""COMPUTED_VALUE"""),45495.5833333333)</f>
        <v>45495.583333333299</v>
      </c>
      <c r="B606" s="45">
        <f ca="1">IFERROR(__xludf.DUMMYFUNCTION("""COMPUTED_VALUE"""),45512.5833333333)</f>
        <v>45512.583333333299</v>
      </c>
      <c r="C606" s="46">
        <f ca="1">IFERROR(__xludf.DUMMYFUNCTION("""COMPUTED_VALUE"""),607)</f>
        <v>607</v>
      </c>
      <c r="D606" s="47" t="str">
        <f ca="1">IFERROR(__xludf.DUMMYFUNCTION("""COMPUTED_VALUE"""),"C0369")</f>
        <v>C0369</v>
      </c>
      <c r="E606" s="46" t="str">
        <f ca="1">IFERROR(__xludf.DUMMYFUNCTION("""COMPUTED_VALUE"""),"HOÀNG BẢO TRUNG")</f>
        <v>HOÀNG BẢO TRUNG</v>
      </c>
      <c r="F606" s="46" t="str">
        <f ca="1">IFERROR(__xludf.DUMMYFUNCTION("""COMPUTED_VALUE"""),"HOANG BAO TRUNG")</f>
        <v>HOANG BAO TRUNG</v>
      </c>
      <c r="G606" s="45">
        <f ca="1">IFERROR(__xludf.DUMMYFUNCTION("""COMPUTED_VALUE"""),35322.5833333333)</f>
        <v>35322.583333333299</v>
      </c>
      <c r="H606" s="45" t="str">
        <f ca="1">IFERROR(__xludf.DUMMYFUNCTION("""COMPUTED_VALUE"""),"BAKES")</f>
        <v>BAKES</v>
      </c>
      <c r="I606" s="46" t="str">
        <f ca="1">IFERROR(__xludf.DUMMYFUNCTION("""COMPUTED_VALUE"""),"HO")</f>
        <v>HO</v>
      </c>
      <c r="J606" s="46" t="str">
        <f ca="1">IFERROR(__xludf.DUMMYFUNCTION("""COMPUTED_VALUE"""),"FIN")</f>
        <v>FIN</v>
      </c>
      <c r="K606" s="46" t="str">
        <f ca="1">IFERROR(__xludf.DUMMYFUNCTION("""COMPUTED_VALUE"""),"FIN")</f>
        <v>FIN</v>
      </c>
      <c r="L606" s="46" t="str">
        <f ca="1">IFERROR(__xludf.DUMMYFUNCTION("""COMPUTED_VALUE"""),"PRO")</f>
        <v>PRO</v>
      </c>
      <c r="M606" s="46" t="str">
        <f ca="1">IFERROR(__xludf.DUMMYFUNCTION("""COMPUTED_VALUE"""),"Leave")</f>
        <v>Leave</v>
      </c>
      <c r="N606" s="46" t="str">
        <f ca="1">IFERROR(__xludf.DUMMYFUNCTION("""COMPUTED_VALUE"""),"x")</f>
        <v>x</v>
      </c>
    </row>
    <row r="607" spans="1:14">
      <c r="A607" s="45">
        <f ca="1">IFERROR(__xludf.DUMMYFUNCTION("""COMPUTED_VALUE"""),45475.5833333333)</f>
        <v>45475.583333333299</v>
      </c>
      <c r="B607" s="45">
        <f ca="1">IFERROR(__xludf.DUMMYFUNCTION("""COMPUTED_VALUE"""),45717.625)</f>
        <v>45717.625</v>
      </c>
      <c r="C607" s="46">
        <f ca="1">IFERROR(__xludf.DUMMYFUNCTION("""COMPUTED_VALUE"""),608)</f>
        <v>608</v>
      </c>
      <c r="D607" s="47" t="str">
        <f ca="1">IFERROR(__xludf.DUMMYFUNCTION("""COMPUTED_VALUE"""),"C0370")</f>
        <v>C0370</v>
      </c>
      <c r="E607" s="46" t="str">
        <f ca="1">IFERROR(__xludf.DUMMYFUNCTION("""COMPUTED_VALUE"""),"NGUYỄN VÕ THANH TRÀ")</f>
        <v>NGUYỄN VÕ THANH TRÀ</v>
      </c>
      <c r="F607" s="46" t="str">
        <f ca="1">IFERROR(__xludf.DUMMYFUNCTION("""COMPUTED_VALUE"""),"NGUYEN VO THANH TRA")</f>
        <v>NGUYEN VO THANH TRA</v>
      </c>
      <c r="G607" s="45">
        <f ca="1">IFERROR(__xludf.DUMMYFUNCTION("""COMPUTED_VALUE"""),36081.5833333333)</f>
        <v>36081.583333333299</v>
      </c>
      <c r="H607" s="45" t="str">
        <f ca="1">IFERROR(__xludf.DUMMYFUNCTION("""COMPUTED_VALUE"""),"BAKES")</f>
        <v>BAKES</v>
      </c>
      <c r="I607" s="46" t="str">
        <f ca="1">IFERROR(__xludf.DUMMYFUNCTION("""COMPUTED_VALUE"""),"HO")</f>
        <v>HO</v>
      </c>
      <c r="J607" s="46" t="str">
        <f ca="1">IFERROR(__xludf.DUMMYFUNCTION("""COMPUTED_VALUE"""),"MKT")</f>
        <v>MKT</v>
      </c>
      <c r="K607" s="46" t="str">
        <f ca="1">IFERROR(__xludf.DUMMYFUNCTION("""COMPUTED_VALUE"""),"MKT")</f>
        <v>MKT</v>
      </c>
      <c r="L607" s="46" t="str">
        <f ca="1">IFERROR(__xludf.DUMMYFUNCTION("""COMPUTED_VALUE"""),"FTE")</f>
        <v>FTE</v>
      </c>
      <c r="M607" s="46" t="str">
        <f ca="1">IFERROR(__xludf.DUMMYFUNCTION("""COMPUTED_VALUE"""),"Leave")</f>
        <v>Leave</v>
      </c>
      <c r="N607" s="46" t="str">
        <f ca="1">IFERROR(__xludf.DUMMYFUNCTION("""COMPUTED_VALUE"""),"x")</f>
        <v>x</v>
      </c>
    </row>
    <row r="608" spans="1:14">
      <c r="A608" s="45">
        <f ca="1">IFERROR(__xludf.DUMMYFUNCTION("""COMPUTED_VALUE"""),45624.625)</f>
        <v>45624.625</v>
      </c>
      <c r="B608" s="45">
        <f ca="1">IFERROR(__xludf.DUMMYFUNCTION("""COMPUTED_VALUE"""),45901.5833333333)</f>
        <v>45901.583333333299</v>
      </c>
      <c r="C608" s="46">
        <f ca="1">IFERROR(__xludf.DUMMYFUNCTION("""COMPUTED_VALUE"""),609)</f>
        <v>609</v>
      </c>
      <c r="D608" s="47" t="str">
        <f ca="1">IFERROR(__xludf.DUMMYFUNCTION("""COMPUTED_VALUE"""),"C0371")</f>
        <v>C0371</v>
      </c>
      <c r="E608" s="46" t="str">
        <f ca="1">IFERROR(__xludf.DUMMYFUNCTION("""COMPUTED_VALUE"""),"TRẦN NHẬT HUY")</f>
        <v>TRẦN NHẬT HUY</v>
      </c>
      <c r="F608" s="46" t="str">
        <f ca="1">IFERROR(__xludf.DUMMYFUNCTION("""COMPUTED_VALUE"""),"TRAN NHAT HUY")</f>
        <v>TRAN NHAT HUY</v>
      </c>
      <c r="G608" s="45">
        <f ca="1">IFERROR(__xludf.DUMMYFUNCTION("""COMPUTED_VALUE"""),37725.5833333333)</f>
        <v>37725.583333333299</v>
      </c>
      <c r="H608" s="45" t="str">
        <f ca="1">IFERROR(__xludf.DUMMYFUNCTION("""COMPUTED_VALUE"""),"BAKES")</f>
        <v>BAKES</v>
      </c>
      <c r="I608" s="46" t="str">
        <f ca="1">IFERROR(__xludf.DUMMYFUNCTION("""COMPUTED_VALUE"""),"STORE")</f>
        <v>STORE</v>
      </c>
      <c r="J608" s="46" t="str">
        <f ca="1">IFERROR(__xludf.DUMMYFUNCTION("""COMPUTED_VALUE"""),"BAKES D2")</f>
        <v>BAKES D2</v>
      </c>
      <c r="K608" s="46" t="str">
        <f ca="1">IFERROR(__xludf.DUMMYFUNCTION("""COMPUTED_VALUE"""),"WAITSTAFF")</f>
        <v>WAITSTAFF</v>
      </c>
      <c r="L608" s="46" t="str">
        <f ca="1">IFERROR(__xludf.DUMMYFUNCTION("""COMPUTED_VALUE"""),"PTE")</f>
        <v>PTE</v>
      </c>
      <c r="M608" s="46" t="str">
        <f ca="1">IFERROR(__xludf.DUMMYFUNCTION("""COMPUTED_VALUE"""),"Leave")</f>
        <v>Leave</v>
      </c>
      <c r="N608" s="46" t="str">
        <f ca="1">IFERROR(__xludf.DUMMYFUNCTION("""COMPUTED_VALUE"""),"đủ")</f>
        <v>đủ</v>
      </c>
    </row>
    <row r="609" spans="1:14">
      <c r="A609" s="45">
        <f ca="1">IFERROR(__xludf.DUMMYFUNCTION("""COMPUTED_VALUE"""),45499.5833333333)</f>
        <v>45499.583333333299</v>
      </c>
      <c r="B609" s="45">
        <f ca="1">IFERROR(__xludf.DUMMYFUNCTION("""COMPUTED_VALUE"""),45551.5833333333)</f>
        <v>45551.583333333299</v>
      </c>
      <c r="C609" s="46">
        <f ca="1">IFERROR(__xludf.DUMMYFUNCTION("""COMPUTED_VALUE"""),610)</f>
        <v>610</v>
      </c>
      <c r="D609" s="47" t="str">
        <f ca="1">IFERROR(__xludf.DUMMYFUNCTION("""COMPUTED_VALUE"""),"C0372")</f>
        <v>C0372</v>
      </c>
      <c r="E609" s="46" t="str">
        <f ca="1">IFERROR(__xludf.DUMMYFUNCTION("""COMPUTED_VALUE"""),"HUỲNH CẨM NHI")</f>
        <v>HUỲNH CẨM NHI</v>
      </c>
      <c r="F609" s="46" t="str">
        <f ca="1">IFERROR(__xludf.DUMMYFUNCTION("""COMPUTED_VALUE"""),"HUYNH CAM NHI")</f>
        <v>HUYNH CAM NHI</v>
      </c>
      <c r="G609" s="45">
        <f ca="1">IFERROR(__xludf.DUMMYFUNCTION("""COMPUTED_VALUE"""),36835.625)</f>
        <v>36835.625</v>
      </c>
      <c r="H609" s="45" t="str">
        <f ca="1">IFERROR(__xludf.DUMMYFUNCTION("""COMPUTED_VALUE"""),"MOONCAKE")</f>
        <v>MOONCAKE</v>
      </c>
      <c r="I609" s="46" t="str">
        <f ca="1">IFERROR(__xludf.DUMMYFUNCTION("""COMPUTED_VALUE"""),"KITCHEN PASTRY")</f>
        <v>KITCHEN PASTRY</v>
      </c>
      <c r="J609" s="46" t="str">
        <f ca="1">IFERROR(__xludf.DUMMYFUNCTION("""COMPUTED_VALUE"""),"KITCHEN PASTRY")</f>
        <v>KITCHEN PASTRY</v>
      </c>
      <c r="K609" s="46" t="str">
        <f ca="1">IFERROR(__xludf.DUMMYFUNCTION("""COMPUTED_VALUE"""),"PASTRY")</f>
        <v>PASTRY</v>
      </c>
      <c r="L609" s="46" t="str">
        <f ca="1">IFERROR(__xludf.DUMMYFUNCTION("""COMPUTED_VALUE"""),"PTE")</f>
        <v>PTE</v>
      </c>
      <c r="M609" s="46" t="str">
        <f ca="1">IFERROR(__xludf.DUMMYFUNCTION("""COMPUTED_VALUE"""),"Leave")</f>
        <v>Leave</v>
      </c>
      <c r="N609" s="46" t="str">
        <f ca="1">IFERROR(__xludf.DUMMYFUNCTION("""COMPUTED_VALUE"""),"x")</f>
        <v>x</v>
      </c>
    </row>
    <row r="610" spans="1:14">
      <c r="A610" s="45">
        <f ca="1">IFERROR(__xludf.DUMMYFUNCTION("""COMPUTED_VALUE"""),45499.5833333333)</f>
        <v>45499.583333333299</v>
      </c>
      <c r="B610" s="45">
        <f ca="1">IFERROR(__xludf.DUMMYFUNCTION("""COMPUTED_VALUE"""),45555.5833333333)</f>
        <v>45555.583333333299</v>
      </c>
      <c r="C610" s="46">
        <f ca="1">IFERROR(__xludf.DUMMYFUNCTION("""COMPUTED_VALUE"""),611)</f>
        <v>611</v>
      </c>
      <c r="D610" s="47" t="str">
        <f ca="1">IFERROR(__xludf.DUMMYFUNCTION("""COMPUTED_VALUE"""),"C0373")</f>
        <v>C0373</v>
      </c>
      <c r="E610" s="46" t="str">
        <f ca="1">IFERROR(__xludf.DUMMYFUNCTION("""COMPUTED_VALUE"""),"HÀ MINH CHUNG")</f>
        <v>HÀ MINH CHUNG</v>
      </c>
      <c r="F610" s="46" t="str">
        <f ca="1">IFERROR(__xludf.DUMMYFUNCTION("""COMPUTED_VALUE"""),"HA MINH CHUNG")</f>
        <v>HA MINH CHUNG</v>
      </c>
      <c r="G610" s="45">
        <f ca="1">IFERROR(__xludf.DUMMYFUNCTION("""COMPUTED_VALUE"""),38618.5833333333)</f>
        <v>38618.583333333299</v>
      </c>
      <c r="H610" s="45" t="str">
        <f ca="1">IFERROR(__xludf.DUMMYFUNCTION("""COMPUTED_VALUE"""),"MOONCAKE")</f>
        <v>MOONCAKE</v>
      </c>
      <c r="I610" s="46" t="str">
        <f ca="1">IFERROR(__xludf.DUMMYFUNCTION("""COMPUTED_VALUE"""),"STORE")</f>
        <v>STORE</v>
      </c>
      <c r="J610" s="46" t="str">
        <f ca="1">IFERROR(__xludf.DUMMYFUNCTION("""COMPUTED_VALUE"""),"BAKES D2")</f>
        <v>BAKES D2</v>
      </c>
      <c r="K610" s="46" t="str">
        <f ca="1">IFERROR(__xludf.DUMMYFUNCTION("""COMPUTED_VALUE"""),"PACKAGING")</f>
        <v>PACKAGING</v>
      </c>
      <c r="L610" s="46" t="str">
        <f ca="1">IFERROR(__xludf.DUMMYFUNCTION("""COMPUTED_VALUE"""),"PTE")</f>
        <v>PTE</v>
      </c>
      <c r="M610" s="46" t="str">
        <f ca="1">IFERROR(__xludf.DUMMYFUNCTION("""COMPUTED_VALUE"""),"Leave")</f>
        <v>Leave</v>
      </c>
      <c r="N610" s="46" t="str">
        <f ca="1">IFERROR(__xludf.DUMMYFUNCTION("""COMPUTED_VALUE"""),"x")</f>
        <v>x</v>
      </c>
    </row>
    <row r="611" spans="1:14">
      <c r="A611" s="45">
        <f ca="1">IFERROR(__xludf.DUMMYFUNCTION("""COMPUTED_VALUE"""),45499.5833333333)</f>
        <v>45499.583333333299</v>
      </c>
      <c r="B611" s="45">
        <f ca="1">IFERROR(__xludf.DUMMYFUNCTION("""COMPUTED_VALUE"""),45555.5833333333)</f>
        <v>45555.583333333299</v>
      </c>
      <c r="C611" s="46">
        <f ca="1">IFERROR(__xludf.DUMMYFUNCTION("""COMPUTED_VALUE"""),612)</f>
        <v>612</v>
      </c>
      <c r="D611" s="47" t="str">
        <f ca="1">IFERROR(__xludf.DUMMYFUNCTION("""COMPUTED_VALUE"""),"C0374")</f>
        <v>C0374</v>
      </c>
      <c r="E611" s="46" t="str">
        <f ca="1">IFERROR(__xludf.DUMMYFUNCTION("""COMPUTED_VALUE"""),"LÂM THỊ THANH TUYỀN")</f>
        <v>LÂM THỊ THANH TUYỀN</v>
      </c>
      <c r="F611" s="46" t="str">
        <f ca="1">IFERROR(__xludf.DUMMYFUNCTION("""COMPUTED_VALUE"""),"LAM THI THANH TUYEN")</f>
        <v>LAM THI THANH TUYEN</v>
      </c>
      <c r="G611" s="45">
        <f ca="1">IFERROR(__xludf.DUMMYFUNCTION("""COMPUTED_VALUE"""),38487.5833333333)</f>
        <v>38487.583333333299</v>
      </c>
      <c r="H611" s="45" t="str">
        <f ca="1">IFERROR(__xludf.DUMMYFUNCTION("""COMPUTED_VALUE"""),"MOONCAKE")</f>
        <v>MOONCAKE</v>
      </c>
      <c r="I611" s="46" t="str">
        <f ca="1">IFERROR(__xludf.DUMMYFUNCTION("""COMPUTED_VALUE"""),"STORE")</f>
        <v>STORE</v>
      </c>
      <c r="J611" s="46" t="str">
        <f ca="1">IFERROR(__xludf.DUMMYFUNCTION("""COMPUTED_VALUE"""),"BAKES D2")</f>
        <v>BAKES D2</v>
      </c>
      <c r="K611" s="46" t="str">
        <f ca="1">IFERROR(__xludf.DUMMYFUNCTION("""COMPUTED_VALUE"""),"PACKAGING")</f>
        <v>PACKAGING</v>
      </c>
      <c r="L611" s="46" t="str">
        <f ca="1">IFERROR(__xludf.DUMMYFUNCTION("""COMPUTED_VALUE"""),"PTE")</f>
        <v>PTE</v>
      </c>
      <c r="M611" s="46" t="str">
        <f ca="1">IFERROR(__xludf.DUMMYFUNCTION("""COMPUTED_VALUE"""),"Leave")</f>
        <v>Leave</v>
      </c>
      <c r="N611" s="46" t="str">
        <f ca="1">IFERROR(__xludf.DUMMYFUNCTION("""COMPUTED_VALUE"""),"x")</f>
        <v>x</v>
      </c>
    </row>
    <row r="612" spans="1:14">
      <c r="A612" s="45">
        <f ca="1">IFERROR(__xludf.DUMMYFUNCTION("""COMPUTED_VALUE"""),45647.625)</f>
        <v>45647.625</v>
      </c>
      <c r="B612" s="45">
        <f ca="1">IFERROR(__xludf.DUMMYFUNCTION("""COMPUTED_VALUE"""),45649.625)</f>
        <v>45649.625</v>
      </c>
      <c r="C612" s="46">
        <f ca="1">IFERROR(__xludf.DUMMYFUNCTION("""COMPUTED_VALUE"""),613)</f>
        <v>613</v>
      </c>
      <c r="D612" s="47" t="str">
        <f ca="1">IFERROR(__xludf.DUMMYFUNCTION("""COMPUTED_VALUE"""),"C0375")</f>
        <v>C0375</v>
      </c>
      <c r="E612" s="46" t="str">
        <f ca="1">IFERROR(__xludf.DUMMYFUNCTION("""COMPUTED_VALUE"""),"LÊ PHẠM MINH ANH")</f>
        <v>LÊ PHẠM MINH ANH</v>
      </c>
      <c r="F612" s="46" t="str">
        <f ca="1">IFERROR(__xludf.DUMMYFUNCTION("""COMPUTED_VALUE"""),"LE PHAM MINH ANH")</f>
        <v>LE PHAM MINH ANH</v>
      </c>
      <c r="G612" s="45">
        <f ca="1">IFERROR(__xludf.DUMMYFUNCTION("""COMPUTED_VALUE"""),38066.625)</f>
        <v>38066.625</v>
      </c>
      <c r="H612" s="45" t="str">
        <f ca="1">IFERROR(__xludf.DUMMYFUNCTION("""COMPUTED_VALUE"""),"YESHI")</f>
        <v>YESHI</v>
      </c>
      <c r="I612" s="46" t="str">
        <f ca="1">IFERROR(__xludf.DUMMYFUNCTION("""COMPUTED_VALUE"""),"STORE")</f>
        <v>STORE</v>
      </c>
      <c r="J612" s="46" t="str">
        <f ca="1">IFERROR(__xludf.DUMMYFUNCTION("""COMPUTED_VALUE"""),"YESHI D2")</f>
        <v>YESHI D2</v>
      </c>
      <c r="K612" s="46" t="str">
        <f ca="1">IFERROR(__xludf.DUMMYFUNCTION("""COMPUTED_VALUE"""),"WAITSTAFF")</f>
        <v>WAITSTAFF</v>
      </c>
      <c r="L612" s="46" t="str">
        <f ca="1">IFERROR(__xludf.DUMMYFUNCTION("""COMPUTED_VALUE"""),"PTE")</f>
        <v>PTE</v>
      </c>
      <c r="M612" s="46" t="str">
        <f ca="1">IFERROR(__xludf.DUMMYFUNCTION("""COMPUTED_VALUE"""),"Leave")</f>
        <v>Leave</v>
      </c>
      <c r="N612" s="46" t="str">
        <f ca="1">IFERROR(__xludf.DUMMYFUNCTION("""COMPUTED_VALUE"""),"CCCD công chứng")</f>
        <v>CCCD công chứng</v>
      </c>
    </row>
    <row r="613" spans="1:14">
      <c r="A613" s="45">
        <f ca="1">IFERROR(__xludf.DUMMYFUNCTION("""COMPUTED_VALUE"""),45492.5833333333)</f>
        <v>45492.583333333299</v>
      </c>
      <c r="B613" s="45">
        <f ca="1">IFERROR(__xludf.DUMMYFUNCTION("""COMPUTED_VALUE"""),45551.5833333333)</f>
        <v>45551.583333333299</v>
      </c>
      <c r="C613" s="46">
        <f ca="1">IFERROR(__xludf.DUMMYFUNCTION("""COMPUTED_VALUE"""),614)</f>
        <v>614</v>
      </c>
      <c r="D613" s="47" t="str">
        <f ca="1">IFERROR(__xludf.DUMMYFUNCTION("""COMPUTED_VALUE"""),"C0377")</f>
        <v>C0377</v>
      </c>
      <c r="E613" s="46" t="str">
        <f ca="1">IFERROR(__xludf.DUMMYFUNCTION("""COMPUTED_VALUE"""),"LÊ PHƯƠNG MINH NGỌC")</f>
        <v>LÊ PHƯƠNG MINH NGỌC</v>
      </c>
      <c r="F613" s="46" t="str">
        <f ca="1">IFERROR(__xludf.DUMMYFUNCTION("""COMPUTED_VALUE"""),"LE PHUONG MINH NGOC")</f>
        <v>LE PHUONG MINH NGOC</v>
      </c>
      <c r="G613" s="45">
        <f ca="1">IFERROR(__xludf.DUMMYFUNCTION("""COMPUTED_VALUE"""),35617.5833333333)</f>
        <v>35617.583333333299</v>
      </c>
      <c r="H613" s="45" t="str">
        <f ca="1">IFERROR(__xludf.DUMMYFUNCTION("""COMPUTED_VALUE"""),"MOONCAKE")</f>
        <v>MOONCAKE</v>
      </c>
      <c r="I613" s="46" t="str">
        <f ca="1">IFERROR(__xludf.DUMMYFUNCTION("""COMPUTED_VALUE"""),"KITCHEN PASTRY")</f>
        <v>KITCHEN PASTRY</v>
      </c>
      <c r="J613" s="46" t="str">
        <f ca="1">IFERROR(__xludf.DUMMYFUNCTION("""COMPUTED_VALUE"""),"KITCHEN PASTRY")</f>
        <v>KITCHEN PASTRY</v>
      </c>
      <c r="K613" s="46" t="str">
        <f ca="1">IFERROR(__xludf.DUMMYFUNCTION("""COMPUTED_VALUE"""),"PASTRY")</f>
        <v>PASTRY</v>
      </c>
      <c r="L613" s="46" t="str">
        <f ca="1">IFERROR(__xludf.DUMMYFUNCTION("""COMPUTED_VALUE"""),"PTE")</f>
        <v>PTE</v>
      </c>
      <c r="M613" s="46" t="str">
        <f ca="1">IFERROR(__xludf.DUMMYFUNCTION("""COMPUTED_VALUE"""),"Leave")</f>
        <v>Leave</v>
      </c>
      <c r="N613" s="46" t="str">
        <f ca="1">IFERROR(__xludf.DUMMYFUNCTION("""COMPUTED_VALUE"""),"đủ")</f>
        <v>đủ</v>
      </c>
    </row>
    <row r="614" spans="1:14">
      <c r="A614" s="45">
        <f ca="1">IFERROR(__xludf.DUMMYFUNCTION("""COMPUTED_VALUE"""),45559.5833333333)</f>
        <v>45559.583333333299</v>
      </c>
      <c r="B614" s="45">
        <f ca="1">IFERROR(__xludf.DUMMYFUNCTION("""COMPUTED_VALUE"""),45748.5833333333)</f>
        <v>45748.583333333299</v>
      </c>
      <c r="C614" s="46">
        <f ca="1">IFERROR(__xludf.DUMMYFUNCTION("""COMPUTED_VALUE"""),615)</f>
        <v>615</v>
      </c>
      <c r="D614" s="47" t="str">
        <f ca="1">IFERROR(__xludf.DUMMYFUNCTION("""COMPUTED_VALUE"""),"C0378")</f>
        <v>C0378</v>
      </c>
      <c r="E614" s="46" t="str">
        <f ca="1">IFERROR(__xludf.DUMMYFUNCTION("""COMPUTED_VALUE"""),"LÝ MỸ ANH")</f>
        <v>LÝ MỸ ANH</v>
      </c>
      <c r="F614" s="46" t="str">
        <f ca="1">IFERROR(__xludf.DUMMYFUNCTION("""COMPUTED_VALUE"""),"LY MY ANH")</f>
        <v>LY MY ANH</v>
      </c>
      <c r="G614" s="45">
        <f ca="1">IFERROR(__xludf.DUMMYFUNCTION("""COMPUTED_VALUE"""),37700.625)</f>
        <v>37700.625</v>
      </c>
      <c r="H614" s="45" t="str">
        <f ca="1">IFERROR(__xludf.DUMMYFUNCTION("""COMPUTED_VALUE"""),"YESHI")</f>
        <v>YESHI</v>
      </c>
      <c r="I614" s="46" t="str">
        <f ca="1">IFERROR(__xludf.DUMMYFUNCTION("""COMPUTED_VALUE"""),"STORE")</f>
        <v>STORE</v>
      </c>
      <c r="J614" s="46" t="str">
        <f ca="1">IFERROR(__xludf.DUMMYFUNCTION("""COMPUTED_VALUE"""),"YESHI D2")</f>
        <v>YESHI D2</v>
      </c>
      <c r="K614" s="46" t="str">
        <f ca="1">IFERROR(__xludf.DUMMYFUNCTION("""COMPUTED_VALUE"""),"KIT")</f>
        <v>KIT</v>
      </c>
      <c r="L614" s="46" t="str">
        <f ca="1">IFERROR(__xludf.DUMMYFUNCTION("""COMPUTED_VALUE"""),"PTE")</f>
        <v>PTE</v>
      </c>
      <c r="M614" s="46" t="str">
        <f ca="1">IFERROR(__xludf.DUMMYFUNCTION("""COMPUTED_VALUE"""),"Leave")</f>
        <v>Leave</v>
      </c>
      <c r="N614" s="46" t="str">
        <f ca="1">IFERROR(__xludf.DUMMYFUNCTION("""COMPUTED_VALUE"""),"đủ")</f>
        <v>đủ</v>
      </c>
    </row>
    <row r="615" spans="1:14">
      <c r="A615" s="45">
        <f ca="1">IFERROR(__xludf.DUMMYFUNCTION("""COMPUTED_VALUE"""),45499.5833333333)</f>
        <v>45499.583333333299</v>
      </c>
      <c r="B615" s="45">
        <f ca="1">IFERROR(__xludf.DUMMYFUNCTION("""COMPUTED_VALUE"""),45555.5833333333)</f>
        <v>45555.583333333299</v>
      </c>
      <c r="C615" s="46">
        <f ca="1">IFERROR(__xludf.DUMMYFUNCTION("""COMPUTED_VALUE"""),616)</f>
        <v>616</v>
      </c>
      <c r="D615" s="47" t="str">
        <f ca="1">IFERROR(__xludf.DUMMYFUNCTION("""COMPUTED_VALUE"""),"C0379")</f>
        <v>C0379</v>
      </c>
      <c r="E615" s="46" t="str">
        <f ca="1">IFERROR(__xludf.DUMMYFUNCTION("""COMPUTED_VALUE"""),"NGUYỄN THẾ BẢO")</f>
        <v>NGUYỄN THẾ BẢO</v>
      </c>
      <c r="F615" s="46" t="str">
        <f ca="1">IFERROR(__xludf.DUMMYFUNCTION("""COMPUTED_VALUE"""),"NGUYEN THE BAO")</f>
        <v>NGUYEN THE BAO</v>
      </c>
      <c r="G615" s="45">
        <f ca="1">IFERROR(__xludf.DUMMYFUNCTION("""COMPUTED_VALUE"""),34968.5833333333)</f>
        <v>34968.583333333299</v>
      </c>
      <c r="H615" s="45" t="str">
        <f ca="1">IFERROR(__xludf.DUMMYFUNCTION("""COMPUTED_VALUE"""),"MOONCAKE")</f>
        <v>MOONCAKE</v>
      </c>
      <c r="I615" s="46" t="str">
        <f ca="1">IFERROR(__xludf.DUMMYFUNCTION("""COMPUTED_VALUE"""),"STORE")</f>
        <v>STORE</v>
      </c>
      <c r="J615" s="46" t="str">
        <f ca="1">IFERROR(__xludf.DUMMYFUNCTION("""COMPUTED_VALUE"""),"BAKES D2")</f>
        <v>BAKES D2</v>
      </c>
      <c r="K615" s="46" t="str">
        <f ca="1">IFERROR(__xludf.DUMMYFUNCTION("""COMPUTED_VALUE"""),"PACKAGING")</f>
        <v>PACKAGING</v>
      </c>
      <c r="L615" s="46" t="str">
        <f ca="1">IFERROR(__xludf.DUMMYFUNCTION("""COMPUTED_VALUE"""),"PTE")</f>
        <v>PTE</v>
      </c>
      <c r="M615" s="46" t="str">
        <f ca="1">IFERROR(__xludf.DUMMYFUNCTION("""COMPUTED_VALUE"""),"Leave")</f>
        <v>Leave</v>
      </c>
      <c r="N615" s="46" t="str">
        <f ca="1">IFERROR(__xludf.DUMMYFUNCTION("""COMPUTED_VALUE"""),"x")</f>
        <v>x</v>
      </c>
    </row>
    <row r="616" spans="1:14">
      <c r="A616" s="45">
        <f ca="1">IFERROR(__xludf.DUMMYFUNCTION("""COMPUTED_VALUE"""),45499.5833333333)</f>
        <v>45499.583333333299</v>
      </c>
      <c r="B616" s="45">
        <f ca="1">IFERROR(__xludf.DUMMYFUNCTION("""COMPUTED_VALUE"""),45555.5833333333)</f>
        <v>45555.583333333299</v>
      </c>
      <c r="C616" s="46">
        <f ca="1">IFERROR(__xludf.DUMMYFUNCTION("""COMPUTED_VALUE"""),617)</f>
        <v>617</v>
      </c>
      <c r="D616" s="47" t="str">
        <f ca="1">IFERROR(__xludf.DUMMYFUNCTION("""COMPUTED_VALUE"""),"C0380")</f>
        <v>C0380</v>
      </c>
      <c r="E616" s="46" t="str">
        <f ca="1">IFERROR(__xludf.DUMMYFUNCTION("""COMPUTED_VALUE"""),"NGUYỄN ANH KHOA")</f>
        <v>NGUYỄN ANH KHOA</v>
      </c>
      <c r="F616" s="46" t="str">
        <f ca="1">IFERROR(__xludf.DUMMYFUNCTION("""COMPUTED_VALUE"""),"NGUYEN ANH KHOA")</f>
        <v>NGUYEN ANH KHOA</v>
      </c>
      <c r="G616" s="45">
        <f ca="1">IFERROR(__xludf.DUMMYFUNCTION("""COMPUTED_VALUE"""),38382.625)</f>
        <v>38382.625</v>
      </c>
      <c r="H616" s="45" t="str">
        <f ca="1">IFERROR(__xludf.DUMMYFUNCTION("""COMPUTED_VALUE"""),"MOONCAKE")</f>
        <v>MOONCAKE</v>
      </c>
      <c r="I616" s="46" t="str">
        <f ca="1">IFERROR(__xludf.DUMMYFUNCTION("""COMPUTED_VALUE"""),"STORE")</f>
        <v>STORE</v>
      </c>
      <c r="J616" s="46" t="str">
        <f ca="1">IFERROR(__xludf.DUMMYFUNCTION("""COMPUTED_VALUE"""),"BAKES D2")</f>
        <v>BAKES D2</v>
      </c>
      <c r="K616" s="46" t="str">
        <f ca="1">IFERROR(__xludf.DUMMYFUNCTION("""COMPUTED_VALUE"""),"PACKAGING")</f>
        <v>PACKAGING</v>
      </c>
      <c r="L616" s="46" t="str">
        <f ca="1">IFERROR(__xludf.DUMMYFUNCTION("""COMPUTED_VALUE"""),"PTE")</f>
        <v>PTE</v>
      </c>
      <c r="M616" s="46" t="str">
        <f ca="1">IFERROR(__xludf.DUMMYFUNCTION("""COMPUTED_VALUE"""),"Leave")</f>
        <v>Leave</v>
      </c>
      <c r="N616" s="46" t="str">
        <f ca="1">IFERROR(__xludf.DUMMYFUNCTION("""COMPUTED_VALUE"""),"chua nop")</f>
        <v>chua nop</v>
      </c>
    </row>
    <row r="617" spans="1:14">
      <c r="A617" s="45">
        <f ca="1">IFERROR(__xludf.DUMMYFUNCTION("""COMPUTED_VALUE"""),45499.5833333333)</f>
        <v>45499.583333333299</v>
      </c>
      <c r="B617" s="45">
        <f ca="1">IFERROR(__xludf.DUMMYFUNCTION("""COMPUTED_VALUE"""),45555.5833333333)</f>
        <v>45555.583333333299</v>
      </c>
      <c r="C617" s="46">
        <f ca="1">IFERROR(__xludf.DUMMYFUNCTION("""COMPUTED_VALUE"""),618)</f>
        <v>618</v>
      </c>
      <c r="D617" s="47" t="str">
        <f ca="1">IFERROR(__xludf.DUMMYFUNCTION("""COMPUTED_VALUE"""),"C0381")</f>
        <v>C0381</v>
      </c>
      <c r="E617" s="46" t="str">
        <f ca="1">IFERROR(__xludf.DUMMYFUNCTION("""COMPUTED_VALUE"""),"NGUYỄN TIẾN MINH QUÝ")</f>
        <v>NGUYỄN TIẾN MINH QUÝ</v>
      </c>
      <c r="F617" s="46" t="str">
        <f ca="1">IFERROR(__xludf.DUMMYFUNCTION("""COMPUTED_VALUE"""),"NGUYEN TIEN MINH QUY")</f>
        <v>NGUYEN TIEN MINH QUY</v>
      </c>
      <c r="G617" s="45">
        <f ca="1">IFERROR(__xludf.DUMMYFUNCTION("""COMPUTED_VALUE"""),37991.625)</f>
        <v>37991.625</v>
      </c>
      <c r="H617" s="45" t="str">
        <f ca="1">IFERROR(__xludf.DUMMYFUNCTION("""COMPUTED_VALUE"""),"MOONCAKE")</f>
        <v>MOONCAKE</v>
      </c>
      <c r="I617" s="46" t="str">
        <f ca="1">IFERROR(__xludf.DUMMYFUNCTION("""COMPUTED_VALUE"""),"STORE")</f>
        <v>STORE</v>
      </c>
      <c r="J617" s="46" t="str">
        <f ca="1">IFERROR(__xludf.DUMMYFUNCTION("""COMPUTED_VALUE"""),"BAKES D2")</f>
        <v>BAKES D2</v>
      </c>
      <c r="K617" s="46" t="str">
        <f ca="1">IFERROR(__xludf.DUMMYFUNCTION("""COMPUTED_VALUE"""),"PACKAGING")</f>
        <v>PACKAGING</v>
      </c>
      <c r="L617" s="46" t="str">
        <f ca="1">IFERROR(__xludf.DUMMYFUNCTION("""COMPUTED_VALUE"""),"PTE")</f>
        <v>PTE</v>
      </c>
      <c r="M617" s="46" t="str">
        <f ca="1">IFERROR(__xludf.DUMMYFUNCTION("""COMPUTED_VALUE"""),"Leave")</f>
        <v>Leave</v>
      </c>
      <c r="N617" s="46" t="str">
        <f ca="1">IFERROR(__xludf.DUMMYFUNCTION("""COMPUTED_VALUE"""),"chua nop")</f>
        <v>chua nop</v>
      </c>
    </row>
    <row r="618" spans="1:14">
      <c r="A618" s="45">
        <f ca="1">IFERROR(__xludf.DUMMYFUNCTION("""COMPUTED_VALUE"""),45499.5833333333)</f>
        <v>45499.583333333299</v>
      </c>
      <c r="B618" s="45">
        <f ca="1">IFERROR(__xludf.DUMMYFUNCTION("""COMPUTED_VALUE"""),45555.5833333333)</f>
        <v>45555.583333333299</v>
      </c>
      <c r="C618" s="46">
        <f ca="1">IFERROR(__xludf.DUMMYFUNCTION("""COMPUTED_VALUE"""),619)</f>
        <v>619</v>
      </c>
      <c r="D618" s="47" t="str">
        <f ca="1">IFERROR(__xludf.DUMMYFUNCTION("""COMPUTED_VALUE"""),"C0382")</f>
        <v>C0382</v>
      </c>
      <c r="E618" s="46" t="str">
        <f ca="1">IFERROR(__xludf.DUMMYFUNCTION("""COMPUTED_VALUE"""),"HỒ NGUYỄN HÀ VI")</f>
        <v>HỒ NGUYỄN HÀ VI</v>
      </c>
      <c r="F618" s="46" t="str">
        <f ca="1">IFERROR(__xludf.DUMMYFUNCTION("""COMPUTED_VALUE"""),"HO NGUYEN HA VI")</f>
        <v>HO NGUYEN HA VI</v>
      </c>
      <c r="G618" s="45">
        <f ca="1">IFERROR(__xludf.DUMMYFUNCTION("""COMPUTED_VALUE"""),37559.625)</f>
        <v>37559.625</v>
      </c>
      <c r="H618" s="45" t="str">
        <f ca="1">IFERROR(__xludf.DUMMYFUNCTION("""COMPUTED_VALUE"""),"MOONCAKE")</f>
        <v>MOONCAKE</v>
      </c>
      <c r="I618" s="46" t="str">
        <f ca="1">IFERROR(__xludf.DUMMYFUNCTION("""COMPUTED_VALUE"""),"STORE")</f>
        <v>STORE</v>
      </c>
      <c r="J618" s="46" t="str">
        <f ca="1">IFERROR(__xludf.DUMMYFUNCTION("""COMPUTED_VALUE"""),"BAKES D2")</f>
        <v>BAKES D2</v>
      </c>
      <c r="K618" s="46" t="str">
        <f ca="1">IFERROR(__xludf.DUMMYFUNCTION("""COMPUTED_VALUE"""),"PACKAGING")</f>
        <v>PACKAGING</v>
      </c>
      <c r="L618" s="46" t="str">
        <f ca="1">IFERROR(__xludf.DUMMYFUNCTION("""COMPUTED_VALUE"""),"PTE")</f>
        <v>PTE</v>
      </c>
      <c r="M618" s="46" t="str">
        <f ca="1">IFERROR(__xludf.DUMMYFUNCTION("""COMPUTED_VALUE"""),"Leave")</f>
        <v>Leave</v>
      </c>
      <c r="N618" s="46" t="str">
        <f ca="1">IFERROR(__xludf.DUMMYFUNCTION("""COMPUTED_VALUE"""),"x")</f>
        <v>x</v>
      </c>
    </row>
    <row r="619" spans="1:14">
      <c r="A619" s="45">
        <f ca="1">IFERROR(__xludf.DUMMYFUNCTION("""COMPUTED_VALUE"""),45499.5833333333)</f>
        <v>45499.583333333299</v>
      </c>
      <c r="B619" s="45">
        <f ca="1">IFERROR(__xludf.DUMMYFUNCTION("""COMPUTED_VALUE"""),45555.5833333333)</f>
        <v>45555.583333333299</v>
      </c>
      <c r="C619" s="46">
        <f ca="1">IFERROR(__xludf.DUMMYFUNCTION("""COMPUTED_VALUE"""),620)</f>
        <v>620</v>
      </c>
      <c r="D619" s="47" t="str">
        <f ca="1">IFERROR(__xludf.DUMMYFUNCTION("""COMPUTED_VALUE"""),"C0383")</f>
        <v>C0383</v>
      </c>
      <c r="E619" s="46" t="str">
        <f ca="1">IFERROR(__xludf.DUMMYFUNCTION("""COMPUTED_VALUE"""),"PHẠM NGUYỄN MINH TRÍ")</f>
        <v>PHẠM NGUYỄN MINH TRÍ</v>
      </c>
      <c r="F619" s="46" t="str">
        <f ca="1">IFERROR(__xludf.DUMMYFUNCTION("""COMPUTED_VALUE"""),"PHAM NGUYEN MINH TRI")</f>
        <v>PHAM NGUYEN MINH TRI</v>
      </c>
      <c r="G619" s="45">
        <f ca="1">IFERROR(__xludf.DUMMYFUNCTION("""COMPUTED_VALUE"""),37632.625)</f>
        <v>37632.625</v>
      </c>
      <c r="H619" s="45" t="str">
        <f ca="1">IFERROR(__xludf.DUMMYFUNCTION("""COMPUTED_VALUE"""),"MOONCAKE")</f>
        <v>MOONCAKE</v>
      </c>
      <c r="I619" s="46" t="str">
        <f ca="1">IFERROR(__xludf.DUMMYFUNCTION("""COMPUTED_VALUE"""),"STORE")</f>
        <v>STORE</v>
      </c>
      <c r="J619" s="46" t="str">
        <f ca="1">IFERROR(__xludf.DUMMYFUNCTION("""COMPUTED_VALUE"""),"BAKES D2")</f>
        <v>BAKES D2</v>
      </c>
      <c r="K619" s="46" t="str">
        <f ca="1">IFERROR(__xludf.DUMMYFUNCTION("""COMPUTED_VALUE"""),"PACKAGING")</f>
        <v>PACKAGING</v>
      </c>
      <c r="L619" s="46" t="str">
        <f ca="1">IFERROR(__xludf.DUMMYFUNCTION("""COMPUTED_VALUE"""),"PTE")</f>
        <v>PTE</v>
      </c>
      <c r="M619" s="46" t="str">
        <f ca="1">IFERROR(__xludf.DUMMYFUNCTION("""COMPUTED_VALUE"""),"Leave")</f>
        <v>Leave</v>
      </c>
      <c r="N619" s="46" t="str">
        <f ca="1">IFERROR(__xludf.DUMMYFUNCTION("""COMPUTED_VALUE"""),"x")</f>
        <v>x</v>
      </c>
    </row>
    <row r="620" spans="1:14">
      <c r="A620" s="45">
        <f ca="1">IFERROR(__xludf.DUMMYFUNCTION("""COMPUTED_VALUE"""),45489.5833333333)</f>
        <v>45489.583333333299</v>
      </c>
      <c r="B620" s="45">
        <f ca="1">IFERROR(__xludf.DUMMYFUNCTION("""COMPUTED_VALUE"""),45573.5833333333)</f>
        <v>45573.583333333299</v>
      </c>
      <c r="C620" s="46">
        <f ca="1">IFERROR(__xludf.DUMMYFUNCTION("""COMPUTED_VALUE"""),621)</f>
        <v>621</v>
      </c>
      <c r="D620" s="47" t="str">
        <f ca="1">IFERROR(__xludf.DUMMYFUNCTION("""COMPUTED_VALUE"""),"C0384")</f>
        <v>C0384</v>
      </c>
      <c r="E620" s="46" t="str">
        <f ca="1">IFERROR(__xludf.DUMMYFUNCTION("""COMPUTED_VALUE"""),"PHẠM ĐỒNG HƯNG")</f>
        <v>PHẠM ĐỒNG HƯNG</v>
      </c>
      <c r="F620" s="46" t="str">
        <f ca="1">IFERROR(__xludf.DUMMYFUNCTION("""COMPUTED_VALUE"""),"PHAM DONG HUNG")</f>
        <v>PHAM DONG HUNG</v>
      </c>
      <c r="G620" s="45">
        <f ca="1">IFERROR(__xludf.DUMMYFUNCTION("""COMPUTED_VALUE"""),36050.5833333333)</f>
        <v>36050.583333333299</v>
      </c>
      <c r="H620" s="45" t="str">
        <f ca="1">IFERROR(__xludf.DUMMYFUNCTION("""COMPUTED_VALUE"""),"KITCHEN PASTRY")</f>
        <v>KITCHEN PASTRY</v>
      </c>
      <c r="I620" s="46" t="str">
        <f ca="1">IFERROR(__xludf.DUMMYFUNCTION("""COMPUTED_VALUE"""),"KITCHEN PASTRY")</f>
        <v>KITCHEN PASTRY</v>
      </c>
      <c r="J620" s="46" t="str">
        <f ca="1">IFERROR(__xludf.DUMMYFUNCTION("""COMPUTED_VALUE"""),"KITCHEN PASTRY")</f>
        <v>KITCHEN PASTRY</v>
      </c>
      <c r="K620" s="46" t="str">
        <f ca="1">IFERROR(__xludf.DUMMYFUNCTION("""COMPUTED_VALUE"""),"PASTRY")</f>
        <v>PASTRY</v>
      </c>
      <c r="L620" s="46" t="str">
        <f ca="1">IFERROR(__xludf.DUMMYFUNCTION("""COMPUTED_VALUE"""),"PTE")</f>
        <v>PTE</v>
      </c>
      <c r="M620" s="46" t="str">
        <f ca="1">IFERROR(__xludf.DUMMYFUNCTION("""COMPUTED_VALUE"""),"Leave")</f>
        <v>Leave</v>
      </c>
      <c r="N620" s="46" t="str">
        <f ca="1">IFERROR(__xludf.DUMMYFUNCTION("""COMPUTED_VALUE"""),"x")</f>
        <v>x</v>
      </c>
    </row>
    <row r="621" spans="1:14">
      <c r="A621" s="45">
        <f ca="1">IFERROR(__xludf.DUMMYFUNCTION("""COMPUTED_VALUE"""),45627.625)</f>
        <v>45627.625</v>
      </c>
      <c r="B621" s="45" t="str">
        <f ca="1">IFERROR(__xludf.DUMMYFUNCTION("""COMPUTED_VALUE"""),"Đã nghỉ")</f>
        <v>Đã nghỉ</v>
      </c>
      <c r="C621" s="46">
        <f ca="1">IFERROR(__xludf.DUMMYFUNCTION("""COMPUTED_VALUE"""),622)</f>
        <v>622</v>
      </c>
      <c r="D621" s="47" t="str">
        <f ca="1">IFERROR(__xludf.DUMMYFUNCTION("""COMPUTED_VALUE"""),"C0385")</f>
        <v>C0385</v>
      </c>
      <c r="E621" s="46" t="str">
        <f ca="1">IFERROR(__xludf.DUMMYFUNCTION("""COMPUTED_VALUE"""),"TRẦN THY")</f>
        <v>TRẦN THY</v>
      </c>
      <c r="F621" s="46" t="str">
        <f ca="1">IFERROR(__xludf.DUMMYFUNCTION("""COMPUTED_VALUE"""),"TRAN THY")</f>
        <v>TRAN THY</v>
      </c>
      <c r="G621" s="45">
        <f ca="1">IFERROR(__xludf.DUMMYFUNCTION("""COMPUTED_VALUE"""),32367.5833333333)</f>
        <v>32367.583333333299</v>
      </c>
      <c r="H621" s="45" t="str">
        <f ca="1">IFERROR(__xludf.DUMMYFUNCTION("""COMPUTED_VALUE"""),"WOMEN DAY")</f>
        <v>WOMEN DAY</v>
      </c>
      <c r="I621" s="46" t="str">
        <f ca="1">IFERROR(__xludf.DUMMYFUNCTION("""COMPUTED_VALUE"""),"KITCHEN PASTRY")</f>
        <v>KITCHEN PASTRY</v>
      </c>
      <c r="J621" s="46" t="str">
        <f ca="1">IFERROR(__xludf.DUMMYFUNCTION("""COMPUTED_VALUE"""),"KITCHEN PASTRY")</f>
        <v>KITCHEN PASTRY</v>
      </c>
      <c r="K621" s="46" t="str">
        <f ca="1">IFERROR(__xludf.DUMMYFUNCTION("""COMPUTED_VALUE"""),"PASTRY")</f>
        <v>PASTRY</v>
      </c>
      <c r="L621" s="46" t="str">
        <f ca="1">IFERROR(__xludf.DUMMYFUNCTION("""COMPUTED_VALUE"""),"PTE")</f>
        <v>PTE</v>
      </c>
      <c r="M621" s="46" t="str">
        <f ca="1">IFERROR(__xludf.DUMMYFUNCTION("""COMPUTED_VALUE"""),"Leave")</f>
        <v>Leave</v>
      </c>
      <c r="N621" s="46" t="str">
        <f ca="1">IFERROR(__xludf.DUMMYFUNCTION("""COMPUTED_VALUE"""),"CCCD công chứng")</f>
        <v>CCCD công chứng</v>
      </c>
    </row>
    <row r="622" spans="1:14">
      <c r="A622" s="45">
        <f ca="1">IFERROR(__xludf.DUMMYFUNCTION("""COMPUTED_VALUE"""),45499.5833333333)</f>
        <v>45499.583333333299</v>
      </c>
      <c r="B622" s="45">
        <f ca="1">IFERROR(__xludf.DUMMYFUNCTION("""COMPUTED_VALUE"""),45555.5833333333)</f>
        <v>45555.583333333299</v>
      </c>
      <c r="C622" s="46">
        <f ca="1">IFERROR(__xludf.DUMMYFUNCTION("""COMPUTED_VALUE"""),623)</f>
        <v>623</v>
      </c>
      <c r="D622" s="47" t="str">
        <f ca="1">IFERROR(__xludf.DUMMYFUNCTION("""COMPUTED_VALUE"""),"C0386")</f>
        <v>C0386</v>
      </c>
      <c r="E622" s="46" t="str">
        <f ca="1">IFERROR(__xludf.DUMMYFUNCTION("""COMPUTED_VALUE"""),"TRẦN YẾN QUỲNH HOAN")</f>
        <v>TRẦN YẾN QUỲNH HOAN</v>
      </c>
      <c r="F622" s="46" t="str">
        <f ca="1">IFERROR(__xludf.DUMMYFUNCTION("""COMPUTED_VALUE"""),"TRAN YEN QUYNH HOAN")</f>
        <v>TRAN YEN QUYNH HOAN</v>
      </c>
      <c r="G622" s="45">
        <f ca="1">IFERROR(__xludf.DUMMYFUNCTION("""COMPUTED_VALUE"""),35173.5833333333)</f>
        <v>35173.583333333299</v>
      </c>
      <c r="H622" s="45" t="str">
        <f ca="1">IFERROR(__xludf.DUMMYFUNCTION("""COMPUTED_VALUE"""),"MOONCAKE")</f>
        <v>MOONCAKE</v>
      </c>
      <c r="I622" s="46" t="str">
        <f ca="1">IFERROR(__xludf.DUMMYFUNCTION("""COMPUTED_VALUE"""),"STORE")</f>
        <v>STORE</v>
      </c>
      <c r="J622" s="46" t="str">
        <f ca="1">IFERROR(__xludf.DUMMYFUNCTION("""COMPUTED_VALUE"""),"BAKES D2")</f>
        <v>BAKES D2</v>
      </c>
      <c r="K622" s="46" t="str">
        <f ca="1">IFERROR(__xludf.DUMMYFUNCTION("""COMPUTED_VALUE"""),"PACKAGING")</f>
        <v>PACKAGING</v>
      </c>
      <c r="L622" s="46" t="str">
        <f ca="1">IFERROR(__xludf.DUMMYFUNCTION("""COMPUTED_VALUE"""),"PTE")</f>
        <v>PTE</v>
      </c>
      <c r="M622" s="46" t="str">
        <f ca="1">IFERROR(__xludf.DUMMYFUNCTION("""COMPUTED_VALUE"""),"Leave")</f>
        <v>Leave</v>
      </c>
      <c r="N622" s="46" t="str">
        <f ca="1">IFERROR(__xludf.DUMMYFUNCTION("""COMPUTED_VALUE"""),"x")</f>
        <v>x</v>
      </c>
    </row>
    <row r="623" spans="1:14">
      <c r="A623" s="45">
        <f ca="1">IFERROR(__xludf.DUMMYFUNCTION("""COMPUTED_VALUE"""),45474.5833333333)</f>
        <v>45474.583333333299</v>
      </c>
      <c r="B623" s="45"/>
      <c r="C623" s="46">
        <f ca="1">IFERROR(__xludf.DUMMYFUNCTION("""COMPUTED_VALUE"""),624)</f>
        <v>624</v>
      </c>
      <c r="D623" s="47" t="str">
        <f ca="1">IFERROR(__xludf.DUMMYFUNCTION("""COMPUTED_VALUE"""),"C0388")</f>
        <v>C0388</v>
      </c>
      <c r="E623" s="46" t="str">
        <f ca="1">IFERROR(__xludf.DUMMYFUNCTION("""COMPUTED_VALUE"""),"NGUYỄN TẤN QUỐC")</f>
        <v>NGUYỄN TẤN QUỐC</v>
      </c>
      <c r="F623" s="46" t="str">
        <f ca="1">IFERROR(__xludf.DUMMYFUNCTION("""COMPUTED_VALUE"""),"NGUYEN TAN QUOC")</f>
        <v>NGUYEN TAN QUOC</v>
      </c>
      <c r="G623" s="45">
        <f ca="1">IFERROR(__xludf.DUMMYFUNCTION("""COMPUTED_VALUE"""),36587.625)</f>
        <v>36587.625</v>
      </c>
      <c r="H623" s="45" t="str">
        <f ca="1">IFERROR(__xludf.DUMMYFUNCTION("""COMPUTED_VALUE"""),"BAKES")</f>
        <v>BAKES</v>
      </c>
      <c r="I623" s="46" t="str">
        <f ca="1">IFERROR(__xludf.DUMMYFUNCTION("""COMPUTED_VALUE"""),"STORE")</f>
        <v>STORE</v>
      </c>
      <c r="J623" s="46" t="str">
        <f ca="1">IFERROR(__xludf.DUMMYFUNCTION("""COMPUTED_VALUE"""),"BAKES HCR")</f>
        <v>BAKES HCR</v>
      </c>
      <c r="K623" s="46" t="str">
        <f ca="1">IFERROR(__xludf.DUMMYFUNCTION("""COMPUTED_VALUE"""),"WAITSTAFF")</f>
        <v>WAITSTAFF</v>
      </c>
      <c r="L623" s="46" t="str">
        <f ca="1">IFERROR(__xludf.DUMMYFUNCTION("""COMPUTED_VALUE"""),"FTE")</f>
        <v>FTE</v>
      </c>
      <c r="M623" s="46" t="str">
        <f ca="1">IFERROR(__xludf.DUMMYFUNCTION("""COMPUTED_VALUE"""),"On")</f>
        <v>On</v>
      </c>
      <c r="N623" s="46" t="str">
        <f ca="1">IFERROR(__xludf.DUMMYFUNCTION("""COMPUTED_VALUE"""),"đủ")</f>
        <v>đủ</v>
      </c>
    </row>
    <row r="624" spans="1:14">
      <c r="A624" s="45">
        <f ca="1">IFERROR(__xludf.DUMMYFUNCTION("""COMPUTED_VALUE"""),45713.625)</f>
        <v>45713.625</v>
      </c>
      <c r="B624" s="45">
        <f ca="1">IFERROR(__xludf.DUMMYFUNCTION("""COMPUTED_VALUE"""),45724.625)</f>
        <v>45724.625</v>
      </c>
      <c r="C624" s="46">
        <f ca="1">IFERROR(__xludf.DUMMYFUNCTION("""COMPUTED_VALUE"""),625)</f>
        <v>625</v>
      </c>
      <c r="D624" s="47" t="str">
        <f ca="1">IFERROR(__xludf.DUMMYFUNCTION("""COMPUTED_VALUE"""),"C0389")</f>
        <v>C0389</v>
      </c>
      <c r="E624" s="46" t="str">
        <f ca="1">IFERROR(__xludf.DUMMYFUNCTION("""COMPUTED_VALUE"""),"ĐẶNG XUÂN NHI")</f>
        <v>ĐẶNG XUÂN NHI</v>
      </c>
      <c r="F624" s="46" t="str">
        <f ca="1">IFERROR(__xludf.DUMMYFUNCTION("""COMPUTED_VALUE"""),"DANG XUAN NHI")</f>
        <v>DANG XUAN NHI</v>
      </c>
      <c r="G624" s="45">
        <f ca="1">IFERROR(__xludf.DUMMYFUNCTION("""COMPUTED_VALUE"""),35415.625)</f>
        <v>35415.625</v>
      </c>
      <c r="H624" s="45" t="str">
        <f ca="1">IFERROR(__xludf.DUMMYFUNCTION("""COMPUTED_VALUE"""),"WOMEN DAY")</f>
        <v>WOMEN DAY</v>
      </c>
      <c r="I624" s="46" t="str">
        <f ca="1">IFERROR(__xludf.DUMMYFUNCTION("""COMPUTED_VALUE"""),"KITCHEN PASTRY")</f>
        <v>KITCHEN PASTRY</v>
      </c>
      <c r="J624" s="46" t="str">
        <f ca="1">IFERROR(__xludf.DUMMYFUNCTION("""COMPUTED_VALUE"""),"KITCHEN PASTRY")</f>
        <v>KITCHEN PASTRY</v>
      </c>
      <c r="K624" s="46" t="str">
        <f ca="1">IFERROR(__xludf.DUMMYFUNCTION("""COMPUTED_VALUE"""),"PASTRY")</f>
        <v>PASTRY</v>
      </c>
      <c r="L624" s="46" t="str">
        <f ca="1">IFERROR(__xludf.DUMMYFUNCTION("""COMPUTED_VALUE"""),"PTE")</f>
        <v>PTE</v>
      </c>
      <c r="M624" s="46" t="str">
        <f ca="1">IFERROR(__xludf.DUMMYFUNCTION("""COMPUTED_VALUE"""),"Leave")</f>
        <v>Leave</v>
      </c>
      <c r="N624" s="46" t="str">
        <f ca="1">IFERROR(__xludf.DUMMYFUNCTION("""COMPUTED_VALUE"""),"đủ")</f>
        <v>đủ</v>
      </c>
    </row>
    <row r="625" spans="1:14">
      <c r="A625" s="45">
        <f ca="1">IFERROR(__xludf.DUMMYFUNCTION("""COMPUTED_VALUE"""),45798.5833333333)</f>
        <v>45798.583333333299</v>
      </c>
      <c r="B625" s="45"/>
      <c r="C625" s="46">
        <f ca="1">IFERROR(__xludf.DUMMYFUNCTION("""COMPUTED_VALUE"""),626)</f>
        <v>626</v>
      </c>
      <c r="D625" s="47" t="str">
        <f ca="1">IFERROR(__xludf.DUMMYFUNCTION("""COMPUTED_VALUE"""),"C0390")</f>
        <v>C0390</v>
      </c>
      <c r="E625" s="46" t="str">
        <f ca="1">IFERROR(__xludf.DUMMYFUNCTION("""COMPUTED_VALUE"""),"LÊ NGUYỄN PHƯƠNG CHI")</f>
        <v>LÊ NGUYỄN PHƯƠNG CHI</v>
      </c>
      <c r="F625" s="46" t="str">
        <f ca="1">IFERROR(__xludf.DUMMYFUNCTION("""COMPUTED_VALUE"""),"LE NGUYEN PHUONG CHI")</f>
        <v>LE NGUYEN PHUONG CHI</v>
      </c>
      <c r="G625" s="45">
        <f ca="1">IFERROR(__xludf.DUMMYFUNCTION("""COMPUTED_VALUE"""),37474.5833333333)</f>
        <v>37474.583333333299</v>
      </c>
      <c r="H625" s="45" t="str">
        <f ca="1">IFERROR(__xludf.DUMMYFUNCTION("""COMPUTED_VALUE"""),"TLC")</f>
        <v>TLC</v>
      </c>
      <c r="I625" s="46" t="str">
        <f ca="1">IFERROR(__xludf.DUMMYFUNCTION("""COMPUTED_VALUE"""),"STORE")</f>
        <v>STORE</v>
      </c>
      <c r="J625" s="46" t="str">
        <f ca="1">IFERROR(__xludf.DUMMYFUNCTION("""COMPUTED_VALUE"""),"BLANK LOUNGE")</f>
        <v>BLANK LOUNGE</v>
      </c>
      <c r="K625" s="46" t="str">
        <f ca="1">IFERROR(__xludf.DUMMYFUNCTION("""COMPUTED_VALUE"""),"WAITSTAFF")</f>
        <v>WAITSTAFF</v>
      </c>
      <c r="L625" s="46" t="str">
        <f ca="1">IFERROR(__xludf.DUMMYFUNCTION("""COMPUTED_VALUE"""),"PTE")</f>
        <v>PTE</v>
      </c>
      <c r="M625" s="46" t="str">
        <f ca="1">IFERROR(__xludf.DUMMYFUNCTION("""COMPUTED_VALUE"""),"On")</f>
        <v>On</v>
      </c>
      <c r="N625" s="46" t="str">
        <f ca="1">IFERROR(__xludf.DUMMYFUNCTION("""COMPUTED_VALUE"""),"đủ")</f>
        <v>đủ</v>
      </c>
    </row>
    <row r="626" spans="1:14">
      <c r="A626" s="45">
        <f ca="1">IFERROR(__xludf.DUMMYFUNCTION("""COMPUTED_VALUE"""),45572.5833333333)</f>
        <v>45572.583333333299</v>
      </c>
      <c r="B626" s="45">
        <f ca="1">IFERROR(__xludf.DUMMYFUNCTION("""COMPUTED_VALUE"""),45887.5833333333)</f>
        <v>45887.583333333299</v>
      </c>
      <c r="C626" s="46">
        <f ca="1">IFERROR(__xludf.DUMMYFUNCTION("""COMPUTED_VALUE"""),627)</f>
        <v>627</v>
      </c>
      <c r="D626" s="47" t="str">
        <f ca="1">IFERROR(__xludf.DUMMYFUNCTION("""COMPUTED_VALUE"""),"C0391")</f>
        <v>C0391</v>
      </c>
      <c r="E626" s="46" t="str">
        <f ca="1">IFERROR(__xludf.DUMMYFUNCTION("""COMPUTED_VALUE"""),"NGUYỄN THỊ THANH XUÂN")</f>
        <v>NGUYỄN THỊ THANH XUÂN</v>
      </c>
      <c r="F626" s="46" t="str">
        <f ca="1">IFERROR(__xludf.DUMMYFUNCTION("""COMPUTED_VALUE"""),"NGUYEN THI THANH XUAN")</f>
        <v>NGUYEN THI THANH XUAN</v>
      </c>
      <c r="G626" s="45">
        <f ca="1">IFERROR(__xludf.DUMMYFUNCTION("""COMPUTED_VALUE"""),32528.625)</f>
        <v>32528.625</v>
      </c>
      <c r="H626" s="45" t="str">
        <f ca="1">IFERROR(__xludf.DUMMYFUNCTION("""COMPUTED_VALUE"""),"KITCHEN PASTRY")</f>
        <v>KITCHEN PASTRY</v>
      </c>
      <c r="I626" s="46" t="str">
        <f ca="1">IFERROR(__xludf.DUMMYFUNCTION("""COMPUTED_VALUE"""),"KITCHEN PASTRY")</f>
        <v>KITCHEN PASTRY</v>
      </c>
      <c r="J626" s="46" t="str">
        <f ca="1">IFERROR(__xludf.DUMMYFUNCTION("""COMPUTED_VALUE"""),"KITCHEN PASTRY")</f>
        <v>KITCHEN PASTRY</v>
      </c>
      <c r="K626" s="46" t="str">
        <f ca="1">IFERROR(__xludf.DUMMYFUNCTION("""COMPUTED_VALUE"""),"PASTRY")</f>
        <v>PASTRY</v>
      </c>
      <c r="L626" s="46" t="str">
        <f ca="1">IFERROR(__xludf.DUMMYFUNCTION("""COMPUTED_VALUE"""),"FTE")</f>
        <v>FTE</v>
      </c>
      <c r="M626" s="46" t="str">
        <f ca="1">IFERROR(__xludf.DUMMYFUNCTION("""COMPUTED_VALUE"""),"Leave")</f>
        <v>Leave</v>
      </c>
      <c r="N626" s="46" t="str">
        <f ca="1">IFERROR(__xludf.DUMMYFUNCTION("""COMPUTED_VALUE"""),"đủ")</f>
        <v>đủ</v>
      </c>
    </row>
    <row r="627" spans="1:14">
      <c r="A627" s="45">
        <f ca="1">IFERROR(__xludf.DUMMYFUNCTION("""COMPUTED_VALUE"""),45498.5833333333)</f>
        <v>45498.583333333299</v>
      </c>
      <c r="B627" s="45">
        <f ca="1">IFERROR(__xludf.DUMMYFUNCTION("""COMPUTED_VALUE"""),45505.5833333333)</f>
        <v>45505.583333333299</v>
      </c>
      <c r="C627" s="46">
        <f ca="1">IFERROR(__xludf.DUMMYFUNCTION("""COMPUTED_VALUE"""),628)</f>
        <v>628</v>
      </c>
      <c r="D627" s="47" t="str">
        <f ca="1">IFERROR(__xludf.DUMMYFUNCTION("""COMPUTED_VALUE"""),"C0392")</f>
        <v>C0392</v>
      </c>
      <c r="E627" s="46" t="str">
        <f ca="1">IFERROR(__xludf.DUMMYFUNCTION("""COMPUTED_VALUE"""),"VÕ PHAN NHƯ QUỲNH")</f>
        <v>VÕ PHAN NHƯ QUỲNH</v>
      </c>
      <c r="F627" s="46" t="str">
        <f ca="1">IFERROR(__xludf.DUMMYFUNCTION("""COMPUTED_VALUE"""),"VO PHAN NHU QUYNH")</f>
        <v>VO PHAN NHU QUYNH</v>
      </c>
      <c r="G627" s="45">
        <f ca="1">IFERROR(__xludf.DUMMYFUNCTION("""COMPUTED_VALUE"""),36305.5833333333)</f>
        <v>36305.583333333299</v>
      </c>
      <c r="H627" s="45" t="str">
        <f ca="1">IFERROR(__xludf.DUMMYFUNCTION("""COMPUTED_VALUE"""),"BAKES")</f>
        <v>BAKES</v>
      </c>
      <c r="I627" s="46" t="str">
        <f ca="1">IFERROR(__xludf.DUMMYFUNCTION("""COMPUTED_VALUE"""),"STORE")</f>
        <v>STORE</v>
      </c>
      <c r="J627" s="46" t="str">
        <f ca="1">IFERROR(__xludf.DUMMYFUNCTION("""COMPUTED_VALUE"""),"BAKES D9")</f>
        <v>BAKES D9</v>
      </c>
      <c r="K627" s="46" t="str">
        <f ca="1">IFERROR(__xludf.DUMMYFUNCTION("""COMPUTED_VALUE"""),"STR")</f>
        <v>STR</v>
      </c>
      <c r="L627" s="46" t="str">
        <f ca="1">IFERROR(__xludf.DUMMYFUNCTION("""COMPUTED_VALUE"""),"PRO")</f>
        <v>PRO</v>
      </c>
      <c r="M627" s="46" t="str">
        <f ca="1">IFERROR(__xludf.DUMMYFUNCTION("""COMPUTED_VALUE"""),"Leave")</f>
        <v>Leave</v>
      </c>
      <c r="N627" s="46" t="str">
        <f ca="1">IFERROR(__xludf.DUMMYFUNCTION("""COMPUTED_VALUE"""),"x")</f>
        <v>x</v>
      </c>
    </row>
    <row r="628" spans="1:14">
      <c r="A628" s="45">
        <f ca="1">IFERROR(__xludf.DUMMYFUNCTION("""COMPUTED_VALUE"""),45552.5833333333)</f>
        <v>45552.583333333299</v>
      </c>
      <c r="B628" s="45"/>
      <c r="C628" s="46">
        <f ca="1">IFERROR(__xludf.DUMMYFUNCTION("""COMPUTED_VALUE"""),629)</f>
        <v>629</v>
      </c>
      <c r="D628" s="47" t="str">
        <f ca="1">IFERROR(__xludf.DUMMYFUNCTION("""COMPUTED_VALUE"""),"C0393")</f>
        <v>C0393</v>
      </c>
      <c r="E628" s="46" t="str">
        <f ca="1">IFERROR(__xludf.DUMMYFUNCTION("""COMPUTED_VALUE"""),"NGUYỄN NGỌC HƯƠNG QUỲNH")</f>
        <v>NGUYỄN NGỌC HƯƠNG QUỲNH</v>
      </c>
      <c r="F628" s="46" t="str">
        <f ca="1">IFERROR(__xludf.DUMMYFUNCTION("""COMPUTED_VALUE"""),"NGUYEN NGOC HUONG QUYNH")</f>
        <v>NGUYEN NGOC HUONG QUYNH</v>
      </c>
      <c r="G628" s="45">
        <f ca="1">IFERROR(__xludf.DUMMYFUNCTION("""COMPUTED_VALUE"""),37416.5833333333)</f>
        <v>37416.583333333299</v>
      </c>
      <c r="H628" s="45" t="str">
        <f ca="1">IFERROR(__xludf.DUMMYFUNCTION("""COMPUTED_VALUE"""),"YESHI")</f>
        <v>YESHI</v>
      </c>
      <c r="I628" s="46" t="str">
        <f ca="1">IFERROR(__xludf.DUMMYFUNCTION("""COMPUTED_VALUE"""),"STORE")</f>
        <v>STORE</v>
      </c>
      <c r="J628" s="46" t="str">
        <f ca="1">IFERROR(__xludf.DUMMYFUNCTION("""COMPUTED_VALUE"""),"YESHI D3")</f>
        <v>YESHI D3</v>
      </c>
      <c r="K628" s="46" t="str">
        <f ca="1">IFERROR(__xludf.DUMMYFUNCTION("""COMPUTED_VALUE"""),"KIT")</f>
        <v>KIT</v>
      </c>
      <c r="L628" s="46" t="str">
        <f ca="1">IFERROR(__xludf.DUMMYFUNCTION("""COMPUTED_VALUE"""),"FTE")</f>
        <v>FTE</v>
      </c>
      <c r="M628" s="46" t="str">
        <f ca="1">IFERROR(__xludf.DUMMYFUNCTION("""COMPUTED_VALUE"""),"On")</f>
        <v>On</v>
      </c>
      <c r="N628" s="46" t="str">
        <f ca="1">IFERROR(__xludf.DUMMYFUNCTION("""COMPUTED_VALUE"""),"đủ")</f>
        <v>đủ</v>
      </c>
    </row>
    <row r="629" spans="1:14">
      <c r="A629" s="45">
        <f ca="1">IFERROR(__xludf.DUMMYFUNCTION("""COMPUTED_VALUE"""),45502.5833333333)</f>
        <v>45502.583333333299</v>
      </c>
      <c r="B629" s="45">
        <f ca="1">IFERROR(__xludf.DUMMYFUNCTION("""COMPUTED_VALUE"""),45551.5833333333)</f>
        <v>45551.583333333299</v>
      </c>
      <c r="C629" s="46">
        <f ca="1">IFERROR(__xludf.DUMMYFUNCTION("""COMPUTED_VALUE"""),630)</f>
        <v>630</v>
      </c>
      <c r="D629" s="47" t="str">
        <f ca="1">IFERROR(__xludf.DUMMYFUNCTION("""COMPUTED_VALUE"""),"C0394")</f>
        <v>C0394</v>
      </c>
      <c r="E629" s="46" t="str">
        <f ca="1">IFERROR(__xludf.DUMMYFUNCTION("""COMPUTED_VALUE"""),"LÊ KHÁNH NGÂN")</f>
        <v>LÊ KHÁNH NGÂN</v>
      </c>
      <c r="F629" s="46" t="str">
        <f ca="1">IFERROR(__xludf.DUMMYFUNCTION("""COMPUTED_VALUE"""),"LE KHANH NGAN")</f>
        <v>LE KHANH NGAN</v>
      </c>
      <c r="G629" s="45">
        <f ca="1">IFERROR(__xludf.DUMMYFUNCTION("""COMPUTED_VALUE"""),36597.625)</f>
        <v>36597.625</v>
      </c>
      <c r="H629" s="45" t="str">
        <f ca="1">IFERROR(__xludf.DUMMYFUNCTION("""COMPUTED_VALUE"""),"MOONCAKE")</f>
        <v>MOONCAKE</v>
      </c>
      <c r="I629" s="46" t="str">
        <f ca="1">IFERROR(__xludf.DUMMYFUNCTION("""COMPUTED_VALUE"""),"KITCHEN PASTRY")</f>
        <v>KITCHEN PASTRY</v>
      </c>
      <c r="J629" s="46" t="str">
        <f ca="1">IFERROR(__xludf.DUMMYFUNCTION("""COMPUTED_VALUE"""),"KITCHEN PASTRY")</f>
        <v>KITCHEN PASTRY</v>
      </c>
      <c r="K629" s="46" t="str">
        <f ca="1">IFERROR(__xludf.DUMMYFUNCTION("""COMPUTED_VALUE"""),"PASTRY")</f>
        <v>PASTRY</v>
      </c>
      <c r="L629" s="46" t="str">
        <f ca="1">IFERROR(__xludf.DUMMYFUNCTION("""COMPUTED_VALUE"""),"PTE")</f>
        <v>PTE</v>
      </c>
      <c r="M629" s="46" t="str">
        <f ca="1">IFERROR(__xludf.DUMMYFUNCTION("""COMPUTED_VALUE"""),"Leave")</f>
        <v>Leave</v>
      </c>
      <c r="N629" s="46" t="str">
        <f ca="1">IFERROR(__xludf.DUMMYFUNCTION("""COMPUTED_VALUE"""),"x")</f>
        <v>x</v>
      </c>
    </row>
    <row r="630" spans="1:14">
      <c r="A630" s="45">
        <f ca="1">IFERROR(__xludf.DUMMYFUNCTION("""COMPUTED_VALUE"""),45623.625)</f>
        <v>45623.625</v>
      </c>
      <c r="B630" s="45">
        <f ca="1">IFERROR(__xludf.DUMMYFUNCTION("""COMPUTED_VALUE"""),45639.625)</f>
        <v>45639.625</v>
      </c>
      <c r="C630" s="46">
        <f ca="1">IFERROR(__xludf.DUMMYFUNCTION("""COMPUTED_VALUE"""),631)</f>
        <v>631</v>
      </c>
      <c r="D630" s="47" t="str">
        <f ca="1">IFERROR(__xludf.DUMMYFUNCTION("""COMPUTED_VALUE"""),"C0395")</f>
        <v>C0395</v>
      </c>
      <c r="E630" s="46" t="str">
        <f ca="1">IFERROR(__xludf.DUMMYFUNCTION("""COMPUTED_VALUE"""),"NGUYỄN THỊ THÚY AN")</f>
        <v>NGUYỄN THỊ THÚY AN</v>
      </c>
      <c r="F630" s="46" t="str">
        <f ca="1">IFERROR(__xludf.DUMMYFUNCTION("""COMPUTED_VALUE"""),"NGUYEN THI THUY AN")</f>
        <v>NGUYEN THI THUY AN</v>
      </c>
      <c r="G630" s="45">
        <f ca="1">IFERROR(__xludf.DUMMYFUNCTION("""COMPUTED_VALUE"""),33228.625)</f>
        <v>33228.625</v>
      </c>
      <c r="H630" s="45" t="str">
        <f ca="1">IFERROR(__xludf.DUMMYFUNCTION("""COMPUTED_VALUE"""),"KITCHEN PASTRY")</f>
        <v>KITCHEN PASTRY</v>
      </c>
      <c r="I630" s="46" t="str">
        <f ca="1">IFERROR(__xludf.DUMMYFUNCTION("""COMPUTED_VALUE"""),"KITCHEN PASTRY")</f>
        <v>KITCHEN PASTRY</v>
      </c>
      <c r="J630" s="46" t="str">
        <f ca="1">IFERROR(__xludf.DUMMYFUNCTION("""COMPUTED_VALUE"""),"KITCHEN PASTRY")</f>
        <v>KITCHEN PASTRY</v>
      </c>
      <c r="K630" s="46" t="str">
        <f ca="1">IFERROR(__xludf.DUMMYFUNCTION("""COMPUTED_VALUE"""),"BAKER")</f>
        <v>BAKER</v>
      </c>
      <c r="L630" s="46" t="str">
        <f ca="1">IFERROR(__xludf.DUMMYFUNCTION("""COMPUTED_VALUE"""),"PTE")</f>
        <v>PTE</v>
      </c>
      <c r="M630" s="46" t="str">
        <f ca="1">IFERROR(__xludf.DUMMYFUNCTION("""COMPUTED_VALUE"""),"Leave")</f>
        <v>Leave</v>
      </c>
      <c r="N630" s="46" t="str">
        <f ca="1">IFERROR(__xludf.DUMMYFUNCTION("""COMPUTED_VALUE"""),"đủ")</f>
        <v>đủ</v>
      </c>
    </row>
    <row r="631" spans="1:14">
      <c r="A631" s="45">
        <f ca="1">IFERROR(__xludf.DUMMYFUNCTION("""COMPUTED_VALUE"""),45502.5833333333)</f>
        <v>45502.583333333299</v>
      </c>
      <c r="B631" s="45">
        <f ca="1">IFERROR(__xludf.DUMMYFUNCTION("""COMPUTED_VALUE"""),45551.5833333333)</f>
        <v>45551.583333333299</v>
      </c>
      <c r="C631" s="46">
        <f ca="1">IFERROR(__xludf.DUMMYFUNCTION("""COMPUTED_VALUE"""),632)</f>
        <v>632</v>
      </c>
      <c r="D631" s="47" t="str">
        <f ca="1">IFERROR(__xludf.DUMMYFUNCTION("""COMPUTED_VALUE"""),"C0397")</f>
        <v>C0397</v>
      </c>
      <c r="E631" s="46" t="str">
        <f ca="1">IFERROR(__xludf.DUMMYFUNCTION("""COMPUTED_VALUE"""),"NGUYỄN HOÀNG ÁI NHƯ")</f>
        <v>NGUYỄN HOÀNG ÁI NHƯ</v>
      </c>
      <c r="F631" s="46" t="str">
        <f ca="1">IFERROR(__xludf.DUMMYFUNCTION("""COMPUTED_VALUE"""),"NGUYEN HOANG AI NHU")</f>
        <v>NGUYEN HOANG AI NHU</v>
      </c>
      <c r="G631" s="45">
        <f ca="1">IFERROR(__xludf.DUMMYFUNCTION("""COMPUTED_VALUE"""),35743.625)</f>
        <v>35743.625</v>
      </c>
      <c r="H631" s="45" t="str">
        <f ca="1">IFERROR(__xludf.DUMMYFUNCTION("""COMPUTED_VALUE"""),"MOONCAKE")</f>
        <v>MOONCAKE</v>
      </c>
      <c r="I631" s="46" t="str">
        <f ca="1">IFERROR(__xludf.DUMMYFUNCTION("""COMPUTED_VALUE"""),"KITCHEN PASTRY")</f>
        <v>KITCHEN PASTRY</v>
      </c>
      <c r="J631" s="46" t="str">
        <f ca="1">IFERROR(__xludf.DUMMYFUNCTION("""COMPUTED_VALUE"""),"KITCHEN PASTRY")</f>
        <v>KITCHEN PASTRY</v>
      </c>
      <c r="K631" s="46" t="str">
        <f ca="1">IFERROR(__xludf.DUMMYFUNCTION("""COMPUTED_VALUE"""),"PASTRY")</f>
        <v>PASTRY</v>
      </c>
      <c r="L631" s="46" t="str">
        <f ca="1">IFERROR(__xludf.DUMMYFUNCTION("""COMPUTED_VALUE"""),"PTE")</f>
        <v>PTE</v>
      </c>
      <c r="M631" s="46" t="str">
        <f ca="1">IFERROR(__xludf.DUMMYFUNCTION("""COMPUTED_VALUE"""),"Leave")</f>
        <v>Leave</v>
      </c>
      <c r="N631" s="46" t="str">
        <f ca="1">IFERROR(__xludf.DUMMYFUNCTION("""COMPUTED_VALUE"""),"x")</f>
        <v>x</v>
      </c>
    </row>
    <row r="632" spans="1:14">
      <c r="A632" s="45">
        <f ca="1">IFERROR(__xludf.DUMMYFUNCTION("""COMPUTED_VALUE"""),45647.625)</f>
        <v>45647.625</v>
      </c>
      <c r="B632" s="45">
        <f ca="1">IFERROR(__xludf.DUMMYFUNCTION("""COMPUTED_VALUE"""),45651.625)</f>
        <v>45651.625</v>
      </c>
      <c r="C632" s="46">
        <f ca="1">IFERROR(__xludf.DUMMYFUNCTION("""COMPUTED_VALUE"""),633)</f>
        <v>633</v>
      </c>
      <c r="D632" s="47" t="str">
        <f ca="1">IFERROR(__xludf.DUMMYFUNCTION("""COMPUTED_VALUE"""),"C0398")</f>
        <v>C0398</v>
      </c>
      <c r="E632" s="46" t="str">
        <f ca="1">IFERROR(__xludf.DUMMYFUNCTION("""COMPUTED_VALUE"""),"NGUYỄN THÁI NGỌC HUYỀN")</f>
        <v>NGUYỄN THÁI NGỌC HUYỀN</v>
      </c>
      <c r="F632" s="46" t="str">
        <f ca="1">IFERROR(__xludf.DUMMYFUNCTION("""COMPUTED_VALUE"""),"NGUYEN THAI NGOC HUYEN")</f>
        <v>NGUYEN THAI NGOC HUYEN</v>
      </c>
      <c r="G632" s="45">
        <f ca="1">IFERROR(__xludf.DUMMYFUNCTION("""COMPUTED_VALUE"""),37241.625)</f>
        <v>37241.625</v>
      </c>
      <c r="H632" s="45" t="str">
        <f ca="1">IFERROR(__xludf.DUMMYFUNCTION("""COMPUTED_VALUE"""),"XMAS")</f>
        <v>XMAS</v>
      </c>
      <c r="I632" s="46" t="str">
        <f ca="1">IFERROR(__xludf.DUMMYFUNCTION("""COMPUTED_VALUE"""),"KITCHEN PASTRY")</f>
        <v>KITCHEN PASTRY</v>
      </c>
      <c r="J632" s="46" t="str">
        <f ca="1">IFERROR(__xludf.DUMMYFUNCTION("""COMPUTED_VALUE"""),"KITCHEN PASTRY")</f>
        <v>KITCHEN PASTRY</v>
      </c>
      <c r="K632" s="46" t="str">
        <f ca="1">IFERROR(__xludf.DUMMYFUNCTION("""COMPUTED_VALUE"""),"KIT")</f>
        <v>KIT</v>
      </c>
      <c r="L632" s="46" t="str">
        <f ca="1">IFERROR(__xludf.DUMMYFUNCTION("""COMPUTED_VALUE"""),"PTE")</f>
        <v>PTE</v>
      </c>
      <c r="M632" s="46" t="str">
        <f ca="1">IFERROR(__xludf.DUMMYFUNCTION("""COMPUTED_VALUE"""),"Leave")</f>
        <v>Leave</v>
      </c>
      <c r="N632" s="46" t="str">
        <f ca="1">IFERROR(__xludf.DUMMYFUNCTION("""COMPUTED_VALUE"""),"đủ")</f>
        <v>đủ</v>
      </c>
    </row>
    <row r="633" spans="1:14">
      <c r="A633" s="45">
        <f ca="1">IFERROR(__xludf.DUMMYFUNCTION("""COMPUTED_VALUE"""),45644.625)</f>
        <v>45644.625</v>
      </c>
      <c r="B633" s="45">
        <f ca="1">IFERROR(__xludf.DUMMYFUNCTION("""COMPUTED_VALUE"""),45667.625)</f>
        <v>45667.625</v>
      </c>
      <c r="C633" s="46">
        <f ca="1">IFERROR(__xludf.DUMMYFUNCTION("""COMPUTED_VALUE"""),634)</f>
        <v>634</v>
      </c>
      <c r="D633" s="47" t="str">
        <f ca="1">IFERROR(__xludf.DUMMYFUNCTION("""COMPUTED_VALUE"""),"C0399")</f>
        <v>C0399</v>
      </c>
      <c r="E633" s="46" t="str">
        <f ca="1">IFERROR(__xludf.DUMMYFUNCTION("""COMPUTED_VALUE"""),"NGUYỄN HOÀNG NGỌC MAI")</f>
        <v>NGUYỄN HOÀNG NGỌC MAI</v>
      </c>
      <c r="F633" s="46" t="str">
        <f ca="1">IFERROR(__xludf.DUMMYFUNCTION("""COMPUTED_VALUE"""),"NGUYEN HOANG NGOC MAI")</f>
        <v>NGUYEN HOANG NGOC MAI</v>
      </c>
      <c r="G633" s="45">
        <f ca="1">IFERROR(__xludf.DUMMYFUNCTION("""COMPUTED_VALUE"""),37586.625)</f>
        <v>37586.625</v>
      </c>
      <c r="H633" s="45" t="str">
        <f ca="1">IFERROR(__xludf.DUMMYFUNCTION("""COMPUTED_VALUE"""),"XMAS")</f>
        <v>XMAS</v>
      </c>
      <c r="I633" s="46" t="str">
        <f ca="1">IFERROR(__xludf.DUMMYFUNCTION("""COMPUTED_VALUE"""),"KITCHEN PASTRY")</f>
        <v>KITCHEN PASTRY</v>
      </c>
      <c r="J633" s="46" t="str">
        <f ca="1">IFERROR(__xludf.DUMMYFUNCTION("""COMPUTED_VALUE"""),"KITCHEN PASTRY")</f>
        <v>KITCHEN PASTRY</v>
      </c>
      <c r="K633" s="46" t="str">
        <f ca="1">IFERROR(__xludf.DUMMYFUNCTION("""COMPUTED_VALUE"""),"KIT")</f>
        <v>KIT</v>
      </c>
      <c r="L633" s="46" t="str">
        <f ca="1">IFERROR(__xludf.DUMMYFUNCTION("""COMPUTED_VALUE"""),"PTE")</f>
        <v>PTE</v>
      </c>
      <c r="M633" s="46" t="str">
        <f ca="1">IFERROR(__xludf.DUMMYFUNCTION("""COMPUTED_VALUE"""),"Leave")</f>
        <v>Leave</v>
      </c>
      <c r="N633" s="46" t="str">
        <f ca="1">IFERROR(__xludf.DUMMYFUNCTION("""COMPUTED_VALUE"""),"đủ")</f>
        <v>đủ</v>
      </c>
    </row>
    <row r="634" spans="1:14">
      <c r="A634" s="45">
        <f ca="1">IFERROR(__xludf.DUMMYFUNCTION("""COMPUTED_VALUE"""),45572.5833333333)</f>
        <v>45572.583333333299</v>
      </c>
      <c r="B634" s="45">
        <f ca="1">IFERROR(__xludf.DUMMYFUNCTION("""COMPUTED_VALUE"""),45750.5833333333)</f>
        <v>45750.583333333299</v>
      </c>
      <c r="C634" s="46">
        <f ca="1">IFERROR(__xludf.DUMMYFUNCTION("""COMPUTED_VALUE"""),635)</f>
        <v>635</v>
      </c>
      <c r="D634" s="47" t="str">
        <f ca="1">IFERROR(__xludf.DUMMYFUNCTION("""COMPUTED_VALUE"""),"C0400")</f>
        <v>C0400</v>
      </c>
      <c r="E634" s="46" t="str">
        <f ca="1">IFERROR(__xludf.DUMMYFUNCTION("""COMPUTED_VALUE"""),"PHẠM PHI HÙNG")</f>
        <v>PHẠM PHI HÙNG</v>
      </c>
      <c r="F634" s="46" t="str">
        <f ca="1">IFERROR(__xludf.DUMMYFUNCTION("""COMPUTED_VALUE"""),"PHAM PHI HUNG")</f>
        <v>PHAM PHI HUNG</v>
      </c>
      <c r="G634" s="45">
        <f ca="1">IFERROR(__xludf.DUMMYFUNCTION("""COMPUTED_VALUE"""),33236.625)</f>
        <v>33236.625</v>
      </c>
      <c r="H634" s="45" t="str">
        <f ca="1">IFERROR(__xludf.DUMMYFUNCTION("""COMPUTED_VALUE"""),"KITCHEN PASTRY")</f>
        <v>KITCHEN PASTRY</v>
      </c>
      <c r="I634" s="46" t="str">
        <f ca="1">IFERROR(__xludf.DUMMYFUNCTION("""COMPUTED_VALUE"""),"KITCHEN PASTRY")</f>
        <v>KITCHEN PASTRY</v>
      </c>
      <c r="J634" s="46" t="str">
        <f ca="1">IFERROR(__xludf.DUMMYFUNCTION("""COMPUTED_VALUE"""),"KITCHEN PASTRY")</f>
        <v>KITCHEN PASTRY</v>
      </c>
      <c r="K634" s="46" t="str">
        <f ca="1">IFERROR(__xludf.DUMMYFUNCTION("""COMPUTED_VALUE"""),"PASTRY")</f>
        <v>PASTRY</v>
      </c>
      <c r="L634" s="46" t="str">
        <f ca="1">IFERROR(__xludf.DUMMYFUNCTION("""COMPUTED_VALUE"""),"PTE")</f>
        <v>PTE</v>
      </c>
      <c r="M634" s="46" t="str">
        <f ca="1">IFERROR(__xludf.DUMMYFUNCTION("""COMPUTED_VALUE"""),"Leave")</f>
        <v>Leave</v>
      </c>
      <c r="N634" s="46" t="str">
        <f ca="1">IFERROR(__xludf.DUMMYFUNCTION("""COMPUTED_VALUE"""),"đủ")</f>
        <v>đủ</v>
      </c>
    </row>
    <row r="635" spans="1:14">
      <c r="A635" s="45">
        <f ca="1">IFERROR(__xludf.DUMMYFUNCTION("""COMPUTED_VALUE"""),45636.625)</f>
        <v>45636.625</v>
      </c>
      <c r="B635" s="45"/>
      <c r="C635" s="46">
        <f ca="1">IFERROR(__xludf.DUMMYFUNCTION("""COMPUTED_VALUE"""),636)</f>
        <v>636</v>
      </c>
      <c r="D635" s="47" t="str">
        <f ca="1">IFERROR(__xludf.DUMMYFUNCTION("""COMPUTED_VALUE"""),"C0401")</f>
        <v>C0401</v>
      </c>
      <c r="E635" s="46" t="str">
        <f ca="1">IFERROR(__xludf.DUMMYFUNCTION("""COMPUTED_VALUE"""),"VŨ THỊ KIM NGUYÊN")</f>
        <v>VŨ THỊ KIM NGUYÊN</v>
      </c>
      <c r="F635" s="46" t="str">
        <f ca="1">IFERROR(__xludf.DUMMYFUNCTION("""COMPUTED_VALUE"""),"VU THI KIM NGUYEN")</f>
        <v>VU THI KIM NGUYEN</v>
      </c>
      <c r="G635" s="45">
        <f ca="1">IFERROR(__xludf.DUMMYFUNCTION("""COMPUTED_VALUE"""),37845.5833333333)</f>
        <v>37845.583333333299</v>
      </c>
      <c r="H635" s="45" t="str">
        <f ca="1">IFERROR(__xludf.DUMMYFUNCTION("""COMPUTED_VALUE"""),"YESHI")</f>
        <v>YESHI</v>
      </c>
      <c r="I635" s="46" t="str">
        <f ca="1">IFERROR(__xludf.DUMMYFUNCTION("""COMPUTED_VALUE"""),"STORE")</f>
        <v>STORE</v>
      </c>
      <c r="J635" s="46" t="str">
        <f ca="1">IFERROR(__xludf.DUMMYFUNCTION("""COMPUTED_VALUE"""),"YESHI D2")</f>
        <v>YESHI D2</v>
      </c>
      <c r="K635" s="46" t="str">
        <f ca="1">IFERROR(__xludf.DUMMYFUNCTION("""COMPUTED_VALUE"""),"WAITSTAFF")</f>
        <v>WAITSTAFF</v>
      </c>
      <c r="L635" s="46" t="str">
        <f ca="1">IFERROR(__xludf.DUMMYFUNCTION("""COMPUTED_VALUE"""),"FTE")</f>
        <v>FTE</v>
      </c>
      <c r="M635" s="46" t="str">
        <f ca="1">IFERROR(__xludf.DUMMYFUNCTION("""COMPUTED_VALUE"""),"On")</f>
        <v>On</v>
      </c>
      <c r="N635" s="46" t="str">
        <f ca="1">IFERROR(__xludf.DUMMYFUNCTION("""COMPUTED_VALUE"""),"đủ")</f>
        <v>đủ</v>
      </c>
    </row>
    <row r="636" spans="1:14">
      <c r="A636" s="45">
        <f ca="1">IFERROR(__xludf.DUMMYFUNCTION("""COMPUTED_VALUE"""),45498.5833333333)</f>
        <v>45498.583333333299</v>
      </c>
      <c r="B636" s="45"/>
      <c r="C636" s="46">
        <f ca="1">IFERROR(__xludf.DUMMYFUNCTION("""COMPUTED_VALUE"""),637)</f>
        <v>637</v>
      </c>
      <c r="D636" s="47" t="str">
        <f ca="1">IFERROR(__xludf.DUMMYFUNCTION("""COMPUTED_VALUE"""),"C0402")</f>
        <v>C0402</v>
      </c>
      <c r="E636" s="46" t="str">
        <f ca="1">IFERROR(__xludf.DUMMYFUNCTION("""COMPUTED_VALUE"""),"TRẦN TRUNG")</f>
        <v>TRẦN TRUNG</v>
      </c>
      <c r="F636" s="46" t="str">
        <f ca="1">IFERROR(__xludf.DUMMYFUNCTION("""COMPUTED_VALUE"""),"TRAN TRUNG")</f>
        <v>TRAN TRUNG</v>
      </c>
      <c r="G636" s="45">
        <f ca="1">IFERROR(__xludf.DUMMYFUNCTION("""COMPUTED_VALUE"""),36753.5833333333)</f>
        <v>36753.583333333299</v>
      </c>
      <c r="H636" s="45" t="str">
        <f ca="1">IFERROR(__xludf.DUMMYFUNCTION("""COMPUTED_VALUE"""),"BAKES")</f>
        <v>BAKES</v>
      </c>
      <c r="I636" s="46" t="str">
        <f ca="1">IFERROR(__xludf.DUMMYFUNCTION("""COMPUTED_VALUE"""),"HO")</f>
        <v>HO</v>
      </c>
      <c r="J636" s="46" t="str">
        <f ca="1">IFERROR(__xludf.DUMMYFUNCTION("""COMPUTED_VALUE"""),"PRO")</f>
        <v>PRO</v>
      </c>
      <c r="K636" s="46" t="str">
        <f ca="1">IFERROR(__xludf.DUMMYFUNCTION("""COMPUTED_VALUE"""),"PRO")</f>
        <v>PRO</v>
      </c>
      <c r="L636" s="46" t="str">
        <f ca="1">IFERROR(__xludf.DUMMYFUNCTION("""COMPUTED_VALUE"""),"FTE")</f>
        <v>FTE</v>
      </c>
      <c r="M636" s="46" t="str">
        <f ca="1">IFERROR(__xludf.DUMMYFUNCTION("""COMPUTED_VALUE"""),"On")</f>
        <v>On</v>
      </c>
      <c r="N636" s="46" t="str">
        <f ca="1">IFERROR(__xludf.DUMMYFUNCTION("""COMPUTED_VALUE"""),"đủ")</f>
        <v>đủ</v>
      </c>
    </row>
    <row r="637" spans="1:14">
      <c r="A637" s="45">
        <f ca="1">IFERROR(__xludf.DUMMYFUNCTION("""COMPUTED_VALUE"""),45502.5833333333)</f>
        <v>45502.583333333299</v>
      </c>
      <c r="B637" s="45">
        <f ca="1">IFERROR(__xludf.DUMMYFUNCTION("""COMPUTED_VALUE"""),45509.5833333333)</f>
        <v>45509.583333333299</v>
      </c>
      <c r="C637" s="46">
        <f ca="1">IFERROR(__xludf.DUMMYFUNCTION("""COMPUTED_VALUE"""),638)</f>
        <v>638</v>
      </c>
      <c r="D637" s="47" t="str">
        <f ca="1">IFERROR(__xludf.DUMMYFUNCTION("""COMPUTED_VALUE"""),"C0403")</f>
        <v>C0403</v>
      </c>
      <c r="E637" s="46" t="str">
        <f ca="1">IFERROR(__xludf.DUMMYFUNCTION("""COMPUTED_VALUE"""),"NGUYỄN HUỲNH MINH QUANG")</f>
        <v>NGUYỄN HUỲNH MINH QUANG</v>
      </c>
      <c r="F637" s="46" t="str">
        <f ca="1">IFERROR(__xludf.DUMMYFUNCTION("""COMPUTED_VALUE"""),"NGUYEN HUYNH MINH QUANG")</f>
        <v>NGUYEN HUYNH MINH QUANG</v>
      </c>
      <c r="G637" s="45">
        <f ca="1">IFERROR(__xludf.DUMMYFUNCTION("""COMPUTED_VALUE"""),37444.5833333333)</f>
        <v>37444.583333333299</v>
      </c>
      <c r="H637" s="45" t="str">
        <f ca="1">IFERROR(__xludf.DUMMYFUNCTION("""COMPUTED_VALUE"""),"TLC")</f>
        <v>TLC</v>
      </c>
      <c r="I637" s="46" t="str">
        <f ca="1">IFERROR(__xludf.DUMMYFUNCTION("""COMPUTED_VALUE"""),"STORE")</f>
        <v>STORE</v>
      </c>
      <c r="J637" s="46" t="str">
        <f ca="1">IFERROR(__xludf.DUMMYFUNCTION("""COMPUTED_VALUE"""),"BLANK LOUNGE")</f>
        <v>BLANK LOUNGE</v>
      </c>
      <c r="K637" s="46" t="str">
        <f ca="1">IFERROR(__xludf.DUMMYFUNCTION("""COMPUTED_VALUE"""),"WAITSTAFF")</f>
        <v>WAITSTAFF</v>
      </c>
      <c r="L637" s="46" t="str">
        <f ca="1">IFERROR(__xludf.DUMMYFUNCTION("""COMPUTED_VALUE"""),"PTE")</f>
        <v>PTE</v>
      </c>
      <c r="M637" s="46" t="str">
        <f ca="1">IFERROR(__xludf.DUMMYFUNCTION("""COMPUTED_VALUE"""),"Leave")</f>
        <v>Leave</v>
      </c>
      <c r="N637" s="46" t="str">
        <f ca="1">IFERROR(__xludf.DUMMYFUNCTION("""COMPUTED_VALUE"""),"x")</f>
        <v>x</v>
      </c>
    </row>
    <row r="638" spans="1:14">
      <c r="A638" s="45">
        <f ca="1">IFERROR(__xludf.DUMMYFUNCTION("""COMPUTED_VALUE"""),45866.5833333333)</f>
        <v>45866.583333333299</v>
      </c>
      <c r="B638" s="45">
        <f ca="1">IFERROR(__xludf.DUMMYFUNCTION("""COMPUTED_VALUE"""),45871.5833333333)</f>
        <v>45871.583333333299</v>
      </c>
      <c r="C638" s="46">
        <f ca="1">IFERROR(__xludf.DUMMYFUNCTION("""COMPUTED_VALUE"""),639)</f>
        <v>639</v>
      </c>
      <c r="D638" s="47" t="str">
        <f ca="1">IFERROR(__xludf.DUMMYFUNCTION("""COMPUTED_VALUE"""),"C0404")</f>
        <v>C0404</v>
      </c>
      <c r="E638" s="46" t="str">
        <f ca="1">IFERROR(__xludf.DUMMYFUNCTION("""COMPUTED_VALUE"""),"NGUYỄN THỤC ANH")</f>
        <v>NGUYỄN THỤC ANH</v>
      </c>
      <c r="F638" s="46" t="str">
        <f ca="1">IFERROR(__xludf.DUMMYFUNCTION("""COMPUTED_VALUE"""),"NGUYEN THUC ANH")</f>
        <v>NGUYEN THUC ANH</v>
      </c>
      <c r="G638" s="45">
        <f ca="1">IFERROR(__xludf.DUMMYFUNCTION("""COMPUTED_VALUE"""),37400.5833333333)</f>
        <v>37400.583333333299</v>
      </c>
      <c r="H638" s="45" t="str">
        <f ca="1">IFERROR(__xludf.DUMMYFUNCTION("""COMPUTED_VALUE"""),"MOONCAKE")</f>
        <v>MOONCAKE</v>
      </c>
      <c r="I638" s="46" t="str">
        <f ca="1">IFERROR(__xludf.DUMMYFUNCTION("""COMPUTED_VALUE"""),"KITCHEN PASTRY")</f>
        <v>KITCHEN PASTRY</v>
      </c>
      <c r="J638" s="46" t="str">
        <f ca="1">IFERROR(__xludf.DUMMYFUNCTION("""COMPUTED_VALUE"""),"KITCHEN PASTRY")</f>
        <v>KITCHEN PASTRY</v>
      </c>
      <c r="K638" s="46" t="str">
        <f ca="1">IFERROR(__xludf.DUMMYFUNCTION("""COMPUTED_VALUE"""),"PACKAGING")</f>
        <v>PACKAGING</v>
      </c>
      <c r="L638" s="46" t="str">
        <f ca="1">IFERROR(__xludf.DUMMYFUNCTION("""COMPUTED_VALUE"""),"PTE")</f>
        <v>PTE</v>
      </c>
      <c r="M638" s="46" t="str">
        <f ca="1">IFERROR(__xludf.DUMMYFUNCTION("""COMPUTED_VALUE"""),"Leave")</f>
        <v>Leave</v>
      </c>
      <c r="N638" s="46" t="str">
        <f ca="1">IFERROR(__xludf.DUMMYFUNCTION("""COMPUTED_VALUE"""),"đủ")</f>
        <v>đủ</v>
      </c>
    </row>
    <row r="639" spans="1:14">
      <c r="A639" s="45">
        <f ca="1">IFERROR(__xludf.DUMMYFUNCTION("""COMPUTED_VALUE"""),45502.5833333333)</f>
        <v>45502.583333333299</v>
      </c>
      <c r="B639" s="45">
        <f ca="1">IFERROR(__xludf.DUMMYFUNCTION("""COMPUTED_VALUE"""),45551.5833333333)</f>
        <v>45551.583333333299</v>
      </c>
      <c r="C639" s="46">
        <f ca="1">IFERROR(__xludf.DUMMYFUNCTION("""COMPUTED_VALUE"""),640)</f>
        <v>640</v>
      </c>
      <c r="D639" s="47" t="str">
        <f ca="1">IFERROR(__xludf.DUMMYFUNCTION("""COMPUTED_VALUE"""),"C0405")</f>
        <v>C0405</v>
      </c>
      <c r="E639" s="46" t="str">
        <f ca="1">IFERROR(__xludf.DUMMYFUNCTION("""COMPUTED_VALUE"""),"NGUYỄN THỊ THANH TRANG")</f>
        <v>NGUYỄN THỊ THANH TRANG</v>
      </c>
      <c r="F639" s="46" t="str">
        <f ca="1">IFERROR(__xludf.DUMMYFUNCTION("""COMPUTED_VALUE"""),"NGUYEN THI THANH TRANG")</f>
        <v>NGUYEN THI THANH TRANG</v>
      </c>
      <c r="G639" s="45">
        <f ca="1">IFERROR(__xludf.DUMMYFUNCTION("""COMPUTED_VALUE"""),35506.625)</f>
        <v>35506.625</v>
      </c>
      <c r="H639" s="45" t="str">
        <f ca="1">IFERROR(__xludf.DUMMYFUNCTION("""COMPUTED_VALUE"""),"MOONCAKE")</f>
        <v>MOONCAKE</v>
      </c>
      <c r="I639" s="46" t="str">
        <f ca="1">IFERROR(__xludf.DUMMYFUNCTION("""COMPUTED_VALUE"""),"KITCHEN PASTRY")</f>
        <v>KITCHEN PASTRY</v>
      </c>
      <c r="J639" s="46" t="str">
        <f ca="1">IFERROR(__xludf.DUMMYFUNCTION("""COMPUTED_VALUE"""),"KITCHEN PASTRY")</f>
        <v>KITCHEN PASTRY</v>
      </c>
      <c r="K639" s="46" t="str">
        <f ca="1">IFERROR(__xludf.DUMMYFUNCTION("""COMPUTED_VALUE"""),"PASTRY")</f>
        <v>PASTRY</v>
      </c>
      <c r="L639" s="46" t="str">
        <f ca="1">IFERROR(__xludf.DUMMYFUNCTION("""COMPUTED_VALUE"""),"PTE")</f>
        <v>PTE</v>
      </c>
      <c r="M639" s="46" t="str">
        <f ca="1">IFERROR(__xludf.DUMMYFUNCTION("""COMPUTED_VALUE"""),"Leave")</f>
        <v>Leave</v>
      </c>
      <c r="N639" s="46" t="str">
        <f ca="1">IFERROR(__xludf.DUMMYFUNCTION("""COMPUTED_VALUE"""),"x")</f>
        <v>x</v>
      </c>
    </row>
    <row r="640" spans="1:14">
      <c r="A640" s="45">
        <f ca="1">IFERROR(__xludf.DUMMYFUNCTION("""COMPUTED_VALUE"""),45827.5833333333)</f>
        <v>45827.583333333299</v>
      </c>
      <c r="B640" s="45">
        <f ca="1">IFERROR(__xludf.DUMMYFUNCTION("""COMPUTED_VALUE"""),45837.5833333333)</f>
        <v>45837.583333333299</v>
      </c>
      <c r="C640" s="46">
        <f ca="1">IFERROR(__xludf.DUMMYFUNCTION("""COMPUTED_VALUE"""),641)</f>
        <v>641</v>
      </c>
      <c r="D640" s="47" t="str">
        <f ca="1">IFERROR(__xludf.DUMMYFUNCTION("""COMPUTED_VALUE"""),"C0406")</f>
        <v>C0406</v>
      </c>
      <c r="E640" s="46" t="str">
        <f ca="1">IFERROR(__xludf.DUMMYFUNCTION("""COMPUTED_VALUE"""),"LÊ THÙY Ý NHI")</f>
        <v>LÊ THÙY Ý NHI</v>
      </c>
      <c r="F640" s="46" t="str">
        <f ca="1">IFERROR(__xludf.DUMMYFUNCTION("""COMPUTED_VALUE"""),"LE THUY Y NHI")</f>
        <v>LE THUY Y NHI</v>
      </c>
      <c r="G640" s="45">
        <f ca="1">IFERROR(__xludf.DUMMYFUNCTION("""COMPUTED_VALUE"""),38285.5833333333)</f>
        <v>38285.583333333299</v>
      </c>
      <c r="H640" s="45" t="str">
        <f ca="1">IFERROR(__xludf.DUMMYFUNCTION("""COMPUTED_VALUE"""),"MOONCAKE")</f>
        <v>MOONCAKE</v>
      </c>
      <c r="I640" s="46" t="str">
        <f ca="1">IFERROR(__xludf.DUMMYFUNCTION("""COMPUTED_VALUE"""),"KITCHEN PASTRY")</f>
        <v>KITCHEN PASTRY</v>
      </c>
      <c r="J640" s="46" t="str">
        <f ca="1">IFERROR(__xludf.DUMMYFUNCTION("""COMPUTED_VALUE"""),"KITCHEN PASTRY")</f>
        <v>KITCHEN PASTRY</v>
      </c>
      <c r="K640" s="46" t="str">
        <f ca="1">IFERROR(__xludf.DUMMYFUNCTION("""COMPUTED_VALUE"""),"PASTRY")</f>
        <v>PASTRY</v>
      </c>
      <c r="L640" s="46" t="str">
        <f ca="1">IFERROR(__xludf.DUMMYFUNCTION("""COMPUTED_VALUE"""),"PTE")</f>
        <v>PTE</v>
      </c>
      <c r="M640" s="46" t="str">
        <f ca="1">IFERROR(__xludf.DUMMYFUNCTION("""COMPUTED_VALUE"""),"Leave")</f>
        <v>Leave</v>
      </c>
      <c r="N640" s="46" t="str">
        <f ca="1">IFERROR(__xludf.DUMMYFUNCTION("""COMPUTED_VALUE"""),"đủ")</f>
        <v>đủ</v>
      </c>
    </row>
    <row r="641" spans="1:14">
      <c r="A641" s="45">
        <f ca="1">IFERROR(__xludf.DUMMYFUNCTION("""COMPUTED_VALUE"""),45499.5833333333)</f>
        <v>45499.583333333299</v>
      </c>
      <c r="B641" s="45">
        <f ca="1">IFERROR(__xludf.DUMMYFUNCTION("""COMPUTED_VALUE"""),46119.5833333333)</f>
        <v>46119.583333333299</v>
      </c>
      <c r="C641" s="46">
        <f ca="1">IFERROR(__xludf.DUMMYFUNCTION("""COMPUTED_VALUE"""),642)</f>
        <v>642</v>
      </c>
      <c r="D641" s="47" t="str">
        <f ca="1">IFERROR(__xludf.DUMMYFUNCTION("""COMPUTED_VALUE"""),"C0407")</f>
        <v>C0407</v>
      </c>
      <c r="E641" s="46" t="str">
        <f ca="1">IFERROR(__xludf.DUMMYFUNCTION("""COMPUTED_VALUE"""),"NGUYỄN THỊ THÙY DƯƠNG")</f>
        <v>NGUYỄN THỊ THÙY DƯƠNG</v>
      </c>
      <c r="F641" s="46" t="str">
        <f ca="1">IFERROR(__xludf.DUMMYFUNCTION("""COMPUTED_VALUE"""),"NGUYEN THI THUY DUONG")</f>
        <v>NGUYEN THI THUY DUONG</v>
      </c>
      <c r="G641" s="45">
        <f ca="1">IFERROR(__xludf.DUMMYFUNCTION("""COMPUTED_VALUE"""),37405.5833333333)</f>
        <v>37405.583333333299</v>
      </c>
      <c r="H641" s="45" t="str">
        <f ca="1">IFERROR(__xludf.DUMMYFUNCTION("""COMPUTED_VALUE"""),"KITCHEN PASTRY")</f>
        <v>KITCHEN PASTRY</v>
      </c>
      <c r="I641" s="46" t="str">
        <f ca="1">IFERROR(__xludf.DUMMYFUNCTION("""COMPUTED_VALUE"""),"KITCHEN PASTRY")</f>
        <v>KITCHEN PASTRY</v>
      </c>
      <c r="J641" s="46" t="str">
        <f ca="1">IFERROR(__xludf.DUMMYFUNCTION("""COMPUTED_VALUE"""),"KITCHEN PASTRY")</f>
        <v>KITCHEN PASTRY</v>
      </c>
      <c r="K641" s="46" t="str">
        <f ca="1">IFERROR(__xludf.DUMMYFUNCTION("""COMPUTED_VALUE"""),"PASTRY")</f>
        <v>PASTRY</v>
      </c>
      <c r="L641" s="46" t="str">
        <f ca="1">IFERROR(__xludf.DUMMYFUNCTION("""COMPUTED_VALUE"""),"FTE")</f>
        <v>FTE</v>
      </c>
      <c r="M641" s="46" t="str">
        <f ca="1">IFERROR(__xludf.DUMMYFUNCTION("""COMPUTED_VALUE"""),"Leave")</f>
        <v>Leave</v>
      </c>
      <c r="N641" s="46" t="str">
        <f ca="1">IFERROR(__xludf.DUMMYFUNCTION("""COMPUTED_VALUE"""),"đủ")</f>
        <v>đủ</v>
      </c>
    </row>
    <row r="642" spans="1:14">
      <c r="A642" s="45">
        <f ca="1">IFERROR(__xludf.DUMMYFUNCTION("""COMPUTED_VALUE"""),45495.5833333333)</f>
        <v>45495.583333333299</v>
      </c>
      <c r="B642" s="45">
        <f ca="1">IFERROR(__xludf.DUMMYFUNCTION("""COMPUTED_VALUE"""),45789.5833333333)</f>
        <v>45789.583333333299</v>
      </c>
      <c r="C642" s="46">
        <f ca="1">IFERROR(__xludf.DUMMYFUNCTION("""COMPUTED_VALUE"""),643)</f>
        <v>643</v>
      </c>
      <c r="D642" s="47" t="str">
        <f ca="1">IFERROR(__xludf.DUMMYFUNCTION("""COMPUTED_VALUE"""),"C0409")</f>
        <v>C0409</v>
      </c>
      <c r="E642" s="46" t="str">
        <f ca="1">IFERROR(__xludf.DUMMYFUNCTION("""COMPUTED_VALUE"""),"VÕ THÙY NHI")</f>
        <v>VÕ THÙY NHI</v>
      </c>
      <c r="F642" s="46" t="str">
        <f ca="1">IFERROR(__xludf.DUMMYFUNCTION("""COMPUTED_VALUE"""),"VO THUY NHI")</f>
        <v>VO THUY NHI</v>
      </c>
      <c r="G642" s="45">
        <f ca="1">IFERROR(__xludf.DUMMYFUNCTION("""COMPUTED_VALUE"""),37631.625)</f>
        <v>37631.625</v>
      </c>
      <c r="H642" s="45" t="str">
        <f ca="1">IFERROR(__xludf.DUMMYFUNCTION("""COMPUTED_VALUE"""),"BAKES")</f>
        <v>BAKES</v>
      </c>
      <c r="I642" s="46" t="str">
        <f ca="1">IFERROR(__xludf.DUMMYFUNCTION("""COMPUTED_VALUE"""),"STORE")</f>
        <v>STORE</v>
      </c>
      <c r="J642" s="46" t="str">
        <f ca="1">IFERROR(__xludf.DUMMYFUNCTION("""COMPUTED_VALUE"""),"BAKES D2")</f>
        <v>BAKES D2</v>
      </c>
      <c r="K642" s="46" t="str">
        <f ca="1">IFERROR(__xludf.DUMMYFUNCTION("""COMPUTED_VALUE"""),"BAR")</f>
        <v>BAR</v>
      </c>
      <c r="L642" s="46" t="str">
        <f ca="1">IFERROR(__xludf.DUMMYFUNCTION("""COMPUTED_VALUE"""),"PTE")</f>
        <v>PTE</v>
      </c>
      <c r="M642" s="46" t="str">
        <f ca="1">IFERROR(__xludf.DUMMYFUNCTION("""COMPUTED_VALUE"""),"Leave")</f>
        <v>Leave</v>
      </c>
      <c r="N642" s="46" t="str">
        <f ca="1">IFERROR(__xludf.DUMMYFUNCTION("""COMPUTED_VALUE"""),"x")</f>
        <v>x</v>
      </c>
    </row>
    <row r="643" spans="1:14">
      <c r="A643" s="45">
        <f ca="1">IFERROR(__xludf.DUMMYFUNCTION("""COMPUTED_VALUE"""),45485.5833333333)</f>
        <v>45485.583333333299</v>
      </c>
      <c r="B643" s="45">
        <f ca="1">IFERROR(__xludf.DUMMYFUNCTION("""COMPUTED_VALUE"""),45757.5833333333)</f>
        <v>45757.583333333299</v>
      </c>
      <c r="C643" s="46">
        <f ca="1">IFERROR(__xludf.DUMMYFUNCTION("""COMPUTED_VALUE"""),644)</f>
        <v>644</v>
      </c>
      <c r="D643" s="47" t="str">
        <f ca="1">IFERROR(__xludf.DUMMYFUNCTION("""COMPUTED_VALUE"""),"C0410")</f>
        <v>C0410</v>
      </c>
      <c r="E643" s="46" t="str">
        <f ca="1">IFERROR(__xludf.DUMMYFUNCTION("""COMPUTED_VALUE"""),"CHIÊM ĐỨC LỢI")</f>
        <v>CHIÊM ĐỨC LỢI</v>
      </c>
      <c r="F643" s="46" t="str">
        <f ca="1">IFERROR(__xludf.DUMMYFUNCTION("""COMPUTED_VALUE"""),"CHIEM DUC LOI")</f>
        <v>CHIEM DUC LOI</v>
      </c>
      <c r="G643" s="45">
        <f ca="1">IFERROR(__xludf.DUMMYFUNCTION("""COMPUTED_VALUE"""),34853.5833333333)</f>
        <v>34853.583333333299</v>
      </c>
      <c r="H643" s="45" t="str">
        <f ca="1">IFERROR(__xludf.DUMMYFUNCTION("""COMPUTED_VALUE"""),"KITCHEN PASTRY")</f>
        <v>KITCHEN PASTRY</v>
      </c>
      <c r="I643" s="46" t="str">
        <f ca="1">IFERROR(__xludf.DUMMYFUNCTION("""COMPUTED_VALUE"""),"KITCHEN PASTRY")</f>
        <v>KITCHEN PASTRY</v>
      </c>
      <c r="J643" s="46" t="str">
        <f ca="1">IFERROR(__xludf.DUMMYFUNCTION("""COMPUTED_VALUE"""),"KITCHEN PASTRY")</f>
        <v>KITCHEN PASTRY</v>
      </c>
      <c r="K643" s="46" t="str">
        <f ca="1">IFERROR(__xludf.DUMMYFUNCTION("""COMPUTED_VALUE"""),"BAKER")</f>
        <v>BAKER</v>
      </c>
      <c r="L643" s="46" t="str">
        <f ca="1">IFERROR(__xludf.DUMMYFUNCTION("""COMPUTED_VALUE"""),"PTE")</f>
        <v>PTE</v>
      </c>
      <c r="M643" s="46" t="str">
        <f ca="1">IFERROR(__xludf.DUMMYFUNCTION("""COMPUTED_VALUE"""),"Leave")</f>
        <v>Leave</v>
      </c>
      <c r="N643" s="46" t="str">
        <f ca="1">IFERROR(__xludf.DUMMYFUNCTION("""COMPUTED_VALUE"""),"đủ")</f>
        <v>đủ</v>
      </c>
    </row>
    <row r="644" spans="1:14">
      <c r="A644" s="45">
        <f ca="1">IFERROR(__xludf.DUMMYFUNCTION("""COMPUTED_VALUE"""),45439.5833333333)</f>
        <v>45439.583333333299</v>
      </c>
      <c r="B644" s="45">
        <f ca="1">IFERROR(__xludf.DUMMYFUNCTION("""COMPUTED_VALUE"""),45444.5833333333)</f>
        <v>45444.583333333299</v>
      </c>
      <c r="C644" s="46">
        <f ca="1">IFERROR(__xludf.DUMMYFUNCTION("""COMPUTED_VALUE"""),645)</f>
        <v>645</v>
      </c>
      <c r="D644" s="47" t="str">
        <f ca="1">IFERROR(__xludf.DUMMYFUNCTION("""COMPUTED_VALUE"""),"C0411")</f>
        <v>C0411</v>
      </c>
      <c r="E644" s="46" t="str">
        <f ca="1">IFERROR(__xludf.DUMMYFUNCTION("""COMPUTED_VALUE"""),"LÝ KIM PHỤNG")</f>
        <v>LÝ KIM PHỤNG</v>
      </c>
      <c r="F644" s="46" t="str">
        <f ca="1">IFERROR(__xludf.DUMMYFUNCTION("""COMPUTED_VALUE"""),"LY KIM PHUNG")</f>
        <v>LY KIM PHUNG</v>
      </c>
      <c r="G644" s="45">
        <f ca="1">IFERROR(__xludf.DUMMYFUNCTION("""COMPUTED_VALUE"""),37947.625)</f>
        <v>37947.625</v>
      </c>
      <c r="H644" s="45" t="str">
        <f ca="1">IFERROR(__xludf.DUMMYFUNCTION("""COMPUTED_VALUE"""),"BAKES")</f>
        <v>BAKES</v>
      </c>
      <c r="I644" s="46" t="str">
        <f ca="1">IFERROR(__xludf.DUMMYFUNCTION("""COMPUTED_VALUE"""),"STORE")</f>
        <v>STORE</v>
      </c>
      <c r="J644" s="46" t="str">
        <f ca="1">IFERROR(__xludf.DUMMYFUNCTION("""COMPUTED_VALUE"""),"BAKES D9")</f>
        <v>BAKES D9</v>
      </c>
      <c r="K644" s="46" t="str">
        <f ca="1">IFERROR(__xludf.DUMMYFUNCTION("""COMPUTED_VALUE"""),"STR")</f>
        <v>STR</v>
      </c>
      <c r="L644" s="46" t="str">
        <f ca="1">IFERROR(__xludf.DUMMYFUNCTION("""COMPUTED_VALUE"""),"PTE")</f>
        <v>PTE</v>
      </c>
      <c r="M644" s="46" t="str">
        <f ca="1">IFERROR(__xludf.DUMMYFUNCTION("""COMPUTED_VALUE"""),"Leave")</f>
        <v>Leave</v>
      </c>
      <c r="N644" s="46" t="str">
        <f ca="1">IFERROR(__xludf.DUMMYFUNCTION("""COMPUTED_VALUE"""),"x")</f>
        <v>x</v>
      </c>
    </row>
    <row r="645" spans="1:14">
      <c r="A645" s="45">
        <f ca="1">IFERROR(__xludf.DUMMYFUNCTION("""COMPUTED_VALUE"""),45475.5833333333)</f>
        <v>45475.583333333299</v>
      </c>
      <c r="B645" s="45">
        <f ca="1">IFERROR(__xludf.DUMMYFUNCTION("""COMPUTED_VALUE"""),45487.5833333333)</f>
        <v>45487.583333333299</v>
      </c>
      <c r="C645" s="46">
        <f ca="1">IFERROR(__xludf.DUMMYFUNCTION("""COMPUTED_VALUE"""),646)</f>
        <v>646</v>
      </c>
      <c r="D645" s="47" t="str">
        <f ca="1">IFERROR(__xludf.DUMMYFUNCTION("""COMPUTED_VALUE"""),"C0412")</f>
        <v>C0412</v>
      </c>
      <c r="E645" s="46" t="str">
        <f ca="1">IFERROR(__xludf.DUMMYFUNCTION("""COMPUTED_VALUE"""),"VŨ BẢO HẠNH")</f>
        <v>VŨ BẢO HẠNH</v>
      </c>
      <c r="F645" s="46" t="str">
        <f ca="1">IFERROR(__xludf.DUMMYFUNCTION("""COMPUTED_VALUE"""),"VU BAO HANH")</f>
        <v>VU BAO HANH</v>
      </c>
      <c r="G645" s="45">
        <f ca="1">IFERROR(__xludf.DUMMYFUNCTION("""COMPUTED_VALUE"""),32543.625)</f>
        <v>32543.625</v>
      </c>
      <c r="H645" s="45" t="str">
        <f ca="1">IFERROR(__xludf.DUMMYFUNCTION("""COMPUTED_VALUE"""),"YESHI")</f>
        <v>YESHI</v>
      </c>
      <c r="I645" s="46" t="str">
        <f ca="1">IFERROR(__xludf.DUMMYFUNCTION("""COMPUTED_VALUE"""),"STORE")</f>
        <v>STORE</v>
      </c>
      <c r="J645" s="46" t="str">
        <f ca="1">IFERROR(__xludf.DUMMYFUNCTION("""COMPUTED_VALUE"""),"YESHI D2")</f>
        <v>YESHI D2</v>
      </c>
      <c r="K645" s="46" t="str">
        <f ca="1">IFERROR(__xludf.DUMMYFUNCTION("""COMPUTED_VALUE"""),"STR")</f>
        <v>STR</v>
      </c>
      <c r="L645" s="46" t="str">
        <f ca="1">IFERROR(__xludf.DUMMYFUNCTION("""COMPUTED_VALUE"""),"PTE")</f>
        <v>PTE</v>
      </c>
      <c r="M645" s="46" t="str">
        <f ca="1">IFERROR(__xludf.DUMMYFUNCTION("""COMPUTED_VALUE"""),"Leave")</f>
        <v>Leave</v>
      </c>
      <c r="N645" s="46" t="str">
        <f ca="1">IFERROR(__xludf.DUMMYFUNCTION("""COMPUTED_VALUE"""),"x")</f>
        <v>x</v>
      </c>
    </row>
    <row r="646" spans="1:14">
      <c r="A646" s="45">
        <f ca="1">IFERROR(__xludf.DUMMYFUNCTION("""COMPUTED_VALUE"""),45506.5833333333)</f>
        <v>45506.583333333299</v>
      </c>
      <c r="B646" s="45">
        <f ca="1">IFERROR(__xludf.DUMMYFUNCTION("""COMPUTED_VALUE"""),45566.5833333333)</f>
        <v>45566.583333333299</v>
      </c>
      <c r="C646" s="46">
        <f ca="1">IFERROR(__xludf.DUMMYFUNCTION("""COMPUTED_VALUE"""),647)</f>
        <v>647</v>
      </c>
      <c r="D646" s="47" t="str">
        <f ca="1">IFERROR(__xludf.DUMMYFUNCTION("""COMPUTED_VALUE"""),"C0413")</f>
        <v>C0413</v>
      </c>
      <c r="E646" s="46" t="str">
        <f ca="1">IFERROR(__xludf.DUMMYFUNCTION("""COMPUTED_VALUE"""),"NGUYỄN HOÀNG THIÊN TRANG")</f>
        <v>NGUYỄN HOÀNG THIÊN TRANG</v>
      </c>
      <c r="F646" s="46" t="str">
        <f ca="1">IFERROR(__xludf.DUMMYFUNCTION("""COMPUTED_VALUE"""),"NGUYEN HOANG THIEN TRANG")</f>
        <v>NGUYEN HOANG THIEN TRANG</v>
      </c>
      <c r="G646" s="45">
        <f ca="1">IFERROR(__xludf.DUMMYFUNCTION("""COMPUTED_VALUE"""),35820.625)</f>
        <v>35820.625</v>
      </c>
      <c r="H646" s="45" t="str">
        <f ca="1">IFERROR(__xludf.DUMMYFUNCTION("""COMPUTED_VALUE"""),"BAKES")</f>
        <v>BAKES</v>
      </c>
      <c r="I646" s="46" t="str">
        <f ca="1">IFERROR(__xludf.DUMMYFUNCTION("""COMPUTED_VALUE"""),"STORE")</f>
        <v>STORE</v>
      </c>
      <c r="J646" s="46" t="str">
        <f ca="1">IFERROR(__xludf.DUMMYFUNCTION("""COMPUTED_VALUE"""),"BAKES D2")</f>
        <v>BAKES D2</v>
      </c>
      <c r="K646" s="46" t="str">
        <f ca="1">IFERROR(__xludf.DUMMYFUNCTION("""COMPUTED_VALUE"""),"CASHIER")</f>
        <v>CASHIER</v>
      </c>
      <c r="L646" s="46" t="str">
        <f ca="1">IFERROR(__xludf.DUMMYFUNCTION("""COMPUTED_VALUE"""),"PRO")</f>
        <v>PRO</v>
      </c>
      <c r="M646" s="46" t="str">
        <f ca="1">IFERROR(__xludf.DUMMYFUNCTION("""COMPUTED_VALUE"""),"Leave")</f>
        <v>Leave</v>
      </c>
      <c r="N646" s="46" t="str">
        <f ca="1">IFERROR(__xludf.DUMMYFUNCTION("""COMPUTED_VALUE"""),"x")</f>
        <v>x</v>
      </c>
    </row>
    <row r="647" spans="1:14">
      <c r="A647" s="45">
        <f ca="1">IFERROR(__xludf.DUMMYFUNCTION("""COMPUTED_VALUE"""),45505.5833333333)</f>
        <v>45505.583333333299</v>
      </c>
      <c r="B647" s="45">
        <f ca="1">IFERROR(__xludf.DUMMYFUNCTION("""COMPUTED_VALUE"""),45584.5833333333)</f>
        <v>45584.583333333299</v>
      </c>
      <c r="C647" s="46">
        <f ca="1">IFERROR(__xludf.DUMMYFUNCTION("""COMPUTED_VALUE"""),648)</f>
        <v>648</v>
      </c>
      <c r="D647" s="47" t="str">
        <f ca="1">IFERROR(__xludf.DUMMYFUNCTION("""COMPUTED_VALUE"""),"C0414")</f>
        <v>C0414</v>
      </c>
      <c r="E647" s="46" t="str">
        <f ca="1">IFERROR(__xludf.DUMMYFUNCTION("""COMPUTED_VALUE"""),"ĐỖ THỊ THU HẰNG")</f>
        <v>ĐỖ THỊ THU HẰNG</v>
      </c>
      <c r="F647" s="46" t="str">
        <f ca="1">IFERROR(__xludf.DUMMYFUNCTION("""COMPUTED_VALUE"""),"DO THI THU HANG")</f>
        <v>DO THI THU HANG</v>
      </c>
      <c r="G647" s="45">
        <f ca="1">IFERROR(__xludf.DUMMYFUNCTION("""COMPUTED_VALUE"""),35554.5833333333)</f>
        <v>35554.583333333299</v>
      </c>
      <c r="H647" s="45" t="str">
        <f ca="1">IFERROR(__xludf.DUMMYFUNCTION("""COMPUTED_VALUE"""),"SHADOW")</f>
        <v>SHADOW</v>
      </c>
      <c r="I647" s="46" t="str">
        <f ca="1">IFERROR(__xludf.DUMMYFUNCTION("""COMPUTED_VALUE"""),"STORE")</f>
        <v>STORE</v>
      </c>
      <c r="J647" s="46" t="str">
        <f ca="1">IFERROR(__xludf.DUMMYFUNCTION("""COMPUTED_VALUE"""),"NEW YOLK")</f>
        <v>NEW YOLK</v>
      </c>
      <c r="K647" s="46" t="str">
        <f ca="1">IFERROR(__xludf.DUMMYFUNCTION("""COMPUTED_VALUE"""),"Management team")</f>
        <v>Management team</v>
      </c>
      <c r="L647" s="46" t="str">
        <f ca="1">IFERROR(__xludf.DUMMYFUNCTION("""COMPUTED_VALUE"""),"FTE")</f>
        <v>FTE</v>
      </c>
      <c r="M647" s="46" t="str">
        <f ca="1">IFERROR(__xludf.DUMMYFUNCTION("""COMPUTED_VALUE"""),"Leave")</f>
        <v>Leave</v>
      </c>
      <c r="N647" s="46" t="str">
        <f ca="1">IFERROR(__xludf.DUMMYFUNCTION("""COMPUTED_VALUE"""),"x")</f>
        <v>x</v>
      </c>
    </row>
    <row r="648" spans="1:14">
      <c r="A648" s="45">
        <f ca="1">IFERROR(__xludf.DUMMYFUNCTION("""COMPUTED_VALUE"""),45506.5833333333)</f>
        <v>45506.583333333299</v>
      </c>
      <c r="B648" s="45">
        <f ca="1">IFERROR(__xludf.DUMMYFUNCTION("""COMPUTED_VALUE"""),46128.5833333333)</f>
        <v>46128.583333333299</v>
      </c>
      <c r="C648" s="46">
        <f ca="1">IFERROR(__xludf.DUMMYFUNCTION("""COMPUTED_VALUE"""),649)</f>
        <v>649</v>
      </c>
      <c r="D648" s="47" t="str">
        <f ca="1">IFERROR(__xludf.DUMMYFUNCTION("""COMPUTED_VALUE"""),"C0415")</f>
        <v>C0415</v>
      </c>
      <c r="E648" s="46" t="str">
        <f ca="1">IFERROR(__xludf.DUMMYFUNCTION("""COMPUTED_VALUE"""),"LƯƠNG VĨNH PHÚC")</f>
        <v>LƯƠNG VĨNH PHÚC</v>
      </c>
      <c r="F648" s="46" t="str">
        <f ca="1">IFERROR(__xludf.DUMMYFUNCTION("""COMPUTED_VALUE"""),"LUONG VINH PHUC")</f>
        <v>LUONG VINH PHUC</v>
      </c>
      <c r="G648" s="45">
        <f ca="1">IFERROR(__xludf.DUMMYFUNCTION("""COMPUTED_VALUE"""),36439.5833333333)</f>
        <v>36439.583333333299</v>
      </c>
      <c r="H648" s="45" t="str">
        <f ca="1">IFERROR(__xludf.DUMMYFUNCTION("""COMPUTED_VALUE"""),"YESHI")</f>
        <v>YESHI</v>
      </c>
      <c r="I648" s="46" t="str">
        <f ca="1">IFERROR(__xludf.DUMMYFUNCTION("""COMPUTED_VALUE"""),"STORE")</f>
        <v>STORE</v>
      </c>
      <c r="J648" s="46" t="str">
        <f ca="1">IFERROR(__xludf.DUMMYFUNCTION("""COMPUTED_VALUE"""),"YESHI D3")</f>
        <v>YESHI D3</v>
      </c>
      <c r="K648" s="46" t="str">
        <f ca="1">IFERROR(__xludf.DUMMYFUNCTION("""COMPUTED_VALUE"""),"BAR")</f>
        <v>BAR</v>
      </c>
      <c r="L648" s="46" t="str">
        <f ca="1">IFERROR(__xludf.DUMMYFUNCTION("""COMPUTED_VALUE"""),"FTE")</f>
        <v>FTE</v>
      </c>
      <c r="M648" s="46" t="str">
        <f ca="1">IFERROR(__xludf.DUMMYFUNCTION("""COMPUTED_VALUE"""),"Leave")</f>
        <v>Leave</v>
      </c>
      <c r="N648" s="46" t="str">
        <f ca="1">IFERROR(__xludf.DUMMYFUNCTION("""COMPUTED_VALUE"""),"đủ")</f>
        <v>đủ</v>
      </c>
    </row>
    <row r="649" spans="1:14">
      <c r="A649" s="45">
        <f ca="1">IFERROR(__xludf.DUMMYFUNCTION("""COMPUTED_VALUE"""),45509.5833333333)</f>
        <v>45509.583333333299</v>
      </c>
      <c r="B649" s="45">
        <f ca="1">IFERROR(__xludf.DUMMYFUNCTION("""COMPUTED_VALUE"""),45612.625)</f>
        <v>45612.625</v>
      </c>
      <c r="C649" s="46">
        <f ca="1">IFERROR(__xludf.DUMMYFUNCTION("""COMPUTED_VALUE"""),650)</f>
        <v>650</v>
      </c>
      <c r="D649" s="47" t="str">
        <f ca="1">IFERROR(__xludf.DUMMYFUNCTION("""COMPUTED_VALUE"""),"C0416")</f>
        <v>C0416</v>
      </c>
      <c r="E649" s="46" t="str">
        <f ca="1">IFERROR(__xludf.DUMMYFUNCTION("""COMPUTED_VALUE"""),"NGUYỄN THÚY MINH KHÁNH")</f>
        <v>NGUYỄN THÚY MINH KHÁNH</v>
      </c>
      <c r="F649" s="46" t="str">
        <f ca="1">IFERROR(__xludf.DUMMYFUNCTION("""COMPUTED_VALUE"""),"NGUYEN THUY MINH KHANH")</f>
        <v>NGUYEN THUY MINH KHANH</v>
      </c>
      <c r="G649" s="45">
        <f ca="1">IFERROR(__xludf.DUMMYFUNCTION("""COMPUTED_VALUE"""),37107.5833333333)</f>
        <v>37107.583333333299</v>
      </c>
      <c r="H649" s="45" t="str">
        <f ca="1">IFERROR(__xludf.DUMMYFUNCTION("""COMPUTED_VALUE"""),"KITCHEN PASTRY")</f>
        <v>KITCHEN PASTRY</v>
      </c>
      <c r="I649" s="46" t="str">
        <f ca="1">IFERROR(__xludf.DUMMYFUNCTION("""COMPUTED_VALUE"""),"KITCHEN PASTRY")</f>
        <v>KITCHEN PASTRY</v>
      </c>
      <c r="J649" s="46" t="str">
        <f ca="1">IFERROR(__xludf.DUMMYFUNCTION("""COMPUTED_VALUE"""),"KITCHEN PASTRY")</f>
        <v>KITCHEN PASTRY</v>
      </c>
      <c r="K649" s="46" t="str">
        <f ca="1">IFERROR(__xludf.DUMMYFUNCTION("""COMPUTED_VALUE"""),"PASTRY")</f>
        <v>PASTRY</v>
      </c>
      <c r="L649" s="46" t="str">
        <f ca="1">IFERROR(__xludf.DUMMYFUNCTION("""COMPUTED_VALUE"""),"PTE")</f>
        <v>PTE</v>
      </c>
      <c r="M649" s="46" t="str">
        <f ca="1">IFERROR(__xludf.DUMMYFUNCTION("""COMPUTED_VALUE"""),"Leave")</f>
        <v>Leave</v>
      </c>
      <c r="N649" s="46" t="str">
        <f ca="1">IFERROR(__xludf.DUMMYFUNCTION("""COMPUTED_VALUE"""),"x")</f>
        <v>x</v>
      </c>
    </row>
    <row r="650" spans="1:14">
      <c r="A650" s="45">
        <f ca="1">IFERROR(__xludf.DUMMYFUNCTION("""COMPUTED_VALUE"""),45506.5833333333)</f>
        <v>45506.583333333299</v>
      </c>
      <c r="B650" s="45">
        <f ca="1">IFERROR(__xludf.DUMMYFUNCTION("""COMPUTED_VALUE"""),45551.5833333333)</f>
        <v>45551.583333333299</v>
      </c>
      <c r="C650" s="46">
        <f ca="1">IFERROR(__xludf.DUMMYFUNCTION("""COMPUTED_VALUE"""),651)</f>
        <v>651</v>
      </c>
      <c r="D650" s="47" t="str">
        <f ca="1">IFERROR(__xludf.DUMMYFUNCTION("""COMPUTED_VALUE"""),"C0417")</f>
        <v>C0417</v>
      </c>
      <c r="E650" s="46" t="str">
        <f ca="1">IFERROR(__xludf.DUMMYFUNCTION("""COMPUTED_VALUE"""),"NGUYỄN THỊ MỸ LINH")</f>
        <v>NGUYỄN THỊ MỸ LINH</v>
      </c>
      <c r="F650" s="46" t="str">
        <f ca="1">IFERROR(__xludf.DUMMYFUNCTION("""COMPUTED_VALUE"""),"NGUYEN THI MY LINH")</f>
        <v>NGUYEN THI MY LINH</v>
      </c>
      <c r="G650" s="45">
        <f ca="1">IFERROR(__xludf.DUMMYFUNCTION("""COMPUTED_VALUE"""),35722.5833333333)</f>
        <v>35722.583333333299</v>
      </c>
      <c r="H650" s="45" t="str">
        <f ca="1">IFERROR(__xludf.DUMMYFUNCTION("""COMPUTED_VALUE"""),"MOONCAKE")</f>
        <v>MOONCAKE</v>
      </c>
      <c r="I650" s="46" t="str">
        <f ca="1">IFERROR(__xludf.DUMMYFUNCTION("""COMPUTED_VALUE"""),"KITCHEN PASTRY")</f>
        <v>KITCHEN PASTRY</v>
      </c>
      <c r="J650" s="46" t="str">
        <f ca="1">IFERROR(__xludf.DUMMYFUNCTION("""COMPUTED_VALUE"""),"KITCHEN PASTRY")</f>
        <v>KITCHEN PASTRY</v>
      </c>
      <c r="K650" s="46" t="str">
        <f ca="1">IFERROR(__xludf.DUMMYFUNCTION("""COMPUTED_VALUE"""),"PASTRY")</f>
        <v>PASTRY</v>
      </c>
      <c r="L650" s="46" t="str">
        <f ca="1">IFERROR(__xludf.DUMMYFUNCTION("""COMPUTED_VALUE"""),"PTE")</f>
        <v>PTE</v>
      </c>
      <c r="M650" s="46" t="str">
        <f ca="1">IFERROR(__xludf.DUMMYFUNCTION("""COMPUTED_VALUE"""),"Leave")</f>
        <v>Leave</v>
      </c>
      <c r="N650" s="46" t="str">
        <f ca="1">IFERROR(__xludf.DUMMYFUNCTION("""COMPUTED_VALUE"""),"đủ")</f>
        <v>đủ</v>
      </c>
    </row>
    <row r="651" spans="1:14">
      <c r="A651" s="45">
        <f ca="1">IFERROR(__xludf.DUMMYFUNCTION("""COMPUTED_VALUE"""),45509.5833333333)</f>
        <v>45509.583333333299</v>
      </c>
      <c r="B651" s="45">
        <f ca="1">IFERROR(__xludf.DUMMYFUNCTION("""COMPUTED_VALUE"""),45810.5833333333)</f>
        <v>45810.583333333299</v>
      </c>
      <c r="C651" s="46">
        <f ca="1">IFERROR(__xludf.DUMMYFUNCTION("""COMPUTED_VALUE"""),652)</f>
        <v>652</v>
      </c>
      <c r="D651" s="47" t="str">
        <f ca="1">IFERROR(__xludf.DUMMYFUNCTION("""COMPUTED_VALUE"""),"C0418")</f>
        <v>C0418</v>
      </c>
      <c r="E651" s="46" t="str">
        <f ca="1">IFERROR(__xludf.DUMMYFUNCTION("""COMPUTED_VALUE"""),"NGUYỄN THANH THẢO")</f>
        <v>NGUYỄN THANH THẢO</v>
      </c>
      <c r="F651" s="46" t="str">
        <f ca="1">IFERROR(__xludf.DUMMYFUNCTION("""COMPUTED_VALUE"""),"NGUYEN THANH THAO")</f>
        <v>NGUYEN THANH THAO</v>
      </c>
      <c r="G651" s="45">
        <f ca="1">IFERROR(__xludf.DUMMYFUNCTION("""COMPUTED_VALUE"""),38340.625)</f>
        <v>38340.625</v>
      </c>
      <c r="H651" s="45" t="str">
        <f ca="1">IFERROR(__xludf.DUMMYFUNCTION("""COMPUTED_VALUE"""),"BAKES")</f>
        <v>BAKES</v>
      </c>
      <c r="I651" s="46" t="str">
        <f ca="1">IFERROR(__xludf.DUMMYFUNCTION("""COMPUTED_VALUE"""),"STORE")</f>
        <v>STORE</v>
      </c>
      <c r="J651" s="46" t="str">
        <f ca="1">IFERROR(__xludf.DUMMYFUNCTION("""COMPUTED_VALUE"""),"BAKES D9")</f>
        <v>BAKES D9</v>
      </c>
      <c r="K651" s="46" t="str">
        <f ca="1">IFERROR(__xludf.DUMMYFUNCTION("""COMPUTED_VALUE"""),"WAITSTAFF")</f>
        <v>WAITSTAFF</v>
      </c>
      <c r="L651" s="46" t="str">
        <f ca="1">IFERROR(__xludf.DUMMYFUNCTION("""COMPUTED_VALUE"""),"PTE")</f>
        <v>PTE</v>
      </c>
      <c r="M651" s="46" t="str">
        <f ca="1">IFERROR(__xludf.DUMMYFUNCTION("""COMPUTED_VALUE"""),"Leave")</f>
        <v>Leave</v>
      </c>
      <c r="N651" s="46" t="str">
        <f ca="1">IFERROR(__xludf.DUMMYFUNCTION("""COMPUTED_VALUE"""),"x")</f>
        <v>x</v>
      </c>
    </row>
    <row r="652" spans="1:14">
      <c r="A652" s="45">
        <f ca="1">IFERROR(__xludf.DUMMYFUNCTION("""COMPUTED_VALUE"""),45510.5833333333)</f>
        <v>45510.583333333299</v>
      </c>
      <c r="B652" s="45">
        <f ca="1">IFERROR(__xludf.DUMMYFUNCTION("""COMPUTED_VALUE"""),46137.5833333333)</f>
        <v>46137.583333333299</v>
      </c>
      <c r="C652" s="46">
        <f ca="1">IFERROR(__xludf.DUMMYFUNCTION("""COMPUTED_VALUE"""),653)</f>
        <v>653</v>
      </c>
      <c r="D652" s="47" t="str">
        <f ca="1">IFERROR(__xludf.DUMMYFUNCTION("""COMPUTED_VALUE"""),"C0419")</f>
        <v>C0419</v>
      </c>
      <c r="E652" s="46" t="str">
        <f ca="1">IFERROR(__xludf.DUMMYFUNCTION("""COMPUTED_VALUE"""),"ĐỖ NGUYỄN LAM THUYÊN")</f>
        <v>ĐỖ NGUYỄN LAM THUYÊN</v>
      </c>
      <c r="F652" s="46" t="str">
        <f ca="1">IFERROR(__xludf.DUMMYFUNCTION("""COMPUTED_VALUE"""),"DO NGUYEN LAM THUYEN")</f>
        <v>DO NGUYEN LAM THUYEN</v>
      </c>
      <c r="G652" s="45">
        <f ca="1">IFERROR(__xludf.DUMMYFUNCTION("""COMPUTED_VALUE"""),36439.5833333333)</f>
        <v>36439.583333333299</v>
      </c>
      <c r="H652" s="45" t="str">
        <f ca="1">IFERROR(__xludf.DUMMYFUNCTION("""COMPUTED_VALUE"""),"TLC")</f>
        <v>TLC</v>
      </c>
      <c r="I652" s="46" t="str">
        <f ca="1">IFERROR(__xludf.DUMMYFUNCTION("""COMPUTED_VALUE"""),"HO")</f>
        <v>HO</v>
      </c>
      <c r="J652" s="46" t="str">
        <f ca="1">IFERROR(__xludf.DUMMYFUNCTION("""COMPUTED_VALUE"""),"BE")</f>
        <v>BE</v>
      </c>
      <c r="K652" s="46" t="str">
        <f ca="1">IFERROR(__xludf.DUMMYFUNCTION("""COMPUTED_VALUE"""),"BE")</f>
        <v>BE</v>
      </c>
      <c r="L652" s="46" t="str">
        <f ca="1">IFERROR(__xludf.DUMMYFUNCTION("""COMPUTED_VALUE"""),"FTE")</f>
        <v>FTE</v>
      </c>
      <c r="M652" s="46" t="str">
        <f ca="1">IFERROR(__xludf.DUMMYFUNCTION("""COMPUTED_VALUE"""),"Leave")</f>
        <v>Leave</v>
      </c>
      <c r="N652" s="46" t="str">
        <f ca="1">IFERROR(__xludf.DUMMYFUNCTION("""COMPUTED_VALUE"""),"đủ")</f>
        <v>đủ</v>
      </c>
    </row>
    <row r="653" spans="1:14">
      <c r="A653" s="45">
        <f ca="1">IFERROR(__xludf.DUMMYFUNCTION("""COMPUTED_VALUE"""),45513.5833333333)</f>
        <v>45513.583333333299</v>
      </c>
      <c r="B653" s="45">
        <f ca="1">IFERROR(__xludf.DUMMYFUNCTION("""COMPUTED_VALUE"""),45682.625)</f>
        <v>45682.625</v>
      </c>
      <c r="C653" s="46">
        <f ca="1">IFERROR(__xludf.DUMMYFUNCTION("""COMPUTED_VALUE"""),654)</f>
        <v>654</v>
      </c>
      <c r="D653" s="47" t="str">
        <f ca="1">IFERROR(__xludf.DUMMYFUNCTION("""COMPUTED_VALUE"""),"C0420")</f>
        <v>C0420</v>
      </c>
      <c r="E653" s="46" t="str">
        <f ca="1">IFERROR(__xludf.DUMMYFUNCTION("""COMPUTED_VALUE"""),"CHU NGUYỄN KIM DUNG")</f>
        <v>CHU NGUYỄN KIM DUNG</v>
      </c>
      <c r="F653" s="46" t="str">
        <f ca="1">IFERROR(__xludf.DUMMYFUNCTION("""COMPUTED_VALUE"""),"CHU NGUYEN KIM DUNG")</f>
        <v>CHU NGUYEN KIM DUNG</v>
      </c>
      <c r="G653" s="45">
        <f ca="1">IFERROR(__xludf.DUMMYFUNCTION("""COMPUTED_VALUE"""),37279.625)</f>
        <v>37279.625</v>
      </c>
      <c r="H653" s="45" t="str">
        <f ca="1">IFERROR(__xludf.DUMMYFUNCTION("""COMPUTED_VALUE"""),"BAKES")</f>
        <v>BAKES</v>
      </c>
      <c r="I653" s="46" t="str">
        <f ca="1">IFERROR(__xludf.DUMMYFUNCTION("""COMPUTED_VALUE"""),"STORE")</f>
        <v>STORE</v>
      </c>
      <c r="J653" s="46" t="str">
        <f ca="1">IFERROR(__xludf.DUMMYFUNCTION("""COMPUTED_VALUE"""),"BAKES D2")</f>
        <v>BAKES D2</v>
      </c>
      <c r="K653" s="46" t="str">
        <f ca="1">IFERROR(__xludf.DUMMYFUNCTION("""COMPUTED_VALUE"""),"WAITSTAFF")</f>
        <v>WAITSTAFF</v>
      </c>
      <c r="L653" s="46" t="str">
        <f ca="1">IFERROR(__xludf.DUMMYFUNCTION("""COMPUTED_VALUE"""),"PTE")</f>
        <v>PTE</v>
      </c>
      <c r="M653" s="46" t="str">
        <f ca="1">IFERROR(__xludf.DUMMYFUNCTION("""COMPUTED_VALUE"""),"Leave")</f>
        <v>Leave</v>
      </c>
      <c r="N653" s="46" t="str">
        <f ca="1">IFERROR(__xludf.DUMMYFUNCTION("""COMPUTED_VALUE"""),"x")</f>
        <v>x</v>
      </c>
    </row>
    <row r="654" spans="1:14">
      <c r="A654" s="45">
        <f ca="1">IFERROR(__xludf.DUMMYFUNCTION("""COMPUTED_VALUE"""),45509.5833333333)</f>
        <v>45509.583333333299</v>
      </c>
      <c r="B654" s="45"/>
      <c r="C654" s="46">
        <f ca="1">IFERROR(__xludf.DUMMYFUNCTION("""COMPUTED_VALUE"""),655)</f>
        <v>655</v>
      </c>
      <c r="D654" s="47" t="str">
        <f ca="1">IFERROR(__xludf.DUMMYFUNCTION("""COMPUTED_VALUE"""),"C0421")</f>
        <v>C0421</v>
      </c>
      <c r="E654" s="46" t="str">
        <f ca="1">IFERROR(__xludf.DUMMYFUNCTION("""COMPUTED_VALUE"""),"BÙI KHÁNH LÊ")</f>
        <v>BÙI KHÁNH LÊ</v>
      </c>
      <c r="F654" s="46" t="str">
        <f ca="1">IFERROR(__xludf.DUMMYFUNCTION("""COMPUTED_VALUE"""),"BUI KHANH LE")</f>
        <v>BUI KHANH LE</v>
      </c>
      <c r="G654" s="45">
        <f ca="1">IFERROR(__xludf.DUMMYFUNCTION("""COMPUTED_VALUE"""),35594.5833333333)</f>
        <v>35594.583333333299</v>
      </c>
      <c r="H654" s="45" t="str">
        <f ca="1">IFERROR(__xludf.DUMMYFUNCTION("""COMPUTED_VALUE"""),"KITCHEN PASTRY")</f>
        <v>KITCHEN PASTRY</v>
      </c>
      <c r="I654" s="46" t="str">
        <f ca="1">IFERROR(__xludf.DUMMYFUNCTION("""COMPUTED_VALUE"""),"KITCHEN PASTRY")</f>
        <v>KITCHEN PASTRY</v>
      </c>
      <c r="J654" s="46" t="str">
        <f ca="1">IFERROR(__xludf.DUMMYFUNCTION("""COMPUTED_VALUE"""),"KITCHEN PASTRY")</f>
        <v>KITCHEN PASTRY</v>
      </c>
      <c r="K654" s="46" t="str">
        <f ca="1">IFERROR(__xludf.DUMMYFUNCTION("""COMPUTED_VALUE"""),"BAKER")</f>
        <v>BAKER</v>
      </c>
      <c r="L654" s="46" t="str">
        <f ca="1">IFERROR(__xludf.DUMMYFUNCTION("""COMPUTED_VALUE"""),"FTE")</f>
        <v>FTE</v>
      </c>
      <c r="M654" s="46" t="str">
        <f ca="1">IFERROR(__xludf.DUMMYFUNCTION("""COMPUTED_VALUE"""),"On")</f>
        <v>On</v>
      </c>
      <c r="N654" s="46" t="str">
        <f ca="1">IFERROR(__xludf.DUMMYFUNCTION("""COMPUTED_VALUE"""),"đủ")</f>
        <v>đủ</v>
      </c>
    </row>
    <row r="655" spans="1:14">
      <c r="A655" s="45">
        <f ca="1">IFERROR(__xludf.DUMMYFUNCTION("""COMPUTED_VALUE"""),45517.5833333333)</f>
        <v>45517.583333333299</v>
      </c>
      <c r="B655" s="45"/>
      <c r="C655" s="46">
        <f ca="1">IFERROR(__xludf.DUMMYFUNCTION("""COMPUTED_VALUE"""),656)</f>
        <v>656</v>
      </c>
      <c r="D655" s="47" t="str">
        <f ca="1">IFERROR(__xludf.DUMMYFUNCTION("""COMPUTED_VALUE"""),"C0422")</f>
        <v>C0422</v>
      </c>
      <c r="E655" s="46" t="str">
        <f ca="1">IFERROR(__xludf.DUMMYFUNCTION("""COMPUTED_VALUE"""),"NGUYỄN THỊ KIM CƯƠNG")</f>
        <v>NGUYỄN THỊ KIM CƯƠNG</v>
      </c>
      <c r="F655" s="46" t="str">
        <f ca="1">IFERROR(__xludf.DUMMYFUNCTION("""COMPUTED_VALUE"""),"NGUYEN THI KIM CUONG")</f>
        <v>NGUYEN THI KIM CUONG</v>
      </c>
      <c r="G655" s="45">
        <f ca="1">IFERROR(__xludf.DUMMYFUNCTION("""COMPUTED_VALUE"""),36382.5833333333)</f>
        <v>36382.583333333299</v>
      </c>
      <c r="H655" s="45" t="str">
        <f ca="1">IFERROR(__xludf.DUMMYFUNCTION("""COMPUTED_VALUE"""),"BAKES")</f>
        <v>BAKES</v>
      </c>
      <c r="I655" s="46" t="str">
        <f ca="1">IFERROR(__xludf.DUMMYFUNCTION("""COMPUTED_VALUE"""),"HO")</f>
        <v>HO</v>
      </c>
      <c r="J655" s="46" t="str">
        <f ca="1">IFERROR(__xludf.DUMMYFUNCTION("""COMPUTED_VALUE"""),"PRO")</f>
        <v>PRO</v>
      </c>
      <c r="K655" s="46" t="str">
        <f ca="1">IFERROR(__xludf.DUMMYFUNCTION("""COMPUTED_VALUE"""),"PRO")</f>
        <v>PRO</v>
      </c>
      <c r="L655" s="46" t="str">
        <f ca="1">IFERROR(__xludf.DUMMYFUNCTION("""COMPUTED_VALUE"""),"FTE")</f>
        <v>FTE</v>
      </c>
      <c r="M655" s="46" t="str">
        <f ca="1">IFERROR(__xludf.DUMMYFUNCTION("""COMPUTED_VALUE"""),"On")</f>
        <v>On</v>
      </c>
      <c r="N655" s="46" t="str">
        <f ca="1">IFERROR(__xludf.DUMMYFUNCTION("""COMPUTED_VALUE"""),"đủ")</f>
        <v>đủ</v>
      </c>
    </row>
    <row r="656" spans="1:14">
      <c r="A656" s="45">
        <f ca="1">IFERROR(__xludf.DUMMYFUNCTION("""COMPUTED_VALUE"""),45519.5833333333)</f>
        <v>45519.583333333299</v>
      </c>
      <c r="B656" s="45">
        <f ca="1">IFERROR(__xludf.DUMMYFUNCTION("""COMPUTED_VALUE"""),45565.5833333333)</f>
        <v>45565.583333333299</v>
      </c>
      <c r="C656" s="46">
        <f ca="1">IFERROR(__xludf.DUMMYFUNCTION("""COMPUTED_VALUE"""),657)</f>
        <v>657</v>
      </c>
      <c r="D656" s="47" t="str">
        <f ca="1">IFERROR(__xludf.DUMMYFUNCTION("""COMPUTED_VALUE"""),"C0423")</f>
        <v>C0423</v>
      </c>
      <c r="E656" s="46" t="str">
        <f ca="1">IFERROR(__xludf.DUMMYFUNCTION("""COMPUTED_VALUE"""),"LÊ NGỌC HÂN")</f>
        <v>LÊ NGỌC HÂN</v>
      </c>
      <c r="F656" s="46" t="str">
        <f ca="1">IFERROR(__xludf.DUMMYFUNCTION("""COMPUTED_VALUE"""),"LE NGOC HAN")</f>
        <v>LE NGOC HAN</v>
      </c>
      <c r="G656" s="45">
        <f ca="1">IFERROR(__xludf.DUMMYFUNCTION("""COMPUTED_VALUE"""),38913.5833333333)</f>
        <v>38913.583333333299</v>
      </c>
      <c r="H656" s="45" t="str">
        <f ca="1">IFERROR(__xludf.DUMMYFUNCTION("""COMPUTED_VALUE"""),"MOONCAKE")</f>
        <v>MOONCAKE</v>
      </c>
      <c r="I656" s="46" t="str">
        <f ca="1">IFERROR(__xludf.DUMMYFUNCTION("""COMPUTED_VALUE"""),"STORE")</f>
        <v>STORE</v>
      </c>
      <c r="J656" s="46" t="str">
        <f ca="1">IFERROR(__xludf.DUMMYFUNCTION("""COMPUTED_VALUE"""),"BAKES D2")</f>
        <v>BAKES D2</v>
      </c>
      <c r="K656" s="46" t="str">
        <f ca="1">IFERROR(__xludf.DUMMYFUNCTION("""COMPUTED_VALUE"""),"SAL")</f>
        <v>SAL</v>
      </c>
      <c r="L656" s="46" t="str">
        <f ca="1">IFERROR(__xludf.DUMMYFUNCTION("""COMPUTED_VALUE"""),"PTE")</f>
        <v>PTE</v>
      </c>
      <c r="M656" s="46" t="str">
        <f ca="1">IFERROR(__xludf.DUMMYFUNCTION("""COMPUTED_VALUE"""),"Leave")</f>
        <v>Leave</v>
      </c>
      <c r="N656" s="46" t="str">
        <f ca="1">IFERROR(__xludf.DUMMYFUNCTION("""COMPUTED_VALUE"""),"x")</f>
        <v>x</v>
      </c>
    </row>
    <row r="657" spans="1:14">
      <c r="A657" s="45">
        <f ca="1">IFERROR(__xludf.DUMMYFUNCTION("""COMPUTED_VALUE"""),45519.5833333333)</f>
        <v>45519.583333333299</v>
      </c>
      <c r="B657" s="45">
        <f ca="1">IFERROR(__xludf.DUMMYFUNCTION("""COMPUTED_VALUE"""),45544.5833333333)</f>
        <v>45544.583333333299</v>
      </c>
      <c r="C657" s="46">
        <f ca="1">IFERROR(__xludf.DUMMYFUNCTION("""COMPUTED_VALUE"""),658)</f>
        <v>658</v>
      </c>
      <c r="D657" s="47" t="str">
        <f ca="1">IFERROR(__xludf.DUMMYFUNCTION("""COMPUTED_VALUE"""),"C0424")</f>
        <v>C0424</v>
      </c>
      <c r="E657" s="46" t="str">
        <f ca="1">IFERROR(__xludf.DUMMYFUNCTION("""COMPUTED_VALUE"""),"HOÀNG THỤY TÚ TRINH")</f>
        <v>HOÀNG THỤY TÚ TRINH</v>
      </c>
      <c r="F657" s="46" t="str">
        <f ca="1">IFERROR(__xludf.DUMMYFUNCTION("""COMPUTED_VALUE"""),"HOANG THUY TU TRINH")</f>
        <v>HOANG THUY TU TRINH</v>
      </c>
      <c r="G657" s="45">
        <f ca="1">IFERROR(__xludf.DUMMYFUNCTION("""COMPUTED_VALUE"""),34184.5833333333)</f>
        <v>34184.583333333299</v>
      </c>
      <c r="H657" s="45" t="str">
        <f ca="1">IFERROR(__xludf.DUMMYFUNCTION("""COMPUTED_VALUE"""),"MOONCAKE")</f>
        <v>MOONCAKE</v>
      </c>
      <c r="I657" s="46" t="str">
        <f ca="1">IFERROR(__xludf.DUMMYFUNCTION("""COMPUTED_VALUE"""),"STORE")</f>
        <v>STORE</v>
      </c>
      <c r="J657" s="46" t="str">
        <f ca="1">IFERROR(__xludf.DUMMYFUNCTION("""COMPUTED_VALUE"""),"BAKES D2")</f>
        <v>BAKES D2</v>
      </c>
      <c r="K657" s="46" t="str">
        <f ca="1">IFERROR(__xludf.DUMMYFUNCTION("""COMPUTED_VALUE"""),"SAL")</f>
        <v>SAL</v>
      </c>
      <c r="L657" s="46" t="str">
        <f ca="1">IFERROR(__xludf.DUMMYFUNCTION("""COMPUTED_VALUE"""),"PTE")</f>
        <v>PTE</v>
      </c>
      <c r="M657" s="46" t="str">
        <f ca="1">IFERROR(__xludf.DUMMYFUNCTION("""COMPUTED_VALUE"""),"Leave")</f>
        <v>Leave</v>
      </c>
      <c r="N657" s="46" t="str">
        <f ca="1">IFERROR(__xludf.DUMMYFUNCTION("""COMPUTED_VALUE"""),"x")</f>
        <v>x</v>
      </c>
    </row>
    <row r="658" spans="1:14">
      <c r="A658" s="45">
        <f ca="1">IFERROR(__xludf.DUMMYFUNCTION("""COMPUTED_VALUE"""),45517.5833333333)</f>
        <v>45517.583333333299</v>
      </c>
      <c r="B658" s="45">
        <f ca="1">IFERROR(__xludf.DUMMYFUNCTION("""COMPUTED_VALUE"""),45518.5833333333)</f>
        <v>45518.583333333299</v>
      </c>
      <c r="C658" s="46">
        <f ca="1">IFERROR(__xludf.DUMMYFUNCTION("""COMPUTED_VALUE"""),659)</f>
        <v>659</v>
      </c>
      <c r="D658" s="47" t="str">
        <f ca="1">IFERROR(__xludf.DUMMYFUNCTION("""COMPUTED_VALUE"""),"C0425")</f>
        <v>C0425</v>
      </c>
      <c r="E658" s="46" t="str">
        <f ca="1">IFERROR(__xludf.DUMMYFUNCTION("""COMPUTED_VALUE"""),"VÕ NGỌC XUÂN MAI")</f>
        <v>VÕ NGỌC XUÂN MAI</v>
      </c>
      <c r="F658" s="46" t="str">
        <f ca="1">IFERROR(__xludf.DUMMYFUNCTION("""COMPUTED_VALUE"""),"VO NGOC XUAN MAI")</f>
        <v>VO NGOC XUAN MAI</v>
      </c>
      <c r="G658" s="45">
        <f ca="1">IFERROR(__xludf.DUMMYFUNCTION("""COMPUTED_VALUE"""),33595.625)</f>
        <v>33595.625</v>
      </c>
      <c r="H658" s="45" t="str">
        <f ca="1">IFERROR(__xludf.DUMMYFUNCTION("""COMPUTED_VALUE"""),"YESHI")</f>
        <v>YESHI</v>
      </c>
      <c r="I658" s="46" t="str">
        <f ca="1">IFERROR(__xludf.DUMMYFUNCTION("""COMPUTED_VALUE"""),"STORE")</f>
        <v>STORE</v>
      </c>
      <c r="J658" s="46" t="str">
        <f ca="1">IFERROR(__xludf.DUMMYFUNCTION("""COMPUTED_VALUE"""),"YESHI D2")</f>
        <v>YESHI D2</v>
      </c>
      <c r="K658" s="46" t="str">
        <f ca="1">IFERROR(__xludf.DUMMYFUNCTION("""COMPUTED_VALUE"""),"KIT")</f>
        <v>KIT</v>
      </c>
      <c r="L658" s="46" t="str">
        <f ca="1">IFERROR(__xludf.DUMMYFUNCTION("""COMPUTED_VALUE"""),"PTE")</f>
        <v>PTE</v>
      </c>
      <c r="M658" s="46" t="str">
        <f ca="1">IFERROR(__xludf.DUMMYFUNCTION("""COMPUTED_VALUE"""),"Leave")</f>
        <v>Leave</v>
      </c>
      <c r="N658" s="46" t="str">
        <f ca="1">IFERROR(__xludf.DUMMYFUNCTION("""COMPUTED_VALUE"""),"x")</f>
        <v>x</v>
      </c>
    </row>
    <row r="659" spans="1:14">
      <c r="A659" s="45">
        <f ca="1">IFERROR(__xludf.DUMMYFUNCTION("""COMPUTED_VALUE"""),45524.5833333333)</f>
        <v>45524.583333333299</v>
      </c>
      <c r="B659" s="45">
        <f ca="1">IFERROR(__xludf.DUMMYFUNCTION("""COMPUTED_VALUE"""),45733.5833333333)</f>
        <v>45733.583333333299</v>
      </c>
      <c r="C659" s="46">
        <f ca="1">IFERROR(__xludf.DUMMYFUNCTION("""COMPUTED_VALUE"""),660)</f>
        <v>660</v>
      </c>
      <c r="D659" s="47" t="str">
        <f ca="1">IFERROR(__xludf.DUMMYFUNCTION("""COMPUTED_VALUE"""),"C0426")</f>
        <v>C0426</v>
      </c>
      <c r="E659" s="46" t="str">
        <f ca="1">IFERROR(__xludf.DUMMYFUNCTION("""COMPUTED_VALUE"""),"HÀ VĂN NHÍ EM")</f>
        <v>HÀ VĂN NHÍ EM</v>
      </c>
      <c r="F659" s="46" t="str">
        <f ca="1">IFERROR(__xludf.DUMMYFUNCTION("""COMPUTED_VALUE"""),"HA VAN NHI EM")</f>
        <v>HA VAN NHI EM</v>
      </c>
      <c r="G659" s="45">
        <f ca="1">IFERROR(__xludf.DUMMYFUNCTION("""COMPUTED_VALUE"""),37107.5833333333)</f>
        <v>37107.583333333299</v>
      </c>
      <c r="H659" s="45" t="str">
        <f ca="1">IFERROR(__xludf.DUMMYFUNCTION("""COMPUTED_VALUE"""),"BAKES")</f>
        <v>BAKES</v>
      </c>
      <c r="I659" s="46" t="str">
        <f ca="1">IFERROR(__xludf.DUMMYFUNCTION("""COMPUTED_VALUE"""),"STORE")</f>
        <v>STORE</v>
      </c>
      <c r="J659" s="46" t="str">
        <f ca="1">IFERROR(__xludf.DUMMYFUNCTION("""COMPUTED_VALUE"""),"BAKES D2")</f>
        <v>BAKES D2</v>
      </c>
      <c r="K659" s="46" t="str">
        <f ca="1">IFERROR(__xludf.DUMMYFUNCTION("""COMPUTED_VALUE"""),"CLEANER")</f>
        <v>CLEANER</v>
      </c>
      <c r="L659" s="46" t="str">
        <f ca="1">IFERROR(__xludf.DUMMYFUNCTION("""COMPUTED_VALUE"""),"FTE")</f>
        <v>FTE</v>
      </c>
      <c r="M659" s="46" t="str">
        <f ca="1">IFERROR(__xludf.DUMMYFUNCTION("""COMPUTED_VALUE"""),"Leave")</f>
        <v>Leave</v>
      </c>
      <c r="N659" s="46" t="str">
        <f ca="1">IFERROR(__xludf.DUMMYFUNCTION("""COMPUTED_VALUE"""),"x")</f>
        <v>x</v>
      </c>
    </row>
    <row r="660" spans="1:14">
      <c r="A660" s="45">
        <f ca="1">IFERROR(__xludf.DUMMYFUNCTION("""COMPUTED_VALUE"""),45519.5833333333)</f>
        <v>45519.583333333299</v>
      </c>
      <c r="B660" s="45"/>
      <c r="C660" s="46">
        <f ca="1">IFERROR(__xludf.DUMMYFUNCTION("""COMPUTED_VALUE"""),661)</f>
        <v>661</v>
      </c>
      <c r="D660" s="47" t="str">
        <f ca="1">IFERROR(__xludf.DUMMYFUNCTION("""COMPUTED_VALUE"""),"C0427")</f>
        <v>C0427</v>
      </c>
      <c r="E660" s="46" t="str">
        <f ca="1">IFERROR(__xludf.DUMMYFUNCTION("""COMPUTED_VALUE"""),"NGUYỄN THỊ PHƯỜNG")</f>
        <v>NGUYỄN THỊ PHƯỜNG</v>
      </c>
      <c r="F660" s="46" t="str">
        <f ca="1">IFERROR(__xludf.DUMMYFUNCTION("""COMPUTED_VALUE"""),"NGUYEN THI PHUONG")</f>
        <v>NGUYEN THI PHUONG</v>
      </c>
      <c r="G660" s="45">
        <f ca="1">IFERROR(__xludf.DUMMYFUNCTION("""COMPUTED_VALUE"""),23522.625)</f>
        <v>23522.625</v>
      </c>
      <c r="H660" s="45" t="str">
        <f ca="1">IFERROR(__xludf.DUMMYFUNCTION("""COMPUTED_VALUE"""),"YESHI")</f>
        <v>YESHI</v>
      </c>
      <c r="I660" s="46" t="str">
        <f ca="1">IFERROR(__xludf.DUMMYFUNCTION("""COMPUTED_VALUE"""),"STORE")</f>
        <v>STORE</v>
      </c>
      <c r="J660" s="46" t="str">
        <f ca="1">IFERROR(__xludf.DUMMYFUNCTION("""COMPUTED_VALUE"""),"YESHI D2")</f>
        <v>YESHI D2</v>
      </c>
      <c r="K660" s="46" t="str">
        <f ca="1">IFERROR(__xludf.DUMMYFUNCTION("""COMPUTED_VALUE"""),"CLEANER")</f>
        <v>CLEANER</v>
      </c>
      <c r="L660" s="46" t="str">
        <f ca="1">IFERROR(__xludf.DUMMYFUNCTION("""COMPUTED_VALUE"""),"FTE")</f>
        <v>FTE</v>
      </c>
      <c r="M660" s="46" t="str">
        <f ca="1">IFERROR(__xludf.DUMMYFUNCTION("""COMPUTED_VALUE"""),"On")</f>
        <v>On</v>
      </c>
      <c r="N660" s="46" t="str">
        <f ca="1">IFERROR(__xludf.DUMMYFUNCTION("""COMPUTED_VALUE"""),"đủ")</f>
        <v>đủ</v>
      </c>
    </row>
    <row r="661" spans="1:14">
      <c r="A661" s="45">
        <f ca="1">IFERROR(__xludf.DUMMYFUNCTION("""COMPUTED_VALUE"""),45525.5833333333)</f>
        <v>45525.583333333299</v>
      </c>
      <c r="B661" s="45">
        <f ca="1">IFERROR(__xludf.DUMMYFUNCTION("""COMPUTED_VALUE"""),45882.5833333333)</f>
        <v>45882.583333333299</v>
      </c>
      <c r="C661" s="46">
        <f ca="1">IFERROR(__xludf.DUMMYFUNCTION("""COMPUTED_VALUE"""),662)</f>
        <v>662</v>
      </c>
      <c r="D661" s="47" t="str">
        <f ca="1">IFERROR(__xludf.DUMMYFUNCTION("""COMPUTED_VALUE"""),"C0428")</f>
        <v>C0428</v>
      </c>
      <c r="E661" s="46" t="str">
        <f ca="1">IFERROR(__xludf.DUMMYFUNCTION("""COMPUTED_VALUE"""),"ĐỖ THỊ HÀ MY")</f>
        <v>ĐỖ THỊ HÀ MY</v>
      </c>
      <c r="F661" s="46" t="str">
        <f ca="1">IFERROR(__xludf.DUMMYFUNCTION("""COMPUTED_VALUE"""),"DO THI HA MY")</f>
        <v>DO THI HA MY</v>
      </c>
      <c r="G661" s="45">
        <f ca="1">IFERROR(__xludf.DUMMYFUNCTION("""COMPUTED_VALUE"""),34702.625)</f>
        <v>34702.625</v>
      </c>
      <c r="H661" s="45" t="str">
        <f ca="1">IFERROR(__xludf.DUMMYFUNCTION("""COMPUTED_VALUE"""),"BAKES")</f>
        <v>BAKES</v>
      </c>
      <c r="I661" s="46" t="str">
        <f ca="1">IFERROR(__xludf.DUMMYFUNCTION("""COMPUTED_VALUE"""),"HO")</f>
        <v>HO</v>
      </c>
      <c r="J661" s="46" t="str">
        <f ca="1">IFERROR(__xludf.DUMMYFUNCTION("""COMPUTED_VALUE"""),"FIN")</f>
        <v>FIN</v>
      </c>
      <c r="K661" s="46" t="str">
        <f ca="1">IFERROR(__xludf.DUMMYFUNCTION("""COMPUTED_VALUE"""),"FIN")</f>
        <v>FIN</v>
      </c>
      <c r="L661" s="46" t="str">
        <f ca="1">IFERROR(__xludf.DUMMYFUNCTION("""COMPUTED_VALUE"""),"FTE")</f>
        <v>FTE</v>
      </c>
      <c r="M661" s="46" t="str">
        <f ca="1">IFERROR(__xludf.DUMMYFUNCTION("""COMPUTED_VALUE"""),"Leave")</f>
        <v>Leave</v>
      </c>
      <c r="N661" s="46" t="str">
        <f ca="1">IFERROR(__xludf.DUMMYFUNCTION("""COMPUTED_VALUE"""),"đủ")</f>
        <v>đủ</v>
      </c>
    </row>
    <row r="662" spans="1:14">
      <c r="A662" s="45">
        <f ca="1">IFERROR(__xludf.DUMMYFUNCTION("""COMPUTED_VALUE"""),45516.5833333333)</f>
        <v>45516.583333333299</v>
      </c>
      <c r="B662" s="45">
        <f ca="1">IFERROR(__xludf.DUMMYFUNCTION("""COMPUTED_VALUE"""),45583.5833333333)</f>
        <v>45583.583333333299</v>
      </c>
      <c r="C662" s="46">
        <f ca="1">IFERROR(__xludf.DUMMYFUNCTION("""COMPUTED_VALUE"""),663)</f>
        <v>663</v>
      </c>
      <c r="D662" s="47" t="str">
        <f ca="1">IFERROR(__xludf.DUMMYFUNCTION("""COMPUTED_VALUE"""),"C0429")</f>
        <v>C0429</v>
      </c>
      <c r="E662" s="46" t="str">
        <f ca="1">IFERROR(__xludf.DUMMYFUNCTION("""COMPUTED_VALUE"""),"NGUYỄN NHƯ QUANG PHÁT")</f>
        <v>NGUYỄN NHƯ QUANG PHÁT</v>
      </c>
      <c r="F662" s="46" t="str">
        <f ca="1">IFERROR(__xludf.DUMMYFUNCTION("""COMPUTED_VALUE"""),"NGUYEN NHU QUANG PHAT")</f>
        <v>NGUYEN NHU QUANG PHAT</v>
      </c>
      <c r="G662" s="45">
        <f ca="1">IFERROR(__xludf.DUMMYFUNCTION("""COMPUTED_VALUE"""),35156.625)</f>
        <v>35156.625</v>
      </c>
      <c r="H662" s="45" t="str">
        <f ca="1">IFERROR(__xludf.DUMMYFUNCTION("""COMPUTED_VALUE"""),"SHADOW")</f>
        <v>SHADOW</v>
      </c>
      <c r="I662" s="46" t="str">
        <f ca="1">IFERROR(__xludf.DUMMYFUNCTION("""COMPUTED_VALUE"""),"STORE")</f>
        <v>STORE</v>
      </c>
      <c r="J662" s="46" t="str">
        <f ca="1">IFERROR(__xludf.DUMMYFUNCTION("""COMPUTED_VALUE"""),"NEW YOLK")</f>
        <v>NEW YOLK</v>
      </c>
      <c r="K662" s="46" t="str">
        <f ca="1">IFERROR(__xludf.DUMMYFUNCTION("""COMPUTED_VALUE"""),"KIT")</f>
        <v>KIT</v>
      </c>
      <c r="L662" s="46" t="str">
        <f ca="1">IFERROR(__xludf.DUMMYFUNCTION("""COMPUTED_VALUE"""),"PRO")</f>
        <v>PRO</v>
      </c>
      <c r="M662" s="46" t="str">
        <f ca="1">IFERROR(__xludf.DUMMYFUNCTION("""COMPUTED_VALUE"""),"Leave")</f>
        <v>Leave</v>
      </c>
      <c r="N662" s="46" t="str">
        <f ca="1">IFERROR(__xludf.DUMMYFUNCTION("""COMPUTED_VALUE"""),"x")</f>
        <v>x</v>
      </c>
    </row>
    <row r="663" spans="1:14">
      <c r="A663" s="45">
        <f ca="1">IFERROR(__xludf.DUMMYFUNCTION("""COMPUTED_VALUE"""),45531.5833333333)</f>
        <v>45531.583333333299</v>
      </c>
      <c r="B663" s="45">
        <f ca="1">IFERROR(__xludf.DUMMYFUNCTION("""COMPUTED_VALUE"""),45594.5833333333)</f>
        <v>45594.583333333299</v>
      </c>
      <c r="C663" s="46">
        <f ca="1">IFERROR(__xludf.DUMMYFUNCTION("""COMPUTED_VALUE"""),664)</f>
        <v>664</v>
      </c>
      <c r="D663" s="47" t="str">
        <f ca="1">IFERROR(__xludf.DUMMYFUNCTION("""COMPUTED_VALUE"""),"C0430")</f>
        <v>C0430</v>
      </c>
      <c r="E663" s="46" t="str">
        <f ca="1">IFERROR(__xludf.DUMMYFUNCTION("""COMPUTED_VALUE"""),"NGUYỄN PHÚC TRANG THẢO")</f>
        <v>NGUYỄN PHÚC TRANG THẢO</v>
      </c>
      <c r="F663" s="46" t="str">
        <f ca="1">IFERROR(__xludf.DUMMYFUNCTION("""COMPUTED_VALUE"""),"NGUYEN PHUC TRANG THAO")</f>
        <v>NGUYEN PHUC TRANG THAO</v>
      </c>
      <c r="G663" s="45">
        <f ca="1">IFERROR(__xludf.DUMMYFUNCTION("""COMPUTED_VALUE"""),36047.5833333333)</f>
        <v>36047.583333333299</v>
      </c>
      <c r="H663" s="45" t="str">
        <f ca="1">IFERROR(__xludf.DUMMYFUNCTION("""COMPUTED_VALUE"""),"BAKES")</f>
        <v>BAKES</v>
      </c>
      <c r="I663" s="46" t="str">
        <f ca="1">IFERROR(__xludf.DUMMYFUNCTION("""COMPUTED_VALUE"""),"HO")</f>
        <v>HO</v>
      </c>
      <c r="J663" s="46" t="str">
        <f ca="1">IFERROR(__xludf.DUMMYFUNCTION("""COMPUTED_VALUE"""),"MKT")</f>
        <v>MKT</v>
      </c>
      <c r="K663" s="46" t="str">
        <f ca="1">IFERROR(__xludf.DUMMYFUNCTION("""COMPUTED_VALUE"""),"MKT")</f>
        <v>MKT</v>
      </c>
      <c r="L663" s="46" t="str">
        <f ca="1">IFERROR(__xludf.DUMMYFUNCTION("""COMPUTED_VALUE"""),"PRO")</f>
        <v>PRO</v>
      </c>
      <c r="M663" s="46" t="str">
        <f ca="1">IFERROR(__xludf.DUMMYFUNCTION("""COMPUTED_VALUE"""),"Leave")</f>
        <v>Leave</v>
      </c>
      <c r="N663" s="46" t="str">
        <f ca="1">IFERROR(__xludf.DUMMYFUNCTION("""COMPUTED_VALUE"""),"x")</f>
        <v>x</v>
      </c>
    </row>
    <row r="664" spans="1:14">
      <c r="A664" s="45">
        <f ca="1">IFERROR(__xludf.DUMMYFUNCTION("""COMPUTED_VALUE"""),45505.5833333333)</f>
        <v>45505.583333333299</v>
      </c>
      <c r="B664" s="45">
        <f ca="1">IFERROR(__xludf.DUMMYFUNCTION("""COMPUTED_VALUE"""),45634.625)</f>
        <v>45634.625</v>
      </c>
      <c r="C664" s="46">
        <f ca="1">IFERROR(__xludf.DUMMYFUNCTION("""COMPUTED_VALUE"""),665)</f>
        <v>665</v>
      </c>
      <c r="D664" s="47" t="str">
        <f ca="1">IFERROR(__xludf.DUMMYFUNCTION("""COMPUTED_VALUE"""),"C0431")</f>
        <v>C0431</v>
      </c>
      <c r="E664" s="46" t="str">
        <f ca="1">IFERROR(__xludf.DUMMYFUNCTION("""COMPUTED_VALUE"""),"NGUYỄN BẢO QUỲNH NHƯ")</f>
        <v>NGUYỄN BẢO QUỲNH NHƯ</v>
      </c>
      <c r="F664" s="46" t="str">
        <f ca="1">IFERROR(__xludf.DUMMYFUNCTION("""COMPUTED_VALUE"""),"NGUYEN BAO QUYNH NHU")</f>
        <v>NGUYEN BAO QUYNH NHU</v>
      </c>
      <c r="G664" s="45">
        <f ca="1">IFERROR(__xludf.DUMMYFUNCTION("""COMPUTED_VALUE"""),36136.625)</f>
        <v>36136.625</v>
      </c>
      <c r="H664" s="45" t="str">
        <f ca="1">IFERROR(__xludf.DUMMYFUNCTION("""COMPUTED_VALUE"""),"KITCHEN PASTRY")</f>
        <v>KITCHEN PASTRY</v>
      </c>
      <c r="I664" s="46" t="str">
        <f ca="1">IFERROR(__xludf.DUMMYFUNCTION("""COMPUTED_VALUE"""),"KITCHEN PASTRY")</f>
        <v>KITCHEN PASTRY</v>
      </c>
      <c r="J664" s="46" t="str">
        <f ca="1">IFERROR(__xludf.DUMMYFUNCTION("""COMPUTED_VALUE"""),"KITCHEN PASTRY")</f>
        <v>KITCHEN PASTRY</v>
      </c>
      <c r="K664" s="46" t="str">
        <f ca="1">IFERROR(__xludf.DUMMYFUNCTION("""COMPUTED_VALUE"""),"PASTRY")</f>
        <v>PASTRY</v>
      </c>
      <c r="L664" s="46" t="str">
        <f ca="1">IFERROR(__xludf.DUMMYFUNCTION("""COMPUTED_VALUE"""),"PTE")</f>
        <v>PTE</v>
      </c>
      <c r="M664" s="46" t="str">
        <f ca="1">IFERROR(__xludf.DUMMYFUNCTION("""COMPUTED_VALUE"""),"Leave")</f>
        <v>Leave</v>
      </c>
      <c r="N664" s="46" t="str">
        <f ca="1">IFERROR(__xludf.DUMMYFUNCTION("""COMPUTED_VALUE"""),"đủ")</f>
        <v>đủ</v>
      </c>
    </row>
    <row r="665" spans="1:14">
      <c r="A665" s="45">
        <f ca="1">IFERROR(__xludf.DUMMYFUNCTION("""COMPUTED_VALUE"""),45539.5833333333)</f>
        <v>45539.583333333299</v>
      </c>
      <c r="B665" s="45">
        <f ca="1">IFERROR(__xludf.DUMMYFUNCTION("""COMPUTED_VALUE"""),45931.5833333333)</f>
        <v>45931.583333333299</v>
      </c>
      <c r="C665" s="46">
        <f ca="1">IFERROR(__xludf.DUMMYFUNCTION("""COMPUTED_VALUE"""),666)</f>
        <v>666</v>
      </c>
      <c r="D665" s="47" t="str">
        <f ca="1">IFERROR(__xludf.DUMMYFUNCTION("""COMPUTED_VALUE"""),"C0432")</f>
        <v>C0432</v>
      </c>
      <c r="E665" s="46" t="str">
        <f ca="1">IFERROR(__xludf.DUMMYFUNCTION("""COMPUTED_VALUE"""),"PHAN VĂN HIẾU")</f>
        <v>PHAN VĂN HIẾU</v>
      </c>
      <c r="F665" s="46" t="str">
        <f ca="1">IFERROR(__xludf.DUMMYFUNCTION("""COMPUTED_VALUE"""),"PHAN VAN HIEU")</f>
        <v>PHAN VAN HIEU</v>
      </c>
      <c r="G665" s="45">
        <f ca="1">IFERROR(__xludf.DUMMYFUNCTION("""COMPUTED_VALUE"""),35407.625)</f>
        <v>35407.625</v>
      </c>
      <c r="H665" s="45" t="str">
        <f ca="1">IFERROR(__xludf.DUMMYFUNCTION("""COMPUTED_VALUE"""),"BAKES")</f>
        <v>BAKES</v>
      </c>
      <c r="I665" s="46" t="str">
        <f ca="1">IFERROR(__xludf.DUMMYFUNCTION("""COMPUTED_VALUE"""),"HO")</f>
        <v>HO</v>
      </c>
      <c r="J665" s="46" t="str">
        <f ca="1">IFERROR(__xludf.DUMMYFUNCTION("""COMPUTED_VALUE"""),"FIN")</f>
        <v>FIN</v>
      </c>
      <c r="K665" s="46" t="str">
        <f ca="1">IFERROR(__xludf.DUMMYFUNCTION("""COMPUTED_VALUE"""),"FIN")</f>
        <v>FIN</v>
      </c>
      <c r="L665" s="46" t="str">
        <f ca="1">IFERROR(__xludf.DUMMYFUNCTION("""COMPUTED_VALUE"""),"FTE")</f>
        <v>FTE</v>
      </c>
      <c r="M665" s="46" t="str">
        <f ca="1">IFERROR(__xludf.DUMMYFUNCTION("""COMPUTED_VALUE"""),"Leave")</f>
        <v>Leave</v>
      </c>
      <c r="N665" s="46" t="str">
        <f ca="1">IFERROR(__xludf.DUMMYFUNCTION("""COMPUTED_VALUE"""),"đủ")</f>
        <v>đủ</v>
      </c>
    </row>
    <row r="666" spans="1:14">
      <c r="A666" s="45">
        <f ca="1">IFERROR(__xludf.DUMMYFUNCTION("""COMPUTED_VALUE"""),45523.5833333333)</f>
        <v>45523.583333333299</v>
      </c>
      <c r="B666" s="45">
        <f ca="1">IFERROR(__xludf.DUMMYFUNCTION("""COMPUTED_VALUE"""),45642.625)</f>
        <v>45642.625</v>
      </c>
      <c r="C666" s="46">
        <f ca="1">IFERROR(__xludf.DUMMYFUNCTION("""COMPUTED_VALUE"""),667)</f>
        <v>667</v>
      </c>
      <c r="D666" s="47" t="str">
        <f ca="1">IFERROR(__xludf.DUMMYFUNCTION("""COMPUTED_VALUE"""),"C0433")</f>
        <v>C0433</v>
      </c>
      <c r="E666" s="46" t="str">
        <f ca="1">IFERROR(__xludf.DUMMYFUNCTION("""COMPUTED_VALUE"""),"DƯƠNG THÚY VI")</f>
        <v>DƯƠNG THÚY VI</v>
      </c>
      <c r="F666" s="46" t="str">
        <f ca="1">IFERROR(__xludf.DUMMYFUNCTION("""COMPUTED_VALUE"""),"DUONG THUY VI")</f>
        <v>DUONG THUY VI</v>
      </c>
      <c r="G666" s="45">
        <f ca="1">IFERROR(__xludf.DUMMYFUNCTION("""COMPUTED_VALUE"""),36998.5833333333)</f>
        <v>36998.583333333299</v>
      </c>
      <c r="H666" s="45" t="str">
        <f ca="1">IFERROR(__xludf.DUMMYFUNCTION("""COMPUTED_VALUE"""),"MATTE")</f>
        <v>MATTE</v>
      </c>
      <c r="I666" s="46" t="str">
        <f ca="1">IFERROR(__xludf.DUMMYFUNCTION("""COMPUTED_VALUE"""),"STORE")</f>
        <v>STORE</v>
      </c>
      <c r="J666" s="46" t="str">
        <f ca="1">IFERROR(__xludf.DUMMYFUNCTION("""COMPUTED_VALUE"""),"MATTE D7")</f>
        <v>MATTE D7</v>
      </c>
      <c r="K666" s="46" t="str">
        <f ca="1">IFERROR(__xludf.DUMMYFUNCTION("""COMPUTED_VALUE"""),"BAR")</f>
        <v>BAR</v>
      </c>
      <c r="L666" s="46" t="str">
        <f ca="1">IFERROR(__xludf.DUMMYFUNCTION("""COMPUTED_VALUE"""),"PTE")</f>
        <v>PTE</v>
      </c>
      <c r="M666" s="46" t="str">
        <f ca="1">IFERROR(__xludf.DUMMYFUNCTION("""COMPUTED_VALUE"""),"Leave")</f>
        <v>Leave</v>
      </c>
      <c r="N666" s="46" t="str">
        <f ca="1">IFERROR(__xludf.DUMMYFUNCTION("""COMPUTED_VALUE"""),"x")</f>
        <v>x</v>
      </c>
    </row>
    <row r="667" spans="1:14">
      <c r="A667" s="45">
        <f ca="1">IFERROR(__xludf.DUMMYFUNCTION("""COMPUTED_VALUE"""),45525.5833333333)</f>
        <v>45525.583333333299</v>
      </c>
      <c r="B667" s="45">
        <f ca="1">IFERROR(__xludf.DUMMYFUNCTION("""COMPUTED_VALUE"""),45551.5833333333)</f>
        <v>45551.583333333299</v>
      </c>
      <c r="C667" s="46">
        <f ca="1">IFERROR(__xludf.DUMMYFUNCTION("""COMPUTED_VALUE"""),668)</f>
        <v>668</v>
      </c>
      <c r="D667" s="47" t="str">
        <f ca="1">IFERROR(__xludf.DUMMYFUNCTION("""COMPUTED_VALUE"""),"C0434")</f>
        <v>C0434</v>
      </c>
      <c r="E667" s="46" t="str">
        <f ca="1">IFERROR(__xludf.DUMMYFUNCTION("""COMPUTED_VALUE"""),"VĂN TRÍ LÂM")</f>
        <v>VĂN TRÍ LÂM</v>
      </c>
      <c r="F667" s="46" t="str">
        <f ca="1">IFERROR(__xludf.DUMMYFUNCTION("""COMPUTED_VALUE"""),"VAN TRI LAM")</f>
        <v>VAN TRI LAM</v>
      </c>
      <c r="G667" s="45">
        <f ca="1">IFERROR(__xludf.DUMMYFUNCTION("""COMPUTED_VALUE"""),33891.5833333333)</f>
        <v>33891.583333333299</v>
      </c>
      <c r="H667" s="45" t="str">
        <f ca="1">IFERROR(__xludf.DUMMYFUNCTION("""COMPUTED_VALUE"""),"TLC")</f>
        <v>TLC</v>
      </c>
      <c r="I667" s="46" t="str">
        <f ca="1">IFERROR(__xludf.DUMMYFUNCTION("""COMPUTED_VALUE"""),"STORE")</f>
        <v>STORE</v>
      </c>
      <c r="J667" s="46" t="str">
        <f ca="1">IFERROR(__xludf.DUMMYFUNCTION("""COMPUTED_VALUE"""),"BLANK LOUNGE")</f>
        <v>BLANK LOUNGE</v>
      </c>
      <c r="K667" s="46" t="str">
        <f ca="1">IFERROR(__xludf.DUMMYFUNCTION("""COMPUTED_VALUE"""),"WAITSTAFF")</f>
        <v>WAITSTAFF</v>
      </c>
      <c r="L667" s="46" t="str">
        <f ca="1">IFERROR(__xludf.DUMMYFUNCTION("""COMPUTED_VALUE"""),"PTE")</f>
        <v>PTE</v>
      </c>
      <c r="M667" s="46" t="str">
        <f ca="1">IFERROR(__xludf.DUMMYFUNCTION("""COMPUTED_VALUE"""),"Leave")</f>
        <v>Leave</v>
      </c>
      <c r="N667" s="46" t="str">
        <f ca="1">IFERROR(__xludf.DUMMYFUNCTION("""COMPUTED_VALUE"""),"đủ")</f>
        <v>đủ</v>
      </c>
    </row>
    <row r="668" spans="1:14">
      <c r="A668" s="45">
        <f ca="1">IFERROR(__xludf.DUMMYFUNCTION("""COMPUTED_VALUE"""),45530.5833333333)</f>
        <v>45530.583333333299</v>
      </c>
      <c r="B668" s="45">
        <f ca="1">IFERROR(__xludf.DUMMYFUNCTION("""COMPUTED_VALUE"""),45566.5833333333)</f>
        <v>45566.583333333299</v>
      </c>
      <c r="C668" s="46">
        <f ca="1">IFERROR(__xludf.DUMMYFUNCTION("""COMPUTED_VALUE"""),669)</f>
        <v>669</v>
      </c>
      <c r="D668" s="47" t="str">
        <f ca="1">IFERROR(__xludf.DUMMYFUNCTION("""COMPUTED_VALUE"""),"C0435")</f>
        <v>C0435</v>
      </c>
      <c r="E668" s="46" t="str">
        <f ca="1">IFERROR(__xludf.DUMMYFUNCTION("""COMPUTED_VALUE"""),"LÂM HẢI SƠN")</f>
        <v>LÂM HẢI SƠN</v>
      </c>
      <c r="F668" s="46" t="str">
        <f ca="1">IFERROR(__xludf.DUMMYFUNCTION("""COMPUTED_VALUE"""),"LAM HAI SON")</f>
        <v>LAM HAI SON</v>
      </c>
      <c r="G668" s="45">
        <f ca="1">IFERROR(__xludf.DUMMYFUNCTION("""COMPUTED_VALUE"""),38326.625)</f>
        <v>38326.625</v>
      </c>
      <c r="H668" s="45" t="str">
        <f ca="1">IFERROR(__xludf.DUMMYFUNCTION("""COMPUTED_VALUE"""),"SHADOW")</f>
        <v>SHADOW</v>
      </c>
      <c r="I668" s="46" t="str">
        <f ca="1">IFERROR(__xludf.DUMMYFUNCTION("""COMPUTED_VALUE"""),"STORE")</f>
        <v>STORE</v>
      </c>
      <c r="J668" s="46" t="str">
        <f ca="1">IFERROR(__xludf.DUMMYFUNCTION("""COMPUTED_VALUE"""),"BAKES PASTEUR")</f>
        <v>BAKES PASTEUR</v>
      </c>
      <c r="K668" s="46" t="str">
        <f ca="1">IFERROR(__xludf.DUMMYFUNCTION("""COMPUTED_VALUE"""),"BAR")</f>
        <v>BAR</v>
      </c>
      <c r="L668" s="46" t="str">
        <f ca="1">IFERROR(__xludf.DUMMYFUNCTION("""COMPUTED_VALUE"""),"PTE")</f>
        <v>PTE</v>
      </c>
      <c r="M668" s="46" t="str">
        <f ca="1">IFERROR(__xludf.DUMMYFUNCTION("""COMPUTED_VALUE"""),"Leave")</f>
        <v>Leave</v>
      </c>
      <c r="N668" s="46" t="str">
        <f ca="1">IFERROR(__xludf.DUMMYFUNCTION("""COMPUTED_VALUE"""),"x")</f>
        <v>x</v>
      </c>
    </row>
    <row r="669" spans="1:14">
      <c r="A669" s="45">
        <f ca="1">IFERROR(__xludf.DUMMYFUNCTION("""COMPUTED_VALUE"""),45530.5833333333)</f>
        <v>45530.583333333299</v>
      </c>
      <c r="B669" s="45">
        <f ca="1">IFERROR(__xludf.DUMMYFUNCTION("""COMPUTED_VALUE"""),45544.5833333333)</f>
        <v>45544.583333333299</v>
      </c>
      <c r="C669" s="46">
        <f ca="1">IFERROR(__xludf.DUMMYFUNCTION("""COMPUTED_VALUE"""),670)</f>
        <v>670</v>
      </c>
      <c r="D669" s="47" t="str">
        <f ca="1">IFERROR(__xludf.DUMMYFUNCTION("""COMPUTED_VALUE"""),"C0436")</f>
        <v>C0436</v>
      </c>
      <c r="E669" s="46" t="str">
        <f ca="1">IFERROR(__xludf.DUMMYFUNCTION("""COMPUTED_VALUE"""),"NGUYỄN LÊ THANH HẢI")</f>
        <v>NGUYỄN LÊ THANH HẢI</v>
      </c>
      <c r="F669" s="46" t="str">
        <f ca="1">IFERROR(__xludf.DUMMYFUNCTION("""COMPUTED_VALUE"""),"NGUYEN LE THANH HAI")</f>
        <v>NGUYEN LE THANH HAI</v>
      </c>
      <c r="G669" s="45">
        <f ca="1">IFERROR(__xludf.DUMMYFUNCTION("""COMPUTED_VALUE"""),38374.625)</f>
        <v>38374.625</v>
      </c>
      <c r="H669" s="45" t="str">
        <f ca="1">IFERROR(__xludf.DUMMYFUNCTION("""COMPUTED_VALUE"""),"BAKES")</f>
        <v>BAKES</v>
      </c>
      <c r="I669" s="46" t="str">
        <f ca="1">IFERROR(__xludf.DUMMYFUNCTION("""COMPUTED_VALUE"""),"STORE")</f>
        <v>STORE</v>
      </c>
      <c r="J669" s="46" t="str">
        <f ca="1">IFERROR(__xludf.DUMMYFUNCTION("""COMPUTED_VALUE"""),"BAKES D9")</f>
        <v>BAKES D9</v>
      </c>
      <c r="K669" s="46" t="str">
        <f ca="1">IFERROR(__xludf.DUMMYFUNCTION("""COMPUTED_VALUE"""),"WAITSTAFF")</f>
        <v>WAITSTAFF</v>
      </c>
      <c r="L669" s="46" t="str">
        <f ca="1">IFERROR(__xludf.DUMMYFUNCTION("""COMPUTED_VALUE"""),"PTE")</f>
        <v>PTE</v>
      </c>
      <c r="M669" s="46" t="str">
        <f ca="1">IFERROR(__xludf.DUMMYFUNCTION("""COMPUTED_VALUE"""),"Leave")</f>
        <v>Leave</v>
      </c>
      <c r="N669" s="46" t="str">
        <f ca="1">IFERROR(__xludf.DUMMYFUNCTION("""COMPUTED_VALUE"""),"x")</f>
        <v>x</v>
      </c>
    </row>
    <row r="670" spans="1:14">
      <c r="A670" s="45">
        <f ca="1">IFERROR(__xludf.DUMMYFUNCTION("""COMPUTED_VALUE"""),45531.5833333333)</f>
        <v>45531.583333333299</v>
      </c>
      <c r="B670" s="45">
        <f ca="1">IFERROR(__xludf.DUMMYFUNCTION("""COMPUTED_VALUE"""),46113.5833333333)</f>
        <v>46113.583333333299</v>
      </c>
      <c r="C670" s="46">
        <f ca="1">IFERROR(__xludf.DUMMYFUNCTION("""COMPUTED_VALUE"""),671)</f>
        <v>671</v>
      </c>
      <c r="D670" s="47" t="str">
        <f ca="1">IFERROR(__xludf.DUMMYFUNCTION("""COMPUTED_VALUE"""),"C0437")</f>
        <v>C0437</v>
      </c>
      <c r="E670" s="46" t="str">
        <f ca="1">IFERROR(__xludf.DUMMYFUNCTION("""COMPUTED_VALUE"""),"TRẦN TUẤN KIỆT")</f>
        <v>TRẦN TUẤN KIỆT</v>
      </c>
      <c r="F670" s="46" t="str">
        <f ca="1">IFERROR(__xludf.DUMMYFUNCTION("""COMPUTED_VALUE"""),"TRAN TUAN KIET")</f>
        <v>TRAN TUAN KIET</v>
      </c>
      <c r="G670" s="45">
        <f ca="1">IFERROR(__xludf.DUMMYFUNCTION("""COMPUTED_VALUE"""),38462.5833333333)</f>
        <v>38462.583333333299</v>
      </c>
      <c r="H670" s="45" t="str">
        <f ca="1">IFERROR(__xludf.DUMMYFUNCTION("""COMPUTED_VALUE"""),"BAKES")</f>
        <v>BAKES</v>
      </c>
      <c r="I670" s="46" t="str">
        <f ca="1">IFERROR(__xludf.DUMMYFUNCTION("""COMPUTED_VALUE"""),"STORE")</f>
        <v>STORE</v>
      </c>
      <c r="J670" s="46" t="str">
        <f ca="1">IFERROR(__xludf.DUMMYFUNCTION("""COMPUTED_VALUE"""),"BAKES D2")</f>
        <v>BAKES D2</v>
      </c>
      <c r="K670" s="46" t="str">
        <f ca="1">IFERROR(__xludf.DUMMYFUNCTION("""COMPUTED_VALUE"""),"BAR")</f>
        <v>BAR</v>
      </c>
      <c r="L670" s="46" t="str">
        <f ca="1">IFERROR(__xludf.DUMMYFUNCTION("""COMPUTED_VALUE"""),"PTE")</f>
        <v>PTE</v>
      </c>
      <c r="M670" s="46" t="str">
        <f ca="1">IFERROR(__xludf.DUMMYFUNCTION("""COMPUTED_VALUE"""),"Leave")</f>
        <v>Leave</v>
      </c>
      <c r="N670" s="46" t="str">
        <f ca="1">IFERROR(__xludf.DUMMYFUNCTION("""COMPUTED_VALUE"""),"đủ")</f>
        <v>đủ</v>
      </c>
    </row>
    <row r="671" spans="1:14">
      <c r="A671" s="45">
        <f ca="1">IFERROR(__xludf.DUMMYFUNCTION("""COMPUTED_VALUE"""),45531.5833333333)</f>
        <v>45531.583333333299</v>
      </c>
      <c r="B671" s="45">
        <f ca="1">IFERROR(__xludf.DUMMYFUNCTION("""COMPUTED_VALUE"""),45575.5833333333)</f>
        <v>45575.583333333299</v>
      </c>
      <c r="C671" s="46">
        <f ca="1">IFERROR(__xludf.DUMMYFUNCTION("""COMPUTED_VALUE"""),672)</f>
        <v>672</v>
      </c>
      <c r="D671" s="47" t="str">
        <f ca="1">IFERROR(__xludf.DUMMYFUNCTION("""COMPUTED_VALUE"""),"C0438")</f>
        <v>C0438</v>
      </c>
      <c r="E671" s="46" t="str">
        <f ca="1">IFERROR(__xludf.DUMMYFUNCTION("""COMPUTED_VALUE"""),"NGUYỄN HOÀNG NGUYÊN")</f>
        <v>NGUYỄN HOÀNG NGUYÊN</v>
      </c>
      <c r="F671" s="46" t="str">
        <f ca="1">IFERROR(__xludf.DUMMYFUNCTION("""COMPUTED_VALUE"""),"NGUYEN HOANG NGUYEN")</f>
        <v>NGUYEN HOANG NGUYEN</v>
      </c>
      <c r="G671" s="45">
        <f ca="1">IFERROR(__xludf.DUMMYFUNCTION("""COMPUTED_VALUE"""),37527.5833333333)</f>
        <v>37527.583333333299</v>
      </c>
      <c r="H671" s="45" t="str">
        <f ca="1">IFERROR(__xludf.DUMMYFUNCTION("""COMPUTED_VALUE"""),"TLC")</f>
        <v>TLC</v>
      </c>
      <c r="I671" s="46" t="str">
        <f ca="1">IFERROR(__xludf.DUMMYFUNCTION("""COMPUTED_VALUE"""),"STORE")</f>
        <v>STORE</v>
      </c>
      <c r="J671" s="46" t="str">
        <f ca="1">IFERROR(__xludf.DUMMYFUNCTION("""COMPUTED_VALUE"""),"BLANK LOUNGE")</f>
        <v>BLANK LOUNGE</v>
      </c>
      <c r="K671" s="46" t="str">
        <f ca="1">IFERROR(__xludf.DUMMYFUNCTION("""COMPUTED_VALUE"""),"WAITSTAFF")</f>
        <v>WAITSTAFF</v>
      </c>
      <c r="L671" s="46" t="str">
        <f ca="1">IFERROR(__xludf.DUMMYFUNCTION("""COMPUTED_VALUE"""),"PTE")</f>
        <v>PTE</v>
      </c>
      <c r="M671" s="46" t="str">
        <f ca="1">IFERROR(__xludf.DUMMYFUNCTION("""COMPUTED_VALUE"""),"Leave")</f>
        <v>Leave</v>
      </c>
      <c r="N671" s="46" t="str">
        <f ca="1">IFERROR(__xludf.DUMMYFUNCTION("""COMPUTED_VALUE"""),"x")</f>
        <v>x</v>
      </c>
    </row>
    <row r="672" spans="1:14">
      <c r="A672" s="45">
        <f ca="1">IFERROR(__xludf.DUMMYFUNCTION("""COMPUTED_VALUE"""),45533.5833333333)</f>
        <v>45533.583333333299</v>
      </c>
      <c r="B672" s="45">
        <f ca="1">IFERROR(__xludf.DUMMYFUNCTION("""COMPUTED_VALUE"""),45566.5833333333)</f>
        <v>45566.583333333299</v>
      </c>
      <c r="C672" s="46">
        <f ca="1">IFERROR(__xludf.DUMMYFUNCTION("""COMPUTED_VALUE"""),673)</f>
        <v>673</v>
      </c>
      <c r="D672" s="47" t="str">
        <f ca="1">IFERROR(__xludf.DUMMYFUNCTION("""COMPUTED_VALUE"""),"C0439")</f>
        <v>C0439</v>
      </c>
      <c r="E672" s="46" t="str">
        <f ca="1">IFERROR(__xludf.DUMMYFUNCTION("""COMPUTED_VALUE"""),"LÊ UYÊN PHƯƠNG")</f>
        <v>LÊ UYÊN PHƯƠNG</v>
      </c>
      <c r="F672" s="46" t="str">
        <f ca="1">IFERROR(__xludf.DUMMYFUNCTION("""COMPUTED_VALUE"""),"LE UYEN PHUONG")</f>
        <v>LE UYEN PHUONG</v>
      </c>
      <c r="G672" s="45">
        <f ca="1">IFERROR(__xludf.DUMMYFUNCTION("""COMPUTED_VALUE"""),38293.625)</f>
        <v>38293.625</v>
      </c>
      <c r="H672" s="45" t="str">
        <f ca="1">IFERROR(__xludf.DUMMYFUNCTION("""COMPUTED_VALUE"""),"BAKES")</f>
        <v>BAKES</v>
      </c>
      <c r="I672" s="46" t="str">
        <f ca="1">IFERROR(__xludf.DUMMYFUNCTION("""COMPUTED_VALUE"""),"STORE")</f>
        <v>STORE</v>
      </c>
      <c r="J672" s="46" t="str">
        <f ca="1">IFERROR(__xludf.DUMMYFUNCTION("""COMPUTED_VALUE"""),"BAKES D2")</f>
        <v>BAKES D2</v>
      </c>
      <c r="K672" s="46" t="str">
        <f ca="1">IFERROR(__xludf.DUMMYFUNCTION("""COMPUTED_VALUE"""),"CASHIER")</f>
        <v>CASHIER</v>
      </c>
      <c r="L672" s="46" t="str">
        <f ca="1">IFERROR(__xludf.DUMMYFUNCTION("""COMPUTED_VALUE"""),"PTE")</f>
        <v>PTE</v>
      </c>
      <c r="M672" s="46" t="str">
        <f ca="1">IFERROR(__xludf.DUMMYFUNCTION("""COMPUTED_VALUE"""),"Leave")</f>
        <v>Leave</v>
      </c>
      <c r="N672" s="46" t="str">
        <f ca="1">IFERROR(__xludf.DUMMYFUNCTION("""COMPUTED_VALUE"""),"x")</f>
        <v>x</v>
      </c>
    </row>
    <row r="673" spans="1:14">
      <c r="A673" s="45">
        <f ca="1">IFERROR(__xludf.DUMMYFUNCTION("""COMPUTED_VALUE"""),45530.5833333333)</f>
        <v>45530.583333333299</v>
      </c>
      <c r="B673" s="45">
        <f ca="1">IFERROR(__xludf.DUMMYFUNCTION("""COMPUTED_VALUE"""),45672.625)</f>
        <v>45672.625</v>
      </c>
      <c r="C673" s="46">
        <f ca="1">IFERROR(__xludf.DUMMYFUNCTION("""COMPUTED_VALUE"""),674)</f>
        <v>674</v>
      </c>
      <c r="D673" s="47" t="str">
        <f ca="1">IFERROR(__xludf.DUMMYFUNCTION("""COMPUTED_VALUE"""),"C0440")</f>
        <v>C0440</v>
      </c>
      <c r="E673" s="46" t="str">
        <f ca="1">IFERROR(__xludf.DUMMYFUNCTION("""COMPUTED_VALUE"""),"PHẠM THỊ MINH PHƯỢNG")</f>
        <v>PHẠM THỊ MINH PHƯỢNG</v>
      </c>
      <c r="F673" s="46" t="str">
        <f ca="1">IFERROR(__xludf.DUMMYFUNCTION("""COMPUTED_VALUE"""),"PHAM THI MINH PHUONG")</f>
        <v>PHAM THI MINH PHUONG</v>
      </c>
      <c r="G673" s="45">
        <f ca="1">IFERROR(__xludf.DUMMYFUNCTION("""COMPUTED_VALUE"""),23731.6666666666)</f>
        <v>23731.666666666599</v>
      </c>
      <c r="H673" s="45" t="str">
        <f ca="1">IFERROR(__xludf.DUMMYFUNCTION("""COMPUTED_VALUE"""),"KITCHEN PASTRY")</f>
        <v>KITCHEN PASTRY</v>
      </c>
      <c r="I673" s="46" t="str">
        <f ca="1">IFERROR(__xludf.DUMMYFUNCTION("""COMPUTED_VALUE"""),"KITCHEN PASTRY")</f>
        <v>KITCHEN PASTRY</v>
      </c>
      <c r="J673" s="46" t="str">
        <f ca="1">IFERROR(__xludf.DUMMYFUNCTION("""COMPUTED_VALUE"""),"KITCHEN PASTRY")</f>
        <v>KITCHEN PASTRY</v>
      </c>
      <c r="K673" s="46" t="str">
        <f ca="1">IFERROR(__xludf.DUMMYFUNCTION("""COMPUTED_VALUE"""),"CLEANER")</f>
        <v>CLEANER</v>
      </c>
      <c r="L673" s="46" t="str">
        <f ca="1">IFERROR(__xludf.DUMMYFUNCTION("""COMPUTED_VALUE"""),"FTE")</f>
        <v>FTE</v>
      </c>
      <c r="M673" s="46" t="str">
        <f ca="1">IFERROR(__xludf.DUMMYFUNCTION("""COMPUTED_VALUE"""),"Leave")</f>
        <v>Leave</v>
      </c>
      <c r="N673" s="46" t="str">
        <f ca="1">IFERROR(__xludf.DUMMYFUNCTION("""COMPUTED_VALUE"""),"chưa có hộ khẩu")</f>
        <v>chưa có hộ khẩu</v>
      </c>
    </row>
    <row r="674" spans="1:14">
      <c r="A674" s="45">
        <f ca="1">IFERROR(__xludf.DUMMYFUNCTION("""COMPUTED_VALUE"""),45509.5833333333)</f>
        <v>45509.583333333299</v>
      </c>
      <c r="B674" s="45">
        <f ca="1">IFERROR(__xludf.DUMMYFUNCTION("""COMPUTED_VALUE"""),46065.625)</f>
        <v>46065.625</v>
      </c>
      <c r="C674" s="46">
        <f ca="1">IFERROR(__xludf.DUMMYFUNCTION("""COMPUTED_VALUE"""),675)</f>
        <v>675</v>
      </c>
      <c r="D674" s="47" t="str">
        <f ca="1">IFERROR(__xludf.DUMMYFUNCTION("""COMPUTED_VALUE"""),"C0441")</f>
        <v>C0441</v>
      </c>
      <c r="E674" s="46" t="str">
        <f ca="1">IFERROR(__xludf.DUMMYFUNCTION("""COMPUTED_VALUE"""),"TRẦN MINH THƯ")</f>
        <v>TRẦN MINH THƯ</v>
      </c>
      <c r="F674" s="46" t="str">
        <f ca="1">IFERROR(__xludf.DUMMYFUNCTION("""COMPUTED_VALUE"""),"TRAN MINH THU")</f>
        <v>TRAN MINH THU</v>
      </c>
      <c r="G674" s="45">
        <f ca="1">IFERROR(__xludf.DUMMYFUNCTION("""COMPUTED_VALUE"""),37146.5833333333)</f>
        <v>37146.583333333299</v>
      </c>
      <c r="H674" s="45" t="str">
        <f ca="1">IFERROR(__xludf.DUMMYFUNCTION("""COMPUTED_VALUE"""),"TLC")</f>
        <v>TLC</v>
      </c>
      <c r="I674" s="46" t="str">
        <f ca="1">IFERROR(__xludf.DUMMYFUNCTION("""COMPUTED_VALUE"""),"STORE")</f>
        <v>STORE</v>
      </c>
      <c r="J674" s="46" t="str">
        <f ca="1">IFERROR(__xludf.DUMMYFUNCTION("""COMPUTED_VALUE"""),"BLANK LOUNGE")</f>
        <v>BLANK LOUNGE</v>
      </c>
      <c r="K674" s="46" t="str">
        <f ca="1">IFERROR(__xludf.DUMMYFUNCTION("""COMPUTED_VALUE"""),"WAITSTAFF")</f>
        <v>WAITSTAFF</v>
      </c>
      <c r="L674" s="46" t="str">
        <f ca="1">IFERROR(__xludf.DUMMYFUNCTION("""COMPUTED_VALUE"""),"PTE")</f>
        <v>PTE</v>
      </c>
      <c r="M674" s="46" t="str">
        <f ca="1">IFERROR(__xludf.DUMMYFUNCTION("""COMPUTED_VALUE"""),"Leave")</f>
        <v>Leave</v>
      </c>
      <c r="N674" s="46" t="str">
        <f ca="1">IFERROR(__xludf.DUMMYFUNCTION("""COMPUTED_VALUE"""),"đủ")</f>
        <v>đủ</v>
      </c>
    </row>
    <row r="675" spans="1:14">
      <c r="A675" s="45">
        <f ca="1">IFERROR(__xludf.DUMMYFUNCTION("""COMPUTED_VALUE"""),45509.5833333333)</f>
        <v>45509.583333333299</v>
      </c>
      <c r="B675" s="45">
        <f ca="1">IFERROR(__xludf.DUMMYFUNCTION("""COMPUTED_VALUE"""),45537.5833333333)</f>
        <v>45537.583333333299</v>
      </c>
      <c r="C675" s="46">
        <f ca="1">IFERROR(__xludf.DUMMYFUNCTION("""COMPUTED_VALUE"""),676)</f>
        <v>676</v>
      </c>
      <c r="D675" s="47" t="str">
        <f ca="1">IFERROR(__xludf.DUMMYFUNCTION("""COMPUTED_VALUE"""),"C0442")</f>
        <v>C0442</v>
      </c>
      <c r="E675" s="46" t="str">
        <f ca="1">IFERROR(__xludf.DUMMYFUNCTION("""COMPUTED_VALUE"""),"DƯƠNG VĨ KIỆT")</f>
        <v>DƯƠNG VĨ KIỆT</v>
      </c>
      <c r="F675" s="46" t="str">
        <f ca="1">IFERROR(__xludf.DUMMYFUNCTION("""COMPUTED_VALUE"""),"DUONG VI KIET")</f>
        <v>DUONG VI KIET</v>
      </c>
      <c r="G675" s="45">
        <f ca="1">IFERROR(__xludf.DUMMYFUNCTION("""COMPUTED_VALUE"""),36765.5833333333)</f>
        <v>36765.583333333299</v>
      </c>
      <c r="H675" s="45" t="str">
        <f ca="1">IFERROR(__xludf.DUMMYFUNCTION("""COMPUTED_VALUE"""),"TLC")</f>
        <v>TLC</v>
      </c>
      <c r="I675" s="46" t="str">
        <f ca="1">IFERROR(__xludf.DUMMYFUNCTION("""COMPUTED_VALUE"""),"STORE")</f>
        <v>STORE</v>
      </c>
      <c r="J675" s="46" t="str">
        <f ca="1">IFERROR(__xludf.DUMMYFUNCTION("""COMPUTED_VALUE"""),"BLANK LOUNGE")</f>
        <v>BLANK LOUNGE</v>
      </c>
      <c r="K675" s="46" t="str">
        <f ca="1">IFERROR(__xludf.DUMMYFUNCTION("""COMPUTED_VALUE"""),"WAITSTAFF")</f>
        <v>WAITSTAFF</v>
      </c>
      <c r="L675" s="46" t="str">
        <f ca="1">IFERROR(__xludf.DUMMYFUNCTION("""COMPUTED_VALUE"""),"PTE")</f>
        <v>PTE</v>
      </c>
      <c r="M675" s="46" t="str">
        <f ca="1">IFERROR(__xludf.DUMMYFUNCTION("""COMPUTED_VALUE"""),"Leave")</f>
        <v>Leave</v>
      </c>
      <c r="N675" s="46" t="str">
        <f ca="1">IFERROR(__xludf.DUMMYFUNCTION("""COMPUTED_VALUE"""),"x")</f>
        <v>x</v>
      </c>
    </row>
    <row r="676" spans="1:14">
      <c r="A676" s="45">
        <f ca="1">IFERROR(__xludf.DUMMYFUNCTION("""COMPUTED_VALUE"""),45539.5833333333)</f>
        <v>45539.583333333299</v>
      </c>
      <c r="B676" s="45"/>
      <c r="C676" s="46">
        <f ca="1">IFERROR(__xludf.DUMMYFUNCTION("""COMPUTED_VALUE"""),677)</f>
        <v>677</v>
      </c>
      <c r="D676" s="47" t="str">
        <f ca="1">IFERROR(__xludf.DUMMYFUNCTION("""COMPUTED_VALUE"""),"C0443")</f>
        <v>C0443</v>
      </c>
      <c r="E676" s="46" t="str">
        <f ca="1">IFERROR(__xludf.DUMMYFUNCTION("""COMPUTED_VALUE"""),"NGUYỄN HIẾU NHI")</f>
        <v>NGUYỄN HIẾU NHI</v>
      </c>
      <c r="F676" s="46" t="str">
        <f ca="1">IFERROR(__xludf.DUMMYFUNCTION("""COMPUTED_VALUE"""),"NGUYEN HIEU NHI")</f>
        <v>NGUYEN HIEU NHI</v>
      </c>
      <c r="G676" s="45">
        <f ca="1">IFERROR(__xludf.DUMMYFUNCTION("""COMPUTED_VALUE"""),37122.5833333333)</f>
        <v>37122.583333333299</v>
      </c>
      <c r="H676" s="45" t="str">
        <f ca="1">IFERROR(__xludf.DUMMYFUNCTION("""COMPUTED_VALUE"""),"CREATIVE")</f>
        <v>CREATIVE</v>
      </c>
      <c r="I676" s="46" t="str">
        <f ca="1">IFERROR(__xludf.DUMMYFUNCTION("""COMPUTED_VALUE"""),"HO")</f>
        <v>HO</v>
      </c>
      <c r="J676" s="46" t="str">
        <f ca="1">IFERROR(__xludf.DUMMYFUNCTION("""COMPUTED_VALUE"""),"SPD")</f>
        <v>SPD</v>
      </c>
      <c r="K676" s="46" t="str">
        <f ca="1">IFERROR(__xludf.DUMMYFUNCTION("""COMPUTED_VALUE"""),"SPD")</f>
        <v>SPD</v>
      </c>
      <c r="L676" s="46" t="str">
        <f ca="1">IFERROR(__xludf.DUMMYFUNCTION("""COMPUTED_VALUE"""),"FTE")</f>
        <v>FTE</v>
      </c>
      <c r="M676" s="46" t="str">
        <f ca="1">IFERROR(__xludf.DUMMYFUNCTION("""COMPUTED_VALUE"""),"On")</f>
        <v>On</v>
      </c>
      <c r="N676" s="46" t="str">
        <f ca="1">IFERROR(__xludf.DUMMYFUNCTION("""COMPUTED_VALUE"""),"đủ")</f>
        <v>đủ</v>
      </c>
    </row>
    <row r="677" spans="1:14">
      <c r="A677" s="45">
        <f ca="1">IFERROR(__xludf.DUMMYFUNCTION("""COMPUTED_VALUE"""),45539.5833333333)</f>
        <v>45539.583333333299</v>
      </c>
      <c r="B677" s="45">
        <f ca="1">IFERROR(__xludf.DUMMYFUNCTION("""COMPUTED_VALUE"""),45556.5833333333)</f>
        <v>45556.583333333299</v>
      </c>
      <c r="C677" s="46">
        <f ca="1">IFERROR(__xludf.DUMMYFUNCTION("""COMPUTED_VALUE"""),678)</f>
        <v>678</v>
      </c>
      <c r="D677" s="47" t="str">
        <f ca="1">IFERROR(__xludf.DUMMYFUNCTION("""COMPUTED_VALUE"""),"C0444")</f>
        <v>C0444</v>
      </c>
      <c r="E677" s="46" t="str">
        <f ca="1">IFERROR(__xludf.DUMMYFUNCTION("""COMPUTED_VALUE"""),"PHAN THỊ ÁNH HẰNG")</f>
        <v>PHAN THỊ ÁNH HẰNG</v>
      </c>
      <c r="F677" s="46" t="str">
        <f ca="1">IFERROR(__xludf.DUMMYFUNCTION("""COMPUTED_VALUE"""),"PHAN THI ANH HANG")</f>
        <v>PHAN THI ANH HANG</v>
      </c>
      <c r="G677" s="45">
        <f ca="1">IFERROR(__xludf.DUMMYFUNCTION("""COMPUTED_VALUE"""),34531.5833333333)</f>
        <v>34531.583333333299</v>
      </c>
      <c r="H677" s="45" t="str">
        <f ca="1">IFERROR(__xludf.DUMMYFUNCTION("""COMPUTED_VALUE"""),"CREATIVE")</f>
        <v>CREATIVE</v>
      </c>
      <c r="I677" s="46" t="str">
        <f ca="1">IFERROR(__xludf.DUMMYFUNCTION("""COMPUTED_VALUE"""),"HO")</f>
        <v>HO</v>
      </c>
      <c r="J677" s="46" t="str">
        <f ca="1">IFERROR(__xludf.DUMMYFUNCTION("""COMPUTED_VALUE"""),"HRD")</f>
        <v>HRD</v>
      </c>
      <c r="K677" s="46" t="str">
        <f ca="1">IFERROR(__xludf.DUMMYFUNCTION("""COMPUTED_VALUE"""),"HRD")</f>
        <v>HRD</v>
      </c>
      <c r="L677" s="46" t="str">
        <f ca="1">IFERROR(__xludf.DUMMYFUNCTION("""COMPUTED_VALUE"""),"PRO")</f>
        <v>PRO</v>
      </c>
      <c r="M677" s="46" t="str">
        <f ca="1">IFERROR(__xludf.DUMMYFUNCTION("""COMPUTED_VALUE"""),"Leave")</f>
        <v>Leave</v>
      </c>
      <c r="N677" s="46" t="str">
        <f ca="1">IFERROR(__xludf.DUMMYFUNCTION("""COMPUTED_VALUE"""),"x")</f>
        <v>x</v>
      </c>
    </row>
    <row r="678" spans="1:14">
      <c r="A678" s="45">
        <f ca="1">IFERROR(__xludf.DUMMYFUNCTION("""COMPUTED_VALUE"""),45539.5833333333)</f>
        <v>45539.583333333299</v>
      </c>
      <c r="B678" s="45">
        <f ca="1">IFERROR(__xludf.DUMMYFUNCTION("""COMPUTED_VALUE"""),45778.5833333333)</f>
        <v>45778.583333333299</v>
      </c>
      <c r="C678" s="46">
        <f ca="1">IFERROR(__xludf.DUMMYFUNCTION("""COMPUTED_VALUE"""),679)</f>
        <v>679</v>
      </c>
      <c r="D678" s="47" t="str">
        <f ca="1">IFERROR(__xludf.DUMMYFUNCTION("""COMPUTED_VALUE"""),"C0445")</f>
        <v>C0445</v>
      </c>
      <c r="E678" s="46" t="str">
        <f ca="1">IFERROR(__xludf.DUMMYFUNCTION("""COMPUTED_VALUE"""),"CAO DI NHƯ MINH")</f>
        <v>CAO DI NHƯ MINH</v>
      </c>
      <c r="F678" s="46" t="str">
        <f ca="1">IFERROR(__xludf.DUMMYFUNCTION("""COMPUTED_VALUE"""),"CAO DI NHU MINH")</f>
        <v>CAO DI NHU MINH</v>
      </c>
      <c r="G678" s="45">
        <f ca="1">IFERROR(__xludf.DUMMYFUNCTION("""COMPUTED_VALUE"""),35163.5833333333)</f>
        <v>35163.583333333299</v>
      </c>
      <c r="H678" s="45" t="str">
        <f ca="1">IFERROR(__xludf.DUMMYFUNCTION("""COMPUTED_VALUE"""),"CREATIVE")</f>
        <v>CREATIVE</v>
      </c>
      <c r="I678" s="46" t="str">
        <f ca="1">IFERROR(__xludf.DUMMYFUNCTION("""COMPUTED_VALUE"""),"HO")</f>
        <v>HO</v>
      </c>
      <c r="J678" s="46" t="str">
        <f ca="1">IFERROR(__xludf.DUMMYFUNCTION("""COMPUTED_VALUE"""),"SPD")</f>
        <v>SPD</v>
      </c>
      <c r="K678" s="46" t="str">
        <f ca="1">IFERROR(__xludf.DUMMYFUNCTION("""COMPUTED_VALUE"""),"SPD")</f>
        <v>SPD</v>
      </c>
      <c r="L678" s="46" t="str">
        <f ca="1">IFERROR(__xludf.DUMMYFUNCTION("""COMPUTED_VALUE"""),"FTE")</f>
        <v>FTE</v>
      </c>
      <c r="M678" s="46" t="str">
        <f ca="1">IFERROR(__xludf.DUMMYFUNCTION("""COMPUTED_VALUE"""),"Leave")</f>
        <v>Leave</v>
      </c>
      <c r="N678" s="46" t="str">
        <f ca="1">IFERROR(__xludf.DUMMYFUNCTION("""COMPUTED_VALUE"""),"x")</f>
        <v>x</v>
      </c>
    </row>
    <row r="679" spans="1:14">
      <c r="A679" s="45">
        <f ca="1">IFERROR(__xludf.DUMMYFUNCTION("""COMPUTED_VALUE"""),45539.5833333333)</f>
        <v>45539.583333333299</v>
      </c>
      <c r="B679" s="45">
        <f ca="1">IFERROR(__xludf.DUMMYFUNCTION("""COMPUTED_VALUE"""),46001.625)</f>
        <v>46001.625</v>
      </c>
      <c r="C679" s="46">
        <f ca="1">IFERROR(__xludf.DUMMYFUNCTION("""COMPUTED_VALUE"""),680)</f>
        <v>680</v>
      </c>
      <c r="D679" s="47" t="str">
        <f ca="1">IFERROR(__xludf.DUMMYFUNCTION("""COMPUTED_VALUE"""),"C0446")</f>
        <v>C0446</v>
      </c>
      <c r="E679" s="46" t="str">
        <f ca="1">IFERROR(__xludf.DUMMYFUNCTION("""COMPUTED_VALUE"""),"CÁI NGỌC SƠN")</f>
        <v>CÁI NGỌC SƠN</v>
      </c>
      <c r="F679" s="46" t="str">
        <f ca="1">IFERROR(__xludf.DUMMYFUNCTION("""COMPUTED_VALUE"""),"CAI NGOC SON")</f>
        <v>CAI NGOC SON</v>
      </c>
      <c r="G679" s="45">
        <f ca="1">IFERROR(__xludf.DUMMYFUNCTION("""COMPUTED_VALUE"""),32917.625)</f>
        <v>32917.625</v>
      </c>
      <c r="H679" s="45" t="str">
        <f ca="1">IFERROR(__xludf.DUMMYFUNCTION("""COMPUTED_VALUE"""),"BAKES")</f>
        <v>BAKES</v>
      </c>
      <c r="I679" s="46" t="str">
        <f ca="1">IFERROR(__xludf.DUMMYFUNCTION("""COMPUTED_VALUE"""),"HO")</f>
        <v>HO</v>
      </c>
      <c r="J679" s="46" t="str">
        <f ca="1">IFERROR(__xludf.DUMMYFUNCTION("""COMPUTED_VALUE"""),"NSO")</f>
        <v>NSO</v>
      </c>
      <c r="K679" s="46" t="str">
        <f ca="1">IFERROR(__xludf.DUMMYFUNCTION("""COMPUTED_VALUE"""),"NSO")</f>
        <v>NSO</v>
      </c>
      <c r="L679" s="46" t="str">
        <f ca="1">IFERROR(__xludf.DUMMYFUNCTION("""COMPUTED_VALUE"""),"FTE")</f>
        <v>FTE</v>
      </c>
      <c r="M679" s="46" t="str">
        <f ca="1">IFERROR(__xludf.DUMMYFUNCTION("""COMPUTED_VALUE"""),"Leave")</f>
        <v>Leave</v>
      </c>
      <c r="N679" s="46" t="str">
        <f ca="1">IFERROR(__xludf.DUMMYFUNCTION("""COMPUTED_VALUE"""),"đủ")</f>
        <v>đủ</v>
      </c>
    </row>
    <row r="680" spans="1:14">
      <c r="A680" s="45">
        <f ca="1">IFERROR(__xludf.DUMMYFUNCTION("""COMPUTED_VALUE"""),45539.5833333333)</f>
        <v>45539.583333333299</v>
      </c>
      <c r="B680" s="45">
        <f ca="1">IFERROR(__xludf.DUMMYFUNCTION("""COMPUTED_VALUE"""),45771.5833333333)</f>
        <v>45771.583333333299</v>
      </c>
      <c r="C680" s="46">
        <f ca="1">IFERROR(__xludf.DUMMYFUNCTION("""COMPUTED_VALUE"""),681)</f>
        <v>681</v>
      </c>
      <c r="D680" s="47" t="str">
        <f ca="1">IFERROR(__xludf.DUMMYFUNCTION("""COMPUTED_VALUE"""),"C0447")</f>
        <v>C0447</v>
      </c>
      <c r="E680" s="46" t="str">
        <f ca="1">IFERROR(__xludf.DUMMYFUNCTION("""COMPUTED_VALUE"""),"TRỊNH THỊ LỆ THU")</f>
        <v>TRỊNH THỊ LỆ THU</v>
      </c>
      <c r="F680" s="46" t="str">
        <f ca="1">IFERROR(__xludf.DUMMYFUNCTION("""COMPUTED_VALUE"""),"TRINH THI LE THU")</f>
        <v>TRINH THI LE THU</v>
      </c>
      <c r="G680" s="45">
        <f ca="1">IFERROR(__xludf.DUMMYFUNCTION("""COMPUTED_VALUE"""),22287.6666666666)</f>
        <v>22287.666666666599</v>
      </c>
      <c r="H680" s="45" t="str">
        <f ca="1">IFERROR(__xludf.DUMMYFUNCTION("""COMPUTED_VALUE"""),"SHADOW")</f>
        <v>SHADOW</v>
      </c>
      <c r="I680" s="46" t="str">
        <f ca="1">IFERROR(__xludf.DUMMYFUNCTION("""COMPUTED_VALUE"""),"STORE")</f>
        <v>STORE</v>
      </c>
      <c r="J680" s="46" t="str">
        <f ca="1">IFERROR(__xludf.DUMMYFUNCTION("""COMPUTED_VALUE"""),"BAKES PASTEUR")</f>
        <v>BAKES PASTEUR</v>
      </c>
      <c r="K680" s="46" t="str">
        <f ca="1">IFERROR(__xludf.DUMMYFUNCTION("""COMPUTED_VALUE"""),"CLEANER")</f>
        <v>CLEANER</v>
      </c>
      <c r="L680" s="46" t="str">
        <f ca="1">IFERROR(__xludf.DUMMYFUNCTION("""COMPUTED_VALUE"""),"PTE")</f>
        <v>PTE</v>
      </c>
      <c r="M680" s="46" t="str">
        <f ca="1">IFERROR(__xludf.DUMMYFUNCTION("""COMPUTED_VALUE"""),"Leave")</f>
        <v>Leave</v>
      </c>
      <c r="N680" s="46" t="str">
        <f ca="1">IFERROR(__xludf.DUMMYFUNCTION("""COMPUTED_VALUE"""),"x")</f>
        <v>x</v>
      </c>
    </row>
    <row r="681" spans="1:14">
      <c r="A681" s="45">
        <f ca="1">IFERROR(__xludf.DUMMYFUNCTION("""COMPUTED_VALUE"""),45534.5833333333)</f>
        <v>45534.583333333299</v>
      </c>
      <c r="B681" s="45">
        <f ca="1">IFERROR(__xludf.DUMMYFUNCTION("""COMPUTED_VALUE"""),45550.5833333333)</f>
        <v>45550.583333333299</v>
      </c>
      <c r="C681" s="46">
        <f ca="1">IFERROR(__xludf.DUMMYFUNCTION("""COMPUTED_VALUE"""),682)</f>
        <v>682</v>
      </c>
      <c r="D681" s="47" t="str">
        <f ca="1">IFERROR(__xludf.DUMMYFUNCTION("""COMPUTED_VALUE"""),"C0448")</f>
        <v>C0448</v>
      </c>
      <c r="E681" s="46" t="str">
        <f ca="1">IFERROR(__xludf.DUMMYFUNCTION("""COMPUTED_VALUE"""),"DƯƠNG NGUYỄN ANH THƯ")</f>
        <v>DƯƠNG NGUYỄN ANH THƯ</v>
      </c>
      <c r="F681" s="46" t="str">
        <f ca="1">IFERROR(__xludf.DUMMYFUNCTION("""COMPUTED_VALUE"""),"DUONG NGUYEN ANH THU")</f>
        <v>DUONG NGUYEN ANH THU</v>
      </c>
      <c r="G681" s="45">
        <f ca="1">IFERROR(__xludf.DUMMYFUNCTION("""COMPUTED_VALUE"""),38516.5833333333)</f>
        <v>38516.583333333299</v>
      </c>
      <c r="H681" s="45" t="str">
        <f ca="1">IFERROR(__xludf.DUMMYFUNCTION("""COMPUTED_VALUE"""),"BAKES")</f>
        <v>BAKES</v>
      </c>
      <c r="I681" s="46" t="str">
        <f ca="1">IFERROR(__xludf.DUMMYFUNCTION("""COMPUTED_VALUE"""),"STORE")</f>
        <v>STORE</v>
      </c>
      <c r="J681" s="46" t="str">
        <f ca="1">IFERROR(__xludf.DUMMYFUNCTION("""COMPUTED_VALUE"""),"BAKES D9")</f>
        <v>BAKES D9</v>
      </c>
      <c r="K681" s="46" t="str">
        <f ca="1">IFERROR(__xludf.DUMMYFUNCTION("""COMPUTED_VALUE"""),"WAITSTAFF")</f>
        <v>WAITSTAFF</v>
      </c>
      <c r="L681" s="46" t="str">
        <f ca="1">IFERROR(__xludf.DUMMYFUNCTION("""COMPUTED_VALUE"""),"PTE")</f>
        <v>PTE</v>
      </c>
      <c r="M681" s="46" t="str">
        <f ca="1">IFERROR(__xludf.DUMMYFUNCTION("""COMPUTED_VALUE"""),"Leave")</f>
        <v>Leave</v>
      </c>
      <c r="N681" s="46" t="str">
        <f ca="1">IFERROR(__xludf.DUMMYFUNCTION("""COMPUTED_VALUE"""),"x")</f>
        <v>x</v>
      </c>
    </row>
    <row r="682" spans="1:14">
      <c r="A682" s="45">
        <f ca="1">IFERROR(__xludf.DUMMYFUNCTION("""COMPUTED_VALUE"""),45539.5833333333)</f>
        <v>45539.583333333299</v>
      </c>
      <c r="B682" s="45">
        <f ca="1">IFERROR(__xludf.DUMMYFUNCTION("""COMPUTED_VALUE"""),45889.5833333333)</f>
        <v>45889.583333333299</v>
      </c>
      <c r="C682" s="46">
        <f ca="1">IFERROR(__xludf.DUMMYFUNCTION("""COMPUTED_VALUE"""),683)</f>
        <v>683</v>
      </c>
      <c r="D682" s="47" t="str">
        <f ca="1">IFERROR(__xludf.DUMMYFUNCTION("""COMPUTED_VALUE"""),"C0449")</f>
        <v>C0449</v>
      </c>
      <c r="E682" s="46" t="str">
        <f ca="1">IFERROR(__xludf.DUMMYFUNCTION("""COMPUTED_VALUE"""),"ĐINH THỊ NGỌC ANH")</f>
        <v>ĐINH THỊ NGỌC ANH</v>
      </c>
      <c r="F682" s="46" t="str">
        <f ca="1">IFERROR(__xludf.DUMMYFUNCTION("""COMPUTED_VALUE"""),"DINH THI NGOC ANH")</f>
        <v>DINH THI NGOC ANH</v>
      </c>
      <c r="G682" s="45">
        <f ca="1">IFERROR(__xludf.DUMMYFUNCTION("""COMPUTED_VALUE"""),38099.5833333333)</f>
        <v>38099.583333333299</v>
      </c>
      <c r="H682" s="45" t="str">
        <f ca="1">IFERROR(__xludf.DUMMYFUNCTION("""COMPUTED_VALUE"""),"BAKES")</f>
        <v>BAKES</v>
      </c>
      <c r="I682" s="46" t="str">
        <f ca="1">IFERROR(__xludf.DUMMYFUNCTION("""COMPUTED_VALUE"""),"STORE")</f>
        <v>STORE</v>
      </c>
      <c r="J682" s="46" t="str">
        <f ca="1">IFERROR(__xludf.DUMMYFUNCTION("""COMPUTED_VALUE"""),"BAKES D9")</f>
        <v>BAKES D9</v>
      </c>
      <c r="K682" s="46" t="str">
        <f ca="1">IFERROR(__xludf.DUMMYFUNCTION("""COMPUTED_VALUE"""),"WAITSTAFF")</f>
        <v>WAITSTAFF</v>
      </c>
      <c r="L682" s="46" t="str">
        <f ca="1">IFERROR(__xludf.DUMMYFUNCTION("""COMPUTED_VALUE"""),"PTE")</f>
        <v>PTE</v>
      </c>
      <c r="M682" s="46" t="str">
        <f ca="1">IFERROR(__xludf.DUMMYFUNCTION("""COMPUTED_VALUE"""),"Leave")</f>
        <v>Leave</v>
      </c>
      <c r="N682" s="46" t="str">
        <f ca="1">IFERROR(__xludf.DUMMYFUNCTION("""COMPUTED_VALUE"""),"đủ")</f>
        <v>đủ</v>
      </c>
    </row>
    <row r="683" spans="1:14">
      <c r="A683" s="45">
        <f ca="1">IFERROR(__xludf.DUMMYFUNCTION("""COMPUTED_VALUE"""),45545.5833333333)</f>
        <v>45545.583333333299</v>
      </c>
      <c r="B683" s="45">
        <f ca="1">IFERROR(__xludf.DUMMYFUNCTION("""COMPUTED_VALUE"""),45693.625)</f>
        <v>45693.625</v>
      </c>
      <c r="C683" s="46">
        <f ca="1">IFERROR(__xludf.DUMMYFUNCTION("""COMPUTED_VALUE"""),684)</f>
        <v>684</v>
      </c>
      <c r="D683" s="47" t="str">
        <f ca="1">IFERROR(__xludf.DUMMYFUNCTION("""COMPUTED_VALUE"""),"C0450")</f>
        <v>C0450</v>
      </c>
      <c r="E683" s="46" t="str">
        <f ca="1">IFERROR(__xludf.DUMMYFUNCTION("""COMPUTED_VALUE"""),"TRẦN THỊ TUYẾT NGÂN")</f>
        <v>TRẦN THỊ TUYẾT NGÂN</v>
      </c>
      <c r="F683" s="46" t="str">
        <f ca="1">IFERROR(__xludf.DUMMYFUNCTION("""COMPUTED_VALUE"""),"TRAN THI TUYET NGAN")</f>
        <v>TRAN THI TUYET NGAN</v>
      </c>
      <c r="G683" s="45">
        <f ca="1">IFERROR(__xludf.DUMMYFUNCTION("""COMPUTED_VALUE"""),37058.5833333333)</f>
        <v>37058.583333333299</v>
      </c>
      <c r="H683" s="45" t="str">
        <f ca="1">IFERROR(__xludf.DUMMYFUNCTION("""COMPUTED_VALUE"""),"YESHI")</f>
        <v>YESHI</v>
      </c>
      <c r="I683" s="46" t="str">
        <f ca="1">IFERROR(__xludf.DUMMYFUNCTION("""COMPUTED_VALUE"""),"STORE")</f>
        <v>STORE</v>
      </c>
      <c r="J683" s="46" t="str">
        <f ca="1">IFERROR(__xludf.DUMMYFUNCTION("""COMPUTED_VALUE"""),"YESHI D2")</f>
        <v>YESHI D2</v>
      </c>
      <c r="K683" s="46" t="str">
        <f ca="1">IFERROR(__xludf.DUMMYFUNCTION("""COMPUTED_VALUE"""),"KIT")</f>
        <v>KIT</v>
      </c>
      <c r="L683" s="46" t="str">
        <f ca="1">IFERROR(__xludf.DUMMYFUNCTION("""COMPUTED_VALUE"""),"PTE")</f>
        <v>PTE</v>
      </c>
      <c r="M683" s="46" t="str">
        <f ca="1">IFERROR(__xludf.DUMMYFUNCTION("""COMPUTED_VALUE"""),"Leave")</f>
        <v>Leave</v>
      </c>
      <c r="N683" s="46" t="str">
        <f ca="1">IFERROR(__xludf.DUMMYFUNCTION("""COMPUTED_VALUE"""),"x")</f>
        <v>x</v>
      </c>
    </row>
    <row r="684" spans="1:14">
      <c r="A684" s="45">
        <f ca="1">IFERROR(__xludf.DUMMYFUNCTION("""COMPUTED_VALUE"""),45541.5833333333)</f>
        <v>45541.583333333299</v>
      </c>
      <c r="B684" s="45">
        <f ca="1">IFERROR(__xludf.DUMMYFUNCTION("""COMPUTED_VALUE"""),45803.5833333333)</f>
        <v>45803.583333333299</v>
      </c>
      <c r="C684" s="46">
        <f ca="1">IFERROR(__xludf.DUMMYFUNCTION("""COMPUTED_VALUE"""),685)</f>
        <v>685</v>
      </c>
      <c r="D684" s="47" t="str">
        <f ca="1">IFERROR(__xludf.DUMMYFUNCTION("""COMPUTED_VALUE"""),"C0451")</f>
        <v>C0451</v>
      </c>
      <c r="E684" s="46" t="str">
        <f ca="1">IFERROR(__xludf.DUMMYFUNCTION("""COMPUTED_VALUE"""),"BÙI HOÀNG GIA HÂN")</f>
        <v>BÙI HOÀNG GIA HÂN</v>
      </c>
      <c r="F684" s="46" t="str">
        <f ca="1">IFERROR(__xludf.DUMMYFUNCTION("""COMPUTED_VALUE"""),"BUI HOANG GIA HAN")</f>
        <v>BUI HOANG GIA HAN</v>
      </c>
      <c r="G684" s="45">
        <f ca="1">IFERROR(__xludf.DUMMYFUNCTION("""COMPUTED_VALUE"""),36631.5833333333)</f>
        <v>36631.583333333299</v>
      </c>
      <c r="H684" s="45" t="str">
        <f ca="1">IFERROR(__xludf.DUMMYFUNCTION("""COMPUTED_VALUE"""),"KITCHEN PASTRY")</f>
        <v>KITCHEN PASTRY</v>
      </c>
      <c r="I684" s="46" t="str">
        <f ca="1">IFERROR(__xludf.DUMMYFUNCTION("""COMPUTED_VALUE"""),"KITCHEN PASTRY")</f>
        <v>KITCHEN PASTRY</v>
      </c>
      <c r="J684" s="46" t="str">
        <f ca="1">IFERROR(__xludf.DUMMYFUNCTION("""COMPUTED_VALUE"""),"KITCHEN PASTRY")</f>
        <v>KITCHEN PASTRY</v>
      </c>
      <c r="K684" s="46" t="str">
        <f ca="1">IFERROR(__xludf.DUMMYFUNCTION("""COMPUTED_VALUE"""),"PASTRY")</f>
        <v>PASTRY</v>
      </c>
      <c r="L684" s="46" t="str">
        <f ca="1">IFERROR(__xludf.DUMMYFUNCTION("""COMPUTED_VALUE"""),"PRO")</f>
        <v>PRO</v>
      </c>
      <c r="M684" s="46" t="str">
        <f ca="1">IFERROR(__xludf.DUMMYFUNCTION("""COMPUTED_VALUE"""),"Leave")</f>
        <v>Leave</v>
      </c>
      <c r="N684" s="46" t="str">
        <f ca="1">IFERROR(__xludf.DUMMYFUNCTION("""COMPUTED_VALUE"""),"x")</f>
        <v>x</v>
      </c>
    </row>
    <row r="685" spans="1:14">
      <c r="A685" s="45">
        <f ca="1">IFERROR(__xludf.DUMMYFUNCTION("""COMPUTED_VALUE"""),45539.5833333333)</f>
        <v>45539.583333333299</v>
      </c>
      <c r="B685" s="45">
        <f ca="1">IFERROR(__xludf.DUMMYFUNCTION("""COMPUTED_VALUE"""),45566.5833333333)</f>
        <v>45566.583333333299</v>
      </c>
      <c r="C685" s="46">
        <f ca="1">IFERROR(__xludf.DUMMYFUNCTION("""COMPUTED_VALUE"""),686)</f>
        <v>686</v>
      </c>
      <c r="D685" s="47" t="str">
        <f ca="1">IFERROR(__xludf.DUMMYFUNCTION("""COMPUTED_VALUE"""),"C0452")</f>
        <v>C0452</v>
      </c>
      <c r="E685" s="46" t="str">
        <f ca="1">IFERROR(__xludf.DUMMYFUNCTION("""COMPUTED_VALUE"""),"NGUYỄN TRANG KHANH")</f>
        <v>NGUYỄN TRANG KHANH</v>
      </c>
      <c r="F685" s="46" t="str">
        <f ca="1">IFERROR(__xludf.DUMMYFUNCTION("""COMPUTED_VALUE"""),"NGUYEN TRANG KHANH")</f>
        <v>NGUYEN TRANG KHANH</v>
      </c>
      <c r="G685" s="45">
        <f ca="1">IFERROR(__xludf.DUMMYFUNCTION("""COMPUTED_VALUE"""),38512.5833333333)</f>
        <v>38512.583333333299</v>
      </c>
      <c r="H685" s="45" t="str">
        <f ca="1">IFERROR(__xludf.DUMMYFUNCTION("""COMPUTED_VALUE"""),"BAKES")</f>
        <v>BAKES</v>
      </c>
      <c r="I685" s="46" t="str">
        <f ca="1">IFERROR(__xludf.DUMMYFUNCTION("""COMPUTED_VALUE"""),"STORE")</f>
        <v>STORE</v>
      </c>
      <c r="J685" s="46" t="str">
        <f ca="1">IFERROR(__xludf.DUMMYFUNCTION("""COMPUTED_VALUE"""),"BAKES D2")</f>
        <v>BAKES D2</v>
      </c>
      <c r="K685" s="46" t="str">
        <f ca="1">IFERROR(__xludf.DUMMYFUNCTION("""COMPUTED_VALUE"""),"WAITSTAFF")</f>
        <v>WAITSTAFF</v>
      </c>
      <c r="L685" s="46" t="str">
        <f ca="1">IFERROR(__xludf.DUMMYFUNCTION("""COMPUTED_VALUE"""),"PTE")</f>
        <v>PTE</v>
      </c>
      <c r="M685" s="46" t="str">
        <f ca="1">IFERROR(__xludf.DUMMYFUNCTION("""COMPUTED_VALUE"""),"Leave")</f>
        <v>Leave</v>
      </c>
      <c r="N685" s="46" t="str">
        <f ca="1">IFERROR(__xludf.DUMMYFUNCTION("""COMPUTED_VALUE"""),"x")</f>
        <v>x</v>
      </c>
    </row>
    <row r="686" spans="1:14">
      <c r="A686" s="45">
        <f ca="1">IFERROR(__xludf.DUMMYFUNCTION("""COMPUTED_VALUE"""),45545.5833333333)</f>
        <v>45545.583333333299</v>
      </c>
      <c r="B686" s="45">
        <f ca="1">IFERROR(__xludf.DUMMYFUNCTION("""COMPUTED_VALUE"""),45566.5833333333)</f>
        <v>45566.583333333299</v>
      </c>
      <c r="C686" s="46">
        <f ca="1">IFERROR(__xludf.DUMMYFUNCTION("""COMPUTED_VALUE"""),687)</f>
        <v>687</v>
      </c>
      <c r="D686" s="47" t="str">
        <f ca="1">IFERROR(__xludf.DUMMYFUNCTION("""COMPUTED_VALUE"""),"C0453")</f>
        <v>C0453</v>
      </c>
      <c r="E686" s="46" t="str">
        <f ca="1">IFERROR(__xludf.DUMMYFUNCTION("""COMPUTED_VALUE"""),"LÊ DUY TÂN")</f>
        <v>LÊ DUY TÂN</v>
      </c>
      <c r="F686" s="46" t="str">
        <f ca="1">IFERROR(__xludf.DUMMYFUNCTION("""COMPUTED_VALUE"""),"LE DUY TAN")</f>
        <v>LE DUY TAN</v>
      </c>
      <c r="G686" s="45">
        <f ca="1">IFERROR(__xludf.DUMMYFUNCTION("""COMPUTED_VALUE"""),37822.5833333333)</f>
        <v>37822.583333333299</v>
      </c>
      <c r="H686" s="45" t="str">
        <f ca="1">IFERROR(__xludf.DUMMYFUNCTION("""COMPUTED_VALUE"""),"BAKES")</f>
        <v>BAKES</v>
      </c>
      <c r="I686" s="46" t="str">
        <f ca="1">IFERROR(__xludf.DUMMYFUNCTION("""COMPUTED_VALUE"""),"STORE")</f>
        <v>STORE</v>
      </c>
      <c r="J686" s="46" t="str">
        <f ca="1">IFERROR(__xludf.DUMMYFUNCTION("""COMPUTED_VALUE"""),"BAKES D2")</f>
        <v>BAKES D2</v>
      </c>
      <c r="K686" s="46" t="str">
        <f ca="1">IFERROR(__xludf.DUMMYFUNCTION("""COMPUTED_VALUE"""),"WAITSTAFF")</f>
        <v>WAITSTAFF</v>
      </c>
      <c r="L686" s="46" t="str">
        <f ca="1">IFERROR(__xludf.DUMMYFUNCTION("""COMPUTED_VALUE"""),"PTE")</f>
        <v>PTE</v>
      </c>
      <c r="M686" s="46" t="str">
        <f ca="1">IFERROR(__xludf.DUMMYFUNCTION("""COMPUTED_VALUE"""),"Leave")</f>
        <v>Leave</v>
      </c>
      <c r="N686" s="46" t="str">
        <f ca="1">IFERROR(__xludf.DUMMYFUNCTION("""COMPUTED_VALUE"""),"x")</f>
        <v>x</v>
      </c>
    </row>
    <row r="687" spans="1:14">
      <c r="A687" s="45">
        <f ca="1">IFERROR(__xludf.DUMMYFUNCTION("""COMPUTED_VALUE"""),45789.5833333333)</f>
        <v>45789.583333333299</v>
      </c>
      <c r="B687" s="45"/>
      <c r="C687" s="46">
        <f ca="1">IFERROR(__xludf.DUMMYFUNCTION("""COMPUTED_VALUE"""),688)</f>
        <v>688</v>
      </c>
      <c r="D687" s="47" t="str">
        <f ca="1">IFERROR(__xludf.DUMMYFUNCTION("""COMPUTED_VALUE"""),"C0454")</f>
        <v>C0454</v>
      </c>
      <c r="E687" s="46" t="str">
        <f ca="1">IFERROR(__xludf.DUMMYFUNCTION("""COMPUTED_VALUE"""),"NGUYỄN VĂN KHOA")</f>
        <v>NGUYỄN VĂN KHOA</v>
      </c>
      <c r="F687" s="46" t="str">
        <f ca="1">IFERROR(__xludf.DUMMYFUNCTION("""COMPUTED_VALUE"""),"NGUYEN VAN KHOA")</f>
        <v>NGUYEN VAN KHOA</v>
      </c>
      <c r="G687" s="45">
        <f ca="1">IFERROR(__xludf.DUMMYFUNCTION("""COMPUTED_VALUE"""),37684.625)</f>
        <v>37684.625</v>
      </c>
      <c r="H687" s="45" t="str">
        <f ca="1">IFERROR(__xludf.DUMMYFUNCTION("""COMPUTED_VALUE"""),"TLC")</f>
        <v>TLC</v>
      </c>
      <c r="I687" s="46" t="str">
        <f ca="1">IFERROR(__xludf.DUMMYFUNCTION("""COMPUTED_VALUE"""),"STORE")</f>
        <v>STORE</v>
      </c>
      <c r="J687" s="46" t="str">
        <f ca="1">IFERROR(__xludf.DUMMYFUNCTION("""COMPUTED_VALUE"""),"BLANK LOUNGE")</f>
        <v>BLANK LOUNGE</v>
      </c>
      <c r="K687" s="46" t="str">
        <f ca="1">IFERROR(__xludf.DUMMYFUNCTION("""COMPUTED_VALUE"""),"WAITSTAFF")</f>
        <v>WAITSTAFF</v>
      </c>
      <c r="L687" s="46" t="str">
        <f ca="1">IFERROR(__xludf.DUMMYFUNCTION("""COMPUTED_VALUE"""),"PTE")</f>
        <v>PTE</v>
      </c>
      <c r="M687" s="46" t="str">
        <f ca="1">IFERROR(__xludf.DUMMYFUNCTION("""COMPUTED_VALUE"""),"On")</f>
        <v>On</v>
      </c>
      <c r="N687" s="46" t="str">
        <f ca="1">IFERROR(__xludf.DUMMYFUNCTION("""COMPUTED_VALUE"""),"đủ")</f>
        <v>đủ</v>
      </c>
    </row>
    <row r="688" spans="1:14">
      <c r="A688" s="45">
        <f ca="1">IFERROR(__xludf.DUMMYFUNCTION("""COMPUTED_VALUE"""),45551.5833333333)</f>
        <v>45551.583333333299</v>
      </c>
      <c r="B688" s="45">
        <f ca="1">IFERROR(__xludf.DUMMYFUNCTION("""COMPUTED_VALUE"""),45560.5833333333)</f>
        <v>45560.583333333299</v>
      </c>
      <c r="C688" s="46">
        <f ca="1">IFERROR(__xludf.DUMMYFUNCTION("""COMPUTED_VALUE"""),689)</f>
        <v>689</v>
      </c>
      <c r="D688" s="47" t="str">
        <f ca="1">IFERROR(__xludf.DUMMYFUNCTION("""COMPUTED_VALUE"""),"C0455")</f>
        <v>C0455</v>
      </c>
      <c r="E688" s="46" t="str">
        <f ca="1">IFERROR(__xludf.DUMMYFUNCTION("""COMPUTED_VALUE"""),"NGUYỄN NGỌC BẢO TRÂM")</f>
        <v>NGUYỄN NGỌC BẢO TRÂM</v>
      </c>
      <c r="F688" s="46" t="str">
        <f ca="1">IFERROR(__xludf.DUMMYFUNCTION("""COMPUTED_VALUE"""),"NGUYEN NGOC BAO TRAM")</f>
        <v>NGUYEN NGOC BAO TRAM</v>
      </c>
      <c r="G688" s="45">
        <f ca="1">IFERROR(__xludf.DUMMYFUNCTION("""COMPUTED_VALUE"""),36811.5833333333)</f>
        <v>36811.583333333299</v>
      </c>
      <c r="H688" s="45" t="str">
        <f ca="1">IFERROR(__xludf.DUMMYFUNCTION("""COMPUTED_VALUE"""),"BAKES")</f>
        <v>BAKES</v>
      </c>
      <c r="I688" s="46" t="str">
        <f ca="1">IFERROR(__xludf.DUMMYFUNCTION("""COMPUTED_VALUE"""),"STORE")</f>
        <v>STORE</v>
      </c>
      <c r="J688" s="46" t="str">
        <f ca="1">IFERROR(__xludf.DUMMYFUNCTION("""COMPUTED_VALUE"""),"BAKES D9")</f>
        <v>BAKES D9</v>
      </c>
      <c r="K688" s="46" t="str">
        <f ca="1">IFERROR(__xludf.DUMMYFUNCTION("""COMPUTED_VALUE"""),"WAITSTAFF")</f>
        <v>WAITSTAFF</v>
      </c>
      <c r="L688" s="46" t="str">
        <f ca="1">IFERROR(__xludf.DUMMYFUNCTION("""COMPUTED_VALUE"""),"PRO")</f>
        <v>PRO</v>
      </c>
      <c r="M688" s="46" t="str">
        <f ca="1">IFERROR(__xludf.DUMMYFUNCTION("""COMPUTED_VALUE"""),"Leave")</f>
        <v>Leave</v>
      </c>
      <c r="N688" s="46" t="str">
        <f ca="1">IFERROR(__xludf.DUMMYFUNCTION("""COMPUTED_VALUE"""),"x")</f>
        <v>x</v>
      </c>
    </row>
    <row r="689" spans="1:14">
      <c r="A689" s="45">
        <f ca="1">IFERROR(__xludf.DUMMYFUNCTION("""COMPUTED_VALUE"""),45548.5833333333)</f>
        <v>45548.583333333299</v>
      </c>
      <c r="B689" s="45">
        <f ca="1">IFERROR(__xludf.DUMMYFUNCTION("""COMPUTED_VALUE"""),45695.625)</f>
        <v>45695.625</v>
      </c>
      <c r="C689" s="46">
        <f ca="1">IFERROR(__xludf.DUMMYFUNCTION("""COMPUTED_VALUE"""),690)</f>
        <v>690</v>
      </c>
      <c r="D689" s="47" t="str">
        <f ca="1">IFERROR(__xludf.DUMMYFUNCTION("""COMPUTED_VALUE"""),"C0456")</f>
        <v>C0456</v>
      </c>
      <c r="E689" s="46" t="str">
        <f ca="1">IFERROR(__xludf.DUMMYFUNCTION("""COMPUTED_VALUE"""),"LÊ THANH BÌNH")</f>
        <v>LÊ THANH BÌNH</v>
      </c>
      <c r="F689" s="46" t="str">
        <f ca="1">IFERROR(__xludf.DUMMYFUNCTION("""COMPUTED_VALUE"""),"LE THANH BINH")</f>
        <v>LE THANH BINH</v>
      </c>
      <c r="G689" s="45">
        <f ca="1">IFERROR(__xludf.DUMMYFUNCTION("""COMPUTED_VALUE"""),36919.625)</f>
        <v>36919.625</v>
      </c>
      <c r="H689" s="45" t="str">
        <f ca="1">IFERROR(__xludf.DUMMYFUNCTION("""COMPUTED_VALUE"""),"SHADOW")</f>
        <v>SHADOW</v>
      </c>
      <c r="I689" s="46" t="str">
        <f ca="1">IFERROR(__xludf.DUMMYFUNCTION("""COMPUTED_VALUE"""),"STORE")</f>
        <v>STORE</v>
      </c>
      <c r="J689" s="46" t="str">
        <f ca="1">IFERROR(__xludf.DUMMYFUNCTION("""COMPUTED_VALUE"""),"BAKES PASTEUR")</f>
        <v>BAKES PASTEUR</v>
      </c>
      <c r="K689" s="46" t="str">
        <f ca="1">IFERROR(__xludf.DUMMYFUNCTION("""COMPUTED_VALUE"""),"WAITSTAFF")</f>
        <v>WAITSTAFF</v>
      </c>
      <c r="L689" s="46" t="str">
        <f ca="1">IFERROR(__xludf.DUMMYFUNCTION("""COMPUTED_VALUE"""),"PTE")</f>
        <v>PTE</v>
      </c>
      <c r="M689" s="46" t="str">
        <f ca="1">IFERROR(__xludf.DUMMYFUNCTION("""COMPUTED_VALUE"""),"Leave")</f>
        <v>Leave</v>
      </c>
      <c r="N689" s="46" t="str">
        <f ca="1">IFERROR(__xludf.DUMMYFUNCTION("""COMPUTED_VALUE"""),"x")</f>
        <v>x</v>
      </c>
    </row>
    <row r="690" spans="1:14">
      <c r="A690" s="45">
        <f ca="1">IFERROR(__xludf.DUMMYFUNCTION("""COMPUTED_VALUE"""),45544.5833333333)</f>
        <v>45544.583333333299</v>
      </c>
      <c r="B690" s="45">
        <f ca="1">IFERROR(__xludf.DUMMYFUNCTION("""COMPUTED_VALUE"""),45566.5833333333)</f>
        <v>45566.583333333299</v>
      </c>
      <c r="C690" s="46">
        <f ca="1">IFERROR(__xludf.DUMMYFUNCTION("""COMPUTED_VALUE"""),691)</f>
        <v>691</v>
      </c>
      <c r="D690" s="47" t="str">
        <f ca="1">IFERROR(__xludf.DUMMYFUNCTION("""COMPUTED_VALUE"""),"C0457")</f>
        <v>C0457</v>
      </c>
      <c r="E690" s="46" t="str">
        <f ca="1">IFERROR(__xludf.DUMMYFUNCTION("""COMPUTED_VALUE"""),"SƠN NGỌC UYÊN NHI")</f>
        <v>SƠN NGỌC UYÊN NHI</v>
      </c>
      <c r="F690" s="46" t="str">
        <f ca="1">IFERROR(__xludf.DUMMYFUNCTION("""COMPUTED_VALUE"""),"SON NGOC UYEN NHI")</f>
        <v>SON NGOC UYEN NHI</v>
      </c>
      <c r="G690" s="45">
        <f ca="1">IFERROR(__xludf.DUMMYFUNCTION("""COMPUTED_VALUE"""),37813.5833333333)</f>
        <v>37813.583333333299</v>
      </c>
      <c r="H690" s="45" t="str">
        <f ca="1">IFERROR(__xludf.DUMMYFUNCTION("""COMPUTED_VALUE"""),"BAKES")</f>
        <v>BAKES</v>
      </c>
      <c r="I690" s="46" t="str">
        <f ca="1">IFERROR(__xludf.DUMMYFUNCTION("""COMPUTED_VALUE"""),"STORE")</f>
        <v>STORE</v>
      </c>
      <c r="J690" s="46" t="str">
        <f ca="1">IFERROR(__xludf.DUMMYFUNCTION("""COMPUTED_VALUE"""),"BAKES D9")</f>
        <v>BAKES D9</v>
      </c>
      <c r="K690" s="46" t="str">
        <f ca="1">IFERROR(__xludf.DUMMYFUNCTION("""COMPUTED_VALUE"""),"WAITSTAFF")</f>
        <v>WAITSTAFF</v>
      </c>
      <c r="L690" s="46" t="str">
        <f ca="1">IFERROR(__xludf.DUMMYFUNCTION("""COMPUTED_VALUE"""),"PTE")</f>
        <v>PTE</v>
      </c>
      <c r="M690" s="46" t="str">
        <f ca="1">IFERROR(__xludf.DUMMYFUNCTION("""COMPUTED_VALUE"""),"Leave")</f>
        <v>Leave</v>
      </c>
      <c r="N690" s="46" t="str">
        <f ca="1">IFERROR(__xludf.DUMMYFUNCTION("""COMPUTED_VALUE"""),"x")</f>
        <v>x</v>
      </c>
    </row>
    <row r="691" spans="1:14">
      <c r="A691" s="45">
        <f ca="1">IFERROR(__xludf.DUMMYFUNCTION("""COMPUTED_VALUE"""),45551.5833333333)</f>
        <v>45551.583333333299</v>
      </c>
      <c r="B691" s="45">
        <f ca="1">IFERROR(__xludf.DUMMYFUNCTION("""COMPUTED_VALUE"""),45764.5833333333)</f>
        <v>45764.583333333299</v>
      </c>
      <c r="C691" s="46">
        <f ca="1">IFERROR(__xludf.DUMMYFUNCTION("""COMPUTED_VALUE"""),692)</f>
        <v>692</v>
      </c>
      <c r="D691" s="47" t="str">
        <f ca="1">IFERROR(__xludf.DUMMYFUNCTION("""COMPUTED_VALUE"""),"C0458")</f>
        <v>C0458</v>
      </c>
      <c r="E691" s="46" t="str">
        <f ca="1">IFERROR(__xludf.DUMMYFUNCTION("""COMPUTED_VALUE"""),"NGUYỄN HOÀNG PHƯƠNG NGÂN")</f>
        <v>NGUYỄN HOÀNG PHƯƠNG NGÂN</v>
      </c>
      <c r="F691" s="46" t="str">
        <f ca="1">IFERROR(__xludf.DUMMYFUNCTION("""COMPUTED_VALUE"""),"NGUYEN HOANG PHUONG NGAN")</f>
        <v>NGUYEN HOANG PHUONG NGAN</v>
      </c>
      <c r="G691" s="45">
        <f ca="1">IFERROR(__xludf.DUMMYFUNCTION("""COMPUTED_VALUE"""),38834.5833333333)</f>
        <v>38834.583333333299</v>
      </c>
      <c r="H691" s="45" t="str">
        <f ca="1">IFERROR(__xludf.DUMMYFUNCTION("""COMPUTED_VALUE"""),"BAKES")</f>
        <v>BAKES</v>
      </c>
      <c r="I691" s="46" t="str">
        <f ca="1">IFERROR(__xludf.DUMMYFUNCTION("""COMPUTED_VALUE"""),"STORE")</f>
        <v>STORE</v>
      </c>
      <c r="J691" s="46" t="str">
        <f ca="1">IFERROR(__xludf.DUMMYFUNCTION("""COMPUTED_VALUE"""),"BAKES D9")</f>
        <v>BAKES D9</v>
      </c>
      <c r="K691" s="46" t="str">
        <f ca="1">IFERROR(__xludf.DUMMYFUNCTION("""COMPUTED_VALUE"""),"WAITSTAFF")</f>
        <v>WAITSTAFF</v>
      </c>
      <c r="L691" s="46" t="str">
        <f ca="1">IFERROR(__xludf.DUMMYFUNCTION("""COMPUTED_VALUE"""),"PTE")</f>
        <v>PTE</v>
      </c>
      <c r="M691" s="46" t="str">
        <f ca="1">IFERROR(__xludf.DUMMYFUNCTION("""COMPUTED_VALUE"""),"Leave")</f>
        <v>Leave</v>
      </c>
      <c r="N691" s="46" t="str">
        <f ca="1">IFERROR(__xludf.DUMMYFUNCTION("""COMPUTED_VALUE"""),"đủ")</f>
        <v>đủ</v>
      </c>
    </row>
    <row r="692" spans="1:14">
      <c r="A692" s="45">
        <f ca="1">IFERROR(__xludf.DUMMYFUNCTION("""COMPUTED_VALUE"""),45552.5833333333)</f>
        <v>45552.583333333299</v>
      </c>
      <c r="B692" s="45">
        <f ca="1">IFERROR(__xludf.DUMMYFUNCTION("""COMPUTED_VALUE"""),45830.5833333333)</f>
        <v>45830.583333333299</v>
      </c>
      <c r="C692" s="46">
        <f ca="1">IFERROR(__xludf.DUMMYFUNCTION("""COMPUTED_VALUE"""),693)</f>
        <v>693</v>
      </c>
      <c r="D692" s="47" t="str">
        <f ca="1">IFERROR(__xludf.DUMMYFUNCTION("""COMPUTED_VALUE"""),"C0459")</f>
        <v>C0459</v>
      </c>
      <c r="E692" s="46" t="str">
        <f ca="1">IFERROR(__xludf.DUMMYFUNCTION("""COMPUTED_VALUE"""),"LƯƠNG HẢI PHƯỢNG")</f>
        <v>LƯƠNG HẢI PHƯỢNG</v>
      </c>
      <c r="F692" s="46" t="str">
        <f ca="1">IFERROR(__xludf.DUMMYFUNCTION("""COMPUTED_VALUE"""),"LUONG HAI PHUONG")</f>
        <v>LUONG HAI PHUONG</v>
      </c>
      <c r="G692" s="45">
        <f ca="1">IFERROR(__xludf.DUMMYFUNCTION("""COMPUTED_VALUE"""),34842.5833333333)</f>
        <v>34842.583333333299</v>
      </c>
      <c r="H692" s="45" t="str">
        <f ca="1">IFERROR(__xludf.DUMMYFUNCTION("""COMPUTED_VALUE"""),"BAKES")</f>
        <v>BAKES</v>
      </c>
      <c r="I692" s="46" t="str">
        <f ca="1">IFERROR(__xludf.DUMMYFUNCTION("""COMPUTED_VALUE"""),"HO")</f>
        <v>HO</v>
      </c>
      <c r="J692" s="46" t="str">
        <f ca="1">IFERROR(__xludf.DUMMYFUNCTION("""COMPUTED_VALUE"""),"OPS")</f>
        <v>OPS</v>
      </c>
      <c r="K692" s="46" t="str">
        <f ca="1">IFERROR(__xludf.DUMMYFUNCTION("""COMPUTED_VALUE"""),"OPS")</f>
        <v>OPS</v>
      </c>
      <c r="L692" s="46" t="str">
        <f ca="1">IFERROR(__xludf.DUMMYFUNCTION("""COMPUTED_VALUE"""),"FTE")</f>
        <v>FTE</v>
      </c>
      <c r="M692" s="46" t="str">
        <f ca="1">IFERROR(__xludf.DUMMYFUNCTION("""COMPUTED_VALUE"""),"Leave")</f>
        <v>Leave</v>
      </c>
      <c r="N692" s="46" t="str">
        <f ca="1">IFERROR(__xludf.DUMMYFUNCTION("""COMPUTED_VALUE"""),"x")</f>
        <v>x</v>
      </c>
    </row>
    <row r="693" spans="1:14">
      <c r="A693" s="45">
        <f ca="1">IFERROR(__xludf.DUMMYFUNCTION("""COMPUTED_VALUE"""),45559.5833333333)</f>
        <v>45559.583333333299</v>
      </c>
      <c r="B693" s="45"/>
      <c r="C693" s="46">
        <f ca="1">IFERROR(__xludf.DUMMYFUNCTION("""COMPUTED_VALUE"""),694)</f>
        <v>694</v>
      </c>
      <c r="D693" s="47" t="str">
        <f ca="1">IFERROR(__xludf.DUMMYFUNCTION("""COMPUTED_VALUE"""),"C0460")</f>
        <v>C0460</v>
      </c>
      <c r="E693" s="46" t="str">
        <f ca="1">IFERROR(__xludf.DUMMYFUNCTION("""COMPUTED_VALUE"""),"VÕ THỊ MAI VÀNG")</f>
        <v>VÕ THỊ MAI VÀNG</v>
      </c>
      <c r="F693" s="46" t="str">
        <f ca="1">IFERROR(__xludf.DUMMYFUNCTION("""COMPUTED_VALUE"""),"VO THI MAI VANG")</f>
        <v>VO THI MAI VANG</v>
      </c>
      <c r="G693" s="45">
        <f ca="1">IFERROR(__xludf.DUMMYFUNCTION("""COMPUTED_VALUE"""),37177.5833333333)</f>
        <v>37177.583333333299</v>
      </c>
      <c r="H693" s="45" t="str">
        <f ca="1">IFERROR(__xludf.DUMMYFUNCTION("""COMPUTED_VALUE"""),"MATTE")</f>
        <v>MATTE</v>
      </c>
      <c r="I693" s="46" t="str">
        <f ca="1">IFERROR(__xludf.DUMMYFUNCTION("""COMPUTED_VALUE"""),"HO")</f>
        <v>HO</v>
      </c>
      <c r="J693" s="46" t="str">
        <f ca="1">IFERROR(__xludf.DUMMYFUNCTION("""COMPUTED_VALUE"""),"CUS")</f>
        <v>CUS</v>
      </c>
      <c r="K693" s="46" t="str">
        <f ca="1">IFERROR(__xludf.DUMMYFUNCTION("""COMPUTED_VALUE"""),"CUS")</f>
        <v>CUS</v>
      </c>
      <c r="L693" s="46" t="str">
        <f ca="1">IFERROR(__xludf.DUMMYFUNCTION("""COMPUTED_VALUE"""),"FTE")</f>
        <v>FTE</v>
      </c>
      <c r="M693" s="46" t="str">
        <f ca="1">IFERROR(__xludf.DUMMYFUNCTION("""COMPUTED_VALUE"""),"On")</f>
        <v>On</v>
      </c>
      <c r="N693" s="46" t="str">
        <f ca="1">IFERROR(__xludf.DUMMYFUNCTION("""COMPUTED_VALUE"""),"đủ")</f>
        <v>đủ</v>
      </c>
    </row>
    <row r="694" spans="1:14">
      <c r="A694" s="45">
        <f ca="1">IFERROR(__xludf.DUMMYFUNCTION("""COMPUTED_VALUE"""),45572.5833333333)</f>
        <v>45572.583333333299</v>
      </c>
      <c r="B694" s="45">
        <f ca="1">IFERROR(__xludf.DUMMYFUNCTION("""COMPUTED_VALUE"""),45748.5833333333)</f>
        <v>45748.583333333299</v>
      </c>
      <c r="C694" s="46">
        <f ca="1">IFERROR(__xludf.DUMMYFUNCTION("""COMPUTED_VALUE"""),695)</f>
        <v>695</v>
      </c>
      <c r="D694" s="47" t="str">
        <f ca="1">IFERROR(__xludf.DUMMYFUNCTION("""COMPUTED_VALUE"""),"C0462")</f>
        <v>C0462</v>
      </c>
      <c r="E694" s="46" t="str">
        <f ca="1">IFERROR(__xludf.DUMMYFUNCTION("""COMPUTED_VALUE"""),"NGUYỄN NGỌC GIA HÂN")</f>
        <v>NGUYỄN NGỌC GIA HÂN</v>
      </c>
      <c r="F694" s="46" t="str">
        <f ca="1">IFERROR(__xludf.DUMMYFUNCTION("""COMPUTED_VALUE"""),"NGUYEN NGOC GIA HAN")</f>
        <v>NGUYEN NGOC GIA HAN</v>
      </c>
      <c r="G694" s="45">
        <f ca="1">IFERROR(__xludf.DUMMYFUNCTION("""COMPUTED_VALUE"""),38394.625)</f>
        <v>38394.625</v>
      </c>
      <c r="H694" s="45" t="str">
        <f ca="1">IFERROR(__xludf.DUMMYFUNCTION("""COMPUTED_VALUE"""),"BAKES")</f>
        <v>BAKES</v>
      </c>
      <c r="I694" s="46" t="str">
        <f ca="1">IFERROR(__xludf.DUMMYFUNCTION("""COMPUTED_VALUE"""),"STORE")</f>
        <v>STORE</v>
      </c>
      <c r="J694" s="46" t="str">
        <f ca="1">IFERROR(__xludf.DUMMYFUNCTION("""COMPUTED_VALUE"""),"BAKES D2")</f>
        <v>BAKES D2</v>
      </c>
      <c r="K694" s="46" t="str">
        <f ca="1">IFERROR(__xludf.DUMMYFUNCTION("""COMPUTED_VALUE"""),"WAITSTAFF")</f>
        <v>WAITSTAFF</v>
      </c>
      <c r="L694" s="46" t="str">
        <f ca="1">IFERROR(__xludf.DUMMYFUNCTION("""COMPUTED_VALUE"""),"PTE")</f>
        <v>PTE</v>
      </c>
      <c r="M694" s="46" t="str">
        <f ca="1">IFERROR(__xludf.DUMMYFUNCTION("""COMPUTED_VALUE"""),"Leave")</f>
        <v>Leave</v>
      </c>
      <c r="N694" s="46" t="str">
        <f ca="1">IFERROR(__xludf.DUMMYFUNCTION("""COMPUTED_VALUE"""),"đủ")</f>
        <v>đủ</v>
      </c>
    </row>
    <row r="695" spans="1:14">
      <c r="A695" s="45">
        <f ca="1">IFERROR(__xludf.DUMMYFUNCTION("""COMPUTED_VALUE"""),45567.5833333333)</f>
        <v>45567.583333333299</v>
      </c>
      <c r="B695" s="45">
        <f ca="1">IFERROR(__xludf.DUMMYFUNCTION("""COMPUTED_VALUE"""),45602.625)</f>
        <v>45602.625</v>
      </c>
      <c r="C695" s="46">
        <f ca="1">IFERROR(__xludf.DUMMYFUNCTION("""COMPUTED_VALUE"""),696)</f>
        <v>696</v>
      </c>
      <c r="D695" s="47" t="str">
        <f ca="1">IFERROR(__xludf.DUMMYFUNCTION("""COMPUTED_VALUE"""),"C0463")</f>
        <v>C0463</v>
      </c>
      <c r="E695" s="46" t="str">
        <f ca="1">IFERROR(__xludf.DUMMYFUNCTION("""COMPUTED_VALUE"""),"NGUYỄN TRẦN MẠNH AN")</f>
        <v>NGUYỄN TRẦN MẠNH AN</v>
      </c>
      <c r="F695" s="46" t="str">
        <f ca="1">IFERROR(__xludf.DUMMYFUNCTION("""COMPUTED_VALUE"""),"NGUYEN TRAN MANH AN")</f>
        <v>NGUYEN TRAN MANH AN</v>
      </c>
      <c r="G695" s="45">
        <f ca="1">IFERROR(__xludf.DUMMYFUNCTION("""COMPUTED_VALUE"""),37503.5833333333)</f>
        <v>37503.583333333299</v>
      </c>
      <c r="H695" s="45" t="str">
        <f ca="1">IFERROR(__xludf.DUMMYFUNCTION("""COMPUTED_VALUE"""),"SHADOW")</f>
        <v>SHADOW</v>
      </c>
      <c r="I695" s="46" t="str">
        <f ca="1">IFERROR(__xludf.DUMMYFUNCTION("""COMPUTED_VALUE"""),"STORE")</f>
        <v>STORE</v>
      </c>
      <c r="J695" s="46" t="str">
        <f ca="1">IFERROR(__xludf.DUMMYFUNCTION("""COMPUTED_VALUE"""),"BAKES PASTEUR")</f>
        <v>BAKES PASTEUR</v>
      </c>
      <c r="K695" s="46" t="str">
        <f ca="1">IFERROR(__xludf.DUMMYFUNCTION("""COMPUTED_VALUE"""),"BAR")</f>
        <v>BAR</v>
      </c>
      <c r="L695" s="46" t="str">
        <f ca="1">IFERROR(__xludf.DUMMYFUNCTION("""COMPUTED_VALUE"""),"PTE")</f>
        <v>PTE</v>
      </c>
      <c r="M695" s="46" t="str">
        <f ca="1">IFERROR(__xludf.DUMMYFUNCTION("""COMPUTED_VALUE"""),"Leave")</f>
        <v>Leave</v>
      </c>
      <c r="N695" s="46" t="str">
        <f ca="1">IFERROR(__xludf.DUMMYFUNCTION("""COMPUTED_VALUE"""),"đủ")</f>
        <v>đủ</v>
      </c>
    </row>
    <row r="696" spans="1:14">
      <c r="A696" s="45">
        <f ca="1">IFERROR(__xludf.DUMMYFUNCTION("""COMPUTED_VALUE"""),45568.5833333333)</f>
        <v>45568.583333333299</v>
      </c>
      <c r="B696" s="45">
        <f ca="1">IFERROR(__xludf.DUMMYFUNCTION("""COMPUTED_VALUE"""),45668.625)</f>
        <v>45668.625</v>
      </c>
      <c r="C696" s="46">
        <f ca="1">IFERROR(__xludf.DUMMYFUNCTION("""COMPUTED_VALUE"""),697)</f>
        <v>697</v>
      </c>
      <c r="D696" s="47" t="str">
        <f ca="1">IFERROR(__xludf.DUMMYFUNCTION("""COMPUTED_VALUE"""),"C0464")</f>
        <v>C0464</v>
      </c>
      <c r="E696" s="46" t="str">
        <f ca="1">IFERROR(__xludf.DUMMYFUNCTION("""COMPUTED_VALUE"""),"NGUYỄN PHƯƠNG BẢO TRÂN")</f>
        <v>NGUYỄN PHƯƠNG BẢO TRÂN</v>
      </c>
      <c r="F696" s="46" t="str">
        <f ca="1">IFERROR(__xludf.DUMMYFUNCTION("""COMPUTED_VALUE"""),"NGUYEN PHUONG BAO TRAN")</f>
        <v>NGUYEN PHUONG BAO TRAN</v>
      </c>
      <c r="G696" s="45">
        <f ca="1">IFERROR(__xludf.DUMMYFUNCTION("""COMPUTED_VALUE"""),38926.5833333333)</f>
        <v>38926.583333333299</v>
      </c>
      <c r="H696" s="45" t="str">
        <f ca="1">IFERROR(__xludf.DUMMYFUNCTION("""COMPUTED_VALUE"""),"SHADOW")</f>
        <v>SHADOW</v>
      </c>
      <c r="I696" s="46" t="str">
        <f ca="1">IFERROR(__xludf.DUMMYFUNCTION("""COMPUTED_VALUE"""),"STORE")</f>
        <v>STORE</v>
      </c>
      <c r="J696" s="46" t="str">
        <f ca="1">IFERROR(__xludf.DUMMYFUNCTION("""COMPUTED_VALUE"""),"BAKES PASTEUR")</f>
        <v>BAKES PASTEUR</v>
      </c>
      <c r="K696" s="46" t="str">
        <f ca="1">IFERROR(__xludf.DUMMYFUNCTION("""COMPUTED_VALUE"""),"WAITSTAFF")</f>
        <v>WAITSTAFF</v>
      </c>
      <c r="L696" s="46" t="str">
        <f ca="1">IFERROR(__xludf.DUMMYFUNCTION("""COMPUTED_VALUE"""),"PTE")</f>
        <v>PTE</v>
      </c>
      <c r="M696" s="46" t="str">
        <f ca="1">IFERROR(__xludf.DUMMYFUNCTION("""COMPUTED_VALUE"""),"Leave")</f>
        <v>Leave</v>
      </c>
      <c r="N696" s="46" t="str">
        <f ca="1">IFERROR(__xludf.DUMMYFUNCTION("""COMPUTED_VALUE"""),"đủ")</f>
        <v>đủ</v>
      </c>
    </row>
    <row r="697" spans="1:14">
      <c r="A697" s="45">
        <f ca="1">IFERROR(__xludf.DUMMYFUNCTION("""COMPUTED_VALUE"""),45567.5833333333)</f>
        <v>45567.583333333299</v>
      </c>
      <c r="B697" s="45">
        <f ca="1">IFERROR(__xludf.DUMMYFUNCTION("""COMPUTED_VALUE"""),45588.5833333333)</f>
        <v>45588.583333333299</v>
      </c>
      <c r="C697" s="46">
        <f ca="1">IFERROR(__xludf.DUMMYFUNCTION("""COMPUTED_VALUE"""),698)</f>
        <v>698</v>
      </c>
      <c r="D697" s="47" t="str">
        <f ca="1">IFERROR(__xludf.DUMMYFUNCTION("""COMPUTED_VALUE"""),"C0465")</f>
        <v>C0465</v>
      </c>
      <c r="E697" s="46" t="str">
        <f ca="1">IFERROR(__xludf.DUMMYFUNCTION("""COMPUTED_VALUE"""),"LÊ THỊ TRÀ MY")</f>
        <v>LÊ THỊ TRÀ MY</v>
      </c>
      <c r="F697" s="46" t="str">
        <f ca="1">IFERROR(__xludf.DUMMYFUNCTION("""COMPUTED_VALUE"""),"LE THI TRA MY")</f>
        <v>LE THI TRA MY</v>
      </c>
      <c r="G697" s="45">
        <f ca="1">IFERROR(__xludf.DUMMYFUNCTION("""COMPUTED_VALUE"""),35098.625)</f>
        <v>35098.625</v>
      </c>
      <c r="H697" s="45" t="str">
        <f ca="1">IFERROR(__xludf.DUMMYFUNCTION("""COMPUTED_VALUE"""),"BAKES")</f>
        <v>BAKES</v>
      </c>
      <c r="I697" s="46" t="str">
        <f ca="1">IFERROR(__xludf.DUMMYFUNCTION("""COMPUTED_VALUE"""),"STORE")</f>
        <v>STORE</v>
      </c>
      <c r="J697" s="46" t="str">
        <f ca="1">IFERROR(__xludf.DUMMYFUNCTION("""COMPUTED_VALUE"""),"BAKES D2")</f>
        <v>BAKES D2</v>
      </c>
      <c r="K697" s="46" t="str">
        <f ca="1">IFERROR(__xludf.DUMMYFUNCTION("""COMPUTED_VALUE"""),"Management team")</f>
        <v>Management team</v>
      </c>
      <c r="L697" s="46" t="str">
        <f ca="1">IFERROR(__xludf.DUMMYFUNCTION("""COMPUTED_VALUE"""),"PRO")</f>
        <v>PRO</v>
      </c>
      <c r="M697" s="46" t="str">
        <f ca="1">IFERROR(__xludf.DUMMYFUNCTION("""COMPUTED_VALUE"""),"Leave")</f>
        <v>Leave</v>
      </c>
      <c r="N697" s="46" t="str">
        <f ca="1">IFERROR(__xludf.DUMMYFUNCTION("""COMPUTED_VALUE"""),"đủ")</f>
        <v>đủ</v>
      </c>
    </row>
    <row r="698" spans="1:14">
      <c r="A698" s="45">
        <f ca="1">IFERROR(__xludf.DUMMYFUNCTION("""COMPUTED_VALUE"""),45566.5833333333)</f>
        <v>45566.583333333299</v>
      </c>
      <c r="B698" s="45">
        <f ca="1">IFERROR(__xludf.DUMMYFUNCTION("""COMPUTED_VALUE"""),45581.5833333333)</f>
        <v>45581.583333333299</v>
      </c>
      <c r="C698" s="46">
        <f ca="1">IFERROR(__xludf.DUMMYFUNCTION("""COMPUTED_VALUE"""),699)</f>
        <v>699</v>
      </c>
      <c r="D698" s="47" t="str">
        <f ca="1">IFERROR(__xludf.DUMMYFUNCTION("""COMPUTED_VALUE"""),"C0466")</f>
        <v>C0466</v>
      </c>
      <c r="E698" s="46" t="str">
        <f ca="1">IFERROR(__xludf.DUMMYFUNCTION("""COMPUTED_VALUE"""),"PHẠM DANH TÙNG")</f>
        <v>PHẠM DANH TÙNG</v>
      </c>
      <c r="F698" s="46" t="str">
        <f ca="1">IFERROR(__xludf.DUMMYFUNCTION("""COMPUTED_VALUE"""),"PHAM DANH TUNG")</f>
        <v>PHAM DANH TUNG</v>
      </c>
      <c r="G698" s="45">
        <f ca="1">IFERROR(__xludf.DUMMYFUNCTION("""COMPUTED_VALUE"""),36492.625)</f>
        <v>36492.625</v>
      </c>
      <c r="H698" s="45" t="str">
        <f ca="1">IFERROR(__xludf.DUMMYFUNCTION("""COMPUTED_VALUE"""),"BAKES")</f>
        <v>BAKES</v>
      </c>
      <c r="I698" s="46" t="str">
        <f ca="1">IFERROR(__xludf.DUMMYFUNCTION("""COMPUTED_VALUE"""),"STORE")</f>
        <v>STORE</v>
      </c>
      <c r="J698" s="46" t="str">
        <f ca="1">IFERROR(__xludf.DUMMYFUNCTION("""COMPUTED_VALUE"""),"BAKES D9")</f>
        <v>BAKES D9</v>
      </c>
      <c r="K698" s="46" t="str">
        <f ca="1">IFERROR(__xludf.DUMMYFUNCTION("""COMPUTED_VALUE"""),"WAITSTAFF")</f>
        <v>WAITSTAFF</v>
      </c>
      <c r="L698" s="46" t="str">
        <f ca="1">IFERROR(__xludf.DUMMYFUNCTION("""COMPUTED_VALUE"""),"PRO")</f>
        <v>PRO</v>
      </c>
      <c r="M698" s="46" t="str">
        <f ca="1">IFERROR(__xludf.DUMMYFUNCTION("""COMPUTED_VALUE"""),"Leave")</f>
        <v>Leave</v>
      </c>
      <c r="N698" s="46" t="str">
        <f ca="1">IFERROR(__xludf.DUMMYFUNCTION("""COMPUTED_VALUE"""),"đủ")</f>
        <v>đủ</v>
      </c>
    </row>
    <row r="699" spans="1:14">
      <c r="A699" s="45">
        <f ca="1">IFERROR(__xludf.DUMMYFUNCTION("""COMPUTED_VALUE"""),45566.5833333333)</f>
        <v>45566.583333333299</v>
      </c>
      <c r="B699" s="45">
        <f ca="1">IFERROR(__xludf.DUMMYFUNCTION("""COMPUTED_VALUE"""),45777.5833333333)</f>
        <v>45777.583333333299</v>
      </c>
      <c r="C699" s="46">
        <f ca="1">IFERROR(__xludf.DUMMYFUNCTION("""COMPUTED_VALUE"""),700)</f>
        <v>700</v>
      </c>
      <c r="D699" s="47" t="str">
        <f ca="1">IFERROR(__xludf.DUMMYFUNCTION("""COMPUTED_VALUE"""),"C0467")</f>
        <v>C0467</v>
      </c>
      <c r="E699" s="46" t="str">
        <f ca="1">IFERROR(__xludf.DUMMYFUNCTION("""COMPUTED_VALUE"""),"NGUYỄN LÊ THẢO NGUYÊN")</f>
        <v>NGUYỄN LÊ THẢO NGUYÊN</v>
      </c>
      <c r="F699" s="46" t="str">
        <f ca="1">IFERROR(__xludf.DUMMYFUNCTION("""COMPUTED_VALUE"""),"NGUYEN LE THAO NGUYEN")</f>
        <v>NGUYEN LE THAO NGUYEN</v>
      </c>
      <c r="G699" s="45">
        <f ca="1">IFERROR(__xludf.DUMMYFUNCTION("""COMPUTED_VALUE"""),38303.625)</f>
        <v>38303.625</v>
      </c>
      <c r="H699" s="45" t="str">
        <f ca="1">IFERROR(__xludf.DUMMYFUNCTION("""COMPUTED_VALUE"""),"BAKES")</f>
        <v>BAKES</v>
      </c>
      <c r="I699" s="46" t="str">
        <f ca="1">IFERROR(__xludf.DUMMYFUNCTION("""COMPUTED_VALUE"""),"STORE")</f>
        <v>STORE</v>
      </c>
      <c r="J699" s="46" t="str">
        <f ca="1">IFERROR(__xludf.DUMMYFUNCTION("""COMPUTED_VALUE"""),"BAKES D9")</f>
        <v>BAKES D9</v>
      </c>
      <c r="K699" s="46" t="str">
        <f ca="1">IFERROR(__xludf.DUMMYFUNCTION("""COMPUTED_VALUE"""),"WAITSTAFF")</f>
        <v>WAITSTAFF</v>
      </c>
      <c r="L699" s="46" t="str">
        <f ca="1">IFERROR(__xludf.DUMMYFUNCTION("""COMPUTED_VALUE"""),"PTE")</f>
        <v>PTE</v>
      </c>
      <c r="M699" s="46" t="str">
        <f ca="1">IFERROR(__xludf.DUMMYFUNCTION("""COMPUTED_VALUE"""),"Leave")</f>
        <v>Leave</v>
      </c>
      <c r="N699" s="46" t="str">
        <f ca="1">IFERROR(__xludf.DUMMYFUNCTION("""COMPUTED_VALUE"""),"đủ")</f>
        <v>đủ</v>
      </c>
    </row>
    <row r="700" spans="1:14">
      <c r="A700" s="45">
        <f ca="1">IFERROR(__xludf.DUMMYFUNCTION("""COMPUTED_VALUE"""),45566.5833333333)</f>
        <v>45566.583333333299</v>
      </c>
      <c r="B700" s="45">
        <f ca="1">IFERROR(__xludf.DUMMYFUNCTION("""COMPUTED_VALUE"""),45889.5833333333)</f>
        <v>45889.583333333299</v>
      </c>
      <c r="C700" s="46">
        <f ca="1">IFERROR(__xludf.DUMMYFUNCTION("""COMPUTED_VALUE"""),701)</f>
        <v>701</v>
      </c>
      <c r="D700" s="47" t="str">
        <f ca="1">IFERROR(__xludf.DUMMYFUNCTION("""COMPUTED_VALUE"""),"C0468")</f>
        <v>C0468</v>
      </c>
      <c r="E700" s="46" t="str">
        <f ca="1">IFERROR(__xludf.DUMMYFUNCTION("""COMPUTED_VALUE"""),"TRẦN BẢO NGỌC")</f>
        <v>TRẦN BẢO NGỌC</v>
      </c>
      <c r="F700" s="46" t="str">
        <f ca="1">IFERROR(__xludf.DUMMYFUNCTION("""COMPUTED_VALUE"""),"TRAN BAO NGOC")</f>
        <v>TRAN BAO NGOC</v>
      </c>
      <c r="G700" s="45">
        <f ca="1">IFERROR(__xludf.DUMMYFUNCTION("""COMPUTED_VALUE"""),38687.625)</f>
        <v>38687.625</v>
      </c>
      <c r="H700" s="45" t="str">
        <f ca="1">IFERROR(__xludf.DUMMYFUNCTION("""COMPUTED_VALUE"""),"BAKES")</f>
        <v>BAKES</v>
      </c>
      <c r="I700" s="46" t="str">
        <f ca="1">IFERROR(__xludf.DUMMYFUNCTION("""COMPUTED_VALUE"""),"STORE")</f>
        <v>STORE</v>
      </c>
      <c r="J700" s="46" t="str">
        <f ca="1">IFERROR(__xludf.DUMMYFUNCTION("""COMPUTED_VALUE"""),"BAKES D9")</f>
        <v>BAKES D9</v>
      </c>
      <c r="K700" s="46" t="str">
        <f ca="1">IFERROR(__xludf.DUMMYFUNCTION("""COMPUTED_VALUE"""),"WAITSTAFF")</f>
        <v>WAITSTAFF</v>
      </c>
      <c r="L700" s="46" t="str">
        <f ca="1">IFERROR(__xludf.DUMMYFUNCTION("""COMPUTED_VALUE"""),"PTE")</f>
        <v>PTE</v>
      </c>
      <c r="M700" s="46" t="str">
        <f ca="1">IFERROR(__xludf.DUMMYFUNCTION("""COMPUTED_VALUE"""),"Leave")</f>
        <v>Leave</v>
      </c>
      <c r="N700" s="46" t="str">
        <f ca="1">IFERROR(__xludf.DUMMYFUNCTION("""COMPUTED_VALUE"""),"đủ")</f>
        <v>đủ</v>
      </c>
    </row>
    <row r="701" spans="1:14">
      <c r="A701" s="45">
        <f ca="1">IFERROR(__xludf.DUMMYFUNCTION("""COMPUTED_VALUE"""),45567.5833333333)</f>
        <v>45567.583333333299</v>
      </c>
      <c r="B701" s="45">
        <f ca="1">IFERROR(__xludf.DUMMYFUNCTION("""COMPUTED_VALUE"""),45659.625)</f>
        <v>45659.625</v>
      </c>
      <c r="C701" s="46">
        <f ca="1">IFERROR(__xludf.DUMMYFUNCTION("""COMPUTED_VALUE"""),702)</f>
        <v>702</v>
      </c>
      <c r="D701" s="47" t="str">
        <f ca="1">IFERROR(__xludf.DUMMYFUNCTION("""COMPUTED_VALUE"""),"C0469")</f>
        <v>C0469</v>
      </c>
      <c r="E701" s="46" t="str">
        <f ca="1">IFERROR(__xludf.DUMMYFUNCTION("""COMPUTED_VALUE"""),"TRẦN MINH NGUYỆT")</f>
        <v>TRẦN MINH NGUYỆT</v>
      </c>
      <c r="F701" s="46" t="str">
        <f ca="1">IFERROR(__xludf.DUMMYFUNCTION("""COMPUTED_VALUE"""),"TRAN MINH NGUYET")</f>
        <v>TRAN MINH NGUYET</v>
      </c>
      <c r="G701" s="45">
        <f ca="1">IFERROR(__xludf.DUMMYFUNCTION("""COMPUTED_VALUE"""),38353.625)</f>
        <v>38353.625</v>
      </c>
      <c r="H701" s="45" t="str">
        <f ca="1">IFERROR(__xludf.DUMMYFUNCTION("""COMPUTED_VALUE"""),"BAKES")</f>
        <v>BAKES</v>
      </c>
      <c r="I701" s="46" t="str">
        <f ca="1">IFERROR(__xludf.DUMMYFUNCTION("""COMPUTED_VALUE"""),"STORE")</f>
        <v>STORE</v>
      </c>
      <c r="J701" s="46" t="str">
        <f ca="1">IFERROR(__xludf.DUMMYFUNCTION("""COMPUTED_VALUE"""),"BAKES D2")</f>
        <v>BAKES D2</v>
      </c>
      <c r="K701" s="46" t="str">
        <f ca="1">IFERROR(__xludf.DUMMYFUNCTION("""COMPUTED_VALUE"""),"WAITSTAFF")</f>
        <v>WAITSTAFF</v>
      </c>
      <c r="L701" s="46" t="str">
        <f ca="1">IFERROR(__xludf.DUMMYFUNCTION("""COMPUTED_VALUE"""),"PTE")</f>
        <v>PTE</v>
      </c>
      <c r="M701" s="46" t="str">
        <f ca="1">IFERROR(__xludf.DUMMYFUNCTION("""COMPUTED_VALUE"""),"Leave")</f>
        <v>Leave</v>
      </c>
      <c r="N701" s="46" t="str">
        <f ca="1">IFERROR(__xludf.DUMMYFUNCTION("""COMPUTED_VALUE"""),"đủ")</f>
        <v>đủ</v>
      </c>
    </row>
    <row r="702" spans="1:14">
      <c r="A702" s="45">
        <f ca="1">IFERROR(__xludf.DUMMYFUNCTION("""COMPUTED_VALUE"""),45573.5833333333)</f>
        <v>45573.583333333299</v>
      </c>
      <c r="B702" s="45"/>
      <c r="C702" s="46">
        <f ca="1">IFERROR(__xludf.DUMMYFUNCTION("""COMPUTED_VALUE"""),703)</f>
        <v>703</v>
      </c>
      <c r="D702" s="47" t="str">
        <f ca="1">IFERROR(__xludf.DUMMYFUNCTION("""COMPUTED_VALUE"""),"C0470")</f>
        <v>C0470</v>
      </c>
      <c r="E702" s="46" t="str">
        <f ca="1">IFERROR(__xludf.DUMMYFUNCTION("""COMPUTED_VALUE"""),"NGUYỄN MAI HÂN")</f>
        <v>NGUYỄN MAI HÂN</v>
      </c>
      <c r="F702" s="46" t="str">
        <f ca="1">IFERROR(__xludf.DUMMYFUNCTION("""COMPUTED_VALUE"""),"NGUYEN MAI HAN")</f>
        <v>NGUYEN MAI HAN</v>
      </c>
      <c r="G702" s="45">
        <f ca="1">IFERROR(__xludf.DUMMYFUNCTION("""COMPUTED_VALUE"""),37899.5833333333)</f>
        <v>37899.583333333299</v>
      </c>
      <c r="H702" s="45" t="str">
        <f ca="1">IFERROR(__xludf.DUMMYFUNCTION("""COMPUTED_VALUE"""),"TLC")</f>
        <v>TLC</v>
      </c>
      <c r="I702" s="46" t="str">
        <f ca="1">IFERROR(__xludf.DUMMYFUNCTION("""COMPUTED_VALUE"""),"HO")</f>
        <v>HO</v>
      </c>
      <c r="J702" s="46" t="str">
        <f ca="1">IFERROR(__xludf.DUMMYFUNCTION("""COMPUTED_VALUE"""),"PRO")</f>
        <v>PRO</v>
      </c>
      <c r="K702" s="46" t="str">
        <f ca="1">IFERROR(__xludf.DUMMYFUNCTION("""COMPUTED_VALUE"""),"PRO")</f>
        <v>PRO</v>
      </c>
      <c r="L702" s="46" t="str">
        <f ca="1">IFERROR(__xludf.DUMMYFUNCTION("""COMPUTED_VALUE"""),"FTE")</f>
        <v>FTE</v>
      </c>
      <c r="M702" s="46" t="str">
        <f ca="1">IFERROR(__xludf.DUMMYFUNCTION("""COMPUTED_VALUE"""),"On")</f>
        <v>On</v>
      </c>
      <c r="N702" s="46" t="str">
        <f ca="1">IFERROR(__xludf.DUMMYFUNCTION("""COMPUTED_VALUE"""),"đủ")</f>
        <v>đủ</v>
      </c>
    </row>
    <row r="703" spans="1:14">
      <c r="A703" s="45">
        <f ca="1">IFERROR(__xludf.DUMMYFUNCTION("""COMPUTED_VALUE"""),45573.5833333333)</f>
        <v>45573.583333333299</v>
      </c>
      <c r="B703" s="45">
        <f ca="1">IFERROR(__xludf.DUMMYFUNCTION("""COMPUTED_VALUE"""),45856.5833333333)</f>
        <v>45856.583333333299</v>
      </c>
      <c r="C703" s="46">
        <f ca="1">IFERROR(__xludf.DUMMYFUNCTION("""COMPUTED_VALUE"""),704)</f>
        <v>704</v>
      </c>
      <c r="D703" s="47" t="str">
        <f ca="1">IFERROR(__xludf.DUMMYFUNCTION("""COMPUTED_VALUE"""),"C0471")</f>
        <v>C0471</v>
      </c>
      <c r="E703" s="46" t="str">
        <f ca="1">IFERROR(__xludf.DUMMYFUNCTION("""COMPUTED_VALUE"""),"VŨ THỊ NHUNG")</f>
        <v>VŨ THỊ NHUNG</v>
      </c>
      <c r="F703" s="46" t="str">
        <f ca="1">IFERROR(__xludf.DUMMYFUNCTION("""COMPUTED_VALUE"""),"VU THI NHUNG")</f>
        <v>VU THI NHUNG</v>
      </c>
      <c r="G703" s="45">
        <f ca="1">IFERROR(__xludf.DUMMYFUNCTION("""COMPUTED_VALUE"""),36420.5833333333)</f>
        <v>36420.583333333299</v>
      </c>
      <c r="H703" s="45" t="str">
        <f ca="1">IFERROR(__xludf.DUMMYFUNCTION("""COMPUTED_VALUE"""),"BAKES")</f>
        <v>BAKES</v>
      </c>
      <c r="I703" s="46" t="str">
        <f ca="1">IFERROR(__xludf.DUMMYFUNCTION("""COMPUTED_VALUE"""),"HO")</f>
        <v>HO</v>
      </c>
      <c r="J703" s="46" t="str">
        <f ca="1">IFERROR(__xludf.DUMMYFUNCTION("""COMPUTED_VALUE"""),"FIN")</f>
        <v>FIN</v>
      </c>
      <c r="K703" s="46" t="str">
        <f ca="1">IFERROR(__xludf.DUMMYFUNCTION("""COMPUTED_VALUE"""),"FIN")</f>
        <v>FIN</v>
      </c>
      <c r="L703" s="46" t="str">
        <f ca="1">IFERROR(__xludf.DUMMYFUNCTION("""COMPUTED_VALUE"""),"FTE")</f>
        <v>FTE</v>
      </c>
      <c r="M703" s="46" t="str">
        <f ca="1">IFERROR(__xludf.DUMMYFUNCTION("""COMPUTED_VALUE"""),"Leave")</f>
        <v>Leave</v>
      </c>
      <c r="N703" s="46" t="str">
        <f ca="1">IFERROR(__xludf.DUMMYFUNCTION("""COMPUTED_VALUE"""),"đủ")</f>
        <v>đủ</v>
      </c>
    </row>
    <row r="704" spans="1:14">
      <c r="A704" s="45">
        <f ca="1">IFERROR(__xludf.DUMMYFUNCTION("""COMPUTED_VALUE"""),45572.5833333333)</f>
        <v>45572.583333333299</v>
      </c>
      <c r="B704" s="45">
        <f ca="1">IFERROR(__xludf.DUMMYFUNCTION("""COMPUTED_VALUE"""),45876.5833333333)</f>
        <v>45876.583333333299</v>
      </c>
      <c r="C704" s="46">
        <f ca="1">IFERROR(__xludf.DUMMYFUNCTION("""COMPUTED_VALUE"""),705)</f>
        <v>705</v>
      </c>
      <c r="D704" s="47" t="str">
        <f ca="1">IFERROR(__xludf.DUMMYFUNCTION("""COMPUTED_VALUE"""),"C0472")</f>
        <v>C0472</v>
      </c>
      <c r="E704" s="46" t="str">
        <f ca="1">IFERROR(__xludf.DUMMYFUNCTION("""COMPUTED_VALUE"""),"PHẠM NHẬT PHƯƠNG")</f>
        <v>PHẠM NHẬT PHƯƠNG</v>
      </c>
      <c r="F704" s="46" t="str">
        <f ca="1">IFERROR(__xludf.DUMMYFUNCTION("""COMPUTED_VALUE"""),"PHAM NHAT PHUONG")</f>
        <v>PHAM NHAT PHUONG</v>
      </c>
      <c r="G704" s="45">
        <f ca="1">IFERROR(__xludf.DUMMYFUNCTION("""COMPUTED_VALUE"""),38220.5833333333)</f>
        <v>38220.583333333299</v>
      </c>
      <c r="H704" s="45" t="str">
        <f ca="1">IFERROR(__xludf.DUMMYFUNCTION("""COMPUTED_VALUE"""),"BAKES")</f>
        <v>BAKES</v>
      </c>
      <c r="I704" s="46" t="str">
        <f ca="1">IFERROR(__xludf.DUMMYFUNCTION("""COMPUTED_VALUE"""),"STORE")</f>
        <v>STORE</v>
      </c>
      <c r="J704" s="46" t="str">
        <f ca="1">IFERROR(__xludf.DUMMYFUNCTION("""COMPUTED_VALUE"""),"BAKES D7")</f>
        <v>BAKES D7</v>
      </c>
      <c r="K704" s="46" t="str">
        <f ca="1">IFERROR(__xludf.DUMMYFUNCTION("""COMPUTED_VALUE"""),"BAR")</f>
        <v>BAR</v>
      </c>
      <c r="L704" s="46" t="str">
        <f ca="1">IFERROR(__xludf.DUMMYFUNCTION("""COMPUTED_VALUE"""),"PTE")</f>
        <v>PTE</v>
      </c>
      <c r="M704" s="46" t="str">
        <f ca="1">IFERROR(__xludf.DUMMYFUNCTION("""COMPUTED_VALUE"""),"Leave")</f>
        <v>Leave</v>
      </c>
      <c r="N704" s="46" t="str">
        <f ca="1">IFERROR(__xludf.DUMMYFUNCTION("""COMPUTED_VALUE"""),"đủ")</f>
        <v>đủ</v>
      </c>
    </row>
    <row r="705" spans="1:14">
      <c r="A705" s="45">
        <f ca="1">IFERROR(__xludf.DUMMYFUNCTION("""COMPUTED_VALUE"""),45574.5833333333)</f>
        <v>45574.583333333299</v>
      </c>
      <c r="B705" s="45">
        <f ca="1">IFERROR(__xludf.DUMMYFUNCTION("""COMPUTED_VALUE"""),45699.625)</f>
        <v>45699.625</v>
      </c>
      <c r="C705" s="46">
        <f ca="1">IFERROR(__xludf.DUMMYFUNCTION("""COMPUTED_VALUE"""),706)</f>
        <v>706</v>
      </c>
      <c r="D705" s="47" t="str">
        <f ca="1">IFERROR(__xludf.DUMMYFUNCTION("""COMPUTED_VALUE"""),"C0473")</f>
        <v>C0473</v>
      </c>
      <c r="E705" s="46" t="str">
        <f ca="1">IFERROR(__xludf.DUMMYFUNCTION("""COMPUTED_VALUE"""),"PHẠM VIỆT ANH")</f>
        <v>PHẠM VIỆT ANH</v>
      </c>
      <c r="F705" s="46" t="str">
        <f ca="1">IFERROR(__xludf.DUMMYFUNCTION("""COMPUTED_VALUE"""),"PHAM VIET ANH")</f>
        <v>PHAM VIET ANH</v>
      </c>
      <c r="G705" s="45">
        <f ca="1">IFERROR(__xludf.DUMMYFUNCTION("""COMPUTED_VALUE"""),37530.5833333333)</f>
        <v>37530.583333333299</v>
      </c>
      <c r="H705" s="45" t="str">
        <f ca="1">IFERROR(__xludf.DUMMYFUNCTION("""COMPUTED_VALUE"""),"SHADOW")</f>
        <v>SHADOW</v>
      </c>
      <c r="I705" s="46" t="str">
        <f ca="1">IFERROR(__xludf.DUMMYFUNCTION("""COMPUTED_VALUE"""),"STORE")</f>
        <v>STORE</v>
      </c>
      <c r="J705" s="46" t="str">
        <f ca="1">IFERROR(__xludf.DUMMYFUNCTION("""COMPUTED_VALUE"""),"BAKES PASTEUR")</f>
        <v>BAKES PASTEUR</v>
      </c>
      <c r="K705" s="46" t="str">
        <f ca="1">IFERROR(__xludf.DUMMYFUNCTION("""COMPUTED_VALUE"""),"BAR")</f>
        <v>BAR</v>
      </c>
      <c r="L705" s="46" t="str">
        <f ca="1">IFERROR(__xludf.DUMMYFUNCTION("""COMPUTED_VALUE"""),"PTE")</f>
        <v>PTE</v>
      </c>
      <c r="M705" s="46" t="str">
        <f ca="1">IFERROR(__xludf.DUMMYFUNCTION("""COMPUTED_VALUE"""),"Leave")</f>
        <v>Leave</v>
      </c>
      <c r="N705" s="46" t="str">
        <f ca="1">IFERROR(__xludf.DUMMYFUNCTION("""COMPUTED_VALUE"""),"đủ")</f>
        <v>đủ</v>
      </c>
    </row>
    <row r="706" spans="1:14">
      <c r="A706" s="45">
        <f ca="1">IFERROR(__xludf.DUMMYFUNCTION("""COMPUTED_VALUE"""),45574.5833333333)</f>
        <v>45574.583333333299</v>
      </c>
      <c r="B706" s="45">
        <f ca="1">IFERROR(__xludf.DUMMYFUNCTION("""COMPUTED_VALUE"""),45611.625)</f>
        <v>45611.625</v>
      </c>
      <c r="C706" s="46">
        <f ca="1">IFERROR(__xludf.DUMMYFUNCTION("""COMPUTED_VALUE"""),707)</f>
        <v>707</v>
      </c>
      <c r="D706" s="47" t="str">
        <f ca="1">IFERROR(__xludf.DUMMYFUNCTION("""COMPUTED_VALUE"""),"C0474")</f>
        <v>C0474</v>
      </c>
      <c r="E706" s="46" t="str">
        <f ca="1">IFERROR(__xludf.DUMMYFUNCTION("""COMPUTED_VALUE"""),"NGUYỄN HOÀNG HIỆP")</f>
        <v>NGUYỄN HOÀNG HIỆP</v>
      </c>
      <c r="F706" s="46" t="str">
        <f ca="1">IFERROR(__xludf.DUMMYFUNCTION("""COMPUTED_VALUE"""),"NGUYEN HOANG HIEP")</f>
        <v>NGUYEN HOANG HIEP</v>
      </c>
      <c r="G706" s="45">
        <f ca="1">IFERROR(__xludf.DUMMYFUNCTION("""COMPUTED_VALUE"""),38637.5833333333)</f>
        <v>38637.583333333299</v>
      </c>
      <c r="H706" s="45" t="str">
        <f ca="1">IFERROR(__xludf.DUMMYFUNCTION("""COMPUTED_VALUE"""),"BAKES")</f>
        <v>BAKES</v>
      </c>
      <c r="I706" s="46" t="str">
        <f ca="1">IFERROR(__xludf.DUMMYFUNCTION("""COMPUTED_VALUE"""),"STORE")</f>
        <v>STORE</v>
      </c>
      <c r="J706" s="46" t="str">
        <f ca="1">IFERROR(__xludf.DUMMYFUNCTION("""COMPUTED_VALUE"""),"BAKES D2")</f>
        <v>BAKES D2</v>
      </c>
      <c r="K706" s="46" t="str">
        <f ca="1">IFERROR(__xludf.DUMMYFUNCTION("""COMPUTED_VALUE"""),"WAITSTAFF")</f>
        <v>WAITSTAFF</v>
      </c>
      <c r="L706" s="46" t="str">
        <f ca="1">IFERROR(__xludf.DUMMYFUNCTION("""COMPUTED_VALUE"""),"PTE")</f>
        <v>PTE</v>
      </c>
      <c r="M706" s="46" t="str">
        <f ca="1">IFERROR(__xludf.DUMMYFUNCTION("""COMPUTED_VALUE"""),"Leave")</f>
        <v>Leave</v>
      </c>
      <c r="N706" s="46" t="str">
        <f ca="1">IFERROR(__xludf.DUMMYFUNCTION("""COMPUTED_VALUE"""),"đủ")</f>
        <v>đủ</v>
      </c>
    </row>
    <row r="707" spans="1:14">
      <c r="A707" s="45">
        <f ca="1">IFERROR(__xludf.DUMMYFUNCTION("""COMPUTED_VALUE"""),45580.5833333333)</f>
        <v>45580.583333333299</v>
      </c>
      <c r="B707" s="45">
        <f ca="1">IFERROR(__xludf.DUMMYFUNCTION("""COMPUTED_VALUE"""),45666.625)</f>
        <v>45666.625</v>
      </c>
      <c r="C707" s="46">
        <f ca="1">IFERROR(__xludf.DUMMYFUNCTION("""COMPUTED_VALUE"""),708)</f>
        <v>708</v>
      </c>
      <c r="D707" s="47" t="str">
        <f ca="1">IFERROR(__xludf.DUMMYFUNCTION("""COMPUTED_VALUE"""),"C0475")</f>
        <v>C0475</v>
      </c>
      <c r="E707" s="46" t="str">
        <f ca="1">IFERROR(__xludf.DUMMYFUNCTION("""COMPUTED_VALUE"""),"NGUYỄN NGỌC NHƯ QUỲNH")</f>
        <v>NGUYỄN NGỌC NHƯ QUỲNH</v>
      </c>
      <c r="F707" s="46" t="str">
        <f ca="1">IFERROR(__xludf.DUMMYFUNCTION("""COMPUTED_VALUE"""),"NGUYEN NGOC NHU QUYNH")</f>
        <v>NGUYEN NGOC NHU QUYNH</v>
      </c>
      <c r="G707" s="45">
        <f ca="1">IFERROR(__xludf.DUMMYFUNCTION("""COMPUTED_VALUE"""),37901.5833333333)</f>
        <v>37901.583333333299</v>
      </c>
      <c r="H707" s="45" t="str">
        <f ca="1">IFERROR(__xludf.DUMMYFUNCTION("""COMPUTED_VALUE"""),"BAKES")</f>
        <v>BAKES</v>
      </c>
      <c r="I707" s="46" t="str">
        <f ca="1">IFERROR(__xludf.DUMMYFUNCTION("""COMPUTED_VALUE"""),"HO")</f>
        <v>HO</v>
      </c>
      <c r="J707" s="46" t="str">
        <f ca="1">IFERROR(__xludf.DUMMYFUNCTION("""COMPUTED_VALUE"""),"FIN")</f>
        <v>FIN</v>
      </c>
      <c r="K707" s="46" t="str">
        <f ca="1">IFERROR(__xludf.DUMMYFUNCTION("""COMPUTED_VALUE"""),"FIN")</f>
        <v>FIN</v>
      </c>
      <c r="L707" s="46" t="str">
        <f ca="1">IFERROR(__xludf.DUMMYFUNCTION("""COMPUTED_VALUE"""),"SER")</f>
        <v>SER</v>
      </c>
      <c r="M707" s="46" t="str">
        <f ca="1">IFERROR(__xludf.DUMMYFUNCTION("""COMPUTED_VALUE"""),"Leave")</f>
        <v>Leave</v>
      </c>
      <c r="N707" s="46" t="str">
        <f ca="1">IFERROR(__xludf.DUMMYFUNCTION("""COMPUTED_VALUE"""),"đủ")</f>
        <v>đủ</v>
      </c>
    </row>
    <row r="708" spans="1:14">
      <c r="A708" s="45">
        <f ca="1">IFERROR(__xludf.DUMMYFUNCTION("""COMPUTED_VALUE"""),45573.5833333333)</f>
        <v>45573.583333333299</v>
      </c>
      <c r="B708" s="45">
        <f ca="1">IFERROR(__xludf.DUMMYFUNCTION("""COMPUTED_VALUE"""),45633.625)</f>
        <v>45633.625</v>
      </c>
      <c r="C708" s="46">
        <f ca="1">IFERROR(__xludf.DUMMYFUNCTION("""COMPUTED_VALUE"""),709)</f>
        <v>709</v>
      </c>
      <c r="D708" s="47" t="str">
        <f ca="1">IFERROR(__xludf.DUMMYFUNCTION("""COMPUTED_VALUE"""),"C0476")</f>
        <v>C0476</v>
      </c>
      <c r="E708" s="46" t="str">
        <f ca="1">IFERROR(__xludf.DUMMYFUNCTION("""COMPUTED_VALUE"""),"LONG VŨ ANH TUẤN")</f>
        <v>LONG VŨ ANH TUẤN</v>
      </c>
      <c r="F708" s="46" t="str">
        <f ca="1">IFERROR(__xludf.DUMMYFUNCTION("""COMPUTED_VALUE"""),"LONG VU ANH TUAN")</f>
        <v>LONG VU ANH TUAN</v>
      </c>
      <c r="G708" s="45">
        <f ca="1">IFERROR(__xludf.DUMMYFUNCTION("""COMPUTED_VALUE"""),31101.625)</f>
        <v>31101.625</v>
      </c>
      <c r="H708" s="45" t="str">
        <f ca="1">IFERROR(__xludf.DUMMYFUNCTION("""COMPUTED_VALUE"""),"BAKES")</f>
        <v>BAKES</v>
      </c>
      <c r="I708" s="46" t="str">
        <f ca="1">IFERROR(__xludf.DUMMYFUNCTION("""COMPUTED_VALUE"""),"HO")</f>
        <v>HO</v>
      </c>
      <c r="J708" s="46" t="str">
        <f ca="1">IFERROR(__xludf.DUMMYFUNCTION("""COMPUTED_VALUE"""),"SAL")</f>
        <v>SAL</v>
      </c>
      <c r="K708" s="46" t="str">
        <f ca="1">IFERROR(__xludf.DUMMYFUNCTION("""COMPUTED_VALUE"""),"SAL")</f>
        <v>SAL</v>
      </c>
      <c r="L708" s="46" t="str">
        <f ca="1">IFERROR(__xludf.DUMMYFUNCTION("""COMPUTED_VALUE"""),"PRO")</f>
        <v>PRO</v>
      </c>
      <c r="M708" s="46" t="str">
        <f ca="1">IFERROR(__xludf.DUMMYFUNCTION("""COMPUTED_VALUE"""),"Leave")</f>
        <v>Leave</v>
      </c>
      <c r="N708" s="46" t="str">
        <f ca="1">IFERROR(__xludf.DUMMYFUNCTION("""COMPUTED_VALUE"""),"chưa có bằng cấp công chứng")</f>
        <v>chưa có bằng cấp công chứng</v>
      </c>
    </row>
    <row r="709" spans="1:14">
      <c r="A709" s="45">
        <f ca="1">IFERROR(__xludf.DUMMYFUNCTION("""COMPUTED_VALUE"""),45574.5833333333)</f>
        <v>45574.583333333299</v>
      </c>
      <c r="B709" s="45">
        <f ca="1">IFERROR(__xludf.DUMMYFUNCTION("""COMPUTED_VALUE"""),46235.5833333333)</f>
        <v>46235.583333333299</v>
      </c>
      <c r="C709" s="46">
        <f ca="1">IFERROR(__xludf.DUMMYFUNCTION("""COMPUTED_VALUE"""),710)</f>
        <v>710</v>
      </c>
      <c r="D709" s="47" t="str">
        <f ca="1">IFERROR(__xludf.DUMMYFUNCTION("""COMPUTED_VALUE"""),"C0477")</f>
        <v>C0477</v>
      </c>
      <c r="E709" s="46" t="str">
        <f ca="1">IFERROR(__xludf.DUMMYFUNCTION("""COMPUTED_VALUE"""),"MACQUERON SOPHIE")</f>
        <v>MACQUERON SOPHIE</v>
      </c>
      <c r="F709" s="46" t="str">
        <f ca="1">IFERROR(__xludf.DUMMYFUNCTION("""COMPUTED_VALUE"""),"MACQUERON SOPHIE")</f>
        <v>MACQUERON SOPHIE</v>
      </c>
      <c r="G709" s="45">
        <f ca="1">IFERROR(__xludf.DUMMYFUNCTION("""COMPUTED_VALUE"""),33834.5833333333)</f>
        <v>33834.583333333299</v>
      </c>
      <c r="H709" s="45" t="str">
        <f ca="1">IFERROR(__xludf.DUMMYFUNCTION("""COMPUTED_VALUE"""),"BAKES")</f>
        <v>BAKES</v>
      </c>
      <c r="I709" s="46" t="str">
        <f ca="1">IFERROR(__xludf.DUMMYFUNCTION("""COMPUTED_VALUE"""),"HO")</f>
        <v>HO</v>
      </c>
      <c r="J709" s="46" t="str">
        <f ca="1">IFERROR(__xludf.DUMMYFUNCTION("""COMPUTED_VALUE"""),"PET")</f>
        <v>PET</v>
      </c>
      <c r="K709" s="46" t="str">
        <f ca="1">IFERROR(__xludf.DUMMYFUNCTION("""COMPUTED_VALUE"""),"PET")</f>
        <v>PET</v>
      </c>
      <c r="L709" s="46" t="str">
        <f ca="1">IFERROR(__xludf.DUMMYFUNCTION("""COMPUTED_VALUE"""),"FTE")</f>
        <v>FTE</v>
      </c>
      <c r="M709" s="46" t="str">
        <f ca="1">IFERROR(__xludf.DUMMYFUNCTION("""COMPUTED_VALUE"""),"Leave")</f>
        <v>Leave</v>
      </c>
      <c r="N709" s="46" t="str">
        <f ca="1">IFERROR(__xludf.DUMMYFUNCTION("""COMPUTED_VALUE"""),"đủ")</f>
        <v>đủ</v>
      </c>
    </row>
    <row r="710" spans="1:14">
      <c r="A710" s="45">
        <f ca="1">IFERROR(__xludf.DUMMYFUNCTION("""COMPUTED_VALUE"""),45580.5833333333)</f>
        <v>45580.583333333299</v>
      </c>
      <c r="B710" s="45">
        <f ca="1">IFERROR(__xludf.DUMMYFUNCTION("""COMPUTED_VALUE"""),45791.5833333333)</f>
        <v>45791.583333333299</v>
      </c>
      <c r="C710" s="46">
        <f ca="1">IFERROR(__xludf.DUMMYFUNCTION("""COMPUTED_VALUE"""),711)</f>
        <v>711</v>
      </c>
      <c r="D710" s="47" t="str">
        <f ca="1">IFERROR(__xludf.DUMMYFUNCTION("""COMPUTED_VALUE"""),"C0478")</f>
        <v>C0478</v>
      </c>
      <c r="E710" s="46" t="str">
        <f ca="1">IFERROR(__xludf.DUMMYFUNCTION("""COMPUTED_VALUE"""),"NGUYỄN THỊ HÀ THẢO")</f>
        <v>NGUYỄN THỊ HÀ THẢO</v>
      </c>
      <c r="F710" s="46" t="str">
        <f ca="1">IFERROR(__xludf.DUMMYFUNCTION("""COMPUTED_VALUE"""),"NGUYEN THI HA THAO")</f>
        <v>NGUYEN THI HA THAO</v>
      </c>
      <c r="G710" s="45">
        <f ca="1">IFERROR(__xludf.DUMMYFUNCTION("""COMPUTED_VALUE"""),34989.5833333333)</f>
        <v>34989.583333333299</v>
      </c>
      <c r="H710" s="45" t="str">
        <f ca="1">IFERROR(__xludf.DUMMYFUNCTION("""COMPUTED_VALUE"""),"BAKES")</f>
        <v>BAKES</v>
      </c>
      <c r="I710" s="46" t="str">
        <f ca="1">IFERROR(__xludf.DUMMYFUNCTION("""COMPUTED_VALUE"""),"HO")</f>
        <v>HO</v>
      </c>
      <c r="J710" s="46" t="str">
        <f ca="1">IFERROR(__xludf.DUMMYFUNCTION("""COMPUTED_VALUE"""),"CUS")</f>
        <v>CUS</v>
      </c>
      <c r="K710" s="46" t="str">
        <f ca="1">IFERROR(__xludf.DUMMYFUNCTION("""COMPUTED_VALUE"""),"CUS")</f>
        <v>CUS</v>
      </c>
      <c r="L710" s="46" t="str">
        <f ca="1">IFERROR(__xludf.DUMMYFUNCTION("""COMPUTED_VALUE"""),"FTE")</f>
        <v>FTE</v>
      </c>
      <c r="M710" s="46" t="str">
        <f ca="1">IFERROR(__xludf.DUMMYFUNCTION("""COMPUTED_VALUE"""),"Leave")</f>
        <v>Leave</v>
      </c>
      <c r="N710" s="46" t="str">
        <f ca="1">IFERROR(__xludf.DUMMYFUNCTION("""COMPUTED_VALUE"""),"đủ")</f>
        <v>đủ</v>
      </c>
    </row>
    <row r="711" spans="1:14">
      <c r="A711" s="45">
        <f ca="1">IFERROR(__xludf.DUMMYFUNCTION("""COMPUTED_VALUE"""),45580.5833333333)</f>
        <v>45580.583333333299</v>
      </c>
      <c r="B711" s="45">
        <f ca="1">IFERROR(__xludf.DUMMYFUNCTION("""COMPUTED_VALUE"""),46054.625)</f>
        <v>46054.625</v>
      </c>
      <c r="C711" s="46">
        <f ca="1">IFERROR(__xludf.DUMMYFUNCTION("""COMPUTED_VALUE"""),712)</f>
        <v>712</v>
      </c>
      <c r="D711" s="47" t="str">
        <f ca="1">IFERROR(__xludf.DUMMYFUNCTION("""COMPUTED_VALUE"""),"C0479")</f>
        <v>C0479</v>
      </c>
      <c r="E711" s="46" t="str">
        <f ca="1">IFERROR(__xludf.DUMMYFUNCTION("""COMPUTED_VALUE"""),"NGUYỄN THIỆN NHUNG HUYỀN")</f>
        <v>NGUYỄN THIỆN NHUNG HUYỀN</v>
      </c>
      <c r="F711" s="46" t="str">
        <f ca="1">IFERROR(__xludf.DUMMYFUNCTION("""COMPUTED_VALUE"""),"NGUYEN THIEN NHUNG HUYEN")</f>
        <v>NGUYEN THIEN NHUNG HUYEN</v>
      </c>
      <c r="G711" s="45">
        <f ca="1">IFERROR(__xludf.DUMMYFUNCTION("""COMPUTED_VALUE"""),36732.5833333333)</f>
        <v>36732.583333333299</v>
      </c>
      <c r="H711" s="45" t="str">
        <f ca="1">IFERROR(__xludf.DUMMYFUNCTION("""COMPUTED_VALUE"""),"KITCHEN PASTRY")</f>
        <v>KITCHEN PASTRY</v>
      </c>
      <c r="I711" s="46" t="str">
        <f ca="1">IFERROR(__xludf.DUMMYFUNCTION("""COMPUTED_VALUE"""),"KITCHEN PASTRY")</f>
        <v>KITCHEN PASTRY</v>
      </c>
      <c r="J711" s="46" t="str">
        <f ca="1">IFERROR(__xludf.DUMMYFUNCTION("""COMPUTED_VALUE"""),"KITCHEN PASTRY")</f>
        <v>KITCHEN PASTRY</v>
      </c>
      <c r="K711" s="46" t="str">
        <f ca="1">IFERROR(__xludf.DUMMYFUNCTION("""COMPUTED_VALUE"""),"PASTRY")</f>
        <v>PASTRY</v>
      </c>
      <c r="L711" s="46" t="str">
        <f ca="1">IFERROR(__xludf.DUMMYFUNCTION("""COMPUTED_VALUE"""),"FTE")</f>
        <v>FTE</v>
      </c>
      <c r="M711" s="46" t="str">
        <f ca="1">IFERROR(__xludf.DUMMYFUNCTION("""COMPUTED_VALUE"""),"Leave")</f>
        <v>Leave</v>
      </c>
      <c r="N711" s="46" t="str">
        <f ca="1">IFERROR(__xludf.DUMMYFUNCTION("""COMPUTED_VALUE"""),"đủ")</f>
        <v>đủ</v>
      </c>
    </row>
    <row r="712" spans="1:14">
      <c r="A712" s="45">
        <f ca="1">IFERROR(__xludf.DUMMYFUNCTION("""COMPUTED_VALUE"""),45579.5833333333)</f>
        <v>45579.583333333299</v>
      </c>
      <c r="B712" s="45"/>
      <c r="C712" s="46">
        <f ca="1">IFERROR(__xludf.DUMMYFUNCTION("""COMPUTED_VALUE"""),713)</f>
        <v>713</v>
      </c>
      <c r="D712" s="47" t="str">
        <f ca="1">IFERROR(__xludf.DUMMYFUNCTION("""COMPUTED_VALUE"""),"C0480")</f>
        <v>C0480</v>
      </c>
      <c r="E712" s="46" t="str">
        <f ca="1">IFERROR(__xludf.DUMMYFUNCTION("""COMPUTED_VALUE"""),"NGUYỄN TRẦN ANH HUY")</f>
        <v>NGUYỄN TRẦN ANH HUY</v>
      </c>
      <c r="F712" s="46" t="str">
        <f ca="1">IFERROR(__xludf.DUMMYFUNCTION("""COMPUTED_VALUE"""),"NGUYEN TRAN ANH HUY")</f>
        <v>NGUYEN TRAN ANH HUY</v>
      </c>
      <c r="G712" s="45">
        <f ca="1">IFERROR(__xludf.DUMMYFUNCTION("""COMPUTED_VALUE"""),37565.625)</f>
        <v>37565.625</v>
      </c>
      <c r="H712" s="45" t="str">
        <f ca="1">IFERROR(__xludf.DUMMYFUNCTION("""COMPUTED_VALUE"""),"BAKES")</f>
        <v>BAKES</v>
      </c>
      <c r="I712" s="46" t="str">
        <f ca="1">IFERROR(__xludf.DUMMYFUNCTION("""COMPUTED_VALUE"""),"STORE")</f>
        <v>STORE</v>
      </c>
      <c r="J712" s="46" t="str">
        <f ca="1">IFERROR(__xludf.DUMMYFUNCTION("""COMPUTED_VALUE"""),"BAKES D2")</f>
        <v>BAKES D2</v>
      </c>
      <c r="K712" s="46" t="str">
        <f ca="1">IFERROR(__xludf.DUMMYFUNCTION("""COMPUTED_VALUE"""),"WAITSTAFF")</f>
        <v>WAITSTAFF</v>
      </c>
      <c r="L712" s="46" t="str">
        <f ca="1">IFERROR(__xludf.DUMMYFUNCTION("""COMPUTED_VALUE"""),"PTE")</f>
        <v>PTE</v>
      </c>
      <c r="M712" s="46" t="str">
        <f ca="1">IFERROR(__xludf.DUMMYFUNCTION("""COMPUTED_VALUE"""),"On")</f>
        <v>On</v>
      </c>
      <c r="N712" s="46" t="str">
        <f ca="1">IFERROR(__xludf.DUMMYFUNCTION("""COMPUTED_VALUE"""),"đủ")</f>
        <v>đủ</v>
      </c>
    </row>
    <row r="713" spans="1:14">
      <c r="A713" s="45">
        <f ca="1">IFERROR(__xludf.DUMMYFUNCTION("""COMPUTED_VALUE"""),45580.5833333333)</f>
        <v>45580.583333333299</v>
      </c>
      <c r="B713" s="45">
        <f ca="1">IFERROR(__xludf.DUMMYFUNCTION("""COMPUTED_VALUE"""),46174.5833333333)</f>
        <v>46174.583333333299</v>
      </c>
      <c r="C713" s="46">
        <f ca="1">IFERROR(__xludf.DUMMYFUNCTION("""COMPUTED_VALUE"""),714)</f>
        <v>714</v>
      </c>
      <c r="D713" s="47" t="str">
        <f ca="1">IFERROR(__xludf.DUMMYFUNCTION("""COMPUTED_VALUE"""),"C0481")</f>
        <v>C0481</v>
      </c>
      <c r="E713" s="46" t="str">
        <f ca="1">IFERROR(__xludf.DUMMYFUNCTION("""COMPUTED_VALUE"""),"TRẦN QUỐC HOA")</f>
        <v>TRẦN QUỐC HOA</v>
      </c>
      <c r="F713" s="46" t="str">
        <f ca="1">IFERROR(__xludf.DUMMYFUNCTION("""COMPUTED_VALUE"""),"TRAN QUOC HOA")</f>
        <v>TRAN QUOC HOA</v>
      </c>
      <c r="G713" s="45">
        <f ca="1">IFERROR(__xludf.DUMMYFUNCTION("""COMPUTED_VALUE"""),38086.5833333333)</f>
        <v>38086.583333333299</v>
      </c>
      <c r="H713" s="45" t="str">
        <f ca="1">IFERROR(__xludf.DUMMYFUNCTION("""COMPUTED_VALUE"""),"BAKES")</f>
        <v>BAKES</v>
      </c>
      <c r="I713" s="46" t="str">
        <f ca="1">IFERROR(__xludf.DUMMYFUNCTION("""COMPUTED_VALUE"""),"STORE")</f>
        <v>STORE</v>
      </c>
      <c r="J713" s="46" t="str">
        <f ca="1">IFERROR(__xludf.DUMMYFUNCTION("""COMPUTED_VALUE"""),"BAKES D2")</f>
        <v>BAKES D2</v>
      </c>
      <c r="K713" s="46" t="str">
        <f ca="1">IFERROR(__xludf.DUMMYFUNCTION("""COMPUTED_VALUE"""),"CASHIER")</f>
        <v>CASHIER</v>
      </c>
      <c r="L713" s="46" t="str">
        <f ca="1">IFERROR(__xludf.DUMMYFUNCTION("""COMPUTED_VALUE"""),"PTE")</f>
        <v>PTE</v>
      </c>
      <c r="M713" s="46" t="str">
        <f ca="1">IFERROR(__xludf.DUMMYFUNCTION("""COMPUTED_VALUE"""),"Leave")</f>
        <v>Leave</v>
      </c>
      <c r="N713" s="46" t="str">
        <f ca="1">IFERROR(__xludf.DUMMYFUNCTION("""COMPUTED_VALUE"""),"đủ")</f>
        <v>đủ</v>
      </c>
    </row>
    <row r="714" spans="1:14">
      <c r="A714" s="45">
        <f ca="1">IFERROR(__xludf.DUMMYFUNCTION("""COMPUTED_VALUE"""),45579.5833333333)</f>
        <v>45579.583333333299</v>
      </c>
      <c r="B714" s="45">
        <f ca="1">IFERROR(__xludf.DUMMYFUNCTION("""COMPUTED_VALUE"""),45731.5833333333)</f>
        <v>45731.583333333299</v>
      </c>
      <c r="C714" s="46">
        <f ca="1">IFERROR(__xludf.DUMMYFUNCTION("""COMPUTED_VALUE"""),715)</f>
        <v>715</v>
      </c>
      <c r="D714" s="47" t="str">
        <f ca="1">IFERROR(__xludf.DUMMYFUNCTION("""COMPUTED_VALUE"""),"C0482")</f>
        <v>C0482</v>
      </c>
      <c r="E714" s="46" t="str">
        <f ca="1">IFERROR(__xludf.DUMMYFUNCTION("""COMPUTED_VALUE"""),"NGUYỄN NGỌC BIÊU LY")</f>
        <v>NGUYỄN NGỌC BIÊU LY</v>
      </c>
      <c r="F714" s="46" t="str">
        <f ca="1">IFERROR(__xludf.DUMMYFUNCTION("""COMPUTED_VALUE"""),"NGUYEN NGOC BIEU LY")</f>
        <v>NGUYEN NGOC BIEU LY</v>
      </c>
      <c r="G714" s="45">
        <f ca="1">IFERROR(__xludf.DUMMYFUNCTION("""COMPUTED_VALUE"""),37402.5833333333)</f>
        <v>37402.583333333299</v>
      </c>
      <c r="H714" s="45" t="str">
        <f ca="1">IFERROR(__xludf.DUMMYFUNCTION("""COMPUTED_VALUE"""),"BAKES")</f>
        <v>BAKES</v>
      </c>
      <c r="I714" s="46" t="str">
        <f ca="1">IFERROR(__xludf.DUMMYFUNCTION("""COMPUTED_VALUE"""),"STORE")</f>
        <v>STORE</v>
      </c>
      <c r="J714" s="46" t="str">
        <f ca="1">IFERROR(__xludf.DUMMYFUNCTION("""COMPUTED_VALUE"""),"BAKES D7")</f>
        <v>BAKES D7</v>
      </c>
      <c r="K714" s="46" t="str">
        <f ca="1">IFERROR(__xludf.DUMMYFUNCTION("""COMPUTED_VALUE"""),"WAITSTAFF")</f>
        <v>WAITSTAFF</v>
      </c>
      <c r="L714" s="46" t="str">
        <f ca="1">IFERROR(__xludf.DUMMYFUNCTION("""COMPUTED_VALUE"""),"PTE")</f>
        <v>PTE</v>
      </c>
      <c r="M714" s="46" t="str">
        <f ca="1">IFERROR(__xludf.DUMMYFUNCTION("""COMPUTED_VALUE"""),"Leave")</f>
        <v>Leave</v>
      </c>
      <c r="N714" s="46" t="str">
        <f ca="1">IFERROR(__xludf.DUMMYFUNCTION("""COMPUTED_VALUE"""),"đủ")</f>
        <v>đủ</v>
      </c>
    </row>
    <row r="715" spans="1:14">
      <c r="A715" s="45">
        <f ca="1">IFERROR(__xludf.DUMMYFUNCTION("""COMPUTED_VALUE"""),45579.5833333333)</f>
        <v>45579.583333333299</v>
      </c>
      <c r="B715" s="45">
        <f ca="1">IFERROR(__xludf.DUMMYFUNCTION("""COMPUTED_VALUE"""),45793.5833333333)</f>
        <v>45793.583333333299</v>
      </c>
      <c r="C715" s="46">
        <f ca="1">IFERROR(__xludf.DUMMYFUNCTION("""COMPUTED_VALUE"""),716)</f>
        <v>716</v>
      </c>
      <c r="D715" s="47" t="str">
        <f ca="1">IFERROR(__xludf.DUMMYFUNCTION("""COMPUTED_VALUE"""),"C0483")</f>
        <v>C0483</v>
      </c>
      <c r="E715" s="46" t="str">
        <f ca="1">IFERROR(__xludf.DUMMYFUNCTION("""COMPUTED_VALUE"""),"DƯƠNG NGỌC BẢO TRÂN")</f>
        <v>DƯƠNG NGỌC BẢO TRÂN</v>
      </c>
      <c r="F715" s="46" t="str">
        <f ca="1">IFERROR(__xludf.DUMMYFUNCTION("""COMPUTED_VALUE"""),"DUONG NGOC BAO TRAN")</f>
        <v>DUONG NGOC BAO TRAN</v>
      </c>
      <c r="G715" s="45">
        <f ca="1">IFERROR(__xludf.DUMMYFUNCTION("""COMPUTED_VALUE"""),44272.5833333333)</f>
        <v>44272.583333333299</v>
      </c>
      <c r="H715" s="45" t="str">
        <f ca="1">IFERROR(__xludf.DUMMYFUNCTION("""COMPUTED_VALUE"""),"TLC")</f>
        <v>TLC</v>
      </c>
      <c r="I715" s="46" t="str">
        <f ca="1">IFERROR(__xludf.DUMMYFUNCTION("""COMPUTED_VALUE"""),"STORE")</f>
        <v>STORE</v>
      </c>
      <c r="J715" s="46" t="str">
        <f ca="1">IFERROR(__xludf.DUMMYFUNCTION("""COMPUTED_VALUE"""),"BLANK LOUNGE")</f>
        <v>BLANK LOUNGE</v>
      </c>
      <c r="K715" s="46" t="str">
        <f ca="1">IFERROR(__xludf.DUMMYFUNCTION("""COMPUTED_VALUE"""),"WAITSTAFF")</f>
        <v>WAITSTAFF</v>
      </c>
      <c r="L715" s="46" t="str">
        <f ca="1">IFERROR(__xludf.DUMMYFUNCTION("""COMPUTED_VALUE"""),"PTE")</f>
        <v>PTE</v>
      </c>
      <c r="M715" s="46" t="str">
        <f ca="1">IFERROR(__xludf.DUMMYFUNCTION("""COMPUTED_VALUE"""),"Leave")</f>
        <v>Leave</v>
      </c>
      <c r="N715" s="46" t="str">
        <f ca="1">IFERROR(__xludf.DUMMYFUNCTION("""COMPUTED_VALUE"""),"đủ")</f>
        <v>đủ</v>
      </c>
    </row>
    <row r="716" spans="1:14">
      <c r="A716" s="45">
        <f ca="1">IFERROR(__xludf.DUMMYFUNCTION("""COMPUTED_VALUE"""),45576.5833333333)</f>
        <v>45576.583333333299</v>
      </c>
      <c r="B716" s="45">
        <f ca="1">IFERROR(__xludf.DUMMYFUNCTION("""COMPUTED_VALUE"""),45642.625)</f>
        <v>45642.625</v>
      </c>
      <c r="C716" s="46">
        <f ca="1">IFERROR(__xludf.DUMMYFUNCTION("""COMPUTED_VALUE"""),717)</f>
        <v>717</v>
      </c>
      <c r="D716" s="47" t="str">
        <f ca="1">IFERROR(__xludf.DUMMYFUNCTION("""COMPUTED_VALUE"""),"C0484")</f>
        <v>C0484</v>
      </c>
      <c r="E716" s="46" t="str">
        <f ca="1">IFERROR(__xludf.DUMMYFUNCTION("""COMPUTED_VALUE"""),"TRẦN TRỌNG TÍN")</f>
        <v>TRẦN TRỌNG TÍN</v>
      </c>
      <c r="F716" s="46" t="str">
        <f ca="1">IFERROR(__xludf.DUMMYFUNCTION("""COMPUTED_VALUE"""),"TRAN TRONG TIN")</f>
        <v>TRAN TRONG TIN</v>
      </c>
      <c r="G716" s="45">
        <f ca="1">IFERROR(__xludf.DUMMYFUNCTION("""COMPUTED_VALUE"""),37978.625)</f>
        <v>37978.625</v>
      </c>
      <c r="H716" s="45" t="str">
        <f ca="1">IFERROR(__xludf.DUMMYFUNCTION("""COMPUTED_VALUE"""),"BAKES")</f>
        <v>BAKES</v>
      </c>
      <c r="I716" s="46" t="str">
        <f ca="1">IFERROR(__xludf.DUMMYFUNCTION("""COMPUTED_VALUE"""),"STORE")</f>
        <v>STORE</v>
      </c>
      <c r="J716" s="46" t="str">
        <f ca="1">IFERROR(__xludf.DUMMYFUNCTION("""COMPUTED_VALUE"""),"BAKES D2")</f>
        <v>BAKES D2</v>
      </c>
      <c r="K716" s="46" t="str">
        <f ca="1">IFERROR(__xludf.DUMMYFUNCTION("""COMPUTED_VALUE"""),"WAITSTAFF")</f>
        <v>WAITSTAFF</v>
      </c>
      <c r="L716" s="46" t="str">
        <f ca="1">IFERROR(__xludf.DUMMYFUNCTION("""COMPUTED_VALUE"""),"PTE")</f>
        <v>PTE</v>
      </c>
      <c r="M716" s="46" t="str">
        <f ca="1">IFERROR(__xludf.DUMMYFUNCTION("""COMPUTED_VALUE"""),"Leave")</f>
        <v>Leave</v>
      </c>
      <c r="N716" s="46" t="str">
        <f ca="1">IFERROR(__xludf.DUMMYFUNCTION("""COMPUTED_VALUE"""),"đủ")</f>
        <v>đủ</v>
      </c>
    </row>
    <row r="717" spans="1:14">
      <c r="A717" s="45">
        <f ca="1">IFERROR(__xludf.DUMMYFUNCTION("""COMPUTED_VALUE"""),45579.5833333333)</f>
        <v>45579.583333333299</v>
      </c>
      <c r="B717" s="45"/>
      <c r="C717" s="46">
        <f ca="1">IFERROR(__xludf.DUMMYFUNCTION("""COMPUTED_VALUE"""),718)</f>
        <v>718</v>
      </c>
      <c r="D717" s="47" t="str">
        <f ca="1">IFERROR(__xludf.DUMMYFUNCTION("""COMPUTED_VALUE"""),"C0485")</f>
        <v>C0485</v>
      </c>
      <c r="E717" s="46" t="str">
        <f ca="1">IFERROR(__xludf.DUMMYFUNCTION("""COMPUTED_VALUE"""),"NGUYỄN THỊ KHÁNH UYÊN")</f>
        <v>NGUYỄN THỊ KHÁNH UYÊN</v>
      </c>
      <c r="F717" s="46" t="str">
        <f ca="1">IFERROR(__xludf.DUMMYFUNCTION("""COMPUTED_VALUE"""),"NGUYEN THI KHANH UYEN")</f>
        <v>NGUYEN THI KHANH UYEN</v>
      </c>
      <c r="G717" s="45">
        <f ca="1">IFERROR(__xludf.DUMMYFUNCTION("""COMPUTED_VALUE"""),38618.5833333333)</f>
        <v>38618.583333333299</v>
      </c>
      <c r="H717" s="45" t="str">
        <f ca="1">IFERROR(__xludf.DUMMYFUNCTION("""COMPUTED_VALUE"""),"TLC")</f>
        <v>TLC</v>
      </c>
      <c r="I717" s="46" t="str">
        <f ca="1">IFERROR(__xludf.DUMMYFUNCTION("""COMPUTED_VALUE"""),"STORE")</f>
        <v>STORE</v>
      </c>
      <c r="J717" s="46" t="str">
        <f ca="1">IFERROR(__xludf.DUMMYFUNCTION("""COMPUTED_VALUE"""),"BLANK LOUNGE")</f>
        <v>BLANK LOUNGE</v>
      </c>
      <c r="K717" s="46" t="str">
        <f ca="1">IFERROR(__xludf.DUMMYFUNCTION("""COMPUTED_VALUE"""),"WAITSTAFF")</f>
        <v>WAITSTAFF</v>
      </c>
      <c r="L717" s="46" t="str">
        <f ca="1">IFERROR(__xludf.DUMMYFUNCTION("""COMPUTED_VALUE"""),"PTE")</f>
        <v>PTE</v>
      </c>
      <c r="M717" s="46" t="str">
        <f ca="1">IFERROR(__xludf.DUMMYFUNCTION("""COMPUTED_VALUE"""),"On")</f>
        <v>On</v>
      </c>
      <c r="N717" s="46" t="str">
        <f ca="1">IFERROR(__xludf.DUMMYFUNCTION("""COMPUTED_VALUE"""),"đủ")</f>
        <v>đủ</v>
      </c>
    </row>
    <row r="718" spans="1:14">
      <c r="A718" s="45">
        <f ca="1">IFERROR(__xludf.DUMMYFUNCTION("""COMPUTED_VALUE"""),45557.5833333333)</f>
        <v>45557.583333333299</v>
      </c>
      <c r="B718" s="45"/>
      <c r="C718" s="46">
        <f ca="1">IFERROR(__xludf.DUMMYFUNCTION("""COMPUTED_VALUE"""),719)</f>
        <v>719</v>
      </c>
      <c r="D718" s="47" t="str">
        <f ca="1">IFERROR(__xludf.DUMMYFUNCTION("""COMPUTED_VALUE"""),"C0486")</f>
        <v>C0486</v>
      </c>
      <c r="E718" s="46" t="str">
        <f ca="1">IFERROR(__xludf.DUMMYFUNCTION("""COMPUTED_VALUE"""),"NGUYỄN THỊ THỦY")</f>
        <v>NGUYỄN THỊ THỦY</v>
      </c>
      <c r="F718" s="46" t="str">
        <f ca="1">IFERROR(__xludf.DUMMYFUNCTION("""COMPUTED_VALUE"""),"NGUYEN THI THUY")</f>
        <v>NGUYEN THI THUY</v>
      </c>
      <c r="G718" s="45">
        <f ca="1">IFERROR(__xludf.DUMMYFUNCTION("""COMPUTED_VALUE"""),26981.6666666666)</f>
        <v>26981.666666666599</v>
      </c>
      <c r="H718" s="45" t="str">
        <f ca="1">IFERROR(__xludf.DUMMYFUNCTION("""COMPUTED_VALUE"""),"TLC")</f>
        <v>TLC</v>
      </c>
      <c r="I718" s="46" t="str">
        <f ca="1">IFERROR(__xludf.DUMMYFUNCTION("""COMPUTED_VALUE"""),"HO")</f>
        <v>HO</v>
      </c>
      <c r="J718" s="46" t="str">
        <f ca="1">IFERROR(__xludf.DUMMYFUNCTION("""COMPUTED_VALUE"""),"HRD")</f>
        <v>HRD</v>
      </c>
      <c r="K718" s="46" t="str">
        <f ca="1">IFERROR(__xludf.DUMMYFUNCTION("""COMPUTED_VALUE"""),"HRD")</f>
        <v>HRD</v>
      </c>
      <c r="L718" s="46" t="str">
        <f ca="1">IFERROR(__xludf.DUMMYFUNCTION("""COMPUTED_VALUE"""),"FTE")</f>
        <v>FTE</v>
      </c>
      <c r="M718" s="46" t="str">
        <f ca="1">IFERROR(__xludf.DUMMYFUNCTION("""COMPUTED_VALUE"""),"On")</f>
        <v>On</v>
      </c>
      <c r="N718" s="46" t="str">
        <f ca="1">IFERROR(__xludf.DUMMYFUNCTION("""COMPUTED_VALUE"""),"đủ")</f>
        <v>đủ</v>
      </c>
    </row>
    <row r="719" spans="1:14">
      <c r="A719" s="45">
        <f ca="1">IFERROR(__xludf.DUMMYFUNCTION("""COMPUTED_VALUE"""),45597.5833333333)</f>
        <v>45597.583333333299</v>
      </c>
      <c r="B719" s="45">
        <f ca="1">IFERROR(__xludf.DUMMYFUNCTION("""COMPUTED_VALUE"""),45778.5833333333)</f>
        <v>45778.583333333299</v>
      </c>
      <c r="C719" s="46">
        <f ca="1">IFERROR(__xludf.DUMMYFUNCTION("""COMPUTED_VALUE"""),720)</f>
        <v>720</v>
      </c>
      <c r="D719" s="47" t="str">
        <f ca="1">IFERROR(__xludf.DUMMYFUNCTION("""COMPUTED_VALUE"""),"C0487")</f>
        <v>C0487</v>
      </c>
      <c r="E719" s="46" t="str">
        <f ca="1">IFERROR(__xludf.DUMMYFUNCTION("""COMPUTED_VALUE"""),"ĐOÀN MINH KHOA")</f>
        <v>ĐOÀN MINH KHOA</v>
      </c>
      <c r="F719" s="46" t="str">
        <f ca="1">IFERROR(__xludf.DUMMYFUNCTION("""COMPUTED_VALUE"""),"DOAN MINH KHOA")</f>
        <v>DOAN MINH KHOA</v>
      </c>
      <c r="G719" s="45">
        <f ca="1">IFERROR(__xludf.DUMMYFUNCTION("""COMPUTED_VALUE"""),37679.625)</f>
        <v>37679.625</v>
      </c>
      <c r="H719" s="45" t="str">
        <f ca="1">IFERROR(__xludf.DUMMYFUNCTION("""COMPUTED_VALUE"""),"SHADOW")</f>
        <v>SHADOW</v>
      </c>
      <c r="I719" s="46" t="str">
        <f ca="1">IFERROR(__xludf.DUMMYFUNCTION("""COMPUTED_VALUE"""),"STORE")</f>
        <v>STORE</v>
      </c>
      <c r="J719" s="46" t="str">
        <f ca="1">IFERROR(__xludf.DUMMYFUNCTION("""COMPUTED_VALUE"""),"BAKES PASTEUR")</f>
        <v>BAKES PASTEUR</v>
      </c>
      <c r="K719" s="46" t="str">
        <f ca="1">IFERROR(__xludf.DUMMYFUNCTION("""COMPUTED_VALUE"""),"BAR")</f>
        <v>BAR</v>
      </c>
      <c r="L719" s="46" t="str">
        <f ca="1">IFERROR(__xludf.DUMMYFUNCTION("""COMPUTED_VALUE"""),"PTE")</f>
        <v>PTE</v>
      </c>
      <c r="M719" s="46" t="str">
        <f ca="1">IFERROR(__xludf.DUMMYFUNCTION("""COMPUTED_VALUE"""),"Leave")</f>
        <v>Leave</v>
      </c>
      <c r="N719" s="46" t="str">
        <f ca="1">IFERROR(__xludf.DUMMYFUNCTION("""COMPUTED_VALUE"""),"đủ")</f>
        <v>đủ</v>
      </c>
    </row>
    <row r="720" spans="1:14">
      <c r="A720" s="45">
        <f ca="1">IFERROR(__xludf.DUMMYFUNCTION("""COMPUTED_VALUE"""),45597.5833333333)</f>
        <v>45597.583333333299</v>
      </c>
      <c r="B720" s="45">
        <f ca="1">IFERROR(__xludf.DUMMYFUNCTION("""COMPUTED_VALUE"""),45698.625)</f>
        <v>45698.625</v>
      </c>
      <c r="C720" s="46">
        <f ca="1">IFERROR(__xludf.DUMMYFUNCTION("""COMPUTED_VALUE"""),721)</f>
        <v>721</v>
      </c>
      <c r="D720" s="47" t="str">
        <f ca="1">IFERROR(__xludf.DUMMYFUNCTION("""COMPUTED_VALUE"""),"C0488")</f>
        <v>C0488</v>
      </c>
      <c r="E720" s="46" t="str">
        <f ca="1">IFERROR(__xludf.DUMMYFUNCTION("""COMPUTED_VALUE"""),"LƯƠNG KHÁNH LINH")</f>
        <v>LƯƠNG KHÁNH LINH</v>
      </c>
      <c r="F720" s="46" t="str">
        <f ca="1">IFERROR(__xludf.DUMMYFUNCTION("""COMPUTED_VALUE"""),"LUONG KHANH LINH")</f>
        <v>LUONG KHANH LINH</v>
      </c>
      <c r="G720" s="45">
        <f ca="1">IFERROR(__xludf.DUMMYFUNCTION("""COMPUTED_VALUE"""),38459.5833333333)</f>
        <v>38459.583333333299</v>
      </c>
      <c r="H720" s="45" t="str">
        <f ca="1">IFERROR(__xludf.DUMMYFUNCTION("""COMPUTED_VALUE"""),"BAKES")</f>
        <v>BAKES</v>
      </c>
      <c r="I720" s="46" t="str">
        <f ca="1">IFERROR(__xludf.DUMMYFUNCTION("""COMPUTED_VALUE"""),"STORE")</f>
        <v>STORE</v>
      </c>
      <c r="J720" s="46" t="str">
        <f ca="1">IFERROR(__xludf.DUMMYFUNCTION("""COMPUTED_VALUE"""),"BAKES D7")</f>
        <v>BAKES D7</v>
      </c>
      <c r="K720" s="46" t="str">
        <f ca="1">IFERROR(__xludf.DUMMYFUNCTION("""COMPUTED_VALUE"""),"WAITSTAFF")</f>
        <v>WAITSTAFF</v>
      </c>
      <c r="L720" s="46" t="str">
        <f ca="1">IFERROR(__xludf.DUMMYFUNCTION("""COMPUTED_VALUE"""),"PTE")</f>
        <v>PTE</v>
      </c>
      <c r="M720" s="46" t="str">
        <f ca="1">IFERROR(__xludf.DUMMYFUNCTION("""COMPUTED_VALUE"""),"Leave")</f>
        <v>Leave</v>
      </c>
      <c r="N720" s="46" t="str">
        <f ca="1">IFERROR(__xludf.DUMMYFUNCTION("""COMPUTED_VALUE"""),"đủ")</f>
        <v>đủ</v>
      </c>
    </row>
    <row r="721" spans="1:14">
      <c r="A721" s="45">
        <f ca="1">IFERROR(__xludf.DUMMYFUNCTION("""COMPUTED_VALUE"""),45597.5833333333)</f>
        <v>45597.583333333299</v>
      </c>
      <c r="B721" s="45">
        <f ca="1">IFERROR(__xludf.DUMMYFUNCTION("""COMPUTED_VALUE"""),45931.5833333333)</f>
        <v>45931.583333333299</v>
      </c>
      <c r="C721" s="46">
        <f ca="1">IFERROR(__xludf.DUMMYFUNCTION("""COMPUTED_VALUE"""),722)</f>
        <v>722</v>
      </c>
      <c r="D721" s="47" t="str">
        <f ca="1">IFERROR(__xludf.DUMMYFUNCTION("""COMPUTED_VALUE"""),"C0490")</f>
        <v>C0490</v>
      </c>
      <c r="E721" s="46" t="str">
        <f ca="1">IFERROR(__xludf.DUMMYFUNCTION("""COMPUTED_VALUE"""),"PHẠM THỊ TÚ QUYÊN")</f>
        <v>PHẠM THỊ TÚ QUYÊN</v>
      </c>
      <c r="F721" s="46" t="str">
        <f ca="1">IFERROR(__xludf.DUMMYFUNCTION("""COMPUTED_VALUE"""),"PHAM THI TU QUYEN")</f>
        <v>PHAM THI TU QUYEN</v>
      </c>
      <c r="G721" s="45">
        <f ca="1">IFERROR(__xludf.DUMMYFUNCTION("""COMPUTED_VALUE"""),38237.5833333333)</f>
        <v>38237.583333333299</v>
      </c>
      <c r="H721" s="45" t="str">
        <f ca="1">IFERROR(__xludf.DUMMYFUNCTION("""COMPUTED_VALUE"""),"BAKES")</f>
        <v>BAKES</v>
      </c>
      <c r="I721" s="46" t="str">
        <f ca="1">IFERROR(__xludf.DUMMYFUNCTION("""COMPUTED_VALUE"""),"STORE")</f>
        <v>STORE</v>
      </c>
      <c r="J721" s="46" t="str">
        <f ca="1">IFERROR(__xludf.DUMMYFUNCTION("""COMPUTED_VALUE"""),"BAKES D7")</f>
        <v>BAKES D7</v>
      </c>
      <c r="K721" s="46" t="str">
        <f ca="1">IFERROR(__xludf.DUMMYFUNCTION("""COMPUTED_VALUE"""),"BAR")</f>
        <v>BAR</v>
      </c>
      <c r="L721" s="46" t="str">
        <f ca="1">IFERROR(__xludf.DUMMYFUNCTION("""COMPUTED_VALUE"""),"PTE")</f>
        <v>PTE</v>
      </c>
      <c r="M721" s="46" t="str">
        <f ca="1">IFERROR(__xludf.DUMMYFUNCTION("""COMPUTED_VALUE"""),"Leave")</f>
        <v>Leave</v>
      </c>
      <c r="N721" s="46" t="str">
        <f ca="1">IFERROR(__xludf.DUMMYFUNCTION("""COMPUTED_VALUE"""),"đủ")</f>
        <v>đủ</v>
      </c>
    </row>
    <row r="722" spans="1:14">
      <c r="A722" s="45">
        <f ca="1">IFERROR(__xludf.DUMMYFUNCTION("""COMPUTED_VALUE"""),45597.5833333333)</f>
        <v>45597.583333333299</v>
      </c>
      <c r="B722" s="45">
        <f ca="1">IFERROR(__xludf.DUMMYFUNCTION("""COMPUTED_VALUE"""),45837.5833333333)</f>
        <v>45837.583333333299</v>
      </c>
      <c r="C722" s="46">
        <f ca="1">IFERROR(__xludf.DUMMYFUNCTION("""COMPUTED_VALUE"""),723)</f>
        <v>723</v>
      </c>
      <c r="D722" s="47" t="str">
        <f ca="1">IFERROR(__xludf.DUMMYFUNCTION("""COMPUTED_VALUE"""),"C0491")</f>
        <v>C0491</v>
      </c>
      <c r="E722" s="46" t="str">
        <f ca="1">IFERROR(__xludf.DUMMYFUNCTION("""COMPUTED_VALUE"""),"NGUYỄN THỊ DIỄM MY")</f>
        <v>NGUYỄN THỊ DIỄM MY</v>
      </c>
      <c r="F722" s="46" t="str">
        <f ca="1">IFERROR(__xludf.DUMMYFUNCTION("""COMPUTED_VALUE"""),"NGUYEN THI DIEM MY")</f>
        <v>NGUYEN THI DIEM MY</v>
      </c>
      <c r="G722" s="45">
        <f ca="1">IFERROR(__xludf.DUMMYFUNCTION("""COMPUTED_VALUE"""),36552.625)</f>
        <v>36552.625</v>
      </c>
      <c r="H722" s="45" t="str">
        <f ca="1">IFERROR(__xludf.DUMMYFUNCTION("""COMPUTED_VALUE"""),"SHADOW")</f>
        <v>SHADOW</v>
      </c>
      <c r="I722" s="46" t="str">
        <f ca="1">IFERROR(__xludf.DUMMYFUNCTION("""COMPUTED_VALUE"""),"STORE")</f>
        <v>STORE</v>
      </c>
      <c r="J722" s="46" t="str">
        <f ca="1">IFERROR(__xludf.DUMMYFUNCTION("""COMPUTED_VALUE"""),"BAKES PASTEUR")</f>
        <v>BAKES PASTEUR</v>
      </c>
      <c r="K722" s="46" t="str">
        <f ca="1">IFERROR(__xludf.DUMMYFUNCTION("""COMPUTED_VALUE"""),"BAR")</f>
        <v>BAR</v>
      </c>
      <c r="L722" s="46" t="str">
        <f ca="1">IFERROR(__xludf.DUMMYFUNCTION("""COMPUTED_VALUE"""),"PTE")</f>
        <v>PTE</v>
      </c>
      <c r="M722" s="46" t="str">
        <f ca="1">IFERROR(__xludf.DUMMYFUNCTION("""COMPUTED_VALUE"""),"Leave")</f>
        <v>Leave</v>
      </c>
      <c r="N722" s="46" t="str">
        <f ca="1">IFERROR(__xludf.DUMMYFUNCTION("""COMPUTED_VALUE"""),"đủ")</f>
        <v>đủ</v>
      </c>
    </row>
    <row r="723" spans="1:14">
      <c r="A723" s="45">
        <f ca="1">IFERROR(__xludf.DUMMYFUNCTION("""COMPUTED_VALUE"""),45601.625)</f>
        <v>45601.625</v>
      </c>
      <c r="B723" s="45">
        <f ca="1">IFERROR(__xludf.DUMMYFUNCTION("""COMPUTED_VALUE"""),45913.5833333333)</f>
        <v>45913.583333333299</v>
      </c>
      <c r="C723" s="46">
        <f ca="1">IFERROR(__xludf.DUMMYFUNCTION("""COMPUTED_VALUE"""),724)</f>
        <v>724</v>
      </c>
      <c r="D723" s="47" t="str">
        <f ca="1">IFERROR(__xludf.DUMMYFUNCTION("""COMPUTED_VALUE"""),"C0492")</f>
        <v>C0492</v>
      </c>
      <c r="E723" s="46" t="str">
        <f ca="1">IFERROR(__xludf.DUMMYFUNCTION("""COMPUTED_VALUE"""),"HỒ THỊ HƯƠNG GIANG")</f>
        <v>HỒ THỊ HƯƠNG GIANG</v>
      </c>
      <c r="F723" s="46" t="str">
        <f ca="1">IFERROR(__xludf.DUMMYFUNCTION("""COMPUTED_VALUE"""),"HO THI HUONG GIANG")</f>
        <v>HO THI HUONG GIANG</v>
      </c>
      <c r="G723" s="45">
        <f ca="1">IFERROR(__xludf.DUMMYFUNCTION("""COMPUTED_VALUE"""),35115.625)</f>
        <v>35115.625</v>
      </c>
      <c r="H723" s="45" t="str">
        <f ca="1">IFERROR(__xludf.DUMMYFUNCTION("""COMPUTED_VALUE"""),"CREATIVE")</f>
        <v>CREATIVE</v>
      </c>
      <c r="I723" s="46" t="str">
        <f ca="1">IFERROR(__xludf.DUMMYFUNCTION("""COMPUTED_VALUE"""),"HO")</f>
        <v>HO</v>
      </c>
      <c r="J723" s="46" t="str">
        <f ca="1">IFERROR(__xludf.DUMMYFUNCTION("""COMPUTED_VALUE"""),"BDT")</f>
        <v>BDT</v>
      </c>
      <c r="K723" s="46" t="str">
        <f ca="1">IFERROR(__xludf.DUMMYFUNCTION("""COMPUTED_VALUE"""),"BDT")</f>
        <v>BDT</v>
      </c>
      <c r="L723" s="46" t="str">
        <f ca="1">IFERROR(__xludf.DUMMYFUNCTION("""COMPUTED_VALUE"""),"FTE")</f>
        <v>FTE</v>
      </c>
      <c r="M723" s="46" t="str">
        <f ca="1">IFERROR(__xludf.DUMMYFUNCTION("""COMPUTED_VALUE"""),"Leave")</f>
        <v>Leave</v>
      </c>
      <c r="N723" s="46" t="str">
        <f ca="1">IFERROR(__xludf.DUMMYFUNCTION("""COMPUTED_VALUE"""),"đủ")</f>
        <v>đủ</v>
      </c>
    </row>
    <row r="724" spans="1:14">
      <c r="A724" s="45">
        <f ca="1">IFERROR(__xludf.DUMMYFUNCTION("""COMPUTED_VALUE"""),45609.625)</f>
        <v>45609.625</v>
      </c>
      <c r="B724" s="45">
        <f ca="1">IFERROR(__xludf.DUMMYFUNCTION("""COMPUTED_VALUE"""),45683.625)</f>
        <v>45683.625</v>
      </c>
      <c r="C724" s="46">
        <f ca="1">IFERROR(__xludf.DUMMYFUNCTION("""COMPUTED_VALUE"""),725)</f>
        <v>725</v>
      </c>
      <c r="D724" s="47" t="str">
        <f ca="1">IFERROR(__xludf.DUMMYFUNCTION("""COMPUTED_VALUE"""),"C0493")</f>
        <v>C0493</v>
      </c>
      <c r="E724" s="46" t="str">
        <f ca="1">IFERROR(__xludf.DUMMYFUNCTION("""COMPUTED_VALUE"""),"NGUYỄN THỊ NGỌC DIỆP")</f>
        <v>NGUYỄN THỊ NGỌC DIỆP</v>
      </c>
      <c r="F724" s="46" t="str">
        <f ca="1">IFERROR(__xludf.DUMMYFUNCTION("""COMPUTED_VALUE"""),"NGUYEN THI NGOC DIEP")</f>
        <v>NGUYEN THI NGOC DIEP</v>
      </c>
      <c r="G724" s="45">
        <f ca="1">IFERROR(__xludf.DUMMYFUNCTION("""COMPUTED_VALUE"""),33734.5833333333)</f>
        <v>33734.583333333299</v>
      </c>
      <c r="H724" s="45" t="str">
        <f ca="1">IFERROR(__xludf.DUMMYFUNCTION("""COMPUTED_VALUE"""),"CREATIVE")</f>
        <v>CREATIVE</v>
      </c>
      <c r="I724" s="46" t="str">
        <f ca="1">IFERROR(__xludf.DUMMYFUNCTION("""COMPUTED_VALUE"""),"HO")</f>
        <v>HO</v>
      </c>
      <c r="J724" s="46" t="str">
        <f ca="1">IFERROR(__xludf.DUMMYFUNCTION("""COMPUTED_VALUE"""),"FIN")</f>
        <v>FIN</v>
      </c>
      <c r="K724" s="46" t="str">
        <f ca="1">IFERROR(__xludf.DUMMYFUNCTION("""COMPUTED_VALUE"""),"FIN")</f>
        <v>FIN</v>
      </c>
      <c r="L724" s="46" t="str">
        <f ca="1">IFERROR(__xludf.DUMMYFUNCTION("""COMPUTED_VALUE"""),"PRO")</f>
        <v>PRO</v>
      </c>
      <c r="M724" s="46" t="str">
        <f ca="1">IFERROR(__xludf.DUMMYFUNCTION("""COMPUTED_VALUE"""),"Leave")</f>
        <v>Leave</v>
      </c>
      <c r="N724" s="46" t="str">
        <f ca="1">IFERROR(__xludf.DUMMYFUNCTION("""COMPUTED_VALUE"""),"đủ")</f>
        <v>đủ</v>
      </c>
    </row>
    <row r="725" spans="1:14">
      <c r="A725" s="45">
        <f ca="1">IFERROR(__xludf.DUMMYFUNCTION("""COMPUTED_VALUE"""),45597.5833333333)</f>
        <v>45597.583333333299</v>
      </c>
      <c r="B725" s="45"/>
      <c r="C725" s="46">
        <f ca="1">IFERROR(__xludf.DUMMYFUNCTION("""COMPUTED_VALUE"""),726)</f>
        <v>726</v>
      </c>
      <c r="D725" s="47" t="str">
        <f ca="1">IFERROR(__xludf.DUMMYFUNCTION("""COMPUTED_VALUE"""),"C0494")</f>
        <v>C0494</v>
      </c>
      <c r="E725" s="46" t="str">
        <f ca="1">IFERROR(__xludf.DUMMYFUNCTION("""COMPUTED_VALUE"""),"TẠ NGUYỄN TƯỜNG DUYÊN")</f>
        <v>TẠ NGUYỄN TƯỜNG DUYÊN</v>
      </c>
      <c r="F725" s="46" t="str">
        <f ca="1">IFERROR(__xludf.DUMMYFUNCTION("""COMPUTED_VALUE"""),"TA NGUYEN TUONG DUYEN")</f>
        <v>TA NGUYEN TUONG DUYEN</v>
      </c>
      <c r="G725" s="45">
        <f ca="1">IFERROR(__xludf.DUMMYFUNCTION("""COMPUTED_VALUE"""),38569.5833333333)</f>
        <v>38569.583333333299</v>
      </c>
      <c r="H725" s="45" t="str">
        <f ca="1">IFERROR(__xludf.DUMMYFUNCTION("""COMPUTED_VALUE"""),"BAKES")</f>
        <v>BAKES</v>
      </c>
      <c r="I725" s="46" t="str">
        <f ca="1">IFERROR(__xludf.DUMMYFUNCTION("""COMPUTED_VALUE"""),"STORE")</f>
        <v>STORE</v>
      </c>
      <c r="J725" s="46" t="str">
        <f ca="1">IFERROR(__xludf.DUMMYFUNCTION("""COMPUTED_VALUE"""),"BAKES D2")</f>
        <v>BAKES D2</v>
      </c>
      <c r="K725" s="46" t="str">
        <f ca="1">IFERROR(__xludf.DUMMYFUNCTION("""COMPUTED_VALUE"""),"CASHIER")</f>
        <v>CASHIER</v>
      </c>
      <c r="L725" s="46" t="str">
        <f ca="1">IFERROR(__xludf.DUMMYFUNCTION("""COMPUTED_VALUE"""),"PTE")</f>
        <v>PTE</v>
      </c>
      <c r="M725" s="46" t="str">
        <f ca="1">IFERROR(__xludf.DUMMYFUNCTION("""COMPUTED_VALUE"""),"On")</f>
        <v>On</v>
      </c>
      <c r="N725" s="46" t="str">
        <f ca="1">IFERROR(__xludf.DUMMYFUNCTION("""COMPUTED_VALUE"""),"đủ")</f>
        <v>đủ</v>
      </c>
    </row>
    <row r="726" spans="1:14">
      <c r="A726" s="45">
        <f ca="1">IFERROR(__xludf.DUMMYFUNCTION("""COMPUTED_VALUE"""),45602.625)</f>
        <v>45602.625</v>
      </c>
      <c r="B726" s="45">
        <f ca="1">IFERROR(__xludf.DUMMYFUNCTION("""COMPUTED_VALUE"""),45607.625)</f>
        <v>45607.625</v>
      </c>
      <c r="C726" s="46">
        <f ca="1">IFERROR(__xludf.DUMMYFUNCTION("""COMPUTED_VALUE"""),727)</f>
        <v>727</v>
      </c>
      <c r="D726" s="47" t="str">
        <f ca="1">IFERROR(__xludf.DUMMYFUNCTION("""COMPUTED_VALUE"""),"C0495")</f>
        <v>C0495</v>
      </c>
      <c r="E726" s="46" t="str">
        <f ca="1">IFERROR(__xludf.DUMMYFUNCTION("""COMPUTED_VALUE"""),"HỒ THỊ NHƯ Ý")</f>
        <v>HỒ THỊ NHƯ Ý</v>
      </c>
      <c r="F726" s="46" t="str">
        <f ca="1">IFERROR(__xludf.DUMMYFUNCTION("""COMPUTED_VALUE"""),"HO THI NHU Y")</f>
        <v>HO THI NHU Y</v>
      </c>
      <c r="G726" s="45">
        <f ca="1">IFERROR(__xludf.DUMMYFUNCTION("""COMPUTED_VALUE"""),38604.5833333333)</f>
        <v>38604.583333333299</v>
      </c>
      <c r="H726" s="45" t="str">
        <f ca="1">IFERROR(__xludf.DUMMYFUNCTION("""COMPUTED_VALUE"""),"YESHI")</f>
        <v>YESHI</v>
      </c>
      <c r="I726" s="46" t="str">
        <f ca="1">IFERROR(__xludf.DUMMYFUNCTION("""COMPUTED_VALUE"""),"STORE")</f>
        <v>STORE</v>
      </c>
      <c r="J726" s="46" t="str">
        <f ca="1">IFERROR(__xludf.DUMMYFUNCTION("""COMPUTED_VALUE"""),"YESHI D2")</f>
        <v>YESHI D2</v>
      </c>
      <c r="K726" s="46" t="str">
        <f ca="1">IFERROR(__xludf.DUMMYFUNCTION("""COMPUTED_VALUE"""),"WAITSTAFF")</f>
        <v>WAITSTAFF</v>
      </c>
      <c r="L726" s="46" t="str">
        <f ca="1">IFERROR(__xludf.DUMMYFUNCTION("""COMPUTED_VALUE"""),"PTE")</f>
        <v>PTE</v>
      </c>
      <c r="M726" s="46" t="str">
        <f ca="1">IFERROR(__xludf.DUMMYFUNCTION("""COMPUTED_VALUE"""),"Leave")</f>
        <v>Leave</v>
      </c>
      <c r="N726" s="46" t="str">
        <f ca="1">IFERROR(__xludf.DUMMYFUNCTION("""COMPUTED_VALUE"""),"đủ")</f>
        <v>đủ</v>
      </c>
    </row>
    <row r="727" spans="1:14">
      <c r="A727" s="45">
        <f ca="1">IFERROR(__xludf.DUMMYFUNCTION("""COMPUTED_VALUE"""),45614.625)</f>
        <v>45614.625</v>
      </c>
      <c r="B727" s="45">
        <f ca="1">IFERROR(__xludf.DUMMYFUNCTION("""COMPUTED_VALUE"""),45789.5833333333)</f>
        <v>45789.583333333299</v>
      </c>
      <c r="C727" s="46">
        <f ca="1">IFERROR(__xludf.DUMMYFUNCTION("""COMPUTED_VALUE"""),728)</f>
        <v>728</v>
      </c>
      <c r="D727" s="47" t="str">
        <f ca="1">IFERROR(__xludf.DUMMYFUNCTION("""COMPUTED_VALUE"""),"C0496")</f>
        <v>C0496</v>
      </c>
      <c r="E727" s="46" t="str">
        <f ca="1">IFERROR(__xludf.DUMMYFUNCTION("""COMPUTED_VALUE"""),"HUỲNH THANH TOÀN")</f>
        <v>HUỲNH THANH TOÀN</v>
      </c>
      <c r="F727" s="46" t="str">
        <f ca="1">IFERROR(__xludf.DUMMYFUNCTION("""COMPUTED_VALUE"""),"HUYNH THANH TOAN")</f>
        <v>HUYNH THANH TOAN</v>
      </c>
      <c r="G727" s="45">
        <f ca="1">IFERROR(__xludf.DUMMYFUNCTION("""COMPUTED_VALUE"""),38370.625)</f>
        <v>38370.625</v>
      </c>
      <c r="H727" s="45" t="str">
        <f ca="1">IFERROR(__xludf.DUMMYFUNCTION("""COMPUTED_VALUE"""),"BAKES")</f>
        <v>BAKES</v>
      </c>
      <c r="I727" s="46" t="str">
        <f ca="1">IFERROR(__xludf.DUMMYFUNCTION("""COMPUTED_VALUE"""),"STORE")</f>
        <v>STORE</v>
      </c>
      <c r="J727" s="46" t="str">
        <f ca="1">IFERROR(__xludf.DUMMYFUNCTION("""COMPUTED_VALUE"""),"BAKES D7")</f>
        <v>BAKES D7</v>
      </c>
      <c r="K727" s="46" t="str">
        <f ca="1">IFERROR(__xludf.DUMMYFUNCTION("""COMPUTED_VALUE"""),"CASHIER")</f>
        <v>CASHIER</v>
      </c>
      <c r="L727" s="46" t="str">
        <f ca="1">IFERROR(__xludf.DUMMYFUNCTION("""COMPUTED_VALUE"""),"FTE")</f>
        <v>FTE</v>
      </c>
      <c r="M727" s="46" t="str">
        <f ca="1">IFERROR(__xludf.DUMMYFUNCTION("""COMPUTED_VALUE"""),"Leave")</f>
        <v>Leave</v>
      </c>
      <c r="N727" s="46" t="str">
        <f ca="1">IFERROR(__xludf.DUMMYFUNCTION("""COMPUTED_VALUE"""),"đủ")</f>
        <v>đủ</v>
      </c>
    </row>
    <row r="728" spans="1:14">
      <c r="A728" s="45">
        <f ca="1">IFERROR(__xludf.DUMMYFUNCTION("""COMPUTED_VALUE"""),45614.625)</f>
        <v>45614.625</v>
      </c>
      <c r="B728" s="45">
        <f ca="1">IFERROR(__xludf.DUMMYFUNCTION("""COMPUTED_VALUE"""),45672.625)</f>
        <v>45672.625</v>
      </c>
      <c r="C728" s="46">
        <f ca="1">IFERROR(__xludf.DUMMYFUNCTION("""COMPUTED_VALUE"""),729)</f>
        <v>729</v>
      </c>
      <c r="D728" s="47" t="str">
        <f ca="1">IFERROR(__xludf.DUMMYFUNCTION("""COMPUTED_VALUE"""),"C0497")</f>
        <v>C0497</v>
      </c>
      <c r="E728" s="46" t="str">
        <f ca="1">IFERROR(__xludf.DUMMYFUNCTION("""COMPUTED_VALUE"""),"LÊ NGUYỄN TƯỜNG LY")</f>
        <v>LÊ NGUYỄN TƯỜNG LY</v>
      </c>
      <c r="F728" s="46" t="str">
        <f ca="1">IFERROR(__xludf.DUMMYFUNCTION("""COMPUTED_VALUE"""),"LE NGUYEN TUONG LY")</f>
        <v>LE NGUYEN TUONG LY</v>
      </c>
      <c r="G728" s="45">
        <f ca="1">IFERROR(__xludf.DUMMYFUNCTION("""COMPUTED_VALUE"""),35623.5833333333)</f>
        <v>35623.583333333299</v>
      </c>
      <c r="H728" s="45" t="str">
        <f ca="1">IFERROR(__xludf.DUMMYFUNCTION("""COMPUTED_VALUE"""),"BAKES")</f>
        <v>BAKES</v>
      </c>
      <c r="I728" s="46" t="str">
        <f ca="1">IFERROR(__xludf.DUMMYFUNCTION("""COMPUTED_VALUE"""),"STORE")</f>
        <v>STORE</v>
      </c>
      <c r="J728" s="46" t="str">
        <f ca="1">IFERROR(__xludf.DUMMYFUNCTION("""COMPUTED_VALUE"""),"BAKES D7")</f>
        <v>BAKES D7</v>
      </c>
      <c r="K728" s="46" t="str">
        <f ca="1">IFERROR(__xludf.DUMMYFUNCTION("""COMPUTED_VALUE"""),"CASHIER")</f>
        <v>CASHIER</v>
      </c>
      <c r="L728" s="46" t="str">
        <f ca="1">IFERROR(__xludf.DUMMYFUNCTION("""COMPUTED_VALUE"""),"PRO")</f>
        <v>PRO</v>
      </c>
      <c r="M728" s="46" t="str">
        <f ca="1">IFERROR(__xludf.DUMMYFUNCTION("""COMPUTED_VALUE"""),"Leave")</f>
        <v>Leave</v>
      </c>
      <c r="N728" s="46" t="str">
        <f ca="1">IFERROR(__xludf.DUMMYFUNCTION("""COMPUTED_VALUE"""),"đủ")</f>
        <v>đủ</v>
      </c>
    </row>
    <row r="729" spans="1:14">
      <c r="A729" s="45">
        <f ca="1">IFERROR(__xludf.DUMMYFUNCTION("""COMPUTED_VALUE"""),45614.625)</f>
        <v>45614.625</v>
      </c>
      <c r="B729" s="45">
        <f ca="1">IFERROR(__xludf.DUMMYFUNCTION("""COMPUTED_VALUE"""),46033.625)</f>
        <v>46033.625</v>
      </c>
      <c r="C729" s="46">
        <f ca="1">IFERROR(__xludf.DUMMYFUNCTION("""COMPUTED_VALUE"""),730)</f>
        <v>730</v>
      </c>
      <c r="D729" s="47" t="str">
        <f ca="1">IFERROR(__xludf.DUMMYFUNCTION("""COMPUTED_VALUE"""),"C0498")</f>
        <v>C0498</v>
      </c>
      <c r="E729" s="46" t="str">
        <f ca="1">IFERROR(__xludf.DUMMYFUNCTION("""COMPUTED_VALUE"""),"NGUYỄN PHAN TẤN TÀI")</f>
        <v>NGUYỄN PHAN TẤN TÀI</v>
      </c>
      <c r="F729" s="46" t="str">
        <f ca="1">IFERROR(__xludf.DUMMYFUNCTION("""COMPUTED_VALUE"""),"NGUYEN PHAN TAN TAI")</f>
        <v>NGUYEN PHAN TAN TAI</v>
      </c>
      <c r="G729" s="45">
        <f ca="1">IFERROR(__xludf.DUMMYFUNCTION("""COMPUTED_VALUE"""),38568.5833333333)</f>
        <v>38568.583333333299</v>
      </c>
      <c r="H729" s="45" t="str">
        <f ca="1">IFERROR(__xludf.DUMMYFUNCTION("""COMPUTED_VALUE"""),"BAKES")</f>
        <v>BAKES</v>
      </c>
      <c r="I729" s="46" t="str">
        <f ca="1">IFERROR(__xludf.DUMMYFUNCTION("""COMPUTED_VALUE"""),"STORE")</f>
        <v>STORE</v>
      </c>
      <c r="J729" s="46" t="str">
        <f ca="1">IFERROR(__xludf.DUMMYFUNCTION("""COMPUTED_VALUE"""),"BAKES D7")</f>
        <v>BAKES D7</v>
      </c>
      <c r="K729" s="46" t="str">
        <f ca="1">IFERROR(__xludf.DUMMYFUNCTION("""COMPUTED_VALUE"""),"WAITSTAFF")</f>
        <v>WAITSTAFF</v>
      </c>
      <c r="L729" s="46" t="str">
        <f ca="1">IFERROR(__xludf.DUMMYFUNCTION("""COMPUTED_VALUE"""),"PTE")</f>
        <v>PTE</v>
      </c>
      <c r="M729" s="46" t="str">
        <f ca="1">IFERROR(__xludf.DUMMYFUNCTION("""COMPUTED_VALUE"""),"Leave")</f>
        <v>Leave</v>
      </c>
      <c r="N729" s="46" t="str">
        <f ca="1">IFERROR(__xludf.DUMMYFUNCTION("""COMPUTED_VALUE"""),"đủ")</f>
        <v>đủ</v>
      </c>
    </row>
    <row r="730" spans="1:14">
      <c r="A730" s="45">
        <f ca="1">IFERROR(__xludf.DUMMYFUNCTION("""COMPUTED_VALUE"""),45615.625)</f>
        <v>45615.625</v>
      </c>
      <c r="B730" s="45" t="str">
        <f ca="1">IFERROR(__xludf.DUMMYFUNCTION("""COMPUTED_VALUE"""),"Đã nghỉ")</f>
        <v>Đã nghỉ</v>
      </c>
      <c r="C730" s="46">
        <f ca="1">IFERROR(__xludf.DUMMYFUNCTION("""COMPUTED_VALUE"""),731)</f>
        <v>731</v>
      </c>
      <c r="D730" s="47" t="str">
        <f ca="1">IFERROR(__xludf.DUMMYFUNCTION("""COMPUTED_VALUE"""),"C0499")</f>
        <v>C0499</v>
      </c>
      <c r="E730" s="46" t="str">
        <f ca="1">IFERROR(__xludf.DUMMYFUNCTION("""COMPUTED_VALUE"""),"GIA HOÀNG NAM PHƯƠNG")</f>
        <v>GIA HOÀNG NAM PHƯƠNG</v>
      </c>
      <c r="F730" s="46" t="str">
        <f ca="1">IFERROR(__xludf.DUMMYFUNCTION("""COMPUTED_VALUE"""),"GIA HOANG NAM PHUONG")</f>
        <v>GIA HOANG NAM PHUONG</v>
      </c>
      <c r="G730" s="45">
        <f ca="1">IFERROR(__xludf.DUMMYFUNCTION("""COMPUTED_VALUE"""),37654.625)</f>
        <v>37654.625</v>
      </c>
      <c r="H730" s="45" t="str">
        <f ca="1">IFERROR(__xludf.DUMMYFUNCTION("""COMPUTED_VALUE"""),"TLC")</f>
        <v>TLC</v>
      </c>
      <c r="I730" s="46" t="str">
        <f ca="1">IFERROR(__xludf.DUMMYFUNCTION("""COMPUTED_VALUE"""),"HO")</f>
        <v>HO</v>
      </c>
      <c r="J730" s="46" t="str">
        <f ca="1">IFERROR(__xludf.DUMMYFUNCTION("""COMPUTED_VALUE"""),"FIN")</f>
        <v>FIN</v>
      </c>
      <c r="K730" s="46" t="str">
        <f ca="1">IFERROR(__xludf.DUMMYFUNCTION("""COMPUTED_VALUE"""),"FIN")</f>
        <v>FIN</v>
      </c>
      <c r="L730" s="46" t="str">
        <f ca="1">IFERROR(__xludf.DUMMYFUNCTION("""COMPUTED_VALUE"""),"SER")</f>
        <v>SER</v>
      </c>
      <c r="M730" s="46" t="str">
        <f ca="1">IFERROR(__xludf.DUMMYFUNCTION("""COMPUTED_VALUE"""),"Leave")</f>
        <v>Leave</v>
      </c>
      <c r="N730" s="46" t="str">
        <f ca="1">IFERROR(__xludf.DUMMYFUNCTION("""COMPUTED_VALUE"""),"đủ")</f>
        <v>đủ</v>
      </c>
    </row>
    <row r="731" spans="1:14">
      <c r="A731" s="45">
        <f ca="1">IFERROR(__xludf.DUMMYFUNCTION("""COMPUTED_VALUE"""),45609.625)</f>
        <v>45609.625</v>
      </c>
      <c r="B731" s="45">
        <f ca="1">IFERROR(__xludf.DUMMYFUNCTION("""COMPUTED_VALUE"""),45630.625)</f>
        <v>45630.625</v>
      </c>
      <c r="C731" s="46">
        <f ca="1">IFERROR(__xludf.DUMMYFUNCTION("""COMPUTED_VALUE"""),732)</f>
        <v>732</v>
      </c>
      <c r="D731" s="47" t="str">
        <f ca="1">IFERROR(__xludf.DUMMYFUNCTION("""COMPUTED_VALUE"""),"C0500")</f>
        <v>C0500</v>
      </c>
      <c r="E731" s="46" t="str">
        <f ca="1">IFERROR(__xludf.DUMMYFUNCTION("""COMPUTED_VALUE"""),"BẠCH NGỌC THẠCH")</f>
        <v>BẠCH NGỌC THẠCH</v>
      </c>
      <c r="F731" s="46" t="str">
        <f ca="1">IFERROR(__xludf.DUMMYFUNCTION("""COMPUTED_VALUE"""),"BACH NGOC THACH")</f>
        <v>BACH NGOC THACH</v>
      </c>
      <c r="G731" s="45">
        <f ca="1">IFERROR(__xludf.DUMMYFUNCTION("""COMPUTED_VALUE"""),34649.625)</f>
        <v>34649.625</v>
      </c>
      <c r="H731" s="45" t="str">
        <f ca="1">IFERROR(__xludf.DUMMYFUNCTION("""COMPUTED_VALUE"""),"KITCHEN PASTRY")</f>
        <v>KITCHEN PASTRY</v>
      </c>
      <c r="I731" s="46" t="str">
        <f ca="1">IFERROR(__xludf.DUMMYFUNCTION("""COMPUTED_VALUE"""),"KITCHEN PASTRY")</f>
        <v>KITCHEN PASTRY</v>
      </c>
      <c r="J731" s="46" t="str">
        <f ca="1">IFERROR(__xludf.DUMMYFUNCTION("""COMPUTED_VALUE"""),"KITCHEN PASTRY")</f>
        <v>KITCHEN PASTRY</v>
      </c>
      <c r="K731" s="46" t="str">
        <f ca="1">IFERROR(__xludf.DUMMYFUNCTION("""COMPUTED_VALUE"""),"BAKER")</f>
        <v>BAKER</v>
      </c>
      <c r="L731" s="46" t="str">
        <f ca="1">IFERROR(__xludf.DUMMYFUNCTION("""COMPUTED_VALUE"""),"PTE")</f>
        <v>PTE</v>
      </c>
      <c r="M731" s="46" t="str">
        <f ca="1">IFERROR(__xludf.DUMMYFUNCTION("""COMPUTED_VALUE"""),"Leave")</f>
        <v>Leave</v>
      </c>
      <c r="N731" s="46" t="str">
        <f ca="1">IFERROR(__xludf.DUMMYFUNCTION("""COMPUTED_VALUE"""),"đủ")</f>
        <v>đủ</v>
      </c>
    </row>
    <row r="732" spans="1:14">
      <c r="A732" s="45">
        <f ca="1">IFERROR(__xludf.DUMMYFUNCTION("""COMPUTED_VALUE"""),45629.625)</f>
        <v>45629.625</v>
      </c>
      <c r="B732" s="45">
        <f ca="1">IFERROR(__xludf.DUMMYFUNCTION("""COMPUTED_VALUE"""),45633.625)</f>
        <v>45633.625</v>
      </c>
      <c r="C732" s="46">
        <f ca="1">IFERROR(__xludf.DUMMYFUNCTION("""COMPUTED_VALUE"""),733)</f>
        <v>733</v>
      </c>
      <c r="D732" s="47" t="str">
        <f ca="1">IFERROR(__xludf.DUMMYFUNCTION("""COMPUTED_VALUE"""),"C0501")</f>
        <v>C0501</v>
      </c>
      <c r="E732" s="46" t="str">
        <f ca="1">IFERROR(__xludf.DUMMYFUNCTION("""COMPUTED_VALUE"""),"NGUYỄN LÊ PHƯƠNG THƯ")</f>
        <v>NGUYỄN LÊ PHƯƠNG THƯ</v>
      </c>
      <c r="F732" s="46" t="str">
        <f ca="1">IFERROR(__xludf.DUMMYFUNCTION("""COMPUTED_VALUE"""),"NGUYEN LE PHUONG THU")</f>
        <v>NGUYEN LE PHUONG THU</v>
      </c>
      <c r="G732" s="45">
        <f ca="1">IFERROR(__xludf.DUMMYFUNCTION("""COMPUTED_VALUE"""),37035.5833333333)</f>
        <v>37035.583333333299</v>
      </c>
      <c r="H732" s="45" t="str">
        <f ca="1">IFERROR(__xludf.DUMMYFUNCTION("""COMPUTED_VALUE"""),"KITCHEN PASTRY")</f>
        <v>KITCHEN PASTRY</v>
      </c>
      <c r="I732" s="46" t="str">
        <f ca="1">IFERROR(__xludf.DUMMYFUNCTION("""COMPUTED_VALUE"""),"KITCHEN PASTRY")</f>
        <v>KITCHEN PASTRY</v>
      </c>
      <c r="J732" s="46" t="str">
        <f ca="1">IFERROR(__xludf.DUMMYFUNCTION("""COMPUTED_VALUE"""),"KITCHEN PASTRY")</f>
        <v>KITCHEN PASTRY</v>
      </c>
      <c r="K732" s="46" t="str">
        <f ca="1">IFERROR(__xludf.DUMMYFUNCTION("""COMPUTED_VALUE"""),"PASTRY")</f>
        <v>PASTRY</v>
      </c>
      <c r="L732" s="46" t="str">
        <f ca="1">IFERROR(__xludf.DUMMYFUNCTION("""COMPUTED_VALUE"""),"PTE")</f>
        <v>PTE</v>
      </c>
      <c r="M732" s="46" t="str">
        <f ca="1">IFERROR(__xludf.DUMMYFUNCTION("""COMPUTED_VALUE"""),"Leave")</f>
        <v>Leave</v>
      </c>
      <c r="N732" s="46" t="str">
        <f ca="1">IFERROR(__xludf.DUMMYFUNCTION("""COMPUTED_VALUE"""),"đủ")</f>
        <v>đủ</v>
      </c>
    </row>
    <row r="733" spans="1:14">
      <c r="A733" s="45">
        <f ca="1">IFERROR(__xludf.DUMMYFUNCTION("""COMPUTED_VALUE"""),45609.625)</f>
        <v>45609.625</v>
      </c>
      <c r="B733" s="45">
        <f ca="1">IFERROR(__xludf.DUMMYFUNCTION("""COMPUTED_VALUE"""),45615.625)</f>
        <v>45615.625</v>
      </c>
      <c r="C733" s="46">
        <f ca="1">IFERROR(__xludf.DUMMYFUNCTION("""COMPUTED_VALUE"""),734)</f>
        <v>734</v>
      </c>
      <c r="D733" s="47" t="str">
        <f ca="1">IFERROR(__xludf.DUMMYFUNCTION("""COMPUTED_VALUE"""),"C0502")</f>
        <v>C0502</v>
      </c>
      <c r="E733" s="46" t="str">
        <f ca="1">IFERROR(__xludf.DUMMYFUNCTION("""COMPUTED_VALUE"""),"NINH THỊ QUỲNH TRANG")</f>
        <v>NINH THỊ QUỲNH TRANG</v>
      </c>
      <c r="F733" s="46" t="str">
        <f ca="1">IFERROR(__xludf.DUMMYFUNCTION("""COMPUTED_VALUE"""),"NINH THI QUYNH TRANG")</f>
        <v>NINH THI QUYNH TRANG</v>
      </c>
      <c r="G733" s="45">
        <f ca="1">IFERROR(__xludf.DUMMYFUNCTION("""COMPUTED_VALUE"""),37596.625)</f>
        <v>37596.625</v>
      </c>
      <c r="H733" s="45" t="str">
        <f ca="1">IFERROR(__xludf.DUMMYFUNCTION("""COMPUTED_VALUE"""),"BAKES")</f>
        <v>BAKES</v>
      </c>
      <c r="I733" s="46" t="str">
        <f ca="1">IFERROR(__xludf.DUMMYFUNCTION("""COMPUTED_VALUE"""),"STORE")</f>
        <v>STORE</v>
      </c>
      <c r="J733" s="46" t="str">
        <f ca="1">IFERROR(__xludf.DUMMYFUNCTION("""COMPUTED_VALUE"""),"BAKES D7")</f>
        <v>BAKES D7</v>
      </c>
      <c r="K733" s="46" t="str">
        <f ca="1">IFERROR(__xludf.DUMMYFUNCTION("""COMPUTED_VALUE"""),"BAR")</f>
        <v>BAR</v>
      </c>
      <c r="L733" s="46" t="str">
        <f ca="1">IFERROR(__xludf.DUMMYFUNCTION("""COMPUTED_VALUE"""),"PTE")</f>
        <v>PTE</v>
      </c>
      <c r="M733" s="46" t="str">
        <f ca="1">IFERROR(__xludf.DUMMYFUNCTION("""COMPUTED_VALUE"""),"Leave")</f>
        <v>Leave</v>
      </c>
      <c r="N733" s="46" t="str">
        <f ca="1">IFERROR(__xludf.DUMMYFUNCTION("""COMPUTED_VALUE"""),"đủ")</f>
        <v>đủ</v>
      </c>
    </row>
    <row r="734" spans="1:14">
      <c r="A734" s="45">
        <f ca="1">IFERROR(__xludf.DUMMYFUNCTION("""COMPUTED_VALUE"""),45614.625)</f>
        <v>45614.625</v>
      </c>
      <c r="B734" s="45">
        <f ca="1">IFERROR(__xludf.DUMMYFUNCTION("""COMPUTED_VALUE"""),45685.625)</f>
        <v>45685.625</v>
      </c>
      <c r="C734" s="46">
        <f ca="1">IFERROR(__xludf.DUMMYFUNCTION("""COMPUTED_VALUE"""),735)</f>
        <v>735</v>
      </c>
      <c r="D734" s="47" t="str">
        <f ca="1">IFERROR(__xludf.DUMMYFUNCTION("""COMPUTED_VALUE"""),"C0503")</f>
        <v>C0503</v>
      </c>
      <c r="E734" s="46" t="str">
        <f ca="1">IFERROR(__xludf.DUMMYFUNCTION("""COMPUTED_VALUE"""),"VÕ QUỐC HƯNG")</f>
        <v>VÕ QUỐC HƯNG</v>
      </c>
      <c r="F734" s="46" t="str">
        <f ca="1">IFERROR(__xludf.DUMMYFUNCTION("""COMPUTED_VALUE"""),"VO QUOC HUNG")</f>
        <v>VO QUOC HUNG</v>
      </c>
      <c r="G734" s="45">
        <f ca="1">IFERROR(__xludf.DUMMYFUNCTION("""COMPUTED_VALUE"""),35934.5833333333)</f>
        <v>35934.583333333299</v>
      </c>
      <c r="H734" s="45" t="str">
        <f ca="1">IFERROR(__xludf.DUMMYFUNCTION("""COMPUTED_VALUE"""),"BAKES")</f>
        <v>BAKES</v>
      </c>
      <c r="I734" s="46" t="str">
        <f ca="1">IFERROR(__xludf.DUMMYFUNCTION("""COMPUTED_VALUE"""),"STORE")</f>
        <v>STORE</v>
      </c>
      <c r="J734" s="46" t="str">
        <f ca="1">IFERROR(__xludf.DUMMYFUNCTION("""COMPUTED_VALUE"""),"BAKES D7")</f>
        <v>BAKES D7</v>
      </c>
      <c r="K734" s="46" t="str">
        <f ca="1">IFERROR(__xludf.DUMMYFUNCTION("""COMPUTED_VALUE"""),"Management team")</f>
        <v>Management team</v>
      </c>
      <c r="L734" s="46" t="str">
        <f ca="1">IFERROR(__xludf.DUMMYFUNCTION("""COMPUTED_VALUE"""),"PRO")</f>
        <v>PRO</v>
      </c>
      <c r="M734" s="46" t="str">
        <f ca="1">IFERROR(__xludf.DUMMYFUNCTION("""COMPUTED_VALUE"""),"Leave")</f>
        <v>Leave</v>
      </c>
      <c r="N734" s="46" t="str">
        <f ca="1">IFERROR(__xludf.DUMMYFUNCTION("""COMPUTED_VALUE"""),"đủ")</f>
        <v>đủ</v>
      </c>
    </row>
    <row r="735" spans="1:14">
      <c r="A735" s="45">
        <f ca="1">IFERROR(__xludf.DUMMYFUNCTION("""COMPUTED_VALUE"""),45609.625)</f>
        <v>45609.625</v>
      </c>
      <c r="B735" s="45">
        <f ca="1">IFERROR(__xludf.DUMMYFUNCTION("""COMPUTED_VALUE"""),45618.625)</f>
        <v>45618.625</v>
      </c>
      <c r="C735" s="46">
        <f ca="1">IFERROR(__xludf.DUMMYFUNCTION("""COMPUTED_VALUE"""),736)</f>
        <v>736</v>
      </c>
      <c r="D735" s="47" t="str">
        <f ca="1">IFERROR(__xludf.DUMMYFUNCTION("""COMPUTED_VALUE"""),"C0504")</f>
        <v>C0504</v>
      </c>
      <c r="E735" s="46" t="str">
        <f ca="1">IFERROR(__xludf.DUMMYFUNCTION("""COMPUTED_VALUE"""),"LỮ NGỌC TRINH")</f>
        <v>LỮ NGỌC TRINH</v>
      </c>
      <c r="F735" s="46" t="str">
        <f ca="1">IFERROR(__xludf.DUMMYFUNCTION("""COMPUTED_VALUE"""),"LU NGOC TRINH")</f>
        <v>LU NGOC TRINH</v>
      </c>
      <c r="G735" s="45">
        <f ca="1">IFERROR(__xludf.DUMMYFUNCTION("""COMPUTED_VALUE"""),35766.625)</f>
        <v>35766.625</v>
      </c>
      <c r="H735" s="45" t="str">
        <f ca="1">IFERROR(__xludf.DUMMYFUNCTION("""COMPUTED_VALUE"""),"BAKES")</f>
        <v>BAKES</v>
      </c>
      <c r="I735" s="46" t="str">
        <f ca="1">IFERROR(__xludf.DUMMYFUNCTION("""COMPUTED_VALUE"""),"STORE")</f>
        <v>STORE</v>
      </c>
      <c r="J735" s="46" t="str">
        <f ca="1">IFERROR(__xludf.DUMMYFUNCTION("""COMPUTED_VALUE"""),"BAKES D2")</f>
        <v>BAKES D2</v>
      </c>
      <c r="K735" s="46" t="str">
        <f ca="1">IFERROR(__xludf.DUMMYFUNCTION("""COMPUTED_VALUE"""),"BAR")</f>
        <v>BAR</v>
      </c>
      <c r="L735" s="46" t="str">
        <f ca="1">IFERROR(__xludf.DUMMYFUNCTION("""COMPUTED_VALUE"""),"PTE")</f>
        <v>PTE</v>
      </c>
      <c r="M735" s="46" t="str">
        <f ca="1">IFERROR(__xludf.DUMMYFUNCTION("""COMPUTED_VALUE"""),"Leave")</f>
        <v>Leave</v>
      </c>
      <c r="N735" s="46" t="str">
        <f ca="1">IFERROR(__xludf.DUMMYFUNCTION("""COMPUTED_VALUE"""),"đủ")</f>
        <v>đủ</v>
      </c>
    </row>
    <row r="736" spans="1:14">
      <c r="A736" s="45">
        <f ca="1">IFERROR(__xludf.DUMMYFUNCTION("""COMPUTED_VALUE"""),45622.625)</f>
        <v>45622.625</v>
      </c>
      <c r="B736" s="45">
        <f ca="1">IFERROR(__xludf.DUMMYFUNCTION("""COMPUTED_VALUE"""),45889.5833333333)</f>
        <v>45889.583333333299</v>
      </c>
      <c r="C736" s="46">
        <f ca="1">IFERROR(__xludf.DUMMYFUNCTION("""COMPUTED_VALUE"""),737)</f>
        <v>737</v>
      </c>
      <c r="D736" s="47" t="str">
        <f ca="1">IFERROR(__xludf.DUMMYFUNCTION("""COMPUTED_VALUE"""),"C0505")</f>
        <v>C0505</v>
      </c>
      <c r="E736" s="46" t="str">
        <f ca="1">IFERROR(__xludf.DUMMYFUNCTION("""COMPUTED_VALUE"""),"NGUYỄN THÚY VY")</f>
        <v>NGUYỄN THÚY VY</v>
      </c>
      <c r="F736" s="46" t="str">
        <f ca="1">IFERROR(__xludf.DUMMYFUNCTION("""COMPUTED_VALUE"""),"NGUYEN THUY VY")</f>
        <v>NGUYEN THUY VY</v>
      </c>
      <c r="G736" s="45">
        <f ca="1">IFERROR(__xludf.DUMMYFUNCTION("""COMPUTED_VALUE"""),38588.5833333333)</f>
        <v>38588.583333333299</v>
      </c>
      <c r="H736" s="45" t="str">
        <f ca="1">IFERROR(__xludf.DUMMYFUNCTION("""COMPUTED_VALUE"""),"BAKES")</f>
        <v>BAKES</v>
      </c>
      <c r="I736" s="46" t="str">
        <f ca="1">IFERROR(__xludf.DUMMYFUNCTION("""COMPUTED_VALUE"""),"STORE")</f>
        <v>STORE</v>
      </c>
      <c r="J736" s="46" t="str">
        <f ca="1">IFERROR(__xludf.DUMMYFUNCTION("""COMPUTED_VALUE"""),"BAKES D9")</f>
        <v>BAKES D9</v>
      </c>
      <c r="K736" s="46" t="str">
        <f ca="1">IFERROR(__xludf.DUMMYFUNCTION("""COMPUTED_VALUE"""),"BAR")</f>
        <v>BAR</v>
      </c>
      <c r="L736" s="46" t="str">
        <f ca="1">IFERROR(__xludf.DUMMYFUNCTION("""COMPUTED_VALUE"""),"PTE")</f>
        <v>PTE</v>
      </c>
      <c r="M736" s="46" t="str">
        <f ca="1">IFERROR(__xludf.DUMMYFUNCTION("""COMPUTED_VALUE"""),"Leave")</f>
        <v>Leave</v>
      </c>
      <c r="N736" s="46" t="str">
        <f ca="1">IFERROR(__xludf.DUMMYFUNCTION("""COMPUTED_VALUE"""),"đủ")</f>
        <v>đủ</v>
      </c>
    </row>
    <row r="737" spans="1:14">
      <c r="A737" s="45">
        <f ca="1">IFERROR(__xludf.DUMMYFUNCTION("""COMPUTED_VALUE"""),45624.625)</f>
        <v>45624.625</v>
      </c>
      <c r="B737" s="45"/>
      <c r="C737" s="46">
        <f ca="1">IFERROR(__xludf.DUMMYFUNCTION("""COMPUTED_VALUE"""),738)</f>
        <v>738</v>
      </c>
      <c r="D737" s="47" t="str">
        <f ca="1">IFERROR(__xludf.DUMMYFUNCTION("""COMPUTED_VALUE"""),"C0506")</f>
        <v>C0506</v>
      </c>
      <c r="E737" s="46" t="str">
        <f ca="1">IFERROR(__xludf.DUMMYFUNCTION("""COMPUTED_VALUE"""),"LÊ HỒNG CHI")</f>
        <v>LÊ HỒNG CHI</v>
      </c>
      <c r="F737" s="46" t="str">
        <f ca="1">IFERROR(__xludf.DUMMYFUNCTION("""COMPUTED_VALUE"""),"LE HONG CHI")</f>
        <v>LE HONG CHI</v>
      </c>
      <c r="G737" s="45">
        <f ca="1">IFERROR(__xludf.DUMMYFUNCTION("""COMPUTED_VALUE"""),37535.5833333333)</f>
        <v>37535.583333333299</v>
      </c>
      <c r="H737" s="45" t="str">
        <f ca="1">IFERROR(__xludf.DUMMYFUNCTION("""COMPUTED_VALUE"""),"KITCHEN PASTRY")</f>
        <v>KITCHEN PASTRY</v>
      </c>
      <c r="I737" s="46" t="str">
        <f ca="1">IFERROR(__xludf.DUMMYFUNCTION("""COMPUTED_VALUE"""),"KITCHEN PASTRY")</f>
        <v>KITCHEN PASTRY</v>
      </c>
      <c r="J737" s="46" t="str">
        <f ca="1">IFERROR(__xludf.DUMMYFUNCTION("""COMPUTED_VALUE"""),"KITCHEN PASTRY")</f>
        <v>KITCHEN PASTRY</v>
      </c>
      <c r="K737" s="46" t="str">
        <f ca="1">IFERROR(__xludf.DUMMYFUNCTION("""COMPUTED_VALUE"""),"BAKER")</f>
        <v>BAKER</v>
      </c>
      <c r="L737" s="46" t="str">
        <f ca="1">IFERROR(__xludf.DUMMYFUNCTION("""COMPUTED_VALUE"""),"FTE")</f>
        <v>FTE</v>
      </c>
      <c r="M737" s="46" t="str">
        <f ca="1">IFERROR(__xludf.DUMMYFUNCTION("""COMPUTED_VALUE"""),"On")</f>
        <v>On</v>
      </c>
      <c r="N737" s="46" t="str">
        <f ca="1">IFERROR(__xludf.DUMMYFUNCTION("""COMPUTED_VALUE"""),"đủ")</f>
        <v>đủ</v>
      </c>
    </row>
    <row r="738" spans="1:14">
      <c r="A738" s="45">
        <f ca="1">IFERROR(__xludf.DUMMYFUNCTION("""COMPUTED_VALUE"""),45622.625)</f>
        <v>45622.625</v>
      </c>
      <c r="B738" s="45">
        <f ca="1">IFERROR(__xludf.DUMMYFUNCTION("""COMPUTED_VALUE"""),45667.625)</f>
        <v>45667.625</v>
      </c>
      <c r="C738" s="46">
        <f ca="1">IFERROR(__xludf.DUMMYFUNCTION("""COMPUTED_VALUE"""),739)</f>
        <v>739</v>
      </c>
      <c r="D738" s="47" t="str">
        <f ca="1">IFERROR(__xludf.DUMMYFUNCTION("""COMPUTED_VALUE"""),"C0507")</f>
        <v>C0507</v>
      </c>
      <c r="E738" s="46" t="str">
        <f ca="1">IFERROR(__xludf.DUMMYFUNCTION("""COMPUTED_VALUE"""),"NGUYỄN QUANG THIỆN NHÂN")</f>
        <v>NGUYỄN QUANG THIỆN NHÂN</v>
      </c>
      <c r="F738" s="46" t="str">
        <f ca="1">IFERROR(__xludf.DUMMYFUNCTION("""COMPUTED_VALUE"""),"NGUYEN QUANG THIEN NHAN")</f>
        <v>NGUYEN QUANG THIEN NHAN</v>
      </c>
      <c r="G738" s="45">
        <f ca="1">IFERROR(__xludf.DUMMYFUNCTION("""COMPUTED_VALUE"""),38962.5833333333)</f>
        <v>38962.583333333299</v>
      </c>
      <c r="H738" s="45" t="str">
        <f ca="1">IFERROR(__xludf.DUMMYFUNCTION("""COMPUTED_VALUE"""),"YESHI")</f>
        <v>YESHI</v>
      </c>
      <c r="I738" s="46" t="str">
        <f ca="1">IFERROR(__xludf.DUMMYFUNCTION("""COMPUTED_VALUE"""),"STORE")</f>
        <v>STORE</v>
      </c>
      <c r="J738" s="46" t="str">
        <f ca="1">IFERROR(__xludf.DUMMYFUNCTION("""COMPUTED_VALUE"""),"YESHI D2")</f>
        <v>YESHI D2</v>
      </c>
      <c r="K738" s="46" t="str">
        <f ca="1">IFERROR(__xludf.DUMMYFUNCTION("""COMPUTED_VALUE"""),"WAITSTAFF")</f>
        <v>WAITSTAFF</v>
      </c>
      <c r="L738" s="46" t="str">
        <f ca="1">IFERROR(__xludf.DUMMYFUNCTION("""COMPUTED_VALUE"""),"PTE")</f>
        <v>PTE</v>
      </c>
      <c r="M738" s="46" t="str">
        <f ca="1">IFERROR(__xludf.DUMMYFUNCTION("""COMPUTED_VALUE"""),"Leave")</f>
        <v>Leave</v>
      </c>
      <c r="N738" s="46" t="str">
        <f ca="1">IFERROR(__xludf.DUMMYFUNCTION("""COMPUTED_VALUE"""),"đủ")</f>
        <v>đủ</v>
      </c>
    </row>
    <row r="739" spans="1:14">
      <c r="A739" s="45">
        <f ca="1">IFERROR(__xludf.DUMMYFUNCTION("""COMPUTED_VALUE"""),45623.625)</f>
        <v>45623.625</v>
      </c>
      <c r="B739" s="45">
        <f ca="1">IFERROR(__xludf.DUMMYFUNCTION("""COMPUTED_VALUE"""),46113.5833333333)</f>
        <v>46113.583333333299</v>
      </c>
      <c r="C739" s="46">
        <f ca="1">IFERROR(__xludf.DUMMYFUNCTION("""COMPUTED_VALUE"""),740)</f>
        <v>740</v>
      </c>
      <c r="D739" s="47" t="str">
        <f ca="1">IFERROR(__xludf.DUMMYFUNCTION("""COMPUTED_VALUE"""),"C0508")</f>
        <v>C0508</v>
      </c>
      <c r="E739" s="46" t="str">
        <f ca="1">IFERROR(__xludf.DUMMYFUNCTION("""COMPUTED_VALUE"""),"NGUYỄN XUÂN NHI")</f>
        <v>NGUYỄN XUÂN NHI</v>
      </c>
      <c r="F739" s="46" t="str">
        <f ca="1">IFERROR(__xludf.DUMMYFUNCTION("""COMPUTED_VALUE"""),"NGUYEN XUAN NHI")</f>
        <v>NGUYEN XUAN NHI</v>
      </c>
      <c r="G739" s="45">
        <f ca="1">IFERROR(__xludf.DUMMYFUNCTION("""COMPUTED_VALUE"""),37137.5833333333)</f>
        <v>37137.583333333299</v>
      </c>
      <c r="H739" s="45" t="str">
        <f ca="1">IFERROR(__xludf.DUMMYFUNCTION("""COMPUTED_VALUE"""),"BAKES")</f>
        <v>BAKES</v>
      </c>
      <c r="I739" s="46" t="str">
        <f ca="1">IFERROR(__xludf.DUMMYFUNCTION("""COMPUTED_VALUE"""),"STORE")</f>
        <v>STORE</v>
      </c>
      <c r="J739" s="46" t="str">
        <f ca="1">IFERROR(__xludf.DUMMYFUNCTION("""COMPUTED_VALUE"""),"BAKES D2")</f>
        <v>BAKES D2</v>
      </c>
      <c r="K739" s="46" t="str">
        <f ca="1">IFERROR(__xludf.DUMMYFUNCTION("""COMPUTED_VALUE"""),"Management team")</f>
        <v>Management team</v>
      </c>
      <c r="L739" s="46" t="str">
        <f ca="1">IFERROR(__xludf.DUMMYFUNCTION("""COMPUTED_VALUE"""),"FTE")</f>
        <v>FTE</v>
      </c>
      <c r="M739" s="46" t="str">
        <f ca="1">IFERROR(__xludf.DUMMYFUNCTION("""COMPUTED_VALUE"""),"Leave")</f>
        <v>Leave</v>
      </c>
      <c r="N739" s="46" t="str">
        <f ca="1">IFERROR(__xludf.DUMMYFUNCTION("""COMPUTED_VALUE"""),"đủ")</f>
        <v>đủ</v>
      </c>
    </row>
    <row r="740" spans="1:14">
      <c r="A740" s="45">
        <f ca="1">IFERROR(__xludf.DUMMYFUNCTION("""COMPUTED_VALUE"""),45625.625)</f>
        <v>45625.625</v>
      </c>
      <c r="B740" s="45">
        <f ca="1">IFERROR(__xludf.DUMMYFUNCTION("""COMPUTED_VALUE"""),45664.625)</f>
        <v>45664.625</v>
      </c>
      <c r="C740" s="46">
        <f ca="1">IFERROR(__xludf.DUMMYFUNCTION("""COMPUTED_VALUE"""),741)</f>
        <v>741</v>
      </c>
      <c r="D740" s="47" t="str">
        <f ca="1">IFERROR(__xludf.DUMMYFUNCTION("""COMPUTED_VALUE"""),"C0509")</f>
        <v>C0509</v>
      </c>
      <c r="E740" s="46" t="str">
        <f ca="1">IFERROR(__xludf.DUMMYFUNCTION("""COMPUTED_VALUE"""),"ĐOÀN NGỌC ANH THƯ")</f>
        <v>ĐOÀN NGỌC ANH THƯ</v>
      </c>
      <c r="F740" s="46" t="str">
        <f ca="1">IFERROR(__xludf.DUMMYFUNCTION("""COMPUTED_VALUE"""),"DOAN NGOC ANH THU")</f>
        <v>DOAN NGOC ANH THU</v>
      </c>
      <c r="G740" s="45">
        <f ca="1">IFERROR(__xludf.DUMMYFUNCTION("""COMPUTED_VALUE"""),38539.5833333333)</f>
        <v>38539.583333333299</v>
      </c>
      <c r="H740" s="45" t="str">
        <f ca="1">IFERROR(__xludf.DUMMYFUNCTION("""COMPUTED_VALUE"""),"BAKES")</f>
        <v>BAKES</v>
      </c>
      <c r="I740" s="46" t="str">
        <f ca="1">IFERROR(__xludf.DUMMYFUNCTION("""COMPUTED_VALUE"""),"STORE")</f>
        <v>STORE</v>
      </c>
      <c r="J740" s="46" t="str">
        <f ca="1">IFERROR(__xludf.DUMMYFUNCTION("""COMPUTED_VALUE"""),"BAKES D2")</f>
        <v>BAKES D2</v>
      </c>
      <c r="K740" s="46" t="str">
        <f ca="1">IFERROR(__xludf.DUMMYFUNCTION("""COMPUTED_VALUE"""),"WAITSTAFF")</f>
        <v>WAITSTAFF</v>
      </c>
      <c r="L740" s="46" t="str">
        <f ca="1">IFERROR(__xludf.DUMMYFUNCTION("""COMPUTED_VALUE"""),"PTE")</f>
        <v>PTE</v>
      </c>
      <c r="M740" s="46" t="str">
        <f ca="1">IFERROR(__xludf.DUMMYFUNCTION("""COMPUTED_VALUE"""),"Leave")</f>
        <v>Leave</v>
      </c>
      <c r="N740" s="46" t="str">
        <f ca="1">IFERROR(__xludf.DUMMYFUNCTION("""COMPUTED_VALUE"""),"đủ")</f>
        <v>đủ</v>
      </c>
    </row>
    <row r="741" spans="1:14">
      <c r="A741" s="45">
        <f ca="1">IFERROR(__xludf.DUMMYFUNCTION("""COMPUTED_VALUE"""),45627.625)</f>
        <v>45627.625</v>
      </c>
      <c r="B741" s="45">
        <f ca="1">IFERROR(__xludf.DUMMYFUNCTION("""COMPUTED_VALUE"""),45656.625)</f>
        <v>45656.625</v>
      </c>
      <c r="C741" s="46">
        <f ca="1">IFERROR(__xludf.DUMMYFUNCTION("""COMPUTED_VALUE"""),742)</f>
        <v>742</v>
      </c>
      <c r="D741" s="47" t="str">
        <f ca="1">IFERROR(__xludf.DUMMYFUNCTION("""COMPUTED_VALUE"""),"C0511")</f>
        <v>C0511</v>
      </c>
      <c r="E741" s="46" t="str">
        <f ca="1">IFERROR(__xludf.DUMMYFUNCTION("""COMPUTED_VALUE"""),"TẠ TÚ ANH")</f>
        <v>TẠ TÚ ANH</v>
      </c>
      <c r="F741" s="46" t="str">
        <f ca="1">IFERROR(__xludf.DUMMYFUNCTION("""COMPUTED_VALUE"""),"TA TU ANH")</f>
        <v>TA TU ANH</v>
      </c>
      <c r="G741" s="45">
        <f ca="1">IFERROR(__xludf.DUMMYFUNCTION("""COMPUTED_VALUE"""),38508.5833333333)</f>
        <v>38508.583333333299</v>
      </c>
      <c r="H741" s="45" t="str">
        <f ca="1">IFERROR(__xludf.DUMMYFUNCTION("""COMPUTED_VALUE"""),"BAKES")</f>
        <v>BAKES</v>
      </c>
      <c r="I741" s="46" t="str">
        <f ca="1">IFERROR(__xludf.DUMMYFUNCTION("""COMPUTED_VALUE"""),"STORE")</f>
        <v>STORE</v>
      </c>
      <c r="J741" s="46" t="str">
        <f ca="1">IFERROR(__xludf.DUMMYFUNCTION("""COMPUTED_VALUE"""),"BAKES D9")</f>
        <v>BAKES D9</v>
      </c>
      <c r="K741" s="46" t="str">
        <f ca="1">IFERROR(__xludf.DUMMYFUNCTION("""COMPUTED_VALUE"""),"BAR")</f>
        <v>BAR</v>
      </c>
      <c r="L741" s="46" t="str">
        <f ca="1">IFERROR(__xludf.DUMMYFUNCTION("""COMPUTED_VALUE"""),"PTE")</f>
        <v>PTE</v>
      </c>
      <c r="M741" s="46" t="str">
        <f ca="1">IFERROR(__xludf.DUMMYFUNCTION("""COMPUTED_VALUE"""),"Leave")</f>
        <v>Leave</v>
      </c>
      <c r="N741" s="46" t="str">
        <f ca="1">IFERROR(__xludf.DUMMYFUNCTION("""COMPUTED_VALUE"""),"đủ")</f>
        <v>đủ</v>
      </c>
    </row>
    <row r="742" spans="1:14">
      <c r="A742" s="45">
        <f ca="1">IFERROR(__xludf.DUMMYFUNCTION("""COMPUTED_VALUE"""),45628.625)</f>
        <v>45628.625</v>
      </c>
      <c r="B742" s="45">
        <f ca="1">IFERROR(__xludf.DUMMYFUNCTION("""COMPUTED_VALUE"""),45699.625)</f>
        <v>45699.625</v>
      </c>
      <c r="C742" s="46">
        <f ca="1">IFERROR(__xludf.DUMMYFUNCTION("""COMPUTED_VALUE"""),743)</f>
        <v>743</v>
      </c>
      <c r="D742" s="47" t="str">
        <f ca="1">IFERROR(__xludf.DUMMYFUNCTION("""COMPUTED_VALUE"""),"C0512")</f>
        <v>C0512</v>
      </c>
      <c r="E742" s="46" t="str">
        <f ca="1">IFERROR(__xludf.DUMMYFUNCTION("""COMPUTED_VALUE"""),"HUỲNH KỲ ĐẠT")</f>
        <v>HUỲNH KỲ ĐẠT</v>
      </c>
      <c r="F742" s="46" t="str">
        <f ca="1">IFERROR(__xludf.DUMMYFUNCTION("""COMPUTED_VALUE"""),"HUYNH KY DAT")</f>
        <v>HUYNH KY DAT</v>
      </c>
      <c r="G742" s="45">
        <f ca="1">IFERROR(__xludf.DUMMYFUNCTION("""COMPUTED_VALUE"""),37412.5833333333)</f>
        <v>37412.583333333299</v>
      </c>
      <c r="H742" s="45" t="str">
        <f ca="1">IFERROR(__xludf.DUMMYFUNCTION("""COMPUTED_VALUE"""),"MATTE")</f>
        <v>MATTE</v>
      </c>
      <c r="I742" s="46" t="str">
        <f ca="1">IFERROR(__xludf.DUMMYFUNCTION("""COMPUTED_VALUE"""),"STORE")</f>
        <v>STORE</v>
      </c>
      <c r="J742" s="46" t="str">
        <f ca="1">IFERROR(__xludf.DUMMYFUNCTION("""COMPUTED_VALUE"""),"MATTE D1")</f>
        <v>MATTE D1</v>
      </c>
      <c r="K742" s="46" t="str">
        <f ca="1">IFERROR(__xludf.DUMMYFUNCTION("""COMPUTED_VALUE"""),"Management team")</f>
        <v>Management team</v>
      </c>
      <c r="L742" s="46" t="str">
        <f ca="1">IFERROR(__xludf.DUMMYFUNCTION("""COMPUTED_VALUE"""),"PRO")</f>
        <v>PRO</v>
      </c>
      <c r="M742" s="46" t="str">
        <f ca="1">IFERROR(__xludf.DUMMYFUNCTION("""COMPUTED_VALUE"""),"Leave")</f>
        <v>Leave</v>
      </c>
      <c r="N742" s="46" t="str">
        <f ca="1">IFERROR(__xludf.DUMMYFUNCTION("""COMPUTED_VALUE"""),"đủ")</f>
        <v>đủ</v>
      </c>
    </row>
    <row r="743" spans="1:14">
      <c r="A743" s="45">
        <f ca="1">IFERROR(__xludf.DUMMYFUNCTION("""COMPUTED_VALUE"""),45629.625)</f>
        <v>45629.625</v>
      </c>
      <c r="B743" s="45">
        <f ca="1">IFERROR(__xludf.DUMMYFUNCTION("""COMPUTED_VALUE"""),46113.5833333333)</f>
        <v>46113.583333333299</v>
      </c>
      <c r="C743" s="46">
        <f ca="1">IFERROR(__xludf.DUMMYFUNCTION("""COMPUTED_VALUE"""),744)</f>
        <v>744</v>
      </c>
      <c r="D743" s="47" t="str">
        <f ca="1">IFERROR(__xludf.DUMMYFUNCTION("""COMPUTED_VALUE"""),"C0513")</f>
        <v>C0513</v>
      </c>
      <c r="E743" s="46" t="str">
        <f ca="1">IFERROR(__xludf.DUMMYFUNCTION("""COMPUTED_VALUE"""),"TRẦN THỊ MỸ PHÚC")</f>
        <v>TRẦN THỊ MỸ PHÚC</v>
      </c>
      <c r="F743" s="46" t="str">
        <f ca="1">IFERROR(__xludf.DUMMYFUNCTION("""COMPUTED_VALUE"""),"TRAN THI MY PHUC")</f>
        <v>TRAN THI MY PHUC</v>
      </c>
      <c r="G743" s="45">
        <f ca="1">IFERROR(__xludf.DUMMYFUNCTION("""COMPUTED_VALUE"""),34450.5833333333)</f>
        <v>34450.583333333299</v>
      </c>
      <c r="H743" s="45" t="str">
        <f ca="1">IFERROR(__xludf.DUMMYFUNCTION("""COMPUTED_VALUE"""),"TLC")</f>
        <v>TLC</v>
      </c>
      <c r="I743" s="46" t="str">
        <f ca="1">IFERROR(__xludf.DUMMYFUNCTION("""COMPUTED_VALUE"""),"HO")</f>
        <v>HO</v>
      </c>
      <c r="J743" s="46" t="str">
        <f ca="1">IFERROR(__xludf.DUMMYFUNCTION("""COMPUTED_VALUE"""),"HRD")</f>
        <v>HRD</v>
      </c>
      <c r="K743" s="46" t="str">
        <f ca="1">IFERROR(__xludf.DUMMYFUNCTION("""COMPUTED_VALUE"""),"HRD")</f>
        <v>HRD</v>
      </c>
      <c r="L743" s="46" t="str">
        <f ca="1">IFERROR(__xludf.DUMMYFUNCTION("""COMPUTED_VALUE"""),"FTE")</f>
        <v>FTE</v>
      </c>
      <c r="M743" s="46" t="str">
        <f ca="1">IFERROR(__xludf.DUMMYFUNCTION("""COMPUTED_VALUE"""),"Leave")</f>
        <v>Leave</v>
      </c>
      <c r="N743" s="46" t="str">
        <f ca="1">IFERROR(__xludf.DUMMYFUNCTION("""COMPUTED_VALUE"""),"đủ")</f>
        <v>đủ</v>
      </c>
    </row>
    <row r="744" spans="1:14">
      <c r="A744" s="45">
        <f ca="1">IFERROR(__xludf.DUMMYFUNCTION("""COMPUTED_VALUE"""),45629.625)</f>
        <v>45629.625</v>
      </c>
      <c r="B744" s="45"/>
      <c r="C744" s="46">
        <f ca="1">IFERROR(__xludf.DUMMYFUNCTION("""COMPUTED_VALUE"""),745)</f>
        <v>745</v>
      </c>
      <c r="D744" s="47" t="str">
        <f ca="1">IFERROR(__xludf.DUMMYFUNCTION("""COMPUTED_VALUE"""),"C0514")</f>
        <v>C0514</v>
      </c>
      <c r="E744" s="46" t="str">
        <f ca="1">IFERROR(__xludf.DUMMYFUNCTION("""COMPUTED_VALUE"""),"LÊ UYÊN PHƯƠNG")</f>
        <v>LÊ UYÊN PHƯƠNG</v>
      </c>
      <c r="F744" s="46" t="str">
        <f ca="1">IFERROR(__xludf.DUMMYFUNCTION("""COMPUTED_VALUE"""),"LE UYEN PHUONG")</f>
        <v>LE UYEN PHUONG</v>
      </c>
      <c r="G744" s="45">
        <f ca="1">IFERROR(__xludf.DUMMYFUNCTION("""COMPUTED_VALUE"""),36492.625)</f>
        <v>36492.625</v>
      </c>
      <c r="H744" s="45" t="str">
        <f ca="1">IFERROR(__xludf.DUMMYFUNCTION("""COMPUTED_VALUE"""),"MATTE")</f>
        <v>MATTE</v>
      </c>
      <c r="I744" s="46" t="str">
        <f ca="1">IFERROR(__xludf.DUMMYFUNCTION("""COMPUTED_VALUE"""),"HO")</f>
        <v>HO</v>
      </c>
      <c r="J744" s="46" t="str">
        <f ca="1">IFERROR(__xludf.DUMMYFUNCTION("""COMPUTED_VALUE"""),"FIN")</f>
        <v>FIN</v>
      </c>
      <c r="K744" s="46" t="str">
        <f ca="1">IFERROR(__xludf.DUMMYFUNCTION("""COMPUTED_VALUE"""),"FIN")</f>
        <v>FIN</v>
      </c>
      <c r="L744" s="46" t="str">
        <f ca="1">IFERROR(__xludf.DUMMYFUNCTION("""COMPUTED_VALUE"""),"FTE")</f>
        <v>FTE</v>
      </c>
      <c r="M744" s="46" t="str">
        <f ca="1">IFERROR(__xludf.DUMMYFUNCTION("""COMPUTED_VALUE"""),"On")</f>
        <v>On</v>
      </c>
      <c r="N744" s="46" t="str">
        <f ca="1">IFERROR(__xludf.DUMMYFUNCTION("""COMPUTED_VALUE"""),"đủ")</f>
        <v>đủ</v>
      </c>
    </row>
    <row r="745" spans="1:14">
      <c r="A745" s="45">
        <f ca="1">IFERROR(__xludf.DUMMYFUNCTION("""COMPUTED_VALUE"""),45628.625)</f>
        <v>45628.625</v>
      </c>
      <c r="B745" s="45">
        <f ca="1">IFERROR(__xludf.DUMMYFUNCTION("""COMPUTED_VALUE"""),45992.625)</f>
        <v>45992.625</v>
      </c>
      <c r="C745" s="46">
        <f ca="1">IFERROR(__xludf.DUMMYFUNCTION("""COMPUTED_VALUE"""),746)</f>
        <v>746</v>
      </c>
      <c r="D745" s="47" t="str">
        <f ca="1">IFERROR(__xludf.DUMMYFUNCTION("""COMPUTED_VALUE"""),"C0515")</f>
        <v>C0515</v>
      </c>
      <c r="E745" s="46" t="str">
        <f ca="1">IFERROR(__xludf.DUMMYFUNCTION("""COMPUTED_VALUE"""),"LÂM NHƯ XUÂN KHOA")</f>
        <v>LÂM NHƯ XUÂN KHOA</v>
      </c>
      <c r="F745" s="46" t="str">
        <f ca="1">IFERROR(__xludf.DUMMYFUNCTION("""COMPUTED_VALUE"""),"LAM NHU XUAN KHOA")</f>
        <v>LAM NHU XUAN KHOA</v>
      </c>
      <c r="G745" s="45">
        <f ca="1">IFERROR(__xludf.DUMMYFUNCTION("""COMPUTED_VALUE"""),35486.625)</f>
        <v>35486.625</v>
      </c>
      <c r="H745" s="45" t="str">
        <f ca="1">IFERROR(__xludf.DUMMYFUNCTION("""COMPUTED_VALUE"""),"BAKES")</f>
        <v>BAKES</v>
      </c>
      <c r="I745" s="46" t="str">
        <f ca="1">IFERROR(__xludf.DUMMYFUNCTION("""COMPUTED_VALUE"""),"STORE")</f>
        <v>STORE</v>
      </c>
      <c r="J745" s="46" t="str">
        <f ca="1">IFERROR(__xludf.DUMMYFUNCTION("""COMPUTED_VALUE"""),"BAKES HCR")</f>
        <v>BAKES HCR</v>
      </c>
      <c r="K745" s="46" t="str">
        <f ca="1">IFERROR(__xludf.DUMMYFUNCTION("""COMPUTED_VALUE"""),"Management team")</f>
        <v>Management team</v>
      </c>
      <c r="L745" s="46" t="str">
        <f ca="1">IFERROR(__xludf.DUMMYFUNCTION("""COMPUTED_VALUE"""),"FTE")</f>
        <v>FTE</v>
      </c>
      <c r="M745" s="46" t="str">
        <f ca="1">IFERROR(__xludf.DUMMYFUNCTION("""COMPUTED_VALUE"""),"Leave")</f>
        <v>Leave</v>
      </c>
      <c r="N745" s="46" t="str">
        <f ca="1">IFERROR(__xludf.DUMMYFUNCTION("""COMPUTED_VALUE"""),"đủ")</f>
        <v>đủ</v>
      </c>
    </row>
    <row r="746" spans="1:14">
      <c r="A746" s="45">
        <f ca="1">IFERROR(__xludf.DUMMYFUNCTION("""COMPUTED_VALUE"""),45628.625)</f>
        <v>45628.625</v>
      </c>
      <c r="B746" s="45">
        <f ca="1">IFERROR(__xludf.DUMMYFUNCTION("""COMPUTED_VALUE"""),45908.5833333333)</f>
        <v>45908.583333333299</v>
      </c>
      <c r="C746" s="46">
        <f ca="1">IFERROR(__xludf.DUMMYFUNCTION("""COMPUTED_VALUE"""),747)</f>
        <v>747</v>
      </c>
      <c r="D746" s="47" t="str">
        <f ca="1">IFERROR(__xludf.DUMMYFUNCTION("""COMPUTED_VALUE"""),"C0516")</f>
        <v>C0516</v>
      </c>
      <c r="E746" s="46" t="str">
        <f ca="1">IFERROR(__xludf.DUMMYFUNCTION("""COMPUTED_VALUE"""),"LÊ TRẦN ĐĂNG SƠN")</f>
        <v>LÊ TRẦN ĐĂNG SƠN</v>
      </c>
      <c r="F746" s="46" t="str">
        <f ca="1">IFERROR(__xludf.DUMMYFUNCTION("""COMPUTED_VALUE"""),"LE TRAN DANG SON")</f>
        <v>LE TRAN DANG SON</v>
      </c>
      <c r="G746" s="45">
        <f ca="1">IFERROR(__xludf.DUMMYFUNCTION("""COMPUTED_VALUE"""),32618.5833333333)</f>
        <v>32618.583333333299</v>
      </c>
      <c r="H746" s="45" t="str">
        <f ca="1">IFERROR(__xludf.DUMMYFUNCTION("""COMPUTED_VALUE"""),"KITCHEN PASTRY")</f>
        <v>KITCHEN PASTRY</v>
      </c>
      <c r="I746" s="46" t="str">
        <f ca="1">IFERROR(__xludf.DUMMYFUNCTION("""COMPUTED_VALUE"""),"KITCHEN PASTRY")</f>
        <v>KITCHEN PASTRY</v>
      </c>
      <c r="J746" s="46" t="str">
        <f ca="1">IFERROR(__xludf.DUMMYFUNCTION("""COMPUTED_VALUE"""),"KITCHEN PASTRY")</f>
        <v>KITCHEN PASTRY</v>
      </c>
      <c r="K746" s="46" t="str">
        <f ca="1">IFERROR(__xludf.DUMMYFUNCTION("""COMPUTED_VALUE"""),"BAKER")</f>
        <v>BAKER</v>
      </c>
      <c r="L746" s="46" t="str">
        <f ca="1">IFERROR(__xludf.DUMMYFUNCTION("""COMPUTED_VALUE"""),"FTE")</f>
        <v>FTE</v>
      </c>
      <c r="M746" s="46" t="str">
        <f ca="1">IFERROR(__xludf.DUMMYFUNCTION("""COMPUTED_VALUE"""),"Leave")</f>
        <v>Leave</v>
      </c>
      <c r="N746" s="46" t="str">
        <f ca="1">IFERROR(__xludf.DUMMYFUNCTION("""COMPUTED_VALUE"""),"đủ")</f>
        <v>đủ</v>
      </c>
    </row>
    <row r="747" spans="1:14">
      <c r="A747" s="45">
        <f ca="1">IFERROR(__xludf.DUMMYFUNCTION("""COMPUTED_VALUE"""),45632.625)</f>
        <v>45632.625</v>
      </c>
      <c r="B747" s="45">
        <f ca="1">IFERROR(__xludf.DUMMYFUNCTION("""COMPUTED_VALUE"""),45647.625)</f>
        <v>45647.625</v>
      </c>
      <c r="C747" s="46">
        <f ca="1">IFERROR(__xludf.DUMMYFUNCTION("""COMPUTED_VALUE"""),748)</f>
        <v>748</v>
      </c>
      <c r="D747" s="47" t="str">
        <f ca="1">IFERROR(__xludf.DUMMYFUNCTION("""COMPUTED_VALUE"""),"C0517")</f>
        <v>C0517</v>
      </c>
      <c r="E747" s="46" t="str">
        <f ca="1">IFERROR(__xludf.DUMMYFUNCTION("""COMPUTED_VALUE"""),"MAI NGUYỄN DIỆU LINH")</f>
        <v>MAI NGUYỄN DIỆU LINH</v>
      </c>
      <c r="F747" s="46" t="str">
        <f ca="1">IFERROR(__xludf.DUMMYFUNCTION("""COMPUTED_VALUE"""),"MAI NGUYEN DIEU LINH")</f>
        <v>MAI NGUYEN DIEU LINH</v>
      </c>
      <c r="G747" s="45">
        <f ca="1">IFERROR(__xludf.DUMMYFUNCTION("""COMPUTED_VALUE"""),38342.625)</f>
        <v>38342.625</v>
      </c>
      <c r="H747" s="45" t="str">
        <f ca="1">IFERROR(__xludf.DUMMYFUNCTION("""COMPUTED_VALUE"""),"BAKES")</f>
        <v>BAKES</v>
      </c>
      <c r="I747" s="46" t="str">
        <f ca="1">IFERROR(__xludf.DUMMYFUNCTION("""COMPUTED_VALUE"""),"STORE")</f>
        <v>STORE</v>
      </c>
      <c r="J747" s="46" t="str">
        <f ca="1">IFERROR(__xludf.DUMMYFUNCTION("""COMPUTED_VALUE"""),"BAKES D2")</f>
        <v>BAKES D2</v>
      </c>
      <c r="K747" s="46" t="str">
        <f ca="1">IFERROR(__xludf.DUMMYFUNCTION("""COMPUTED_VALUE"""),"WAITSTAFF")</f>
        <v>WAITSTAFF</v>
      </c>
      <c r="L747" s="46" t="str">
        <f ca="1">IFERROR(__xludf.DUMMYFUNCTION("""COMPUTED_VALUE"""),"PTE")</f>
        <v>PTE</v>
      </c>
      <c r="M747" s="46" t="str">
        <f ca="1">IFERROR(__xludf.DUMMYFUNCTION("""COMPUTED_VALUE"""),"Leave")</f>
        <v>Leave</v>
      </c>
      <c r="N747" s="46" t="str">
        <f ca="1">IFERROR(__xludf.DUMMYFUNCTION("""COMPUTED_VALUE"""),"đủ")</f>
        <v>đủ</v>
      </c>
    </row>
    <row r="748" spans="1:14">
      <c r="A748" s="45">
        <f ca="1">IFERROR(__xludf.DUMMYFUNCTION("""COMPUTED_VALUE"""),45635.625)</f>
        <v>45635.625</v>
      </c>
      <c r="B748" s="45">
        <f ca="1">IFERROR(__xludf.DUMMYFUNCTION("""COMPUTED_VALUE"""),45779.5833333333)</f>
        <v>45779.583333333299</v>
      </c>
      <c r="C748" s="46">
        <f ca="1">IFERROR(__xludf.DUMMYFUNCTION("""COMPUTED_VALUE"""),749)</f>
        <v>749</v>
      </c>
      <c r="D748" s="47" t="str">
        <f ca="1">IFERROR(__xludf.DUMMYFUNCTION("""COMPUTED_VALUE"""),"C0518")</f>
        <v>C0518</v>
      </c>
      <c r="E748" s="46" t="str">
        <f ca="1">IFERROR(__xludf.DUMMYFUNCTION("""COMPUTED_VALUE"""),"CAO HỒ BẢO THY")</f>
        <v>CAO HỒ BẢO THY</v>
      </c>
      <c r="F748" s="46" t="str">
        <f ca="1">IFERROR(__xludf.DUMMYFUNCTION("""COMPUTED_VALUE"""),"CAO HO BAO THY")</f>
        <v>CAO HO BAO THY</v>
      </c>
      <c r="G748" s="45">
        <f ca="1">IFERROR(__xludf.DUMMYFUNCTION("""COMPUTED_VALUE"""),37832.5833333333)</f>
        <v>37832.583333333299</v>
      </c>
      <c r="H748" s="45" t="str">
        <f ca="1">IFERROR(__xludf.DUMMYFUNCTION("""COMPUTED_VALUE"""),"BAKES")</f>
        <v>BAKES</v>
      </c>
      <c r="I748" s="46" t="str">
        <f ca="1">IFERROR(__xludf.DUMMYFUNCTION("""COMPUTED_VALUE"""),"STORE")</f>
        <v>STORE</v>
      </c>
      <c r="J748" s="46" t="str">
        <f ca="1">IFERROR(__xludf.DUMMYFUNCTION("""COMPUTED_VALUE"""),"BAKES D7")</f>
        <v>BAKES D7</v>
      </c>
      <c r="K748" s="46" t="str">
        <f ca="1">IFERROR(__xludf.DUMMYFUNCTION("""COMPUTED_VALUE"""),"WAITSTAFF")</f>
        <v>WAITSTAFF</v>
      </c>
      <c r="L748" s="46" t="str">
        <f ca="1">IFERROR(__xludf.DUMMYFUNCTION("""COMPUTED_VALUE"""),"PTE")</f>
        <v>PTE</v>
      </c>
      <c r="M748" s="46" t="str">
        <f ca="1">IFERROR(__xludf.DUMMYFUNCTION("""COMPUTED_VALUE"""),"Leave")</f>
        <v>Leave</v>
      </c>
      <c r="N748" s="46" t="str">
        <f ca="1">IFERROR(__xludf.DUMMYFUNCTION("""COMPUTED_VALUE"""),"đủ")</f>
        <v>đủ</v>
      </c>
    </row>
    <row r="749" spans="1:14">
      <c r="A749" s="45">
        <f ca="1">IFERROR(__xludf.DUMMYFUNCTION("""COMPUTED_VALUE"""),45630.625)</f>
        <v>45630.625</v>
      </c>
      <c r="B749" s="45">
        <f ca="1">IFERROR(__xludf.DUMMYFUNCTION("""COMPUTED_VALUE"""),45637.625)</f>
        <v>45637.625</v>
      </c>
      <c r="C749" s="46">
        <f ca="1">IFERROR(__xludf.DUMMYFUNCTION("""COMPUTED_VALUE"""),750)</f>
        <v>750</v>
      </c>
      <c r="D749" s="47" t="str">
        <f ca="1">IFERROR(__xludf.DUMMYFUNCTION("""COMPUTED_VALUE"""),"C0519")</f>
        <v>C0519</v>
      </c>
      <c r="E749" s="46" t="str">
        <f ca="1">IFERROR(__xludf.DUMMYFUNCTION("""COMPUTED_VALUE"""),"PHÙNG NGỌC THANH THUẬN")</f>
        <v>PHÙNG NGỌC THANH THUẬN</v>
      </c>
      <c r="F749" s="46" t="str">
        <f ca="1">IFERROR(__xludf.DUMMYFUNCTION("""COMPUTED_VALUE"""),"PHUNG NGOC THANH THUAN")</f>
        <v>PHUNG NGOC THANH THUAN</v>
      </c>
      <c r="G749" s="45">
        <f ca="1">IFERROR(__xludf.DUMMYFUNCTION("""COMPUTED_VALUE"""),37629.625)</f>
        <v>37629.625</v>
      </c>
      <c r="H749" s="45" t="str">
        <f ca="1">IFERROR(__xludf.DUMMYFUNCTION("""COMPUTED_VALUE"""),"BAKES")</f>
        <v>BAKES</v>
      </c>
      <c r="I749" s="46" t="str">
        <f ca="1">IFERROR(__xludf.DUMMYFUNCTION("""COMPUTED_VALUE"""),"STORE")</f>
        <v>STORE</v>
      </c>
      <c r="J749" s="46" t="str">
        <f ca="1">IFERROR(__xludf.DUMMYFUNCTION("""COMPUTED_VALUE"""),"BAKES D7")</f>
        <v>BAKES D7</v>
      </c>
      <c r="K749" s="46" t="str">
        <f ca="1">IFERROR(__xludf.DUMMYFUNCTION("""COMPUTED_VALUE"""),"WAITSTAFF")</f>
        <v>WAITSTAFF</v>
      </c>
      <c r="L749" s="46" t="str">
        <f ca="1">IFERROR(__xludf.DUMMYFUNCTION("""COMPUTED_VALUE"""),"PTE")</f>
        <v>PTE</v>
      </c>
      <c r="M749" s="46" t="str">
        <f ca="1">IFERROR(__xludf.DUMMYFUNCTION("""COMPUTED_VALUE"""),"Leave")</f>
        <v>Leave</v>
      </c>
      <c r="N749" s="46" t="str">
        <f ca="1">IFERROR(__xludf.DUMMYFUNCTION("""COMPUTED_VALUE"""),"chua nop")</f>
        <v>chua nop</v>
      </c>
    </row>
    <row r="750" spans="1:14">
      <c r="A750" s="45">
        <f ca="1">IFERROR(__xludf.DUMMYFUNCTION("""COMPUTED_VALUE"""),45636.625)</f>
        <v>45636.625</v>
      </c>
      <c r="B750" s="45">
        <f ca="1">IFERROR(__xludf.DUMMYFUNCTION("""COMPUTED_VALUE"""),45837.5833333333)</f>
        <v>45837.583333333299</v>
      </c>
      <c r="C750" s="46">
        <f ca="1">IFERROR(__xludf.DUMMYFUNCTION("""COMPUTED_VALUE"""),751)</f>
        <v>751</v>
      </c>
      <c r="D750" s="47" t="str">
        <f ca="1">IFERROR(__xludf.DUMMYFUNCTION("""COMPUTED_VALUE"""),"C0520")</f>
        <v>C0520</v>
      </c>
      <c r="E750" s="46" t="str">
        <f ca="1">IFERROR(__xludf.DUMMYFUNCTION("""COMPUTED_VALUE"""),"NGUYỄN HUỲNH KHÁNH NGỌC")</f>
        <v>NGUYỄN HUỲNH KHÁNH NGỌC</v>
      </c>
      <c r="F750" s="46" t="str">
        <f ca="1">IFERROR(__xludf.DUMMYFUNCTION("""COMPUTED_VALUE"""),"NGUYEN HUYNH KHANH NGOC")</f>
        <v>NGUYEN HUYNH KHANH NGOC</v>
      </c>
      <c r="G750" s="45">
        <f ca="1">IFERROR(__xludf.DUMMYFUNCTION("""COMPUTED_VALUE"""),37885.5833333333)</f>
        <v>37885.583333333299</v>
      </c>
      <c r="H750" s="45" t="str">
        <f ca="1">IFERROR(__xludf.DUMMYFUNCTION("""COMPUTED_VALUE"""),"SHADOW")</f>
        <v>SHADOW</v>
      </c>
      <c r="I750" s="46" t="str">
        <f ca="1">IFERROR(__xludf.DUMMYFUNCTION("""COMPUTED_VALUE"""),"STORE")</f>
        <v>STORE</v>
      </c>
      <c r="J750" s="46" t="str">
        <f ca="1">IFERROR(__xludf.DUMMYFUNCTION("""COMPUTED_VALUE"""),"BAKES PASTEUR")</f>
        <v>BAKES PASTEUR</v>
      </c>
      <c r="K750" s="46" t="str">
        <f ca="1">IFERROR(__xludf.DUMMYFUNCTION("""COMPUTED_VALUE"""),"BAR")</f>
        <v>BAR</v>
      </c>
      <c r="L750" s="46" t="str">
        <f ca="1">IFERROR(__xludf.DUMMYFUNCTION("""COMPUTED_VALUE"""),"PTE")</f>
        <v>PTE</v>
      </c>
      <c r="M750" s="46" t="str">
        <f ca="1">IFERROR(__xludf.DUMMYFUNCTION("""COMPUTED_VALUE"""),"Leave")</f>
        <v>Leave</v>
      </c>
      <c r="N750" s="46" t="str">
        <f ca="1">IFERROR(__xludf.DUMMYFUNCTION("""COMPUTED_VALUE"""),"đủ")</f>
        <v>đủ</v>
      </c>
    </row>
    <row r="751" spans="1:14">
      <c r="A751" s="45">
        <f ca="1">IFERROR(__xludf.DUMMYFUNCTION("""COMPUTED_VALUE"""),45635.625)</f>
        <v>45635.625</v>
      </c>
      <c r="B751" s="45">
        <f ca="1">IFERROR(__xludf.DUMMYFUNCTION("""COMPUTED_VALUE"""),45709.625)</f>
        <v>45709.625</v>
      </c>
      <c r="C751" s="46">
        <f ca="1">IFERROR(__xludf.DUMMYFUNCTION("""COMPUTED_VALUE"""),752)</f>
        <v>752</v>
      </c>
      <c r="D751" s="47" t="str">
        <f ca="1">IFERROR(__xludf.DUMMYFUNCTION("""COMPUTED_VALUE"""),"C0521")</f>
        <v>C0521</v>
      </c>
      <c r="E751" s="46" t="str">
        <f ca="1">IFERROR(__xludf.DUMMYFUNCTION("""COMPUTED_VALUE"""),"TRẦN THỊ THẢO LINH")</f>
        <v>TRẦN THỊ THẢO LINH</v>
      </c>
      <c r="F751" s="46" t="str">
        <f ca="1">IFERROR(__xludf.DUMMYFUNCTION("""COMPUTED_VALUE"""),"TRAN THI THAO LINH")</f>
        <v>TRAN THI THAO LINH</v>
      </c>
      <c r="G751" s="45">
        <f ca="1">IFERROR(__xludf.DUMMYFUNCTION("""COMPUTED_VALUE"""),34803.5833333333)</f>
        <v>34803.583333333299</v>
      </c>
      <c r="H751" s="45" t="str">
        <f ca="1">IFERROR(__xludf.DUMMYFUNCTION("""COMPUTED_VALUE"""),"KITCHEN PASTRY")</f>
        <v>KITCHEN PASTRY</v>
      </c>
      <c r="I751" s="46" t="str">
        <f ca="1">IFERROR(__xludf.DUMMYFUNCTION("""COMPUTED_VALUE"""),"KITCHEN PASTRY")</f>
        <v>KITCHEN PASTRY</v>
      </c>
      <c r="J751" s="46" t="str">
        <f ca="1">IFERROR(__xludf.DUMMYFUNCTION("""COMPUTED_VALUE"""),"KITCHEN PASTRY")</f>
        <v>KITCHEN PASTRY</v>
      </c>
      <c r="K751" s="46" t="str">
        <f ca="1">IFERROR(__xludf.DUMMYFUNCTION("""COMPUTED_VALUE"""),"PASTRY")</f>
        <v>PASTRY</v>
      </c>
      <c r="L751" s="46" t="str">
        <f ca="1">IFERROR(__xludf.DUMMYFUNCTION("""COMPUTED_VALUE"""),"PTE")</f>
        <v>PTE</v>
      </c>
      <c r="M751" s="46" t="str">
        <f ca="1">IFERROR(__xludf.DUMMYFUNCTION("""COMPUTED_VALUE"""),"Leave")</f>
        <v>Leave</v>
      </c>
      <c r="N751" s="46" t="str">
        <f ca="1">IFERROR(__xludf.DUMMYFUNCTION("""COMPUTED_VALUE"""),"đủ")</f>
        <v>đủ</v>
      </c>
    </row>
    <row r="752" spans="1:14">
      <c r="A752" s="45">
        <f ca="1">IFERROR(__xludf.DUMMYFUNCTION("""COMPUTED_VALUE"""),45635.625)</f>
        <v>45635.625</v>
      </c>
      <c r="B752" s="45">
        <f ca="1">IFERROR(__xludf.DUMMYFUNCTION("""COMPUTED_VALUE"""),45675.625)</f>
        <v>45675.625</v>
      </c>
      <c r="C752" s="46">
        <f ca="1">IFERROR(__xludf.DUMMYFUNCTION("""COMPUTED_VALUE"""),753)</f>
        <v>753</v>
      </c>
      <c r="D752" s="47" t="str">
        <f ca="1">IFERROR(__xludf.DUMMYFUNCTION("""COMPUTED_VALUE"""),"C0522")</f>
        <v>C0522</v>
      </c>
      <c r="E752" s="46" t="str">
        <f ca="1">IFERROR(__xludf.DUMMYFUNCTION("""COMPUTED_VALUE"""),"NGUYỄN THỊ THÚY HIỀN")</f>
        <v>NGUYỄN THỊ THÚY HIỀN</v>
      </c>
      <c r="F752" s="46" t="str">
        <f ca="1">IFERROR(__xludf.DUMMYFUNCTION("""COMPUTED_VALUE"""),"NGUYEN THI THUY HIEN")</f>
        <v>NGUYEN THI THUY HIEN</v>
      </c>
      <c r="G752" s="45">
        <f ca="1">IFERROR(__xludf.DUMMYFUNCTION("""COMPUTED_VALUE"""),37323.625)</f>
        <v>37323.625</v>
      </c>
      <c r="H752" s="45" t="str">
        <f ca="1">IFERROR(__xludf.DUMMYFUNCTION("""COMPUTED_VALUE"""),"KITCHEN PASTRY")</f>
        <v>KITCHEN PASTRY</v>
      </c>
      <c r="I752" s="46" t="str">
        <f ca="1">IFERROR(__xludf.DUMMYFUNCTION("""COMPUTED_VALUE"""),"KITCHEN PASTRY")</f>
        <v>KITCHEN PASTRY</v>
      </c>
      <c r="J752" s="46" t="str">
        <f ca="1">IFERROR(__xludf.DUMMYFUNCTION("""COMPUTED_VALUE"""),"KITCHEN PASTRY")</f>
        <v>KITCHEN PASTRY</v>
      </c>
      <c r="K752" s="46" t="str">
        <f ca="1">IFERROR(__xludf.DUMMYFUNCTION("""COMPUTED_VALUE"""),"PASTRY")</f>
        <v>PASTRY</v>
      </c>
      <c r="L752" s="46" t="str">
        <f ca="1">IFERROR(__xludf.DUMMYFUNCTION("""COMPUTED_VALUE"""),"PTE")</f>
        <v>PTE</v>
      </c>
      <c r="M752" s="46" t="str">
        <f ca="1">IFERROR(__xludf.DUMMYFUNCTION("""COMPUTED_VALUE"""),"Leave")</f>
        <v>Leave</v>
      </c>
      <c r="N752" s="46" t="str">
        <f ca="1">IFERROR(__xludf.DUMMYFUNCTION("""COMPUTED_VALUE"""),"đủ")</f>
        <v>đủ</v>
      </c>
    </row>
    <row r="753" spans="1:14">
      <c r="A753" s="45">
        <f ca="1">IFERROR(__xludf.DUMMYFUNCTION("""COMPUTED_VALUE"""),45635.625)</f>
        <v>45635.625</v>
      </c>
      <c r="B753" s="45">
        <f ca="1">IFERROR(__xludf.DUMMYFUNCTION("""COMPUTED_VALUE"""),45675.625)</f>
        <v>45675.625</v>
      </c>
      <c r="C753" s="46">
        <f ca="1">IFERROR(__xludf.DUMMYFUNCTION("""COMPUTED_VALUE"""),754)</f>
        <v>754</v>
      </c>
      <c r="D753" s="47" t="str">
        <f ca="1">IFERROR(__xludf.DUMMYFUNCTION("""COMPUTED_VALUE"""),"C0523")</f>
        <v>C0523</v>
      </c>
      <c r="E753" s="46" t="str">
        <f ca="1">IFERROR(__xludf.DUMMYFUNCTION("""COMPUTED_VALUE"""),"NGUYỄN NGỌC QUYẾT THẮNG")</f>
        <v>NGUYỄN NGỌC QUYẾT THẮNG</v>
      </c>
      <c r="F753" s="46" t="str">
        <f ca="1">IFERROR(__xludf.DUMMYFUNCTION("""COMPUTED_VALUE"""),"NGUYEN NGOC QUYET THANG")</f>
        <v>NGUYEN NGOC QUYET THANG</v>
      </c>
      <c r="G753" s="45">
        <f ca="1">IFERROR(__xludf.DUMMYFUNCTION("""COMPUTED_VALUE"""),37741.5833333333)</f>
        <v>37741.583333333299</v>
      </c>
      <c r="H753" s="45" t="str">
        <f ca="1">IFERROR(__xludf.DUMMYFUNCTION("""COMPUTED_VALUE"""),"BAKES")</f>
        <v>BAKES</v>
      </c>
      <c r="I753" s="46" t="str">
        <f ca="1">IFERROR(__xludf.DUMMYFUNCTION("""COMPUTED_VALUE"""),"STORE")</f>
        <v>STORE</v>
      </c>
      <c r="J753" s="46" t="str">
        <f ca="1">IFERROR(__xludf.DUMMYFUNCTION("""COMPUTED_VALUE"""),"BAKES D9")</f>
        <v>BAKES D9</v>
      </c>
      <c r="K753" s="46" t="str">
        <f ca="1">IFERROR(__xludf.DUMMYFUNCTION("""COMPUTED_VALUE"""),"BAR")</f>
        <v>BAR</v>
      </c>
      <c r="L753" s="46" t="str">
        <f ca="1">IFERROR(__xludf.DUMMYFUNCTION("""COMPUTED_VALUE"""),"PTE")</f>
        <v>PTE</v>
      </c>
      <c r="M753" s="46" t="str">
        <f ca="1">IFERROR(__xludf.DUMMYFUNCTION("""COMPUTED_VALUE"""),"Leave")</f>
        <v>Leave</v>
      </c>
      <c r="N753" s="46" t="str">
        <f ca="1">IFERROR(__xludf.DUMMYFUNCTION("""COMPUTED_VALUE"""),"đủ")</f>
        <v>đủ</v>
      </c>
    </row>
    <row r="754" spans="1:14">
      <c r="A754" s="45">
        <f ca="1">IFERROR(__xludf.DUMMYFUNCTION("""COMPUTED_VALUE"""),45628.625)</f>
        <v>45628.625</v>
      </c>
      <c r="B754" s="45">
        <f ca="1">IFERROR(__xludf.DUMMYFUNCTION("""COMPUTED_VALUE"""),45839.5833333333)</f>
        <v>45839.583333333299</v>
      </c>
      <c r="C754" s="46">
        <f ca="1">IFERROR(__xludf.DUMMYFUNCTION("""COMPUTED_VALUE"""),755)</f>
        <v>755</v>
      </c>
      <c r="D754" s="47" t="str">
        <f ca="1">IFERROR(__xludf.DUMMYFUNCTION("""COMPUTED_VALUE"""),"C0524")</f>
        <v>C0524</v>
      </c>
      <c r="E754" s="46" t="str">
        <f ca="1">IFERROR(__xludf.DUMMYFUNCTION("""COMPUTED_VALUE"""),"TRƯƠNG QUỲNH CHI")</f>
        <v>TRƯƠNG QUỲNH CHI</v>
      </c>
      <c r="F754" s="46" t="str">
        <f ca="1">IFERROR(__xludf.DUMMYFUNCTION("""COMPUTED_VALUE"""),"TRUONG QUYNH CHI")</f>
        <v>TRUONG QUYNH CHI</v>
      </c>
      <c r="G754" s="45">
        <f ca="1">IFERROR(__xludf.DUMMYFUNCTION("""COMPUTED_VALUE"""),38404.625)</f>
        <v>38404.625</v>
      </c>
      <c r="H754" s="45" t="str">
        <f ca="1">IFERROR(__xludf.DUMMYFUNCTION("""COMPUTED_VALUE"""),"MATTE")</f>
        <v>MATTE</v>
      </c>
      <c r="I754" s="46" t="str">
        <f ca="1">IFERROR(__xludf.DUMMYFUNCTION("""COMPUTED_VALUE"""),"STORE")</f>
        <v>STORE</v>
      </c>
      <c r="J754" s="46" t="str">
        <f ca="1">IFERROR(__xludf.DUMMYFUNCTION("""COMPUTED_VALUE"""),"MATTE D7")</f>
        <v>MATTE D7</v>
      </c>
      <c r="K754" s="46" t="str">
        <f ca="1">IFERROR(__xludf.DUMMYFUNCTION("""COMPUTED_VALUE"""),"BAR")</f>
        <v>BAR</v>
      </c>
      <c r="L754" s="46" t="str">
        <f ca="1">IFERROR(__xludf.DUMMYFUNCTION("""COMPUTED_VALUE"""),"PTE")</f>
        <v>PTE</v>
      </c>
      <c r="M754" s="46" t="str">
        <f ca="1">IFERROR(__xludf.DUMMYFUNCTION("""COMPUTED_VALUE"""),"Leave")</f>
        <v>Leave</v>
      </c>
      <c r="N754" s="46" t="str">
        <f ca="1">IFERROR(__xludf.DUMMYFUNCTION("""COMPUTED_VALUE"""),"đủ")</f>
        <v>đủ</v>
      </c>
    </row>
    <row r="755" spans="1:14">
      <c r="A755" s="45">
        <f ca="1">IFERROR(__xludf.DUMMYFUNCTION("""COMPUTED_VALUE"""),45639.625)</f>
        <v>45639.625</v>
      </c>
      <c r="B755" s="45">
        <f ca="1">IFERROR(__xludf.DUMMYFUNCTION("""COMPUTED_VALUE"""),46146.5833333333)</f>
        <v>46146.583333333299</v>
      </c>
      <c r="C755" s="46">
        <f ca="1">IFERROR(__xludf.DUMMYFUNCTION("""COMPUTED_VALUE"""),756)</f>
        <v>756</v>
      </c>
      <c r="D755" s="47" t="str">
        <f ca="1">IFERROR(__xludf.DUMMYFUNCTION("""COMPUTED_VALUE"""),"C0525")</f>
        <v>C0525</v>
      </c>
      <c r="E755" s="46" t="str">
        <f ca="1">IFERROR(__xludf.DUMMYFUNCTION("""COMPUTED_VALUE"""),"LÊ THỊ HỒNG LINH")</f>
        <v>LÊ THỊ HỒNG LINH</v>
      </c>
      <c r="F755" s="46" t="str">
        <f ca="1">IFERROR(__xludf.DUMMYFUNCTION("""COMPUTED_VALUE"""),"LE THI HONG LINH")</f>
        <v>LE THI HONG LINH</v>
      </c>
      <c r="G755" s="45">
        <f ca="1">IFERROR(__xludf.DUMMYFUNCTION("""COMPUTED_VALUE"""),37792.5833333333)</f>
        <v>37792.583333333299</v>
      </c>
      <c r="H755" s="45" t="str">
        <f ca="1">IFERROR(__xludf.DUMMYFUNCTION("""COMPUTED_VALUE"""),"BAKES")</f>
        <v>BAKES</v>
      </c>
      <c r="I755" s="46" t="str">
        <f ca="1">IFERROR(__xludf.DUMMYFUNCTION("""COMPUTED_VALUE"""),"STORE")</f>
        <v>STORE</v>
      </c>
      <c r="J755" s="46" t="str">
        <f ca="1">IFERROR(__xludf.DUMMYFUNCTION("""COMPUTED_VALUE"""),"BAKES D2")</f>
        <v>BAKES D2</v>
      </c>
      <c r="K755" s="46" t="str">
        <f ca="1">IFERROR(__xludf.DUMMYFUNCTION("""COMPUTED_VALUE"""),"BAR")</f>
        <v>BAR</v>
      </c>
      <c r="L755" s="46" t="str">
        <f ca="1">IFERROR(__xludf.DUMMYFUNCTION("""COMPUTED_VALUE"""),"PTE")</f>
        <v>PTE</v>
      </c>
      <c r="M755" s="46" t="str">
        <f ca="1">IFERROR(__xludf.DUMMYFUNCTION("""COMPUTED_VALUE"""),"Leave")</f>
        <v>Leave</v>
      </c>
      <c r="N755" s="46" t="str">
        <f ca="1">IFERROR(__xludf.DUMMYFUNCTION("""COMPUTED_VALUE"""),"đủ")</f>
        <v>đủ</v>
      </c>
    </row>
    <row r="756" spans="1:14">
      <c r="A756" s="45">
        <f ca="1">IFERROR(__xludf.DUMMYFUNCTION("""COMPUTED_VALUE"""),45639.625)</f>
        <v>45639.625</v>
      </c>
      <c r="B756" s="45">
        <f ca="1">IFERROR(__xludf.DUMMYFUNCTION("""COMPUTED_VALUE"""),45733.5833333333)</f>
        <v>45733.583333333299</v>
      </c>
      <c r="C756" s="46">
        <f ca="1">IFERROR(__xludf.DUMMYFUNCTION("""COMPUTED_VALUE"""),757)</f>
        <v>757</v>
      </c>
      <c r="D756" s="47" t="str">
        <f ca="1">IFERROR(__xludf.DUMMYFUNCTION("""COMPUTED_VALUE"""),"C0526")</f>
        <v>C0526</v>
      </c>
      <c r="E756" s="46" t="str">
        <f ca="1">IFERROR(__xludf.DUMMYFUNCTION("""COMPUTED_VALUE"""),"PHẠM THỊ THẢO PHƯƠNG")</f>
        <v>PHẠM THỊ THẢO PHƯƠNG</v>
      </c>
      <c r="F756" s="46" t="str">
        <f ca="1">IFERROR(__xludf.DUMMYFUNCTION("""COMPUTED_VALUE"""),"PHAM THI THAO PHUONG")</f>
        <v>PHAM THI THAO PHUONG</v>
      </c>
      <c r="G756" s="45">
        <f ca="1">IFERROR(__xludf.DUMMYFUNCTION("""COMPUTED_VALUE"""),37916.5833333333)</f>
        <v>37916.583333333299</v>
      </c>
      <c r="H756" s="45" t="str">
        <f ca="1">IFERROR(__xludf.DUMMYFUNCTION("""COMPUTED_VALUE"""),"BAKES")</f>
        <v>BAKES</v>
      </c>
      <c r="I756" s="46" t="str">
        <f ca="1">IFERROR(__xludf.DUMMYFUNCTION("""COMPUTED_VALUE"""),"STORE")</f>
        <v>STORE</v>
      </c>
      <c r="J756" s="46" t="str">
        <f ca="1">IFERROR(__xludf.DUMMYFUNCTION("""COMPUTED_VALUE"""),"BAKES D2")</f>
        <v>BAKES D2</v>
      </c>
      <c r="K756" s="46" t="str">
        <f ca="1">IFERROR(__xludf.DUMMYFUNCTION("""COMPUTED_VALUE"""),"WAITSTAFF")</f>
        <v>WAITSTAFF</v>
      </c>
      <c r="L756" s="46" t="str">
        <f ca="1">IFERROR(__xludf.DUMMYFUNCTION("""COMPUTED_VALUE"""),"PTE")</f>
        <v>PTE</v>
      </c>
      <c r="M756" s="46" t="str">
        <f ca="1">IFERROR(__xludf.DUMMYFUNCTION("""COMPUTED_VALUE"""),"Leave")</f>
        <v>Leave</v>
      </c>
      <c r="N756" s="46" t="str">
        <f ca="1">IFERROR(__xludf.DUMMYFUNCTION("""COMPUTED_VALUE"""),"đủ")</f>
        <v>đủ</v>
      </c>
    </row>
    <row r="757" spans="1:14">
      <c r="A757" s="45">
        <f ca="1">IFERROR(__xludf.DUMMYFUNCTION("""COMPUTED_VALUE"""),45642.625)</f>
        <v>45642.625</v>
      </c>
      <c r="B757" s="45">
        <f ca="1">IFERROR(__xludf.DUMMYFUNCTION("""COMPUTED_VALUE"""),45891.5833333333)</f>
        <v>45891.583333333299</v>
      </c>
      <c r="C757" s="46">
        <f ca="1">IFERROR(__xludf.DUMMYFUNCTION("""COMPUTED_VALUE"""),758)</f>
        <v>758</v>
      </c>
      <c r="D757" s="47" t="str">
        <f ca="1">IFERROR(__xludf.DUMMYFUNCTION("""COMPUTED_VALUE"""),"C0527")</f>
        <v>C0527</v>
      </c>
      <c r="E757" s="46" t="str">
        <f ca="1">IFERROR(__xludf.DUMMYFUNCTION("""COMPUTED_VALUE"""),"TRƯƠNG NGUYỄN YẾN LINH")</f>
        <v>TRƯƠNG NGUYỄN YẾN LINH</v>
      </c>
      <c r="F757" s="46" t="str">
        <f ca="1">IFERROR(__xludf.DUMMYFUNCTION("""COMPUTED_VALUE"""),"TRUONG NGUYEN YEN LINH")</f>
        <v>TRUONG NGUYEN YEN LINH</v>
      </c>
      <c r="G757" s="45">
        <f ca="1">IFERROR(__xludf.DUMMYFUNCTION("""COMPUTED_VALUE"""),33876.5833333333)</f>
        <v>33876.583333333299</v>
      </c>
      <c r="H757" s="45" t="str">
        <f ca="1">IFERROR(__xludf.DUMMYFUNCTION("""COMPUTED_VALUE"""),"KITCHEN PASTRY")</f>
        <v>KITCHEN PASTRY</v>
      </c>
      <c r="I757" s="46" t="str">
        <f ca="1">IFERROR(__xludf.DUMMYFUNCTION("""COMPUTED_VALUE"""),"KITCHEN PASTRY")</f>
        <v>KITCHEN PASTRY</v>
      </c>
      <c r="J757" s="46" t="str">
        <f ca="1">IFERROR(__xludf.DUMMYFUNCTION("""COMPUTED_VALUE"""),"KITCHEN PASTRY")</f>
        <v>KITCHEN PASTRY</v>
      </c>
      <c r="K757" s="46" t="str">
        <f ca="1">IFERROR(__xludf.DUMMYFUNCTION("""COMPUTED_VALUE"""),"BAKER")</f>
        <v>BAKER</v>
      </c>
      <c r="L757" s="46" t="str">
        <f ca="1">IFERROR(__xludf.DUMMYFUNCTION("""COMPUTED_VALUE"""),"FTE")</f>
        <v>FTE</v>
      </c>
      <c r="M757" s="46" t="str">
        <f ca="1">IFERROR(__xludf.DUMMYFUNCTION("""COMPUTED_VALUE"""),"Leave")</f>
        <v>Leave</v>
      </c>
      <c r="N757" s="46" t="str">
        <f ca="1">IFERROR(__xludf.DUMMYFUNCTION("""COMPUTED_VALUE"""),"đủ")</f>
        <v>đủ</v>
      </c>
    </row>
    <row r="758" spans="1:14">
      <c r="A758" s="45">
        <f ca="1">IFERROR(__xludf.DUMMYFUNCTION("""COMPUTED_VALUE"""),45642.625)</f>
        <v>45642.625</v>
      </c>
      <c r="B758" s="45">
        <f ca="1">IFERROR(__xludf.DUMMYFUNCTION("""COMPUTED_VALUE"""),45670.625)</f>
        <v>45670.625</v>
      </c>
      <c r="C758" s="46">
        <f ca="1">IFERROR(__xludf.DUMMYFUNCTION("""COMPUTED_VALUE"""),759)</f>
        <v>759</v>
      </c>
      <c r="D758" s="47" t="str">
        <f ca="1">IFERROR(__xludf.DUMMYFUNCTION("""COMPUTED_VALUE"""),"C0528")</f>
        <v>C0528</v>
      </c>
      <c r="E758" s="46" t="str">
        <f ca="1">IFERROR(__xludf.DUMMYFUNCTION("""COMPUTED_VALUE"""),"ĐÀNG THOẠI HUYỀN TRÂN")</f>
        <v>ĐÀNG THOẠI HUYỀN TRÂN</v>
      </c>
      <c r="F758" s="46" t="str">
        <f ca="1">IFERROR(__xludf.DUMMYFUNCTION("""COMPUTED_VALUE"""),"DANG THOAI HUYEN TRAN")</f>
        <v>DANG THOAI HUYEN TRAN</v>
      </c>
      <c r="G758" s="45">
        <f ca="1">IFERROR(__xludf.DUMMYFUNCTION("""COMPUTED_VALUE"""),38999.5833333333)</f>
        <v>38999.583333333299</v>
      </c>
      <c r="H758" s="45" t="str">
        <f ca="1">IFERROR(__xludf.DUMMYFUNCTION("""COMPUTED_VALUE"""),"BAKES")</f>
        <v>BAKES</v>
      </c>
      <c r="I758" s="46" t="str">
        <f ca="1">IFERROR(__xludf.DUMMYFUNCTION("""COMPUTED_VALUE"""),"STORE")</f>
        <v>STORE</v>
      </c>
      <c r="J758" s="46" t="str">
        <f ca="1">IFERROR(__xludf.DUMMYFUNCTION("""COMPUTED_VALUE"""),"BAKES D7")</f>
        <v>BAKES D7</v>
      </c>
      <c r="K758" s="46" t="str">
        <f ca="1">IFERROR(__xludf.DUMMYFUNCTION("""COMPUTED_VALUE"""),"WAITSTAFF")</f>
        <v>WAITSTAFF</v>
      </c>
      <c r="L758" s="46" t="str">
        <f ca="1">IFERROR(__xludf.DUMMYFUNCTION("""COMPUTED_VALUE"""),"PTE")</f>
        <v>PTE</v>
      </c>
      <c r="M758" s="46" t="str">
        <f ca="1">IFERROR(__xludf.DUMMYFUNCTION("""COMPUTED_VALUE"""),"Leave")</f>
        <v>Leave</v>
      </c>
      <c r="N758" s="46" t="str">
        <f ca="1">IFERROR(__xludf.DUMMYFUNCTION("""COMPUTED_VALUE"""),"đủ")</f>
        <v>đủ</v>
      </c>
    </row>
    <row r="759" spans="1:14">
      <c r="A759" s="45">
        <f ca="1">IFERROR(__xludf.DUMMYFUNCTION("""COMPUTED_VALUE"""),45642.625)</f>
        <v>45642.625</v>
      </c>
      <c r="B759" s="45">
        <f ca="1">IFERROR(__xludf.DUMMYFUNCTION("""COMPUTED_VALUE"""),45698.625)</f>
        <v>45698.625</v>
      </c>
      <c r="C759" s="46">
        <f ca="1">IFERROR(__xludf.DUMMYFUNCTION("""COMPUTED_VALUE"""),760)</f>
        <v>760</v>
      </c>
      <c r="D759" s="47" t="str">
        <f ca="1">IFERROR(__xludf.DUMMYFUNCTION("""COMPUTED_VALUE"""),"C0529")</f>
        <v>C0529</v>
      </c>
      <c r="E759" s="46" t="str">
        <f ca="1">IFERROR(__xludf.DUMMYFUNCTION("""COMPUTED_VALUE"""),"NGUYỄN NGỌC HÂN")</f>
        <v>NGUYỄN NGỌC HÂN</v>
      </c>
      <c r="F759" s="46" t="str">
        <f ca="1">IFERROR(__xludf.DUMMYFUNCTION("""COMPUTED_VALUE"""),"NGUYEN NGOC HAN")</f>
        <v>NGUYEN NGOC HAN</v>
      </c>
      <c r="G759" s="45">
        <f ca="1">IFERROR(__xludf.DUMMYFUNCTION("""COMPUTED_VALUE"""),37929.625)</f>
        <v>37929.625</v>
      </c>
      <c r="H759" s="45" t="str">
        <f ca="1">IFERROR(__xludf.DUMMYFUNCTION("""COMPUTED_VALUE"""),"MATTE")</f>
        <v>MATTE</v>
      </c>
      <c r="I759" s="46" t="str">
        <f ca="1">IFERROR(__xludf.DUMMYFUNCTION("""COMPUTED_VALUE"""),"STORE")</f>
        <v>STORE</v>
      </c>
      <c r="J759" s="46" t="str">
        <f ca="1">IFERROR(__xludf.DUMMYFUNCTION("""COMPUTED_VALUE"""),"MATTE D1")</f>
        <v>MATTE D1</v>
      </c>
      <c r="K759" s="46" t="str">
        <f ca="1">IFERROR(__xludf.DUMMYFUNCTION("""COMPUTED_VALUE"""),"BAR")</f>
        <v>BAR</v>
      </c>
      <c r="L759" s="46" t="str">
        <f ca="1">IFERROR(__xludf.DUMMYFUNCTION("""COMPUTED_VALUE"""),"PTE")</f>
        <v>PTE</v>
      </c>
      <c r="M759" s="46" t="str">
        <f ca="1">IFERROR(__xludf.DUMMYFUNCTION("""COMPUTED_VALUE"""),"Leave")</f>
        <v>Leave</v>
      </c>
      <c r="N759" s="46" t="str">
        <f ca="1">IFERROR(__xludf.DUMMYFUNCTION("""COMPUTED_VALUE"""),"đủ")</f>
        <v>đủ</v>
      </c>
    </row>
    <row r="760" spans="1:14">
      <c r="A760" s="45">
        <f ca="1">IFERROR(__xludf.DUMMYFUNCTION("""COMPUTED_VALUE"""),45642.625)</f>
        <v>45642.625</v>
      </c>
      <c r="B760" s="45">
        <f ca="1">IFERROR(__xludf.DUMMYFUNCTION("""COMPUTED_VALUE"""),45901.5833333333)</f>
        <v>45901.583333333299</v>
      </c>
      <c r="C760" s="46">
        <f ca="1">IFERROR(__xludf.DUMMYFUNCTION("""COMPUTED_VALUE"""),761)</f>
        <v>761</v>
      </c>
      <c r="D760" s="47" t="str">
        <f ca="1">IFERROR(__xludf.DUMMYFUNCTION("""COMPUTED_VALUE"""),"C0530")</f>
        <v>C0530</v>
      </c>
      <c r="E760" s="46" t="str">
        <f ca="1">IFERROR(__xludf.DUMMYFUNCTION("""COMPUTED_VALUE"""),"NGUYỄN ĐĂNG KHOA")</f>
        <v>NGUYỄN ĐĂNG KHOA</v>
      </c>
      <c r="F760" s="46" t="str">
        <f ca="1">IFERROR(__xludf.DUMMYFUNCTION("""COMPUTED_VALUE"""),"NGUYEN DANG KHOA")</f>
        <v>NGUYEN DANG KHOA</v>
      </c>
      <c r="G760" s="45">
        <f ca="1">IFERROR(__xludf.DUMMYFUNCTION("""COMPUTED_VALUE"""),35091.625)</f>
        <v>35091.625</v>
      </c>
      <c r="H760" s="45" t="str">
        <f ca="1">IFERROR(__xludf.DUMMYFUNCTION("""COMPUTED_VALUE"""),"MATTE")</f>
        <v>MATTE</v>
      </c>
      <c r="I760" s="46" t="str">
        <f ca="1">IFERROR(__xludf.DUMMYFUNCTION("""COMPUTED_VALUE"""),"STORE")</f>
        <v>STORE</v>
      </c>
      <c r="J760" s="46" t="str">
        <f ca="1">IFERROR(__xludf.DUMMYFUNCTION("""COMPUTED_VALUE"""),"MATTE D1")</f>
        <v>MATTE D1</v>
      </c>
      <c r="K760" s="46" t="str">
        <f ca="1">IFERROR(__xludf.DUMMYFUNCTION("""COMPUTED_VALUE"""),"BAR")</f>
        <v>BAR</v>
      </c>
      <c r="L760" s="46" t="str">
        <f ca="1">IFERROR(__xludf.DUMMYFUNCTION("""COMPUTED_VALUE"""),"FTE")</f>
        <v>FTE</v>
      </c>
      <c r="M760" s="46" t="str">
        <f ca="1">IFERROR(__xludf.DUMMYFUNCTION("""COMPUTED_VALUE"""),"Leave")</f>
        <v>Leave</v>
      </c>
      <c r="N760" s="46" t="str">
        <f ca="1">IFERROR(__xludf.DUMMYFUNCTION("""COMPUTED_VALUE"""),"đủ")</f>
        <v>đủ</v>
      </c>
    </row>
    <row r="761" spans="1:14">
      <c r="A761" s="45">
        <f ca="1">IFERROR(__xludf.DUMMYFUNCTION("""COMPUTED_VALUE"""),45642.625)</f>
        <v>45642.625</v>
      </c>
      <c r="B761" s="45">
        <f ca="1">IFERROR(__xludf.DUMMYFUNCTION("""COMPUTED_VALUE"""),45663.625)</f>
        <v>45663.625</v>
      </c>
      <c r="C761" s="46">
        <f ca="1">IFERROR(__xludf.DUMMYFUNCTION("""COMPUTED_VALUE"""),762)</f>
        <v>762</v>
      </c>
      <c r="D761" s="47" t="str">
        <f ca="1">IFERROR(__xludf.DUMMYFUNCTION("""COMPUTED_VALUE"""),"C0531")</f>
        <v>C0531</v>
      </c>
      <c r="E761" s="46" t="str">
        <f ca="1">IFERROR(__xludf.DUMMYFUNCTION("""COMPUTED_VALUE"""),"NGUYỄN KIỀU VÂN CHI")</f>
        <v>NGUYỄN KIỀU VÂN CHI</v>
      </c>
      <c r="F761" s="46" t="str">
        <f ca="1">IFERROR(__xludf.DUMMYFUNCTION("""COMPUTED_VALUE"""),"NGUYEN KIEU VAN CHI")</f>
        <v>NGUYEN KIEU VAN CHI</v>
      </c>
      <c r="G761" s="45">
        <f ca="1">IFERROR(__xludf.DUMMYFUNCTION("""COMPUTED_VALUE"""),37811.5833333333)</f>
        <v>37811.583333333299</v>
      </c>
      <c r="H761" s="45" t="str">
        <f ca="1">IFERROR(__xludf.DUMMYFUNCTION("""COMPUTED_VALUE"""),"MATTE")</f>
        <v>MATTE</v>
      </c>
      <c r="I761" s="46" t="str">
        <f ca="1">IFERROR(__xludf.DUMMYFUNCTION("""COMPUTED_VALUE"""),"STORE")</f>
        <v>STORE</v>
      </c>
      <c r="J761" s="46" t="str">
        <f ca="1">IFERROR(__xludf.DUMMYFUNCTION("""COMPUTED_VALUE"""),"MATTE D7")</f>
        <v>MATTE D7</v>
      </c>
      <c r="K761" s="46" t="str">
        <f ca="1">IFERROR(__xludf.DUMMYFUNCTION("""COMPUTED_VALUE"""),"BAR")</f>
        <v>BAR</v>
      </c>
      <c r="L761" s="46" t="str">
        <f ca="1">IFERROR(__xludf.DUMMYFUNCTION("""COMPUTED_VALUE"""),"PRO")</f>
        <v>PRO</v>
      </c>
      <c r="M761" s="46" t="str">
        <f ca="1">IFERROR(__xludf.DUMMYFUNCTION("""COMPUTED_VALUE"""),"Leave")</f>
        <v>Leave</v>
      </c>
      <c r="N761" s="46" t="str">
        <f ca="1">IFERROR(__xludf.DUMMYFUNCTION("""COMPUTED_VALUE"""),"đủ")</f>
        <v>đủ</v>
      </c>
    </row>
    <row r="762" spans="1:14">
      <c r="A762" s="45">
        <f ca="1">IFERROR(__xludf.DUMMYFUNCTION("""COMPUTED_VALUE"""),45641.625)</f>
        <v>45641.625</v>
      </c>
      <c r="B762" s="45">
        <f ca="1">IFERROR(__xludf.DUMMYFUNCTION("""COMPUTED_VALUE"""),45701.625)</f>
        <v>45701.625</v>
      </c>
      <c r="C762" s="46">
        <f ca="1">IFERROR(__xludf.DUMMYFUNCTION("""COMPUTED_VALUE"""),763)</f>
        <v>763</v>
      </c>
      <c r="D762" s="47" t="str">
        <f ca="1">IFERROR(__xludf.DUMMYFUNCTION("""COMPUTED_VALUE"""),"C0532")</f>
        <v>C0532</v>
      </c>
      <c r="E762" s="46" t="str">
        <f ca="1">IFERROR(__xludf.DUMMYFUNCTION("""COMPUTED_VALUE"""),"KIỀU THỊ THẢO VI")</f>
        <v>KIỀU THỊ THẢO VI</v>
      </c>
      <c r="F762" s="46" t="str">
        <f ca="1">IFERROR(__xludf.DUMMYFUNCTION("""COMPUTED_VALUE"""),"KIEU THI THAO VI")</f>
        <v>KIEU THI THAO VI</v>
      </c>
      <c r="G762" s="45">
        <f ca="1">IFERROR(__xludf.DUMMYFUNCTION("""COMPUTED_VALUE"""),38261.5833333333)</f>
        <v>38261.583333333299</v>
      </c>
      <c r="H762" s="45" t="str">
        <f ca="1">IFERROR(__xludf.DUMMYFUNCTION("""COMPUTED_VALUE"""),"KITCHEN PASTRY")</f>
        <v>KITCHEN PASTRY</v>
      </c>
      <c r="I762" s="46" t="str">
        <f ca="1">IFERROR(__xludf.DUMMYFUNCTION("""COMPUTED_VALUE"""),"KITCHEN PASTRY")</f>
        <v>KITCHEN PASTRY</v>
      </c>
      <c r="J762" s="46" t="str">
        <f ca="1">IFERROR(__xludf.DUMMYFUNCTION("""COMPUTED_VALUE"""),"KITCHEN PASTRY")</f>
        <v>KITCHEN PASTRY</v>
      </c>
      <c r="K762" s="46" t="str">
        <f ca="1">IFERROR(__xludf.DUMMYFUNCTION("""COMPUTED_VALUE"""),"PASTRY")</f>
        <v>PASTRY</v>
      </c>
      <c r="L762" s="46" t="str">
        <f ca="1">IFERROR(__xludf.DUMMYFUNCTION("""COMPUTED_VALUE"""),"PTE")</f>
        <v>PTE</v>
      </c>
      <c r="M762" s="46" t="str">
        <f ca="1">IFERROR(__xludf.DUMMYFUNCTION("""COMPUTED_VALUE"""),"Leave")</f>
        <v>Leave</v>
      </c>
      <c r="N762" s="46" t="str">
        <f ca="1">IFERROR(__xludf.DUMMYFUNCTION("""COMPUTED_VALUE"""),"đủ")</f>
        <v>đủ</v>
      </c>
    </row>
    <row r="763" spans="1:14">
      <c r="A763" s="45">
        <f ca="1">IFERROR(__xludf.DUMMYFUNCTION("""COMPUTED_VALUE"""),45642.625)</f>
        <v>45642.625</v>
      </c>
      <c r="B763" s="45">
        <f ca="1">IFERROR(__xludf.DUMMYFUNCTION("""COMPUTED_VALUE"""),45779.5833333333)</f>
        <v>45779.583333333299</v>
      </c>
      <c r="C763" s="46">
        <f ca="1">IFERROR(__xludf.DUMMYFUNCTION("""COMPUTED_VALUE"""),764)</f>
        <v>764</v>
      </c>
      <c r="D763" s="47" t="str">
        <f ca="1">IFERROR(__xludf.DUMMYFUNCTION("""COMPUTED_VALUE"""),"C0533")</f>
        <v>C0533</v>
      </c>
      <c r="E763" s="46" t="str">
        <f ca="1">IFERROR(__xludf.DUMMYFUNCTION("""COMPUTED_VALUE"""),"NGUYỄN NGỌC NGUYÊN NGÂN")</f>
        <v>NGUYỄN NGỌC NGUYÊN NGÂN</v>
      </c>
      <c r="F763" s="46" t="str">
        <f ca="1">IFERROR(__xludf.DUMMYFUNCTION("""COMPUTED_VALUE"""),"NGUYEN NGOC NGUYEN NGAN")</f>
        <v>NGUYEN NGOC NGUYEN NGAN</v>
      </c>
      <c r="G763" s="45">
        <f ca="1">IFERROR(__xludf.DUMMYFUNCTION("""COMPUTED_VALUE"""),37727.5833333333)</f>
        <v>37727.583333333299</v>
      </c>
      <c r="H763" s="45" t="str">
        <f ca="1">IFERROR(__xludf.DUMMYFUNCTION("""COMPUTED_VALUE"""),"MATTE")</f>
        <v>MATTE</v>
      </c>
      <c r="I763" s="46" t="str">
        <f ca="1">IFERROR(__xludf.DUMMYFUNCTION("""COMPUTED_VALUE"""),"STORE")</f>
        <v>STORE</v>
      </c>
      <c r="J763" s="46" t="str">
        <f ca="1">IFERROR(__xludf.DUMMYFUNCTION("""COMPUTED_VALUE"""),"MATTE D1")</f>
        <v>MATTE D1</v>
      </c>
      <c r="K763" s="46" t="str">
        <f ca="1">IFERROR(__xludf.DUMMYFUNCTION("""COMPUTED_VALUE"""),"BAR")</f>
        <v>BAR</v>
      </c>
      <c r="L763" s="46" t="str">
        <f ca="1">IFERROR(__xludf.DUMMYFUNCTION("""COMPUTED_VALUE"""),"FTE")</f>
        <v>FTE</v>
      </c>
      <c r="M763" s="46" t="str">
        <f ca="1">IFERROR(__xludf.DUMMYFUNCTION("""COMPUTED_VALUE"""),"Leave")</f>
        <v>Leave</v>
      </c>
      <c r="N763" s="46" t="str">
        <f ca="1">IFERROR(__xludf.DUMMYFUNCTION("""COMPUTED_VALUE"""),"đủ")</f>
        <v>đủ</v>
      </c>
    </row>
    <row r="764" spans="1:14">
      <c r="A764" s="45">
        <f ca="1">IFERROR(__xludf.DUMMYFUNCTION("""COMPUTED_VALUE"""),45649.625)</f>
        <v>45649.625</v>
      </c>
      <c r="B764" s="45">
        <f ca="1">IFERROR(__xludf.DUMMYFUNCTION("""COMPUTED_VALUE"""),46119.5833333333)</f>
        <v>46119.583333333299</v>
      </c>
      <c r="C764" s="46">
        <f ca="1">IFERROR(__xludf.DUMMYFUNCTION("""COMPUTED_VALUE"""),765)</f>
        <v>765</v>
      </c>
      <c r="D764" s="47" t="str">
        <f ca="1">IFERROR(__xludf.DUMMYFUNCTION("""COMPUTED_VALUE"""),"C0534")</f>
        <v>C0534</v>
      </c>
      <c r="E764" s="46" t="str">
        <f ca="1">IFERROR(__xludf.DUMMYFUNCTION("""COMPUTED_VALUE"""),"TRẦN HOÀNG KIỀU ANH")</f>
        <v>TRẦN HOÀNG KIỀU ANH</v>
      </c>
      <c r="F764" s="46" t="str">
        <f ca="1">IFERROR(__xludf.DUMMYFUNCTION("""COMPUTED_VALUE"""),"TRAN HOANG KIEU ANH")</f>
        <v>TRAN HOANG KIEU ANH</v>
      </c>
      <c r="G764" s="45">
        <f ca="1">IFERROR(__xludf.DUMMYFUNCTION("""COMPUTED_VALUE"""),35490.625)</f>
        <v>35490.625</v>
      </c>
      <c r="H764" s="45" t="str">
        <f ca="1">IFERROR(__xludf.DUMMYFUNCTION("""COMPUTED_VALUE"""),"KITCHEN PASTRY")</f>
        <v>KITCHEN PASTRY</v>
      </c>
      <c r="I764" s="46" t="str">
        <f ca="1">IFERROR(__xludf.DUMMYFUNCTION("""COMPUTED_VALUE"""),"KITCHEN PASTRY")</f>
        <v>KITCHEN PASTRY</v>
      </c>
      <c r="J764" s="46" t="str">
        <f ca="1">IFERROR(__xludf.DUMMYFUNCTION("""COMPUTED_VALUE"""),"KITCHEN PASTRY")</f>
        <v>KITCHEN PASTRY</v>
      </c>
      <c r="K764" s="46" t="str">
        <f ca="1">IFERROR(__xludf.DUMMYFUNCTION("""COMPUTED_VALUE"""),"BAKER")</f>
        <v>BAKER</v>
      </c>
      <c r="L764" s="46" t="str">
        <f ca="1">IFERROR(__xludf.DUMMYFUNCTION("""COMPUTED_VALUE"""),"FTE")</f>
        <v>FTE</v>
      </c>
      <c r="M764" s="46" t="str">
        <f ca="1">IFERROR(__xludf.DUMMYFUNCTION("""COMPUTED_VALUE"""),"Leave")</f>
        <v>Leave</v>
      </c>
      <c r="N764" s="46" t="str">
        <f ca="1">IFERROR(__xludf.DUMMYFUNCTION("""COMPUTED_VALUE"""),"đủ")</f>
        <v>đủ</v>
      </c>
    </row>
    <row r="765" spans="1:14">
      <c r="A765" s="45">
        <f ca="1">IFERROR(__xludf.DUMMYFUNCTION("""COMPUTED_VALUE"""),45644.625)</f>
        <v>45644.625</v>
      </c>
      <c r="B765" s="45"/>
      <c r="C765" s="46">
        <f ca="1">IFERROR(__xludf.DUMMYFUNCTION("""COMPUTED_VALUE"""),766)</f>
        <v>766</v>
      </c>
      <c r="D765" s="47" t="str">
        <f ca="1">IFERROR(__xludf.DUMMYFUNCTION("""COMPUTED_VALUE"""),"C0535")</f>
        <v>C0535</v>
      </c>
      <c r="E765" s="46" t="str">
        <f ca="1">IFERROR(__xludf.DUMMYFUNCTION("""COMPUTED_VALUE"""),"ĐÀO NGUYỄN PHƯƠNG VY")</f>
        <v>ĐÀO NGUYỄN PHƯƠNG VY</v>
      </c>
      <c r="F765" s="46" t="str">
        <f ca="1">IFERROR(__xludf.DUMMYFUNCTION("""COMPUTED_VALUE"""),"DAO NGUYEN PHUONG VY")</f>
        <v>DAO NGUYEN PHUONG VY</v>
      </c>
      <c r="G765" s="45">
        <f ca="1">IFERROR(__xludf.DUMMYFUNCTION("""COMPUTED_VALUE"""),34317.625)</f>
        <v>34317.625</v>
      </c>
      <c r="H765" s="45" t="str">
        <f ca="1">IFERROR(__xludf.DUMMYFUNCTION("""COMPUTED_VALUE"""),"BAKES")</f>
        <v>BAKES</v>
      </c>
      <c r="I765" s="46" t="str">
        <f ca="1">IFERROR(__xludf.DUMMYFUNCTION("""COMPUTED_VALUE"""),"STORE")</f>
        <v>STORE</v>
      </c>
      <c r="J765" s="46" t="str">
        <f ca="1">IFERROR(__xludf.DUMMYFUNCTION("""COMPUTED_VALUE"""),"BAKES D2")</f>
        <v>BAKES D2</v>
      </c>
      <c r="K765" s="46" t="str">
        <f ca="1">IFERROR(__xludf.DUMMYFUNCTION("""COMPUTED_VALUE"""),"WAITSTAFF")</f>
        <v>WAITSTAFF</v>
      </c>
      <c r="L765" s="46" t="str">
        <f ca="1">IFERROR(__xludf.DUMMYFUNCTION("""COMPUTED_VALUE"""),"PTE")</f>
        <v>PTE</v>
      </c>
      <c r="M765" s="46" t="str">
        <f ca="1">IFERROR(__xludf.DUMMYFUNCTION("""COMPUTED_VALUE"""),"On")</f>
        <v>On</v>
      </c>
      <c r="N765" s="46" t="str">
        <f ca="1">IFERROR(__xludf.DUMMYFUNCTION("""COMPUTED_VALUE"""),"đủ")</f>
        <v>đủ</v>
      </c>
    </row>
    <row r="766" spans="1:14">
      <c r="A766" s="45">
        <f ca="1">IFERROR(__xludf.DUMMYFUNCTION("""COMPUTED_VALUE"""),45649.625)</f>
        <v>45649.625</v>
      </c>
      <c r="B766" s="45">
        <f ca="1">IFERROR(__xludf.DUMMYFUNCTION("""COMPUTED_VALUE"""),45650.625)</f>
        <v>45650.625</v>
      </c>
      <c r="C766" s="46">
        <f ca="1">IFERROR(__xludf.DUMMYFUNCTION("""COMPUTED_VALUE"""),767)</f>
        <v>767</v>
      </c>
      <c r="D766" s="47" t="str">
        <f ca="1">IFERROR(__xludf.DUMMYFUNCTION("""COMPUTED_VALUE"""),"C0537")</f>
        <v>C0537</v>
      </c>
      <c r="E766" s="46" t="str">
        <f ca="1">IFERROR(__xludf.DUMMYFUNCTION("""COMPUTED_VALUE"""),"NGUYỄN CHIÊU HOÀNG")</f>
        <v>NGUYỄN CHIÊU HOÀNG</v>
      </c>
      <c r="F766" s="46" t="str">
        <f ca="1">IFERROR(__xludf.DUMMYFUNCTION("""COMPUTED_VALUE"""),"NGUYEN CHIEU HOANG")</f>
        <v>NGUYEN CHIEU HOANG</v>
      </c>
      <c r="G766" s="45">
        <f ca="1">IFERROR(__xludf.DUMMYFUNCTION("""COMPUTED_VALUE"""),37567.625)</f>
        <v>37567.625</v>
      </c>
      <c r="H766" s="45" t="str">
        <f ca="1">IFERROR(__xludf.DUMMYFUNCTION("""COMPUTED_VALUE"""),"BAKES")</f>
        <v>BAKES</v>
      </c>
      <c r="I766" s="46" t="str">
        <f ca="1">IFERROR(__xludf.DUMMYFUNCTION("""COMPUTED_VALUE"""),"STORE")</f>
        <v>STORE</v>
      </c>
      <c r="J766" s="46" t="str">
        <f ca="1">IFERROR(__xludf.DUMMYFUNCTION("""COMPUTED_VALUE"""),"BAKES D7")</f>
        <v>BAKES D7</v>
      </c>
      <c r="K766" s="46" t="str">
        <f ca="1">IFERROR(__xludf.DUMMYFUNCTION("""COMPUTED_VALUE"""),"BAR")</f>
        <v>BAR</v>
      </c>
      <c r="L766" s="46" t="str">
        <f ca="1">IFERROR(__xludf.DUMMYFUNCTION("""COMPUTED_VALUE"""),"PTE")</f>
        <v>PTE</v>
      </c>
      <c r="M766" s="46" t="str">
        <f ca="1">IFERROR(__xludf.DUMMYFUNCTION("""COMPUTED_VALUE"""),"Leave")</f>
        <v>Leave</v>
      </c>
      <c r="N766" s="46" t="str">
        <f ca="1">IFERROR(__xludf.DUMMYFUNCTION("""COMPUTED_VALUE"""),"chua nop")</f>
        <v>chua nop</v>
      </c>
    </row>
    <row r="767" spans="1:14">
      <c r="A767" s="45">
        <f ca="1">IFERROR(__xludf.DUMMYFUNCTION("""COMPUTED_VALUE"""),45649.625)</f>
        <v>45649.625</v>
      </c>
      <c r="B767" s="45">
        <f ca="1">IFERROR(__xludf.DUMMYFUNCTION("""COMPUTED_VALUE"""),45689.625)</f>
        <v>45689.625</v>
      </c>
      <c r="C767" s="46">
        <f ca="1">IFERROR(__xludf.DUMMYFUNCTION("""COMPUTED_VALUE"""),768)</f>
        <v>768</v>
      </c>
      <c r="D767" s="47" t="str">
        <f ca="1">IFERROR(__xludf.DUMMYFUNCTION("""COMPUTED_VALUE"""),"C0538")</f>
        <v>C0538</v>
      </c>
      <c r="E767" s="46" t="str">
        <f ca="1">IFERROR(__xludf.DUMMYFUNCTION("""COMPUTED_VALUE"""),"NGUYỄN NGỌC ANH THƯ")</f>
        <v>NGUYỄN NGỌC ANH THƯ</v>
      </c>
      <c r="F767" s="46" t="str">
        <f ca="1">IFERROR(__xludf.DUMMYFUNCTION("""COMPUTED_VALUE"""),"NGUYEN NGOC ANH THU")</f>
        <v>NGUYEN NGOC ANH THU</v>
      </c>
      <c r="G767" s="45">
        <f ca="1">IFERROR(__xludf.DUMMYFUNCTION("""COMPUTED_VALUE"""),38699.625)</f>
        <v>38699.625</v>
      </c>
      <c r="H767" s="45" t="str">
        <f ca="1">IFERROR(__xludf.DUMMYFUNCTION("""COMPUTED_VALUE"""),"BAKES")</f>
        <v>BAKES</v>
      </c>
      <c r="I767" s="46" t="str">
        <f ca="1">IFERROR(__xludf.DUMMYFUNCTION("""COMPUTED_VALUE"""),"STORE")</f>
        <v>STORE</v>
      </c>
      <c r="J767" s="46" t="str">
        <f ca="1">IFERROR(__xludf.DUMMYFUNCTION("""COMPUTED_VALUE"""),"BAKES D7")</f>
        <v>BAKES D7</v>
      </c>
      <c r="K767" s="46" t="str">
        <f ca="1">IFERROR(__xludf.DUMMYFUNCTION("""COMPUTED_VALUE"""),"WAITSTAFF")</f>
        <v>WAITSTAFF</v>
      </c>
      <c r="L767" s="46" t="str">
        <f ca="1">IFERROR(__xludf.DUMMYFUNCTION("""COMPUTED_VALUE"""),"PTE")</f>
        <v>PTE</v>
      </c>
      <c r="M767" s="46" t="str">
        <f ca="1">IFERROR(__xludf.DUMMYFUNCTION("""COMPUTED_VALUE"""),"Leave")</f>
        <v>Leave</v>
      </c>
      <c r="N767" s="46" t="str">
        <f ca="1">IFERROR(__xludf.DUMMYFUNCTION("""COMPUTED_VALUE"""),"đủ")</f>
        <v>đủ</v>
      </c>
    </row>
    <row r="768" spans="1:14">
      <c r="A768" s="45">
        <f ca="1">IFERROR(__xludf.DUMMYFUNCTION("""COMPUTED_VALUE"""),45650.625)</f>
        <v>45650.625</v>
      </c>
      <c r="B768" s="45">
        <f ca="1">IFERROR(__xludf.DUMMYFUNCTION("""COMPUTED_VALUE"""),45709.625)</f>
        <v>45709.625</v>
      </c>
      <c r="C768" s="46">
        <f ca="1">IFERROR(__xludf.DUMMYFUNCTION("""COMPUTED_VALUE"""),769)</f>
        <v>769</v>
      </c>
      <c r="D768" s="47" t="str">
        <f ca="1">IFERROR(__xludf.DUMMYFUNCTION("""COMPUTED_VALUE"""),"C0539")</f>
        <v>C0539</v>
      </c>
      <c r="E768" s="46" t="str">
        <f ca="1">IFERROR(__xludf.DUMMYFUNCTION("""COMPUTED_VALUE"""),"NGUYỄN ĐẶNG PHƯƠNG THY")</f>
        <v>NGUYỄN ĐẶNG PHƯƠNG THY</v>
      </c>
      <c r="F768" s="46" t="str">
        <f ca="1">IFERROR(__xludf.DUMMYFUNCTION("""COMPUTED_VALUE"""),"NGUYEN DANG PHUONG THY")</f>
        <v>NGUYEN DANG PHUONG THY</v>
      </c>
      <c r="G768" s="45">
        <f ca="1">IFERROR(__xludf.DUMMYFUNCTION("""COMPUTED_VALUE"""),36798.5833333333)</f>
        <v>36798.583333333299</v>
      </c>
      <c r="H768" s="45" t="str">
        <f ca="1">IFERROR(__xludf.DUMMYFUNCTION("""COMPUTED_VALUE"""),"SHADOW")</f>
        <v>SHADOW</v>
      </c>
      <c r="I768" s="46" t="str">
        <f ca="1">IFERROR(__xludf.DUMMYFUNCTION("""COMPUTED_VALUE"""),"STORE")</f>
        <v>STORE</v>
      </c>
      <c r="J768" s="46" t="str">
        <f ca="1">IFERROR(__xludf.DUMMYFUNCTION("""COMPUTED_VALUE"""),"BAKES PASTEUR")</f>
        <v>BAKES PASTEUR</v>
      </c>
      <c r="K768" s="46" t="str">
        <f ca="1">IFERROR(__xludf.DUMMYFUNCTION("""COMPUTED_VALUE"""),"WAITSTAFF")</f>
        <v>WAITSTAFF</v>
      </c>
      <c r="L768" s="46" t="str">
        <f ca="1">IFERROR(__xludf.DUMMYFUNCTION("""COMPUTED_VALUE"""),"PTE")</f>
        <v>PTE</v>
      </c>
      <c r="M768" s="46" t="str">
        <f ca="1">IFERROR(__xludf.DUMMYFUNCTION("""COMPUTED_VALUE"""),"Leave")</f>
        <v>Leave</v>
      </c>
      <c r="N768" s="46" t="str">
        <f ca="1">IFERROR(__xludf.DUMMYFUNCTION("""COMPUTED_VALUE"""),"đủ")</f>
        <v>đủ</v>
      </c>
    </row>
    <row r="769" spans="1:14">
      <c r="A769" s="45">
        <f ca="1">IFERROR(__xludf.DUMMYFUNCTION("""COMPUTED_VALUE"""),45645.625)</f>
        <v>45645.625</v>
      </c>
      <c r="B769" s="45">
        <f ca="1">IFERROR(__xludf.DUMMYFUNCTION("""COMPUTED_VALUE"""),45809.5833333333)</f>
        <v>45809.583333333299</v>
      </c>
      <c r="C769" s="46">
        <f ca="1">IFERROR(__xludf.DUMMYFUNCTION("""COMPUTED_VALUE"""),770)</f>
        <v>770</v>
      </c>
      <c r="D769" s="47" t="str">
        <f ca="1">IFERROR(__xludf.DUMMYFUNCTION("""COMPUTED_VALUE"""),"C0540")</f>
        <v>C0540</v>
      </c>
      <c r="E769" s="46" t="str">
        <f ca="1">IFERROR(__xludf.DUMMYFUNCTION("""COMPUTED_VALUE"""),"LẠI KHIẾT ÂN")</f>
        <v>LẠI KHIẾT ÂN</v>
      </c>
      <c r="F769" s="46" t="str">
        <f ca="1">IFERROR(__xludf.DUMMYFUNCTION("""COMPUTED_VALUE"""),"LAI KHIET AN")</f>
        <v>LAI KHIET AN</v>
      </c>
      <c r="G769" s="45">
        <f ca="1">IFERROR(__xludf.DUMMYFUNCTION("""COMPUTED_VALUE"""),38607.5833333333)</f>
        <v>38607.583333333299</v>
      </c>
      <c r="H769" s="45" t="str">
        <f ca="1">IFERROR(__xludf.DUMMYFUNCTION("""COMPUTED_VALUE"""),"MATTE")</f>
        <v>MATTE</v>
      </c>
      <c r="I769" s="46" t="str">
        <f ca="1">IFERROR(__xludf.DUMMYFUNCTION("""COMPUTED_VALUE"""),"STORE")</f>
        <v>STORE</v>
      </c>
      <c r="J769" s="46" t="str">
        <f ca="1">IFERROR(__xludf.DUMMYFUNCTION("""COMPUTED_VALUE"""),"MATTE D1")</f>
        <v>MATTE D1</v>
      </c>
      <c r="K769" s="46" t="str">
        <f ca="1">IFERROR(__xludf.DUMMYFUNCTION("""COMPUTED_VALUE"""),"BAR")</f>
        <v>BAR</v>
      </c>
      <c r="L769" s="46" t="str">
        <f ca="1">IFERROR(__xludf.DUMMYFUNCTION("""COMPUTED_VALUE"""),"PTE")</f>
        <v>PTE</v>
      </c>
      <c r="M769" s="46" t="str">
        <f ca="1">IFERROR(__xludf.DUMMYFUNCTION("""COMPUTED_VALUE"""),"Leave")</f>
        <v>Leave</v>
      </c>
      <c r="N769" s="46" t="str">
        <f ca="1">IFERROR(__xludf.DUMMYFUNCTION("""COMPUTED_VALUE"""),"đủ")</f>
        <v>đủ</v>
      </c>
    </row>
    <row r="770" spans="1:14">
      <c r="A770" s="45">
        <f ca="1">IFERROR(__xludf.DUMMYFUNCTION("""COMPUTED_VALUE"""),45644.625)</f>
        <v>45644.625</v>
      </c>
      <c r="B770" s="45">
        <f ca="1">IFERROR(__xludf.DUMMYFUNCTION("""COMPUTED_VALUE"""),45779.5833333333)</f>
        <v>45779.583333333299</v>
      </c>
      <c r="C770" s="46">
        <f ca="1">IFERROR(__xludf.DUMMYFUNCTION("""COMPUTED_VALUE"""),771)</f>
        <v>771</v>
      </c>
      <c r="D770" s="47" t="str">
        <f ca="1">IFERROR(__xludf.DUMMYFUNCTION("""COMPUTED_VALUE"""),"C0541")</f>
        <v>C0541</v>
      </c>
      <c r="E770" s="46" t="str">
        <f ca="1">IFERROR(__xludf.DUMMYFUNCTION("""COMPUTED_VALUE"""),"PHẠM BẢO PHÚC")</f>
        <v>PHẠM BẢO PHÚC</v>
      </c>
      <c r="F770" s="46" t="str">
        <f ca="1">IFERROR(__xludf.DUMMYFUNCTION("""COMPUTED_VALUE"""),"PHAM BAO PHUC")</f>
        <v>PHAM BAO PHUC</v>
      </c>
      <c r="G770" s="45">
        <f ca="1">IFERROR(__xludf.DUMMYFUNCTION("""COMPUTED_VALUE"""),37835.5833333333)</f>
        <v>37835.583333333299</v>
      </c>
      <c r="H770" s="45" t="str">
        <f ca="1">IFERROR(__xludf.DUMMYFUNCTION("""COMPUTED_VALUE"""),"BAKES")</f>
        <v>BAKES</v>
      </c>
      <c r="I770" s="46" t="str">
        <f ca="1">IFERROR(__xludf.DUMMYFUNCTION("""COMPUTED_VALUE"""),"STORE")</f>
        <v>STORE</v>
      </c>
      <c r="J770" s="46" t="str">
        <f ca="1">IFERROR(__xludf.DUMMYFUNCTION("""COMPUTED_VALUE"""),"BAKES D7")</f>
        <v>BAKES D7</v>
      </c>
      <c r="K770" s="46" t="str">
        <f ca="1">IFERROR(__xludf.DUMMYFUNCTION("""COMPUTED_VALUE"""),"WAITSTAFF")</f>
        <v>WAITSTAFF</v>
      </c>
      <c r="L770" s="46" t="str">
        <f ca="1">IFERROR(__xludf.DUMMYFUNCTION("""COMPUTED_VALUE"""),"PTE")</f>
        <v>PTE</v>
      </c>
      <c r="M770" s="46" t="str">
        <f ca="1">IFERROR(__xludf.DUMMYFUNCTION("""COMPUTED_VALUE"""),"Leave")</f>
        <v>Leave</v>
      </c>
      <c r="N770" s="46" t="str">
        <f ca="1">IFERROR(__xludf.DUMMYFUNCTION("""COMPUTED_VALUE"""),"đủ")</f>
        <v>đủ</v>
      </c>
    </row>
    <row r="771" spans="1:14">
      <c r="A771" s="45">
        <f ca="1">IFERROR(__xludf.DUMMYFUNCTION("""COMPUTED_VALUE"""),45644.625)</f>
        <v>45644.625</v>
      </c>
      <c r="B771" s="45">
        <f ca="1">IFERROR(__xludf.DUMMYFUNCTION("""COMPUTED_VALUE"""),45659.625)</f>
        <v>45659.625</v>
      </c>
      <c r="C771" s="46">
        <f ca="1">IFERROR(__xludf.DUMMYFUNCTION("""COMPUTED_VALUE"""),772)</f>
        <v>772</v>
      </c>
      <c r="D771" s="47" t="str">
        <f ca="1">IFERROR(__xludf.DUMMYFUNCTION("""COMPUTED_VALUE"""),"C0542")</f>
        <v>C0542</v>
      </c>
      <c r="E771" s="46" t="str">
        <f ca="1">IFERROR(__xludf.DUMMYFUNCTION("""COMPUTED_VALUE"""),"ĐOÀN HUỲNH KHÁ")</f>
        <v>ĐOÀN HUỲNH KHÁ</v>
      </c>
      <c r="F771" s="46" t="str">
        <f ca="1">IFERROR(__xludf.DUMMYFUNCTION("""COMPUTED_VALUE"""),"DOAN HUYNH KHA")</f>
        <v>DOAN HUYNH KHA</v>
      </c>
      <c r="G771" s="45">
        <f ca="1">IFERROR(__xludf.DUMMYFUNCTION("""COMPUTED_VALUE"""),37341.625)</f>
        <v>37341.625</v>
      </c>
      <c r="H771" s="45" t="str">
        <f ca="1">IFERROR(__xludf.DUMMYFUNCTION("""COMPUTED_VALUE"""),"BAKES")</f>
        <v>BAKES</v>
      </c>
      <c r="I771" s="46" t="str">
        <f ca="1">IFERROR(__xludf.DUMMYFUNCTION("""COMPUTED_VALUE"""),"STORE")</f>
        <v>STORE</v>
      </c>
      <c r="J771" s="46" t="str">
        <f ca="1">IFERROR(__xludf.DUMMYFUNCTION("""COMPUTED_VALUE"""),"BAKES D2")</f>
        <v>BAKES D2</v>
      </c>
      <c r="K771" s="46" t="str">
        <f ca="1">IFERROR(__xludf.DUMMYFUNCTION("""COMPUTED_VALUE"""),"WAITSTAFF")</f>
        <v>WAITSTAFF</v>
      </c>
      <c r="L771" s="46" t="str">
        <f ca="1">IFERROR(__xludf.DUMMYFUNCTION("""COMPUTED_VALUE"""),"PTE")</f>
        <v>PTE</v>
      </c>
      <c r="M771" s="46" t="str">
        <f ca="1">IFERROR(__xludf.DUMMYFUNCTION("""COMPUTED_VALUE"""),"Leave")</f>
        <v>Leave</v>
      </c>
      <c r="N771" s="46" t="str">
        <f ca="1">IFERROR(__xludf.DUMMYFUNCTION("""COMPUTED_VALUE"""),"chua nop")</f>
        <v>chua nop</v>
      </c>
    </row>
    <row r="772" spans="1:14">
      <c r="A772" s="45">
        <f ca="1">IFERROR(__xludf.DUMMYFUNCTION("""COMPUTED_VALUE"""),45651.625)</f>
        <v>45651.625</v>
      </c>
      <c r="B772" s="45">
        <f ca="1">IFERROR(__xludf.DUMMYFUNCTION("""COMPUTED_VALUE"""),45763.5833333333)</f>
        <v>45763.583333333299</v>
      </c>
      <c r="C772" s="46">
        <f ca="1">IFERROR(__xludf.DUMMYFUNCTION("""COMPUTED_VALUE"""),773)</f>
        <v>773</v>
      </c>
      <c r="D772" s="47" t="str">
        <f ca="1">IFERROR(__xludf.DUMMYFUNCTION("""COMPUTED_VALUE"""),"C0543")</f>
        <v>C0543</v>
      </c>
      <c r="E772" s="46" t="str">
        <f ca="1">IFERROR(__xludf.DUMMYFUNCTION("""COMPUTED_VALUE"""),"THÁI NGUYỄN KIỀU TRÂM")</f>
        <v>THÁI NGUYỄN KIỀU TRÂM</v>
      </c>
      <c r="F772" s="46" t="str">
        <f ca="1">IFERROR(__xludf.DUMMYFUNCTION("""COMPUTED_VALUE"""),"THAI NGUYEN KIEU TRAM")</f>
        <v>THAI NGUYEN KIEU TRAM</v>
      </c>
      <c r="G772" s="45">
        <f ca="1">IFERROR(__xludf.DUMMYFUNCTION("""COMPUTED_VALUE"""),34553.5833333333)</f>
        <v>34553.583333333299</v>
      </c>
      <c r="H772" s="45" t="str">
        <f ca="1">IFERROR(__xludf.DUMMYFUNCTION("""COMPUTED_VALUE"""),"BAKES")</f>
        <v>BAKES</v>
      </c>
      <c r="I772" s="46" t="str">
        <f ca="1">IFERROR(__xludf.DUMMYFUNCTION("""COMPUTED_VALUE"""),"STORE")</f>
        <v>STORE</v>
      </c>
      <c r="J772" s="46" t="str">
        <f ca="1">IFERROR(__xludf.DUMMYFUNCTION("""COMPUTED_VALUE"""),"BAKES D2")</f>
        <v>BAKES D2</v>
      </c>
      <c r="K772" s="46" t="str">
        <f ca="1">IFERROR(__xludf.DUMMYFUNCTION("""COMPUTED_VALUE"""),"BAR")</f>
        <v>BAR</v>
      </c>
      <c r="L772" s="46" t="str">
        <f ca="1">IFERROR(__xludf.DUMMYFUNCTION("""COMPUTED_VALUE"""),"PTE")</f>
        <v>PTE</v>
      </c>
      <c r="M772" s="46" t="str">
        <f ca="1">IFERROR(__xludf.DUMMYFUNCTION("""COMPUTED_VALUE"""),"Leave")</f>
        <v>Leave</v>
      </c>
      <c r="N772" s="46" t="str">
        <f ca="1">IFERROR(__xludf.DUMMYFUNCTION("""COMPUTED_VALUE"""),"đủ")</f>
        <v>đủ</v>
      </c>
    </row>
    <row r="773" spans="1:14">
      <c r="A773" s="45">
        <f ca="1">IFERROR(__xludf.DUMMYFUNCTION("""COMPUTED_VALUE"""),45656.625)</f>
        <v>45656.625</v>
      </c>
      <c r="B773" s="45">
        <f ca="1">IFERROR(__xludf.DUMMYFUNCTION("""COMPUTED_VALUE"""),45885.5833333333)</f>
        <v>45885.583333333299</v>
      </c>
      <c r="C773" s="46">
        <f ca="1">IFERROR(__xludf.DUMMYFUNCTION("""COMPUTED_VALUE"""),774)</f>
        <v>774</v>
      </c>
      <c r="D773" s="47" t="str">
        <f ca="1">IFERROR(__xludf.DUMMYFUNCTION("""COMPUTED_VALUE"""),"C0544")</f>
        <v>C0544</v>
      </c>
      <c r="E773" s="46" t="str">
        <f ca="1">IFERROR(__xludf.DUMMYFUNCTION("""COMPUTED_VALUE"""),"TRẦN MỸ LINH")</f>
        <v>TRẦN MỸ LINH</v>
      </c>
      <c r="F773" s="46" t="str">
        <f ca="1">IFERROR(__xludf.DUMMYFUNCTION("""COMPUTED_VALUE"""),"TRAN MY LINH")</f>
        <v>TRAN MY LINH</v>
      </c>
      <c r="G773" s="45">
        <f ca="1">IFERROR(__xludf.DUMMYFUNCTION("""COMPUTED_VALUE"""),35515.625)</f>
        <v>35515.625</v>
      </c>
      <c r="H773" s="45" t="str">
        <f ca="1">IFERROR(__xludf.DUMMYFUNCTION("""COMPUTED_VALUE"""),"TLC")</f>
        <v>TLC</v>
      </c>
      <c r="I773" s="46" t="str">
        <f ca="1">IFERROR(__xludf.DUMMYFUNCTION("""COMPUTED_VALUE"""),"HO")</f>
        <v>HO</v>
      </c>
      <c r="J773" s="46" t="str">
        <f ca="1">IFERROR(__xludf.DUMMYFUNCTION("""COMPUTED_VALUE"""),"HRD")</f>
        <v>HRD</v>
      </c>
      <c r="K773" s="46" t="str">
        <f ca="1">IFERROR(__xludf.DUMMYFUNCTION("""COMPUTED_VALUE"""),"HRD")</f>
        <v>HRD</v>
      </c>
      <c r="L773" s="46" t="str">
        <f ca="1">IFERROR(__xludf.DUMMYFUNCTION("""COMPUTED_VALUE"""),"FTE")</f>
        <v>FTE</v>
      </c>
      <c r="M773" s="46" t="str">
        <f ca="1">IFERROR(__xludf.DUMMYFUNCTION("""COMPUTED_VALUE"""),"Leave")</f>
        <v>Leave</v>
      </c>
      <c r="N773" s="46" t="str">
        <f ca="1">IFERROR(__xludf.DUMMYFUNCTION("""COMPUTED_VALUE"""),"đủ")</f>
        <v>đủ</v>
      </c>
    </row>
    <row r="774" spans="1:14">
      <c r="A774" s="45">
        <f ca="1">IFERROR(__xludf.DUMMYFUNCTION("""COMPUTED_VALUE"""),45656.625)</f>
        <v>45656.625</v>
      </c>
      <c r="B774" s="45"/>
      <c r="C774" s="46">
        <f ca="1">IFERROR(__xludf.DUMMYFUNCTION("""COMPUTED_VALUE"""),775)</f>
        <v>775</v>
      </c>
      <c r="D774" s="47" t="str">
        <f ca="1">IFERROR(__xludf.DUMMYFUNCTION("""COMPUTED_VALUE"""),"C0545")</f>
        <v>C0545</v>
      </c>
      <c r="E774" s="46" t="str">
        <f ca="1">IFERROR(__xludf.DUMMYFUNCTION("""COMPUTED_VALUE"""),"HỒ THỊ NGỌC CẦM")</f>
        <v>HỒ THỊ NGỌC CẦM</v>
      </c>
      <c r="F774" s="46" t="str">
        <f ca="1">IFERROR(__xludf.DUMMYFUNCTION("""COMPUTED_VALUE"""),"HO THI NGOC CAM")</f>
        <v>HO THI NGOC CAM</v>
      </c>
      <c r="G774" s="45">
        <f ca="1">IFERROR(__xludf.DUMMYFUNCTION("""COMPUTED_VALUE"""),37045.5833333333)</f>
        <v>37045.583333333299</v>
      </c>
      <c r="H774" s="45" t="str">
        <f ca="1">IFERROR(__xludf.DUMMYFUNCTION("""COMPUTED_VALUE"""),"TLC")</f>
        <v>TLC</v>
      </c>
      <c r="I774" s="46" t="str">
        <f ca="1">IFERROR(__xludf.DUMMYFUNCTION("""COMPUTED_VALUE"""),"HO")</f>
        <v>HO</v>
      </c>
      <c r="J774" s="46" t="str">
        <f ca="1">IFERROR(__xludf.DUMMYFUNCTION("""COMPUTED_VALUE"""),"FIN")</f>
        <v>FIN</v>
      </c>
      <c r="K774" s="46" t="str">
        <f ca="1">IFERROR(__xludf.DUMMYFUNCTION("""COMPUTED_VALUE"""),"FIN")</f>
        <v>FIN</v>
      </c>
      <c r="L774" s="46" t="str">
        <f ca="1">IFERROR(__xludf.DUMMYFUNCTION("""COMPUTED_VALUE"""),"FTE")</f>
        <v>FTE</v>
      </c>
      <c r="M774" s="46" t="str">
        <f ca="1">IFERROR(__xludf.DUMMYFUNCTION("""COMPUTED_VALUE"""),"On")</f>
        <v>On</v>
      </c>
      <c r="N774" s="46" t="str">
        <f ca="1">IFERROR(__xludf.DUMMYFUNCTION("""COMPUTED_VALUE"""),"đủ")</f>
        <v>đủ</v>
      </c>
    </row>
    <row r="775" spans="1:14">
      <c r="A775" s="45">
        <f ca="1">IFERROR(__xludf.DUMMYFUNCTION("""COMPUTED_VALUE"""),45646.625)</f>
        <v>45646.625</v>
      </c>
      <c r="B775" s="45">
        <f ca="1">IFERROR(__xludf.DUMMYFUNCTION("""COMPUTED_VALUE"""),45671.625)</f>
        <v>45671.625</v>
      </c>
      <c r="C775" s="46">
        <f ca="1">IFERROR(__xludf.DUMMYFUNCTION("""COMPUTED_VALUE"""),776)</f>
        <v>776</v>
      </c>
      <c r="D775" s="47" t="str">
        <f ca="1">IFERROR(__xludf.DUMMYFUNCTION("""COMPUTED_VALUE"""),"C0546")</f>
        <v>C0546</v>
      </c>
      <c r="E775" s="46" t="str">
        <f ca="1">IFERROR(__xludf.DUMMYFUNCTION("""COMPUTED_VALUE"""),"NGUYỄN TẤN HẬU")</f>
        <v>NGUYỄN TẤN HẬU</v>
      </c>
      <c r="F775" s="46" t="str">
        <f ca="1">IFERROR(__xludf.DUMMYFUNCTION("""COMPUTED_VALUE"""),"NGUYEN TAN HAU")</f>
        <v>NGUYEN TAN HAU</v>
      </c>
      <c r="G775" s="45">
        <f ca="1">IFERROR(__xludf.DUMMYFUNCTION("""COMPUTED_VALUE"""),34358.625)</f>
        <v>34358.625</v>
      </c>
      <c r="H775" s="45" t="str">
        <f ca="1">IFERROR(__xludf.DUMMYFUNCTION("""COMPUTED_VALUE"""),"MATTE")</f>
        <v>MATTE</v>
      </c>
      <c r="I775" s="46" t="str">
        <f ca="1">IFERROR(__xludf.DUMMYFUNCTION("""COMPUTED_VALUE"""),"STORE")</f>
        <v>STORE</v>
      </c>
      <c r="J775" s="46" t="str">
        <f ca="1">IFERROR(__xludf.DUMMYFUNCTION("""COMPUTED_VALUE"""),"MATTE D1")</f>
        <v>MATTE D1</v>
      </c>
      <c r="K775" s="46" t="str">
        <f ca="1">IFERROR(__xludf.DUMMYFUNCTION("""COMPUTED_VALUE"""),"BAR")</f>
        <v>BAR</v>
      </c>
      <c r="L775" s="46" t="str">
        <f ca="1">IFERROR(__xludf.DUMMYFUNCTION("""COMPUTED_VALUE"""),"PRO")</f>
        <v>PRO</v>
      </c>
      <c r="M775" s="46" t="str">
        <f ca="1">IFERROR(__xludf.DUMMYFUNCTION("""COMPUTED_VALUE"""),"Leave")</f>
        <v>Leave</v>
      </c>
      <c r="N775" s="46" t="str">
        <f ca="1">IFERROR(__xludf.DUMMYFUNCTION("""COMPUTED_VALUE"""),"đủ")</f>
        <v>đủ</v>
      </c>
    </row>
    <row r="776" spans="1:14">
      <c r="A776" s="45">
        <f ca="1">IFERROR(__xludf.DUMMYFUNCTION("""COMPUTED_VALUE"""),45644.625)</f>
        <v>45644.625</v>
      </c>
      <c r="B776" s="45">
        <f ca="1">IFERROR(__xludf.DUMMYFUNCTION("""COMPUTED_VALUE"""),45969.625)</f>
        <v>45969.625</v>
      </c>
      <c r="C776" s="46">
        <f ca="1">IFERROR(__xludf.DUMMYFUNCTION("""COMPUTED_VALUE"""),777)</f>
        <v>777</v>
      </c>
      <c r="D776" s="47" t="str">
        <f ca="1">IFERROR(__xludf.DUMMYFUNCTION("""COMPUTED_VALUE"""),"C0547")</f>
        <v>C0547</v>
      </c>
      <c r="E776" s="46" t="str">
        <f ca="1">IFERROR(__xludf.DUMMYFUNCTION("""COMPUTED_VALUE"""),"ĐÀO NGUYỄN THANH TRÚC")</f>
        <v>ĐÀO NGUYỄN THANH TRÚC</v>
      </c>
      <c r="F776" s="46" t="str">
        <f ca="1">IFERROR(__xludf.DUMMYFUNCTION("""COMPUTED_VALUE"""),"DAO NGUYEN THANH TRUC")</f>
        <v>DAO NGUYEN THANH TRUC</v>
      </c>
      <c r="G776" s="45">
        <f ca="1">IFERROR(__xludf.DUMMYFUNCTION("""COMPUTED_VALUE"""),38995.5833333333)</f>
        <v>38995.583333333299</v>
      </c>
      <c r="H776" s="45" t="str">
        <f ca="1">IFERROR(__xludf.DUMMYFUNCTION("""COMPUTED_VALUE"""),"MATTE")</f>
        <v>MATTE</v>
      </c>
      <c r="I776" s="46" t="str">
        <f ca="1">IFERROR(__xludf.DUMMYFUNCTION("""COMPUTED_VALUE"""),"STORE")</f>
        <v>STORE</v>
      </c>
      <c r="J776" s="46" t="str">
        <f ca="1">IFERROR(__xludf.DUMMYFUNCTION("""COMPUTED_VALUE"""),"MATTE D1")</f>
        <v>MATTE D1</v>
      </c>
      <c r="K776" s="46" t="str">
        <f ca="1">IFERROR(__xludf.DUMMYFUNCTION("""COMPUTED_VALUE"""),"BAR")</f>
        <v>BAR</v>
      </c>
      <c r="L776" s="46" t="str">
        <f ca="1">IFERROR(__xludf.DUMMYFUNCTION("""COMPUTED_VALUE"""),"PTE")</f>
        <v>PTE</v>
      </c>
      <c r="M776" s="46" t="str">
        <f ca="1">IFERROR(__xludf.DUMMYFUNCTION("""COMPUTED_VALUE"""),"Leave")</f>
        <v>Leave</v>
      </c>
      <c r="N776" s="46" t="str">
        <f ca="1">IFERROR(__xludf.DUMMYFUNCTION("""COMPUTED_VALUE"""),"đủ")</f>
        <v>đủ</v>
      </c>
    </row>
    <row r="777" spans="1:14">
      <c r="A777" s="45">
        <f ca="1">IFERROR(__xludf.DUMMYFUNCTION("""COMPUTED_VALUE"""),45645.625)</f>
        <v>45645.625</v>
      </c>
      <c r="B777" s="45">
        <f ca="1">IFERROR(__xludf.DUMMYFUNCTION("""COMPUTED_VALUE"""),45649.625)</f>
        <v>45649.625</v>
      </c>
      <c r="C777" s="46">
        <f ca="1">IFERROR(__xludf.DUMMYFUNCTION("""COMPUTED_VALUE"""),778)</f>
        <v>778</v>
      </c>
      <c r="D777" s="47" t="str">
        <f ca="1">IFERROR(__xludf.DUMMYFUNCTION("""COMPUTED_VALUE"""),"C0548")</f>
        <v>C0548</v>
      </c>
      <c r="E777" s="46" t="str">
        <f ca="1">IFERROR(__xludf.DUMMYFUNCTION("""COMPUTED_VALUE"""),"NGUYỄN QUỐC HÙNG")</f>
        <v>NGUYỄN QUỐC HÙNG</v>
      </c>
      <c r="F777" s="46" t="str">
        <f ca="1">IFERROR(__xludf.DUMMYFUNCTION("""COMPUTED_VALUE"""),"NGUYEN QUOC HUNG")</f>
        <v>NGUYEN QUOC HUNG</v>
      </c>
      <c r="G777" s="45">
        <f ca="1">IFERROR(__xludf.DUMMYFUNCTION("""COMPUTED_VALUE"""),37965.625)</f>
        <v>37965.625</v>
      </c>
      <c r="H777" s="45" t="str">
        <f ca="1">IFERROR(__xludf.DUMMYFUNCTION("""COMPUTED_VALUE"""),"YESHI")</f>
        <v>YESHI</v>
      </c>
      <c r="I777" s="46" t="str">
        <f ca="1">IFERROR(__xludf.DUMMYFUNCTION("""COMPUTED_VALUE"""),"STORE")</f>
        <v>STORE</v>
      </c>
      <c r="J777" s="46" t="str">
        <f ca="1">IFERROR(__xludf.DUMMYFUNCTION("""COMPUTED_VALUE"""),"YESHI D2")</f>
        <v>YESHI D2</v>
      </c>
      <c r="K777" s="46" t="str">
        <f ca="1">IFERROR(__xludf.DUMMYFUNCTION("""COMPUTED_VALUE"""),"WAITSTAFF")</f>
        <v>WAITSTAFF</v>
      </c>
      <c r="L777" s="46" t="str">
        <f ca="1">IFERROR(__xludf.DUMMYFUNCTION("""COMPUTED_VALUE"""),"PTE")</f>
        <v>PTE</v>
      </c>
      <c r="M777" s="46" t="str">
        <f ca="1">IFERROR(__xludf.DUMMYFUNCTION("""COMPUTED_VALUE"""),"Leave")</f>
        <v>Leave</v>
      </c>
      <c r="N777" s="46" t="str">
        <f ca="1">IFERROR(__xludf.DUMMYFUNCTION("""COMPUTED_VALUE"""),"chua nop")</f>
        <v>chua nop</v>
      </c>
    </row>
    <row r="778" spans="1:14">
      <c r="A778" s="45">
        <f ca="1">IFERROR(__xludf.DUMMYFUNCTION("""COMPUTED_VALUE"""),45656.625)</f>
        <v>45656.625</v>
      </c>
      <c r="B778" s="45">
        <f ca="1">IFERROR(__xludf.DUMMYFUNCTION("""COMPUTED_VALUE"""),45941.5833333333)</f>
        <v>45941.583333333299</v>
      </c>
      <c r="C778" s="46">
        <f ca="1">IFERROR(__xludf.DUMMYFUNCTION("""COMPUTED_VALUE"""),779)</f>
        <v>779</v>
      </c>
      <c r="D778" s="47" t="str">
        <f ca="1">IFERROR(__xludf.DUMMYFUNCTION("""COMPUTED_VALUE"""),"C0549")</f>
        <v>C0549</v>
      </c>
      <c r="E778" s="46" t="str">
        <f ca="1">IFERROR(__xludf.DUMMYFUNCTION("""COMPUTED_VALUE"""),"TRẦN THỊ NGỌC HÂN")</f>
        <v>TRẦN THỊ NGỌC HÂN</v>
      </c>
      <c r="F778" s="46" t="str">
        <f ca="1">IFERROR(__xludf.DUMMYFUNCTION("""COMPUTED_VALUE"""),"TRAN THI NGOC HAN")</f>
        <v>TRAN THI NGOC HAN</v>
      </c>
      <c r="G778" s="45">
        <f ca="1">IFERROR(__xludf.DUMMYFUNCTION("""COMPUTED_VALUE"""),37323.625)</f>
        <v>37323.625</v>
      </c>
      <c r="H778" s="45" t="str">
        <f ca="1">IFERROR(__xludf.DUMMYFUNCTION("""COMPUTED_VALUE"""),"MATTE")</f>
        <v>MATTE</v>
      </c>
      <c r="I778" s="46" t="str">
        <f ca="1">IFERROR(__xludf.DUMMYFUNCTION("""COMPUTED_VALUE"""),"STORE")</f>
        <v>STORE</v>
      </c>
      <c r="J778" s="46" t="str">
        <f ca="1">IFERROR(__xludf.DUMMYFUNCTION("""COMPUTED_VALUE"""),"MATTE D7")</f>
        <v>MATTE D7</v>
      </c>
      <c r="K778" s="46" t="str">
        <f ca="1">IFERROR(__xludf.DUMMYFUNCTION("""COMPUTED_VALUE"""),"BAR")</f>
        <v>BAR</v>
      </c>
      <c r="L778" s="46" t="str">
        <f ca="1">IFERROR(__xludf.DUMMYFUNCTION("""COMPUTED_VALUE"""),"FTE")</f>
        <v>FTE</v>
      </c>
      <c r="M778" s="46" t="str">
        <f ca="1">IFERROR(__xludf.DUMMYFUNCTION("""COMPUTED_VALUE"""),"Leave")</f>
        <v>Leave</v>
      </c>
      <c r="N778" s="46" t="str">
        <f ca="1">IFERROR(__xludf.DUMMYFUNCTION("""COMPUTED_VALUE"""),"đủ")</f>
        <v>đủ</v>
      </c>
    </row>
    <row r="779" spans="1:14">
      <c r="A779" s="45">
        <f ca="1">IFERROR(__xludf.DUMMYFUNCTION("""COMPUTED_VALUE"""),45659.625)</f>
        <v>45659.625</v>
      </c>
      <c r="B779" s="45">
        <f ca="1">IFERROR(__xludf.DUMMYFUNCTION("""COMPUTED_VALUE"""),45698.625)</f>
        <v>45698.625</v>
      </c>
      <c r="C779" s="46">
        <f ca="1">IFERROR(__xludf.DUMMYFUNCTION("""COMPUTED_VALUE"""),780)</f>
        <v>780</v>
      </c>
      <c r="D779" s="47" t="str">
        <f ca="1">IFERROR(__xludf.DUMMYFUNCTION("""COMPUTED_VALUE"""),"C0550")</f>
        <v>C0550</v>
      </c>
      <c r="E779" s="46" t="str">
        <f ca="1">IFERROR(__xludf.DUMMYFUNCTION("""COMPUTED_VALUE"""),"NGUYỄN KIỀU THIÊN NHI")</f>
        <v>NGUYỄN KIỀU THIÊN NHI</v>
      </c>
      <c r="F779" s="46" t="str">
        <f ca="1">IFERROR(__xludf.DUMMYFUNCTION("""COMPUTED_VALUE"""),"NGUYEN KIEU THIEN NHI")</f>
        <v>NGUYEN KIEU THIEN NHI</v>
      </c>
      <c r="G779" s="45">
        <f ca="1">IFERROR(__xludf.DUMMYFUNCTION("""COMPUTED_VALUE"""),35389.625)</f>
        <v>35389.625</v>
      </c>
      <c r="H779" s="45" t="str">
        <f ca="1">IFERROR(__xludf.DUMMYFUNCTION("""COMPUTED_VALUE"""),"BAKES")</f>
        <v>BAKES</v>
      </c>
      <c r="I779" s="46" t="str">
        <f ca="1">IFERROR(__xludf.DUMMYFUNCTION("""COMPUTED_VALUE"""),"STORE")</f>
        <v>STORE</v>
      </c>
      <c r="J779" s="46" t="str">
        <f ca="1">IFERROR(__xludf.DUMMYFUNCTION("""COMPUTED_VALUE"""),"BAKES D7")</f>
        <v>BAKES D7</v>
      </c>
      <c r="K779" s="46" t="str">
        <f ca="1">IFERROR(__xludf.DUMMYFUNCTION("""COMPUTED_VALUE"""),"WAITSTAFF")</f>
        <v>WAITSTAFF</v>
      </c>
      <c r="L779" s="46" t="str">
        <f ca="1">IFERROR(__xludf.DUMMYFUNCTION("""COMPUTED_VALUE"""),"PTE")</f>
        <v>PTE</v>
      </c>
      <c r="M779" s="46" t="str">
        <f ca="1">IFERROR(__xludf.DUMMYFUNCTION("""COMPUTED_VALUE"""),"Leave")</f>
        <v>Leave</v>
      </c>
      <c r="N779" s="46" t="str">
        <f ca="1">IFERROR(__xludf.DUMMYFUNCTION("""COMPUTED_VALUE"""),"đủ")</f>
        <v>đủ</v>
      </c>
    </row>
    <row r="780" spans="1:14">
      <c r="A780" s="45">
        <f ca="1">IFERROR(__xludf.DUMMYFUNCTION("""COMPUTED_VALUE"""),45658.625)</f>
        <v>45658.625</v>
      </c>
      <c r="B780" s="45"/>
      <c r="C780" s="46">
        <f ca="1">IFERROR(__xludf.DUMMYFUNCTION("""COMPUTED_VALUE"""),781)</f>
        <v>781</v>
      </c>
      <c r="D780" s="47" t="str">
        <f ca="1">IFERROR(__xludf.DUMMYFUNCTION("""COMPUTED_VALUE"""),"C0551")</f>
        <v>C0551</v>
      </c>
      <c r="E780" s="46" t="str">
        <f ca="1">IFERROR(__xludf.DUMMYFUNCTION("""COMPUTED_VALUE"""),"TRỊNH TRUNG TUẤN")</f>
        <v>TRỊNH TRUNG TUẤN</v>
      </c>
      <c r="F780" s="46" t="str">
        <f ca="1">IFERROR(__xludf.DUMMYFUNCTION("""COMPUTED_VALUE"""),"TRINH TRUNG TUAN")</f>
        <v>TRINH TRUNG TUAN</v>
      </c>
      <c r="G780" s="45">
        <f ca="1">IFERROR(__xludf.DUMMYFUNCTION("""COMPUTED_VALUE"""),34632.5833333333)</f>
        <v>34632.583333333299</v>
      </c>
      <c r="H780" s="45" t="str">
        <f ca="1">IFERROR(__xludf.DUMMYFUNCTION("""COMPUTED_VALUE"""),"BAKES")</f>
        <v>BAKES</v>
      </c>
      <c r="I780" s="46" t="str">
        <f ca="1">IFERROR(__xludf.DUMMYFUNCTION("""COMPUTED_VALUE"""),"HO")</f>
        <v>HO</v>
      </c>
      <c r="J780" s="46" t="str">
        <f ca="1">IFERROR(__xludf.DUMMYFUNCTION("""COMPUTED_VALUE"""),"FIN")</f>
        <v>FIN</v>
      </c>
      <c r="K780" s="46" t="str">
        <f ca="1">IFERROR(__xludf.DUMMYFUNCTION("""COMPUTED_VALUE"""),"FIN")</f>
        <v>FIN</v>
      </c>
      <c r="L780" s="46" t="str">
        <f ca="1">IFERROR(__xludf.DUMMYFUNCTION("""COMPUTED_VALUE"""),"SER")</f>
        <v>SER</v>
      </c>
      <c r="M780" s="46" t="str">
        <f ca="1">IFERROR(__xludf.DUMMYFUNCTION("""COMPUTED_VALUE"""),"On")</f>
        <v>On</v>
      </c>
      <c r="N780" s="46" t="str">
        <f ca="1">IFERROR(__xludf.DUMMYFUNCTION("""COMPUTED_VALUE"""),"đủ")</f>
        <v>đủ</v>
      </c>
    </row>
    <row r="781" spans="1:14">
      <c r="A781" s="45">
        <f ca="1">IFERROR(__xludf.DUMMYFUNCTION("""COMPUTED_VALUE"""),45659.625)</f>
        <v>45659.625</v>
      </c>
      <c r="B781" s="45">
        <f ca="1">IFERROR(__xludf.DUMMYFUNCTION("""COMPUTED_VALUE"""),45961.5833333333)</f>
        <v>45961.583333333299</v>
      </c>
      <c r="C781" s="46">
        <f ca="1">IFERROR(__xludf.DUMMYFUNCTION("""COMPUTED_VALUE"""),782)</f>
        <v>782</v>
      </c>
      <c r="D781" s="47" t="str">
        <f ca="1">IFERROR(__xludf.DUMMYFUNCTION("""COMPUTED_VALUE"""),"C0552")</f>
        <v>C0552</v>
      </c>
      <c r="E781" s="46" t="str">
        <f ca="1">IFERROR(__xludf.DUMMYFUNCTION("""COMPUTED_VALUE"""),"VÕ HOÀNG PHI HÙNG")</f>
        <v>VÕ HOÀNG PHI HÙNG</v>
      </c>
      <c r="F781" s="46" t="str">
        <f ca="1">IFERROR(__xludf.DUMMYFUNCTION("""COMPUTED_VALUE"""),"VO HOANG PHI HUNG")</f>
        <v>VO HOANG PHI HUNG</v>
      </c>
      <c r="G781" s="45">
        <f ca="1">IFERROR(__xludf.DUMMYFUNCTION("""COMPUTED_VALUE"""),37928.625)</f>
        <v>37928.625</v>
      </c>
      <c r="H781" s="45" t="str">
        <f ca="1">IFERROR(__xludf.DUMMYFUNCTION("""COMPUTED_VALUE"""),"BAKES")</f>
        <v>BAKES</v>
      </c>
      <c r="I781" s="46" t="str">
        <f ca="1">IFERROR(__xludf.DUMMYFUNCTION("""COMPUTED_VALUE"""),"STORE")</f>
        <v>STORE</v>
      </c>
      <c r="J781" s="46" t="str">
        <f ca="1">IFERROR(__xludf.DUMMYFUNCTION("""COMPUTED_VALUE"""),"BAKES D7")</f>
        <v>BAKES D7</v>
      </c>
      <c r="K781" s="46" t="str">
        <f ca="1">IFERROR(__xludf.DUMMYFUNCTION("""COMPUTED_VALUE"""),"BAR")</f>
        <v>BAR</v>
      </c>
      <c r="L781" s="46" t="str">
        <f ca="1">IFERROR(__xludf.DUMMYFUNCTION("""COMPUTED_VALUE"""),"PTE")</f>
        <v>PTE</v>
      </c>
      <c r="M781" s="46" t="str">
        <f ca="1">IFERROR(__xludf.DUMMYFUNCTION("""COMPUTED_VALUE"""),"Leave")</f>
        <v>Leave</v>
      </c>
      <c r="N781" s="46" t="str">
        <f ca="1">IFERROR(__xludf.DUMMYFUNCTION("""COMPUTED_VALUE"""),"đủ")</f>
        <v>đủ</v>
      </c>
    </row>
    <row r="782" spans="1:14">
      <c r="A782" s="45">
        <f ca="1">IFERROR(__xludf.DUMMYFUNCTION("""COMPUTED_VALUE"""),45660.625)</f>
        <v>45660.625</v>
      </c>
      <c r="B782" s="45">
        <f ca="1">IFERROR(__xludf.DUMMYFUNCTION("""COMPUTED_VALUE"""),45661.625)</f>
        <v>45661.625</v>
      </c>
      <c r="C782" s="46">
        <f ca="1">IFERROR(__xludf.DUMMYFUNCTION("""COMPUTED_VALUE"""),783)</f>
        <v>783</v>
      </c>
      <c r="D782" s="47" t="str">
        <f ca="1">IFERROR(__xludf.DUMMYFUNCTION("""COMPUTED_VALUE"""),"C0554")</f>
        <v>C0554</v>
      </c>
      <c r="E782" s="46" t="str">
        <f ca="1">IFERROR(__xludf.DUMMYFUNCTION("""COMPUTED_VALUE"""),"NGÔ NGỌC MAI THY")</f>
        <v>NGÔ NGỌC MAI THY</v>
      </c>
      <c r="F782" s="46" t="str">
        <f ca="1">IFERROR(__xludf.DUMMYFUNCTION("""COMPUTED_VALUE"""),"NGO NGOC MAI THY")</f>
        <v>NGO NGOC MAI THY</v>
      </c>
      <c r="G782" s="45"/>
      <c r="H782" s="45" t="str">
        <f ca="1">IFERROR(__xludf.DUMMYFUNCTION("""COMPUTED_VALUE"""),"BAKES")</f>
        <v>BAKES</v>
      </c>
      <c r="I782" s="46" t="str">
        <f ca="1">IFERROR(__xludf.DUMMYFUNCTION("""COMPUTED_VALUE"""),"STORE")</f>
        <v>STORE</v>
      </c>
      <c r="J782" s="46" t="str">
        <f ca="1">IFERROR(__xludf.DUMMYFUNCTION("""COMPUTED_VALUE"""),"BAKES D7")</f>
        <v>BAKES D7</v>
      </c>
      <c r="K782" s="46" t="str">
        <f ca="1">IFERROR(__xludf.DUMMYFUNCTION("""COMPUTED_VALUE"""),"BAR")</f>
        <v>BAR</v>
      </c>
      <c r="L782" s="46" t="str">
        <f ca="1">IFERROR(__xludf.DUMMYFUNCTION("""COMPUTED_VALUE"""),"PTE")</f>
        <v>PTE</v>
      </c>
      <c r="M782" s="46" t="str">
        <f ca="1">IFERROR(__xludf.DUMMYFUNCTION("""COMPUTED_VALUE"""),"Leave")</f>
        <v>Leave</v>
      </c>
      <c r="N782" s="46" t="str">
        <f ca="1">IFERROR(__xludf.DUMMYFUNCTION("""COMPUTED_VALUE"""),"chua nop")</f>
        <v>chua nop</v>
      </c>
    </row>
    <row r="783" spans="1:14">
      <c r="A783" s="45">
        <f ca="1">IFERROR(__xludf.DUMMYFUNCTION("""COMPUTED_VALUE"""),45661.625)</f>
        <v>45661.625</v>
      </c>
      <c r="B783" s="45">
        <f ca="1">IFERROR(__xludf.DUMMYFUNCTION("""COMPUTED_VALUE"""),45694.625)</f>
        <v>45694.625</v>
      </c>
      <c r="C783" s="46">
        <f ca="1">IFERROR(__xludf.DUMMYFUNCTION("""COMPUTED_VALUE"""),784)</f>
        <v>784</v>
      </c>
      <c r="D783" s="47" t="str">
        <f ca="1">IFERROR(__xludf.DUMMYFUNCTION("""COMPUTED_VALUE"""),"C0555")</f>
        <v>C0555</v>
      </c>
      <c r="E783" s="46" t="str">
        <f ca="1">IFERROR(__xludf.DUMMYFUNCTION("""COMPUTED_VALUE"""),"LÊ PHẠM TRÂM ANH")</f>
        <v>LÊ PHẠM TRÂM ANH</v>
      </c>
      <c r="F783" s="46" t="str">
        <f ca="1">IFERROR(__xludf.DUMMYFUNCTION("""COMPUTED_VALUE"""),"LE PHAM TRAM ANH")</f>
        <v>LE PHAM TRAM ANH</v>
      </c>
      <c r="G783" s="45">
        <f ca="1">IFERROR(__xludf.DUMMYFUNCTION("""COMPUTED_VALUE"""),37573.625)</f>
        <v>37573.625</v>
      </c>
      <c r="H783" s="45" t="str">
        <f ca="1">IFERROR(__xludf.DUMMYFUNCTION("""COMPUTED_VALUE"""),"TLC")</f>
        <v>TLC</v>
      </c>
      <c r="I783" s="46" t="str">
        <f ca="1">IFERROR(__xludf.DUMMYFUNCTION("""COMPUTED_VALUE"""),"STORE")</f>
        <v>STORE</v>
      </c>
      <c r="J783" s="46" t="str">
        <f ca="1">IFERROR(__xludf.DUMMYFUNCTION("""COMPUTED_VALUE"""),"BAKES HCR")</f>
        <v>BAKES HCR</v>
      </c>
      <c r="K783" s="46" t="str">
        <f ca="1">IFERROR(__xludf.DUMMYFUNCTION("""COMPUTED_VALUE"""),"BAR")</f>
        <v>BAR</v>
      </c>
      <c r="L783" s="46" t="str">
        <f ca="1">IFERROR(__xludf.DUMMYFUNCTION("""COMPUTED_VALUE"""),"PTE")</f>
        <v>PTE</v>
      </c>
      <c r="M783" s="46" t="str">
        <f ca="1">IFERROR(__xludf.DUMMYFUNCTION("""COMPUTED_VALUE"""),"Leave")</f>
        <v>Leave</v>
      </c>
      <c r="N783" s="46" t="str">
        <f ca="1">IFERROR(__xludf.DUMMYFUNCTION("""COMPUTED_VALUE"""),"đủ")</f>
        <v>đủ</v>
      </c>
    </row>
    <row r="784" spans="1:14">
      <c r="A784" s="45">
        <f ca="1">IFERROR(__xludf.DUMMYFUNCTION("""COMPUTED_VALUE"""),45664.625)</f>
        <v>45664.625</v>
      </c>
      <c r="B784" s="45">
        <f ca="1">IFERROR(__xludf.DUMMYFUNCTION("""COMPUTED_VALUE"""),45999.625)</f>
        <v>45999.625</v>
      </c>
      <c r="C784" s="46">
        <f ca="1">IFERROR(__xludf.DUMMYFUNCTION("""COMPUTED_VALUE"""),785)</f>
        <v>785</v>
      </c>
      <c r="D784" s="47" t="str">
        <f ca="1">IFERROR(__xludf.DUMMYFUNCTION("""COMPUTED_VALUE"""),"C0556")</f>
        <v>C0556</v>
      </c>
      <c r="E784" s="46" t="str">
        <f ca="1">IFERROR(__xludf.DUMMYFUNCTION("""COMPUTED_VALUE"""),"LÊ PHƯƠNG HIẾU")</f>
        <v>LÊ PHƯƠNG HIẾU</v>
      </c>
      <c r="F784" s="46" t="str">
        <f ca="1">IFERROR(__xludf.DUMMYFUNCTION("""COMPUTED_VALUE"""),"LE PHUONG HIEU")</f>
        <v>LE PHUONG HIEU</v>
      </c>
      <c r="G784" s="45">
        <f ca="1">IFERROR(__xludf.DUMMYFUNCTION("""COMPUTED_VALUE"""),38079.625)</f>
        <v>38079.625</v>
      </c>
      <c r="H784" s="45" t="str">
        <f ca="1">IFERROR(__xludf.DUMMYFUNCTION("""COMPUTED_VALUE"""),"MATTE")</f>
        <v>MATTE</v>
      </c>
      <c r="I784" s="46" t="str">
        <f ca="1">IFERROR(__xludf.DUMMYFUNCTION("""COMPUTED_VALUE"""),"STORE")</f>
        <v>STORE</v>
      </c>
      <c r="J784" s="46" t="str">
        <f ca="1">IFERROR(__xludf.DUMMYFUNCTION("""COMPUTED_VALUE"""),"MATTE D7")</f>
        <v>MATTE D7</v>
      </c>
      <c r="K784" s="46" t="str">
        <f ca="1">IFERROR(__xludf.DUMMYFUNCTION("""COMPUTED_VALUE"""),"BAR")</f>
        <v>BAR</v>
      </c>
      <c r="L784" s="46" t="str">
        <f ca="1">IFERROR(__xludf.DUMMYFUNCTION("""COMPUTED_VALUE"""),"PTE")</f>
        <v>PTE</v>
      </c>
      <c r="M784" s="46" t="str">
        <f ca="1">IFERROR(__xludf.DUMMYFUNCTION("""COMPUTED_VALUE"""),"Leave")</f>
        <v>Leave</v>
      </c>
      <c r="N784" s="46" t="str">
        <f ca="1">IFERROR(__xludf.DUMMYFUNCTION("""COMPUTED_VALUE"""),"đủ")</f>
        <v>đủ</v>
      </c>
    </row>
    <row r="785" spans="1:14">
      <c r="A785" s="45">
        <f ca="1">IFERROR(__xludf.DUMMYFUNCTION("""COMPUTED_VALUE"""),45659.625)</f>
        <v>45659.625</v>
      </c>
      <c r="B785" s="45">
        <f ca="1">IFERROR(__xludf.DUMMYFUNCTION("""COMPUTED_VALUE"""),45732.5833333333)</f>
        <v>45732.583333333299</v>
      </c>
      <c r="C785" s="46">
        <f ca="1">IFERROR(__xludf.DUMMYFUNCTION("""COMPUTED_VALUE"""),786)</f>
        <v>786</v>
      </c>
      <c r="D785" s="47" t="str">
        <f ca="1">IFERROR(__xludf.DUMMYFUNCTION("""COMPUTED_VALUE"""),"C0557")</f>
        <v>C0557</v>
      </c>
      <c r="E785" s="46" t="str">
        <f ca="1">IFERROR(__xludf.DUMMYFUNCTION("""COMPUTED_VALUE"""),"NGUYỄN TIẾN DŨNG")</f>
        <v>NGUYỄN TIẾN DŨNG</v>
      </c>
      <c r="F785" s="46" t="str">
        <f ca="1">IFERROR(__xludf.DUMMYFUNCTION("""COMPUTED_VALUE"""),"NGUYEN TIEN DUNG")</f>
        <v>NGUYEN TIEN DUNG</v>
      </c>
      <c r="G785" s="45">
        <f ca="1">IFERROR(__xludf.DUMMYFUNCTION("""COMPUTED_VALUE"""),37435.5833333333)</f>
        <v>37435.583333333299</v>
      </c>
      <c r="H785" s="45" t="str">
        <f ca="1">IFERROR(__xludf.DUMMYFUNCTION("""COMPUTED_VALUE"""),"BAKES")</f>
        <v>BAKES</v>
      </c>
      <c r="I785" s="46" t="str">
        <f ca="1">IFERROR(__xludf.DUMMYFUNCTION("""COMPUTED_VALUE"""),"STORE")</f>
        <v>STORE</v>
      </c>
      <c r="J785" s="46" t="str">
        <f ca="1">IFERROR(__xludf.DUMMYFUNCTION("""COMPUTED_VALUE"""),"BAKES D2")</f>
        <v>BAKES D2</v>
      </c>
      <c r="K785" s="46" t="str">
        <f ca="1">IFERROR(__xludf.DUMMYFUNCTION("""COMPUTED_VALUE"""),"BAR")</f>
        <v>BAR</v>
      </c>
      <c r="L785" s="46" t="str">
        <f ca="1">IFERROR(__xludf.DUMMYFUNCTION("""COMPUTED_VALUE"""),"PTE")</f>
        <v>PTE</v>
      </c>
      <c r="M785" s="46" t="str">
        <f ca="1">IFERROR(__xludf.DUMMYFUNCTION("""COMPUTED_VALUE"""),"Leave")</f>
        <v>Leave</v>
      </c>
      <c r="N785" s="46" t="str">
        <f ca="1">IFERROR(__xludf.DUMMYFUNCTION("""COMPUTED_VALUE"""),"đủ")</f>
        <v>đủ</v>
      </c>
    </row>
    <row r="786" spans="1:14">
      <c r="A786" s="45">
        <f ca="1">IFERROR(__xludf.DUMMYFUNCTION("""COMPUTED_VALUE"""),45665.625)</f>
        <v>45665.625</v>
      </c>
      <c r="B786" s="45">
        <f ca="1">IFERROR(__xludf.DUMMYFUNCTION("""COMPUTED_VALUE"""),45793.5833333333)</f>
        <v>45793.583333333299</v>
      </c>
      <c r="C786" s="46">
        <f ca="1">IFERROR(__xludf.DUMMYFUNCTION("""COMPUTED_VALUE"""),787)</f>
        <v>787</v>
      </c>
      <c r="D786" s="47" t="str">
        <f ca="1">IFERROR(__xludf.DUMMYFUNCTION("""COMPUTED_VALUE"""),"C0558")</f>
        <v>C0558</v>
      </c>
      <c r="E786" s="46" t="str">
        <f ca="1">IFERROR(__xludf.DUMMYFUNCTION("""COMPUTED_VALUE"""),"LÊ TIẾN BẢO HUY")</f>
        <v>LÊ TIẾN BẢO HUY</v>
      </c>
      <c r="F786" s="46" t="str">
        <f ca="1">IFERROR(__xludf.DUMMYFUNCTION("""COMPUTED_VALUE"""),"LE TIEN BAO HUY")</f>
        <v>LE TIEN BAO HUY</v>
      </c>
      <c r="G786" s="45">
        <f ca="1">IFERROR(__xludf.DUMMYFUNCTION("""COMPUTED_VALUE"""),37559.625)</f>
        <v>37559.625</v>
      </c>
      <c r="H786" s="45" t="str">
        <f ca="1">IFERROR(__xludf.DUMMYFUNCTION("""COMPUTED_VALUE"""),"TLC")</f>
        <v>TLC</v>
      </c>
      <c r="I786" s="46" t="str">
        <f ca="1">IFERROR(__xludf.DUMMYFUNCTION("""COMPUTED_VALUE"""),"STORE")</f>
        <v>STORE</v>
      </c>
      <c r="J786" s="46" t="str">
        <f ca="1">IFERROR(__xludf.DUMMYFUNCTION("""COMPUTED_VALUE"""),"BLANK LOUNGE")</f>
        <v>BLANK LOUNGE</v>
      </c>
      <c r="K786" s="46" t="str">
        <f ca="1">IFERROR(__xludf.DUMMYFUNCTION("""COMPUTED_VALUE"""),"WAITSTAFF")</f>
        <v>WAITSTAFF</v>
      </c>
      <c r="L786" s="46" t="str">
        <f ca="1">IFERROR(__xludf.DUMMYFUNCTION("""COMPUTED_VALUE"""),"PTE")</f>
        <v>PTE</v>
      </c>
      <c r="M786" s="46" t="str">
        <f ca="1">IFERROR(__xludf.DUMMYFUNCTION("""COMPUTED_VALUE"""),"Leave")</f>
        <v>Leave</v>
      </c>
      <c r="N786" s="46" t="str">
        <f ca="1">IFERROR(__xludf.DUMMYFUNCTION("""COMPUTED_VALUE"""),"đủ")</f>
        <v>đủ</v>
      </c>
    </row>
    <row r="787" spans="1:14">
      <c r="A787" s="45">
        <f ca="1">IFERROR(__xludf.DUMMYFUNCTION("""COMPUTED_VALUE"""),45666.625)</f>
        <v>45666.625</v>
      </c>
      <c r="B787" s="45">
        <f ca="1">IFERROR(__xludf.DUMMYFUNCTION("""COMPUTED_VALUE"""),45731.5833333333)</f>
        <v>45731.583333333299</v>
      </c>
      <c r="C787" s="46">
        <f ca="1">IFERROR(__xludf.DUMMYFUNCTION("""COMPUTED_VALUE"""),788)</f>
        <v>788</v>
      </c>
      <c r="D787" s="47" t="str">
        <f ca="1">IFERROR(__xludf.DUMMYFUNCTION("""COMPUTED_VALUE"""),"C0559")</f>
        <v>C0559</v>
      </c>
      <c r="E787" s="46" t="str">
        <f ca="1">IFERROR(__xludf.DUMMYFUNCTION("""COMPUTED_VALUE"""),"CHU THỊ HƯƠNG LAN")</f>
        <v>CHU THỊ HƯƠNG LAN</v>
      </c>
      <c r="F787" s="46" t="str">
        <f ca="1">IFERROR(__xludf.DUMMYFUNCTION("""COMPUTED_VALUE"""),"CHU THI HUONG LAN")</f>
        <v>CHU THI HUONG LAN</v>
      </c>
      <c r="G787" s="45">
        <f ca="1">IFERROR(__xludf.DUMMYFUNCTION("""COMPUTED_VALUE"""),36453.5833333333)</f>
        <v>36453.583333333299</v>
      </c>
      <c r="H787" s="45" t="str">
        <f ca="1">IFERROR(__xludf.DUMMYFUNCTION("""COMPUTED_VALUE"""),"BAKES")</f>
        <v>BAKES</v>
      </c>
      <c r="I787" s="46" t="str">
        <f ca="1">IFERROR(__xludf.DUMMYFUNCTION("""COMPUTED_VALUE"""),"STORE")</f>
        <v>STORE</v>
      </c>
      <c r="J787" s="46" t="str">
        <f ca="1">IFERROR(__xludf.DUMMYFUNCTION("""COMPUTED_VALUE"""),"BAKES D7")</f>
        <v>BAKES D7</v>
      </c>
      <c r="K787" s="46" t="str">
        <f ca="1">IFERROR(__xludf.DUMMYFUNCTION("""COMPUTED_VALUE"""),"BAR")</f>
        <v>BAR</v>
      </c>
      <c r="L787" s="46" t="str">
        <f ca="1">IFERROR(__xludf.DUMMYFUNCTION("""COMPUTED_VALUE"""),"PTE")</f>
        <v>PTE</v>
      </c>
      <c r="M787" s="46" t="str">
        <f ca="1">IFERROR(__xludf.DUMMYFUNCTION("""COMPUTED_VALUE"""),"Leave")</f>
        <v>Leave</v>
      </c>
      <c r="N787" s="46" t="str">
        <f ca="1">IFERROR(__xludf.DUMMYFUNCTION("""COMPUTED_VALUE"""),"đủ")</f>
        <v>đủ</v>
      </c>
    </row>
    <row r="788" spans="1:14">
      <c r="A788" s="45">
        <f ca="1">IFERROR(__xludf.DUMMYFUNCTION("""COMPUTED_VALUE"""),45659.625)</f>
        <v>45659.625</v>
      </c>
      <c r="B788" s="45">
        <f ca="1">IFERROR(__xludf.DUMMYFUNCTION("""COMPUTED_VALUE"""),45660.625)</f>
        <v>45660.625</v>
      </c>
      <c r="C788" s="46">
        <f ca="1">IFERROR(__xludf.DUMMYFUNCTION("""COMPUTED_VALUE"""),789)</f>
        <v>789</v>
      </c>
      <c r="D788" s="47" t="str">
        <f ca="1">IFERROR(__xludf.DUMMYFUNCTION("""COMPUTED_VALUE"""),"C0561")</f>
        <v>C0561</v>
      </c>
      <c r="E788" s="46" t="str">
        <f ca="1">IFERROR(__xludf.DUMMYFUNCTION("""COMPUTED_VALUE"""),"LÊ THUẬN AN")</f>
        <v>LÊ THUẬN AN</v>
      </c>
      <c r="F788" s="46" t="str">
        <f ca="1">IFERROR(__xludf.DUMMYFUNCTION("""COMPUTED_VALUE"""),"LE THUAN AN")</f>
        <v>LE THUAN AN</v>
      </c>
      <c r="G788" s="45"/>
      <c r="H788" s="45" t="str">
        <f ca="1">IFERROR(__xludf.DUMMYFUNCTION("""COMPUTED_VALUE"""),"MATTE")</f>
        <v>MATTE</v>
      </c>
      <c r="I788" s="46" t="str">
        <f ca="1">IFERROR(__xludf.DUMMYFUNCTION("""COMPUTED_VALUE"""),"STORE")</f>
        <v>STORE</v>
      </c>
      <c r="J788" s="46" t="str">
        <f ca="1">IFERROR(__xludf.DUMMYFUNCTION("""COMPUTED_VALUE"""),"MATTE D1")</f>
        <v>MATTE D1</v>
      </c>
      <c r="K788" s="46" t="str">
        <f ca="1">IFERROR(__xludf.DUMMYFUNCTION("""COMPUTED_VALUE"""),"BAR")</f>
        <v>BAR</v>
      </c>
      <c r="L788" s="46" t="str">
        <f ca="1">IFERROR(__xludf.DUMMYFUNCTION("""COMPUTED_VALUE"""),"PTE")</f>
        <v>PTE</v>
      </c>
      <c r="M788" s="46" t="str">
        <f ca="1">IFERROR(__xludf.DUMMYFUNCTION("""COMPUTED_VALUE"""),"Leave")</f>
        <v>Leave</v>
      </c>
      <c r="N788" s="46" t="str">
        <f ca="1">IFERROR(__xludf.DUMMYFUNCTION("""COMPUTED_VALUE"""),"đủ")</f>
        <v>đủ</v>
      </c>
    </row>
    <row r="789" spans="1:14">
      <c r="A789" s="45">
        <f ca="1">IFERROR(__xludf.DUMMYFUNCTION("""COMPUTED_VALUE"""),45658.625)</f>
        <v>45658.625</v>
      </c>
      <c r="B789" s="45">
        <f ca="1">IFERROR(__xludf.DUMMYFUNCTION("""COMPUTED_VALUE"""),45672.625)</f>
        <v>45672.625</v>
      </c>
      <c r="C789" s="46">
        <f ca="1">IFERROR(__xludf.DUMMYFUNCTION("""COMPUTED_VALUE"""),790)</f>
        <v>790</v>
      </c>
      <c r="D789" s="47" t="str">
        <f ca="1">IFERROR(__xludf.DUMMYFUNCTION("""COMPUTED_VALUE"""),"C0562")</f>
        <v>C0562</v>
      </c>
      <c r="E789" s="46" t="str">
        <f ca="1">IFERROR(__xludf.DUMMYFUNCTION("""COMPUTED_VALUE"""),"ĐINH THỊ THU NHUNG")</f>
        <v>ĐINH THỊ THU NHUNG</v>
      </c>
      <c r="F789" s="46" t="str">
        <f ca="1">IFERROR(__xludf.DUMMYFUNCTION("""COMPUTED_VALUE"""),"DINH THI THU NHUNG")</f>
        <v>DINH THI THU NHUNG</v>
      </c>
      <c r="G789" s="45">
        <f ca="1">IFERROR(__xludf.DUMMYFUNCTION("""COMPUTED_VALUE"""),35881.625)</f>
        <v>35881.625</v>
      </c>
      <c r="H789" s="45" t="str">
        <f ca="1">IFERROR(__xludf.DUMMYFUNCTION("""COMPUTED_VALUE"""),"KITCHEN PASTRY")</f>
        <v>KITCHEN PASTRY</v>
      </c>
      <c r="I789" s="46" t="str">
        <f ca="1">IFERROR(__xludf.DUMMYFUNCTION("""COMPUTED_VALUE"""),"KITCHEN PASTRY")</f>
        <v>KITCHEN PASTRY</v>
      </c>
      <c r="J789" s="46" t="str">
        <f ca="1">IFERROR(__xludf.DUMMYFUNCTION("""COMPUTED_VALUE"""),"KITCHEN PASTRY")</f>
        <v>KITCHEN PASTRY</v>
      </c>
      <c r="K789" s="46" t="str">
        <f ca="1">IFERROR(__xludf.DUMMYFUNCTION("""COMPUTED_VALUE"""),"BAKER")</f>
        <v>BAKER</v>
      </c>
      <c r="L789" s="46" t="str">
        <f ca="1">IFERROR(__xludf.DUMMYFUNCTION("""COMPUTED_VALUE"""),"PTE")</f>
        <v>PTE</v>
      </c>
      <c r="M789" s="46" t="str">
        <f ca="1">IFERROR(__xludf.DUMMYFUNCTION("""COMPUTED_VALUE"""),"Leave")</f>
        <v>Leave</v>
      </c>
      <c r="N789" s="46" t="str">
        <f ca="1">IFERROR(__xludf.DUMMYFUNCTION("""COMPUTED_VALUE"""),"đủ")</f>
        <v>đủ</v>
      </c>
    </row>
    <row r="790" spans="1:14">
      <c r="A790" s="45">
        <f ca="1">IFERROR(__xludf.DUMMYFUNCTION("""COMPUTED_VALUE"""),45663.625)</f>
        <v>45663.625</v>
      </c>
      <c r="B790" s="45">
        <f ca="1">IFERROR(__xludf.DUMMYFUNCTION("""COMPUTED_VALUE"""),45680.625)</f>
        <v>45680.625</v>
      </c>
      <c r="C790" s="46">
        <f ca="1">IFERROR(__xludf.DUMMYFUNCTION("""COMPUTED_VALUE"""),791)</f>
        <v>791</v>
      </c>
      <c r="D790" s="47" t="str">
        <f ca="1">IFERROR(__xludf.DUMMYFUNCTION("""COMPUTED_VALUE"""),"C0563")</f>
        <v>C0563</v>
      </c>
      <c r="E790" s="46" t="str">
        <f ca="1">IFERROR(__xludf.DUMMYFUNCTION("""COMPUTED_VALUE"""),"LÊ ANH KHOA")</f>
        <v>LÊ ANH KHOA</v>
      </c>
      <c r="F790" s="46" t="str">
        <f ca="1">IFERROR(__xludf.DUMMYFUNCTION("""COMPUTED_VALUE"""),"LE ANH KHOA")</f>
        <v>LE ANH KHOA</v>
      </c>
      <c r="G790" s="45">
        <f ca="1">IFERROR(__xludf.DUMMYFUNCTION("""COMPUTED_VALUE"""),36707.5833333333)</f>
        <v>36707.583333333299</v>
      </c>
      <c r="H790" s="45" t="str">
        <f ca="1">IFERROR(__xludf.DUMMYFUNCTION("""COMPUTED_VALUE"""),"CREATIVE")</f>
        <v>CREATIVE</v>
      </c>
      <c r="I790" s="46" t="str">
        <f ca="1">IFERROR(__xludf.DUMMYFUNCTION("""COMPUTED_VALUE"""),"HO")</f>
        <v>HO</v>
      </c>
      <c r="J790" s="46" t="str">
        <f ca="1">IFERROR(__xludf.DUMMYFUNCTION("""COMPUTED_VALUE"""),"HRD")</f>
        <v>HRD</v>
      </c>
      <c r="K790" s="46" t="str">
        <f ca="1">IFERROR(__xludf.DUMMYFUNCTION("""COMPUTED_VALUE"""),"HRD")</f>
        <v>HRD</v>
      </c>
      <c r="L790" s="46" t="str">
        <f ca="1">IFERROR(__xludf.DUMMYFUNCTION("""COMPUTED_VALUE"""),"PRO")</f>
        <v>PRO</v>
      </c>
      <c r="M790" s="46" t="str">
        <f ca="1">IFERROR(__xludf.DUMMYFUNCTION("""COMPUTED_VALUE"""),"Leave")</f>
        <v>Leave</v>
      </c>
      <c r="N790" s="46" t="str">
        <f ca="1">IFERROR(__xludf.DUMMYFUNCTION("""COMPUTED_VALUE"""),"đủ")</f>
        <v>đủ</v>
      </c>
    </row>
    <row r="791" spans="1:14">
      <c r="A791" s="45">
        <f ca="1">IFERROR(__xludf.DUMMYFUNCTION("""COMPUTED_VALUE"""),45663.625)</f>
        <v>45663.625</v>
      </c>
      <c r="B791" s="45">
        <f ca="1">IFERROR(__xludf.DUMMYFUNCTION("""COMPUTED_VALUE"""),45728.5833333333)</f>
        <v>45728.583333333299</v>
      </c>
      <c r="C791" s="46">
        <f ca="1">IFERROR(__xludf.DUMMYFUNCTION("""COMPUTED_VALUE"""),792)</f>
        <v>792</v>
      </c>
      <c r="D791" s="47" t="str">
        <f ca="1">IFERROR(__xludf.DUMMYFUNCTION("""COMPUTED_VALUE"""),"C0564")</f>
        <v>C0564</v>
      </c>
      <c r="E791" s="46" t="str">
        <f ca="1">IFERROR(__xludf.DUMMYFUNCTION("""COMPUTED_VALUE"""),"NGÔ QUỐC ANH THƯ")</f>
        <v>NGÔ QUỐC ANH THƯ</v>
      </c>
      <c r="F791" s="46" t="str">
        <f ca="1">IFERROR(__xludf.DUMMYFUNCTION("""COMPUTED_VALUE"""),"NGO QUOC ANH THU")</f>
        <v>NGO QUOC ANH THU</v>
      </c>
      <c r="G791" s="45">
        <f ca="1">IFERROR(__xludf.DUMMYFUNCTION("""COMPUTED_VALUE"""),38077.625)</f>
        <v>38077.625</v>
      </c>
      <c r="H791" s="45" t="str">
        <f ca="1">IFERROR(__xludf.DUMMYFUNCTION("""COMPUTED_VALUE"""),"MATTE")</f>
        <v>MATTE</v>
      </c>
      <c r="I791" s="46" t="str">
        <f ca="1">IFERROR(__xludf.DUMMYFUNCTION("""COMPUTED_VALUE"""),"STORE")</f>
        <v>STORE</v>
      </c>
      <c r="J791" s="46" t="str">
        <f ca="1">IFERROR(__xludf.DUMMYFUNCTION("""COMPUTED_VALUE"""),"MATTE D1")</f>
        <v>MATTE D1</v>
      </c>
      <c r="K791" s="46" t="str">
        <f ca="1">IFERROR(__xludf.DUMMYFUNCTION("""COMPUTED_VALUE"""),"BAR")</f>
        <v>BAR</v>
      </c>
      <c r="L791" s="46" t="str">
        <f ca="1">IFERROR(__xludf.DUMMYFUNCTION("""COMPUTED_VALUE"""),"PTE")</f>
        <v>PTE</v>
      </c>
      <c r="M791" s="46" t="str">
        <f ca="1">IFERROR(__xludf.DUMMYFUNCTION("""COMPUTED_VALUE"""),"Leave")</f>
        <v>Leave</v>
      </c>
      <c r="N791" s="46" t="str">
        <f ca="1">IFERROR(__xludf.DUMMYFUNCTION("""COMPUTED_VALUE"""),"đủ")</f>
        <v>đủ</v>
      </c>
    </row>
    <row r="792" spans="1:14">
      <c r="A792" s="45">
        <f ca="1">IFERROR(__xludf.DUMMYFUNCTION("""COMPUTED_VALUE"""),45663.625)</f>
        <v>45663.625</v>
      </c>
      <c r="B792" s="45">
        <f ca="1">IFERROR(__xludf.DUMMYFUNCTION("""COMPUTED_VALUE"""),45681.625)</f>
        <v>45681.625</v>
      </c>
      <c r="C792" s="46">
        <f ca="1">IFERROR(__xludf.DUMMYFUNCTION("""COMPUTED_VALUE"""),793)</f>
        <v>793</v>
      </c>
      <c r="D792" s="47" t="str">
        <f ca="1">IFERROR(__xludf.DUMMYFUNCTION("""COMPUTED_VALUE"""),"C0565")</f>
        <v>C0565</v>
      </c>
      <c r="E792" s="46" t="str">
        <f ca="1">IFERROR(__xludf.DUMMYFUNCTION("""COMPUTED_VALUE"""),"BÙI HUỲNH THANH THẢO")</f>
        <v>BÙI HUỲNH THANH THẢO</v>
      </c>
      <c r="F792" s="46" t="str">
        <f ca="1">IFERROR(__xludf.DUMMYFUNCTION("""COMPUTED_VALUE"""),"BUI HUYNH THANH THAO")</f>
        <v>BUI HUYNH THANH THAO</v>
      </c>
      <c r="G792" s="45">
        <f ca="1">IFERROR(__xludf.DUMMYFUNCTION("""COMPUTED_VALUE"""),38719.625)</f>
        <v>38719.625</v>
      </c>
      <c r="H792" s="45" t="str">
        <f ca="1">IFERROR(__xludf.DUMMYFUNCTION("""COMPUTED_VALUE"""),"MATTE")</f>
        <v>MATTE</v>
      </c>
      <c r="I792" s="46" t="str">
        <f ca="1">IFERROR(__xludf.DUMMYFUNCTION("""COMPUTED_VALUE"""),"STORE")</f>
        <v>STORE</v>
      </c>
      <c r="J792" s="46" t="str">
        <f ca="1">IFERROR(__xludf.DUMMYFUNCTION("""COMPUTED_VALUE"""),"MATTE D1")</f>
        <v>MATTE D1</v>
      </c>
      <c r="K792" s="46" t="str">
        <f ca="1">IFERROR(__xludf.DUMMYFUNCTION("""COMPUTED_VALUE"""),"BAR")</f>
        <v>BAR</v>
      </c>
      <c r="L792" s="46" t="str">
        <f ca="1">IFERROR(__xludf.DUMMYFUNCTION("""COMPUTED_VALUE"""),"PTE")</f>
        <v>PTE</v>
      </c>
      <c r="M792" s="46" t="str">
        <f ca="1">IFERROR(__xludf.DUMMYFUNCTION("""COMPUTED_VALUE"""),"Leave")</f>
        <v>Leave</v>
      </c>
      <c r="N792" s="46" t="str">
        <f ca="1">IFERROR(__xludf.DUMMYFUNCTION("""COMPUTED_VALUE"""),"đủ")</f>
        <v>đủ</v>
      </c>
    </row>
    <row r="793" spans="1:14">
      <c r="A793" s="45">
        <f ca="1">IFERROR(__xludf.DUMMYFUNCTION("""COMPUTED_VALUE"""),45670.625)</f>
        <v>45670.625</v>
      </c>
      <c r="B793" s="45"/>
      <c r="C793" s="46">
        <f ca="1">IFERROR(__xludf.DUMMYFUNCTION("""COMPUTED_VALUE"""),794)</f>
        <v>794</v>
      </c>
      <c r="D793" s="47" t="str">
        <f ca="1">IFERROR(__xludf.DUMMYFUNCTION("""COMPUTED_VALUE"""),"C0566")</f>
        <v>C0566</v>
      </c>
      <c r="E793" s="46" t="str">
        <f ca="1">IFERROR(__xludf.DUMMYFUNCTION("""COMPUTED_VALUE"""),"LÊ NGUYỄN HOÀNG HÂN")</f>
        <v>LÊ NGUYỄN HOÀNG HÂN</v>
      </c>
      <c r="F793" s="46" t="str">
        <f ca="1">IFERROR(__xludf.DUMMYFUNCTION("""COMPUTED_VALUE"""),"LE NGUYEN HOANG HAN")</f>
        <v>LE NGUYEN HOANG HAN</v>
      </c>
      <c r="G793" s="45">
        <f ca="1">IFERROR(__xludf.DUMMYFUNCTION("""COMPUTED_VALUE"""),34809.5833333333)</f>
        <v>34809.583333333299</v>
      </c>
      <c r="H793" s="45" t="str">
        <f ca="1">IFERROR(__xludf.DUMMYFUNCTION("""COMPUTED_VALUE"""),"TLC")</f>
        <v>TLC</v>
      </c>
      <c r="I793" s="46" t="str">
        <f ca="1">IFERROR(__xludf.DUMMYFUNCTION("""COMPUTED_VALUE"""),"HO")</f>
        <v>HO</v>
      </c>
      <c r="J793" s="46" t="str">
        <f ca="1">IFERROR(__xludf.DUMMYFUNCTION("""COMPUTED_VALUE"""),"FIN")</f>
        <v>FIN</v>
      </c>
      <c r="K793" s="46" t="str">
        <f ca="1">IFERROR(__xludf.DUMMYFUNCTION("""COMPUTED_VALUE"""),"FIN")</f>
        <v>FIN</v>
      </c>
      <c r="L793" s="46" t="str">
        <f ca="1">IFERROR(__xludf.DUMMYFUNCTION("""COMPUTED_VALUE"""),"FTE")</f>
        <v>FTE</v>
      </c>
      <c r="M793" s="46" t="str">
        <f ca="1">IFERROR(__xludf.DUMMYFUNCTION("""COMPUTED_VALUE"""),"On")</f>
        <v>On</v>
      </c>
      <c r="N793" s="46" t="str">
        <f ca="1">IFERROR(__xludf.DUMMYFUNCTION("""COMPUTED_VALUE"""),"đủ")</f>
        <v>đủ</v>
      </c>
    </row>
    <row r="794" spans="1:14">
      <c r="A794" s="45">
        <f ca="1">IFERROR(__xludf.DUMMYFUNCTION("""COMPUTED_VALUE"""),45659.625)</f>
        <v>45659.625</v>
      </c>
      <c r="B794" s="45">
        <f ca="1">IFERROR(__xludf.DUMMYFUNCTION("""COMPUTED_VALUE"""),45910.5833333333)</f>
        <v>45910.583333333299</v>
      </c>
      <c r="C794" s="46">
        <f ca="1">IFERROR(__xludf.DUMMYFUNCTION("""COMPUTED_VALUE"""),795)</f>
        <v>795</v>
      </c>
      <c r="D794" s="47" t="str">
        <f ca="1">IFERROR(__xludf.DUMMYFUNCTION("""COMPUTED_VALUE"""),"C0567")</f>
        <v>C0567</v>
      </c>
      <c r="E794" s="46" t="str">
        <f ca="1">IFERROR(__xludf.DUMMYFUNCTION("""COMPUTED_VALUE"""),"NGUYỄN NHẬT VY")</f>
        <v>NGUYỄN NHẬT VY</v>
      </c>
      <c r="F794" s="46" t="str">
        <f ca="1">IFERROR(__xludf.DUMMYFUNCTION("""COMPUTED_VALUE"""),"NGUYEN NHAT VY")</f>
        <v>NGUYEN NHAT VY</v>
      </c>
      <c r="G794" s="45">
        <f ca="1">IFERROR(__xludf.DUMMYFUNCTION("""COMPUTED_VALUE"""),32405.5833333333)</f>
        <v>32405.583333333299</v>
      </c>
      <c r="H794" s="45" t="str">
        <f ca="1">IFERROR(__xludf.DUMMYFUNCTION("""COMPUTED_VALUE"""),"KITCHEN PASTRY")</f>
        <v>KITCHEN PASTRY</v>
      </c>
      <c r="I794" s="46" t="str">
        <f ca="1">IFERROR(__xludf.DUMMYFUNCTION("""COMPUTED_VALUE"""),"KITCHEN PASTRY")</f>
        <v>KITCHEN PASTRY</v>
      </c>
      <c r="J794" s="46" t="str">
        <f ca="1">IFERROR(__xludf.DUMMYFUNCTION("""COMPUTED_VALUE"""),"KITCHEN PASTRY")</f>
        <v>KITCHEN PASTRY</v>
      </c>
      <c r="K794" s="46" t="str">
        <f ca="1">IFERROR(__xludf.DUMMYFUNCTION("""COMPUTED_VALUE"""),"BAKER")</f>
        <v>BAKER</v>
      </c>
      <c r="L794" s="46" t="str">
        <f ca="1">IFERROR(__xludf.DUMMYFUNCTION("""COMPUTED_VALUE"""),"FTE")</f>
        <v>FTE</v>
      </c>
      <c r="M794" s="46" t="str">
        <f ca="1">IFERROR(__xludf.DUMMYFUNCTION("""COMPUTED_VALUE"""),"Leave")</f>
        <v>Leave</v>
      </c>
      <c r="N794" s="46" t="str">
        <f ca="1">IFERROR(__xludf.DUMMYFUNCTION("""COMPUTED_VALUE"""),"đủ")</f>
        <v>đủ</v>
      </c>
    </row>
    <row r="795" spans="1:14">
      <c r="A795" s="45">
        <f ca="1">IFERROR(__xludf.DUMMYFUNCTION("""COMPUTED_VALUE"""),45674.625)</f>
        <v>45674.625</v>
      </c>
      <c r="B795" s="45">
        <f ca="1">IFERROR(__xludf.DUMMYFUNCTION("""COMPUTED_VALUE"""),45691.625)</f>
        <v>45691.625</v>
      </c>
      <c r="C795" s="46">
        <f ca="1">IFERROR(__xludf.DUMMYFUNCTION("""COMPUTED_VALUE"""),796)</f>
        <v>796</v>
      </c>
      <c r="D795" s="47" t="str">
        <f ca="1">IFERROR(__xludf.DUMMYFUNCTION("""COMPUTED_VALUE"""),"C0568")</f>
        <v>C0568</v>
      </c>
      <c r="E795" s="46" t="str">
        <f ca="1">IFERROR(__xludf.DUMMYFUNCTION("""COMPUTED_VALUE"""),"NGUYỄN HUỲNH THÔNG")</f>
        <v>NGUYỄN HUỲNH THÔNG</v>
      </c>
      <c r="F795" s="46" t="str">
        <f ca="1">IFERROR(__xludf.DUMMYFUNCTION("""COMPUTED_VALUE"""),"NGUYEN HUYNH THONG")</f>
        <v>NGUYEN HUYNH THONG</v>
      </c>
      <c r="G795" s="45">
        <f ca="1">IFERROR(__xludf.DUMMYFUNCTION("""COMPUTED_VALUE"""),35244.5833333333)</f>
        <v>35244.583333333299</v>
      </c>
      <c r="H795" s="45" t="str">
        <f ca="1">IFERROR(__xludf.DUMMYFUNCTION("""COMPUTED_VALUE"""),"KITCHEN PASTRY")</f>
        <v>KITCHEN PASTRY</v>
      </c>
      <c r="I795" s="46" t="str">
        <f ca="1">IFERROR(__xludf.DUMMYFUNCTION("""COMPUTED_VALUE"""),"KITCHEN PASTRY")</f>
        <v>KITCHEN PASTRY</v>
      </c>
      <c r="J795" s="46" t="str">
        <f ca="1">IFERROR(__xludf.DUMMYFUNCTION("""COMPUTED_VALUE"""),"KITCHEN PASTRY")</f>
        <v>KITCHEN PASTRY</v>
      </c>
      <c r="K795" s="46" t="str">
        <f ca="1">IFERROR(__xludf.DUMMYFUNCTION("""COMPUTED_VALUE"""),"PASTRY")</f>
        <v>PASTRY</v>
      </c>
      <c r="L795" s="46" t="str">
        <f ca="1">IFERROR(__xludf.DUMMYFUNCTION("""COMPUTED_VALUE"""),"PTE")</f>
        <v>PTE</v>
      </c>
      <c r="M795" s="46" t="str">
        <f ca="1">IFERROR(__xludf.DUMMYFUNCTION("""COMPUTED_VALUE"""),"Leave")</f>
        <v>Leave</v>
      </c>
      <c r="N795" s="46" t="str">
        <f ca="1">IFERROR(__xludf.DUMMYFUNCTION("""COMPUTED_VALUE"""),"đủ")</f>
        <v>đủ</v>
      </c>
    </row>
    <row r="796" spans="1:14">
      <c r="A796" s="45">
        <f ca="1">IFERROR(__xludf.DUMMYFUNCTION("""COMPUTED_VALUE"""),45673.625)</f>
        <v>45673.625</v>
      </c>
      <c r="B796" s="45">
        <f ca="1">IFERROR(__xludf.DUMMYFUNCTION("""COMPUTED_VALUE"""),45737.5833333333)</f>
        <v>45737.583333333299</v>
      </c>
      <c r="C796" s="46">
        <f ca="1">IFERROR(__xludf.DUMMYFUNCTION("""COMPUTED_VALUE"""),797)</f>
        <v>797</v>
      </c>
      <c r="D796" s="47" t="str">
        <f ca="1">IFERROR(__xludf.DUMMYFUNCTION("""COMPUTED_VALUE"""),"C0569")</f>
        <v>C0569</v>
      </c>
      <c r="E796" s="46" t="str">
        <f ca="1">IFERROR(__xludf.DUMMYFUNCTION("""COMPUTED_VALUE"""),"NGUYỄN LÊ HÀ ANH")</f>
        <v>NGUYỄN LÊ HÀ ANH</v>
      </c>
      <c r="F796" s="46" t="str">
        <f ca="1">IFERROR(__xludf.DUMMYFUNCTION("""COMPUTED_VALUE"""),"NGUYEN LE HA ANH")</f>
        <v>NGUYEN LE HA ANH</v>
      </c>
      <c r="G796" s="45">
        <f ca="1">IFERROR(__xludf.DUMMYFUNCTION("""COMPUTED_VALUE"""),34972.5833333333)</f>
        <v>34972.583333333299</v>
      </c>
      <c r="H796" s="45" t="str">
        <f ca="1">IFERROR(__xludf.DUMMYFUNCTION("""COMPUTED_VALUE"""),"BAKES")</f>
        <v>BAKES</v>
      </c>
      <c r="I796" s="46" t="str">
        <f ca="1">IFERROR(__xludf.DUMMYFUNCTION("""COMPUTED_VALUE"""),"STORE")</f>
        <v>STORE</v>
      </c>
      <c r="J796" s="46" t="str">
        <f ca="1">IFERROR(__xludf.DUMMYFUNCTION("""COMPUTED_VALUE"""),"BAKES D2")</f>
        <v>BAKES D2</v>
      </c>
      <c r="K796" s="46" t="str">
        <f ca="1">IFERROR(__xludf.DUMMYFUNCTION("""COMPUTED_VALUE"""),"WAITSTAFF")</f>
        <v>WAITSTAFF</v>
      </c>
      <c r="L796" s="46" t="str">
        <f ca="1">IFERROR(__xludf.DUMMYFUNCTION("""COMPUTED_VALUE"""),"PTE")</f>
        <v>PTE</v>
      </c>
      <c r="M796" s="46" t="str">
        <f ca="1">IFERROR(__xludf.DUMMYFUNCTION("""COMPUTED_VALUE"""),"Leave")</f>
        <v>Leave</v>
      </c>
      <c r="N796" s="46" t="str">
        <f ca="1">IFERROR(__xludf.DUMMYFUNCTION("""COMPUTED_VALUE"""),"đủ")</f>
        <v>đủ</v>
      </c>
    </row>
    <row r="797" spans="1:14">
      <c r="A797" s="45">
        <f ca="1">IFERROR(__xludf.DUMMYFUNCTION("""COMPUTED_VALUE"""),45671.625)</f>
        <v>45671.625</v>
      </c>
      <c r="B797" s="45">
        <f ca="1">IFERROR(__xludf.DUMMYFUNCTION("""COMPUTED_VALUE"""),45692.625)</f>
        <v>45692.625</v>
      </c>
      <c r="C797" s="46">
        <f ca="1">IFERROR(__xludf.DUMMYFUNCTION("""COMPUTED_VALUE"""),798)</f>
        <v>798</v>
      </c>
      <c r="D797" s="47" t="str">
        <f ca="1">IFERROR(__xludf.DUMMYFUNCTION("""COMPUTED_VALUE"""),"C0570")</f>
        <v>C0570</v>
      </c>
      <c r="E797" s="46" t="str">
        <f ca="1">IFERROR(__xludf.DUMMYFUNCTION("""COMPUTED_VALUE"""),"TỐNG PHƯỚC CÁT NHẬT")</f>
        <v>TỐNG PHƯỚC CÁT NHẬT</v>
      </c>
      <c r="F797" s="46" t="str">
        <f ca="1">IFERROR(__xludf.DUMMYFUNCTION("""COMPUTED_VALUE"""),"TONG PHUOC CAT NHAT")</f>
        <v>TONG PHUOC CAT NHAT</v>
      </c>
      <c r="G797" s="45">
        <f ca="1">IFERROR(__xludf.DUMMYFUNCTION("""COMPUTED_VALUE"""),36757.5833333333)</f>
        <v>36757.583333333299</v>
      </c>
      <c r="H797" s="45" t="str">
        <f ca="1">IFERROR(__xludf.DUMMYFUNCTION("""COMPUTED_VALUE"""),"TLC")</f>
        <v>TLC</v>
      </c>
      <c r="I797" s="46" t="str">
        <f ca="1">IFERROR(__xludf.DUMMYFUNCTION("""COMPUTED_VALUE"""),"STORE")</f>
        <v>STORE</v>
      </c>
      <c r="J797" s="46" t="str">
        <f ca="1">IFERROR(__xludf.DUMMYFUNCTION("""COMPUTED_VALUE"""),"BAKES HCR")</f>
        <v>BAKES HCR</v>
      </c>
      <c r="K797" s="46" t="str">
        <f ca="1">IFERROR(__xludf.DUMMYFUNCTION("""COMPUTED_VALUE"""),"BAR")</f>
        <v>BAR</v>
      </c>
      <c r="L797" s="46" t="str">
        <f ca="1">IFERROR(__xludf.DUMMYFUNCTION("""COMPUTED_VALUE"""),"PTE")</f>
        <v>PTE</v>
      </c>
      <c r="M797" s="46" t="str">
        <f ca="1">IFERROR(__xludf.DUMMYFUNCTION("""COMPUTED_VALUE"""),"Leave")</f>
        <v>Leave</v>
      </c>
      <c r="N797" s="46" t="str">
        <f ca="1">IFERROR(__xludf.DUMMYFUNCTION("""COMPUTED_VALUE"""),"đủ")</f>
        <v>đủ</v>
      </c>
    </row>
    <row r="798" spans="1:14">
      <c r="A798" s="45">
        <f ca="1">IFERROR(__xludf.DUMMYFUNCTION("""COMPUTED_VALUE"""),45666.625)</f>
        <v>45666.625</v>
      </c>
      <c r="B798" s="45"/>
      <c r="C798" s="46">
        <f ca="1">IFERROR(__xludf.DUMMYFUNCTION("""COMPUTED_VALUE"""),799)</f>
        <v>799</v>
      </c>
      <c r="D798" s="47" t="str">
        <f ca="1">IFERROR(__xludf.DUMMYFUNCTION("""COMPUTED_VALUE"""),"C0571")</f>
        <v>C0571</v>
      </c>
      <c r="E798" s="46" t="str">
        <f ca="1">IFERROR(__xludf.DUMMYFUNCTION("""COMPUTED_VALUE"""),"KHƯƠNG THANH KHÁNH HÒA")</f>
        <v>KHƯƠNG THANH KHÁNH HÒA</v>
      </c>
      <c r="F798" s="46" t="str">
        <f ca="1">IFERROR(__xludf.DUMMYFUNCTION("""COMPUTED_VALUE"""),"KHUONG THANH KHANH HOA")</f>
        <v>KHUONG THANH KHANH HOA</v>
      </c>
      <c r="G798" s="45">
        <f ca="1">IFERROR(__xludf.DUMMYFUNCTION("""COMPUTED_VALUE"""),37002.5833333333)</f>
        <v>37002.583333333299</v>
      </c>
      <c r="H798" s="45" t="str">
        <f ca="1">IFERROR(__xludf.DUMMYFUNCTION("""COMPUTED_VALUE"""),"TLC")</f>
        <v>TLC</v>
      </c>
      <c r="I798" s="46" t="str">
        <f ca="1">IFERROR(__xludf.DUMMYFUNCTION("""COMPUTED_VALUE"""),"STORE")</f>
        <v>STORE</v>
      </c>
      <c r="J798" s="46" t="str">
        <f ca="1">IFERROR(__xludf.DUMMYFUNCTION("""COMPUTED_VALUE"""),"BLANK LOUNGE")</f>
        <v>BLANK LOUNGE</v>
      </c>
      <c r="K798" s="46" t="str">
        <f ca="1">IFERROR(__xludf.DUMMYFUNCTION("""COMPUTED_VALUE"""),"WAITSTAFF")</f>
        <v>WAITSTAFF</v>
      </c>
      <c r="L798" s="46" t="str">
        <f ca="1">IFERROR(__xludf.DUMMYFUNCTION("""COMPUTED_VALUE"""),"PTE")</f>
        <v>PTE</v>
      </c>
      <c r="M798" s="46" t="str">
        <f ca="1">IFERROR(__xludf.DUMMYFUNCTION("""COMPUTED_VALUE"""),"On")</f>
        <v>On</v>
      </c>
      <c r="N798" s="46" t="str">
        <f ca="1">IFERROR(__xludf.DUMMYFUNCTION("""COMPUTED_VALUE"""),"đủ")</f>
        <v>đủ</v>
      </c>
    </row>
    <row r="799" spans="1:14">
      <c r="A799" s="45">
        <f ca="1">IFERROR(__xludf.DUMMYFUNCTION("""COMPUTED_VALUE"""),45678.625)</f>
        <v>45678.625</v>
      </c>
      <c r="B799" s="45">
        <f ca="1">IFERROR(__xludf.DUMMYFUNCTION("""COMPUTED_VALUE"""),45710.625)</f>
        <v>45710.625</v>
      </c>
      <c r="C799" s="46">
        <f ca="1">IFERROR(__xludf.DUMMYFUNCTION("""COMPUTED_VALUE"""),800)</f>
        <v>800</v>
      </c>
      <c r="D799" s="47" t="str">
        <f ca="1">IFERROR(__xludf.DUMMYFUNCTION("""COMPUTED_VALUE"""),"C0572")</f>
        <v>C0572</v>
      </c>
      <c r="E799" s="46" t="str">
        <f ca="1">IFERROR(__xludf.DUMMYFUNCTION("""COMPUTED_VALUE"""),"NGUYỄN HOÀNG MINH THÔNG")</f>
        <v>NGUYỄN HOÀNG MINH THÔNG</v>
      </c>
      <c r="F799" s="46" t="str">
        <f ca="1">IFERROR(__xludf.DUMMYFUNCTION("""COMPUTED_VALUE"""),"NGUYEN HOANG MINH THONG")</f>
        <v>NGUYEN HOANG MINH THONG</v>
      </c>
      <c r="G799" s="45">
        <f ca="1">IFERROR(__xludf.DUMMYFUNCTION("""COMPUTED_VALUE"""),37265.625)</f>
        <v>37265.625</v>
      </c>
      <c r="H799" s="45" t="str">
        <f ca="1">IFERROR(__xludf.DUMMYFUNCTION("""COMPUTED_VALUE"""),"KITCHEN PASTRY")</f>
        <v>KITCHEN PASTRY</v>
      </c>
      <c r="I799" s="46" t="str">
        <f ca="1">IFERROR(__xludf.DUMMYFUNCTION("""COMPUTED_VALUE"""),"KITCHEN PASTRY")</f>
        <v>KITCHEN PASTRY</v>
      </c>
      <c r="J799" s="46" t="str">
        <f ca="1">IFERROR(__xludf.DUMMYFUNCTION("""COMPUTED_VALUE"""),"KITCHEN PASTRY")</f>
        <v>KITCHEN PASTRY</v>
      </c>
      <c r="K799" s="46" t="str">
        <f ca="1">IFERROR(__xludf.DUMMYFUNCTION("""COMPUTED_VALUE"""),"BAKER")</f>
        <v>BAKER</v>
      </c>
      <c r="L799" s="46" t="str">
        <f ca="1">IFERROR(__xludf.DUMMYFUNCTION("""COMPUTED_VALUE"""),"PTE")</f>
        <v>PTE</v>
      </c>
      <c r="M799" s="46" t="str">
        <f ca="1">IFERROR(__xludf.DUMMYFUNCTION("""COMPUTED_VALUE"""),"Leave")</f>
        <v>Leave</v>
      </c>
      <c r="N799" s="46" t="str">
        <f ca="1">IFERROR(__xludf.DUMMYFUNCTION("""COMPUTED_VALUE"""),"đủ")</f>
        <v>đủ</v>
      </c>
    </row>
    <row r="800" spans="1:14">
      <c r="A800" s="45">
        <f ca="1">IFERROR(__xludf.DUMMYFUNCTION("""COMPUTED_VALUE"""),45668.625)</f>
        <v>45668.625</v>
      </c>
      <c r="B800" s="45"/>
      <c r="C800" s="46">
        <f ca="1">IFERROR(__xludf.DUMMYFUNCTION("""COMPUTED_VALUE"""),801)</f>
        <v>801</v>
      </c>
      <c r="D800" s="47" t="str">
        <f ca="1">IFERROR(__xludf.DUMMYFUNCTION("""COMPUTED_VALUE"""),"C0573")</f>
        <v>C0573</v>
      </c>
      <c r="E800" s="46" t="str">
        <f ca="1">IFERROR(__xludf.DUMMYFUNCTION("""COMPUTED_VALUE"""),"TRẦN NHẬT SONG HÒA")</f>
        <v>TRẦN NHẬT SONG HÒA</v>
      </c>
      <c r="F800" s="46" t="str">
        <f ca="1">IFERROR(__xludf.DUMMYFUNCTION("""COMPUTED_VALUE"""),"TRAN NHAT SONG HOA")</f>
        <v>TRAN NHAT SONG HOA</v>
      </c>
      <c r="G800" s="45">
        <f ca="1">IFERROR(__xludf.DUMMYFUNCTION("""COMPUTED_VALUE"""),35623.5833333333)</f>
        <v>35623.583333333299</v>
      </c>
      <c r="H800" s="45" t="str">
        <f ca="1">IFERROR(__xludf.DUMMYFUNCTION("""COMPUTED_VALUE"""),"TLC")</f>
        <v>TLC</v>
      </c>
      <c r="I800" s="46" t="str">
        <f ca="1">IFERROR(__xludf.DUMMYFUNCTION("""COMPUTED_VALUE"""),"STORE")</f>
        <v>STORE</v>
      </c>
      <c r="J800" s="46" t="str">
        <f ca="1">IFERROR(__xludf.DUMMYFUNCTION("""COMPUTED_VALUE"""),"BLANK LOUNGE")</f>
        <v>BLANK LOUNGE</v>
      </c>
      <c r="K800" s="46" t="str">
        <f ca="1">IFERROR(__xludf.DUMMYFUNCTION("""COMPUTED_VALUE"""),"KIT")</f>
        <v>KIT</v>
      </c>
      <c r="L800" s="46" t="str">
        <f ca="1">IFERROR(__xludf.DUMMYFUNCTION("""COMPUTED_VALUE"""),"PTE")</f>
        <v>PTE</v>
      </c>
      <c r="M800" s="46" t="str">
        <f ca="1">IFERROR(__xludf.DUMMYFUNCTION("""COMPUTED_VALUE"""),"On")</f>
        <v>On</v>
      </c>
      <c r="N800" s="46" t="str">
        <f ca="1">IFERROR(__xludf.DUMMYFUNCTION("""COMPUTED_VALUE"""),"đủ")</f>
        <v>đủ</v>
      </c>
    </row>
    <row r="801" spans="1:14">
      <c r="A801" s="45">
        <f ca="1">IFERROR(__xludf.DUMMYFUNCTION("""COMPUTED_VALUE"""),45683.625)</f>
        <v>45683.625</v>
      </c>
      <c r="B801" s="45">
        <f ca="1">IFERROR(__xludf.DUMMYFUNCTION("""COMPUTED_VALUE"""),45693.625)</f>
        <v>45693.625</v>
      </c>
      <c r="C801" s="46">
        <f ca="1">IFERROR(__xludf.DUMMYFUNCTION("""COMPUTED_VALUE"""),802)</f>
        <v>802</v>
      </c>
      <c r="D801" s="47" t="str">
        <f ca="1">IFERROR(__xludf.DUMMYFUNCTION("""COMPUTED_VALUE"""),"C0574")</f>
        <v>C0574</v>
      </c>
      <c r="E801" s="46" t="str">
        <f ca="1">IFERROR(__xludf.DUMMYFUNCTION("""COMPUTED_VALUE"""),"VĂN TRÍ LÂM")</f>
        <v>VĂN TRÍ LÂM</v>
      </c>
      <c r="F801" s="46" t="str">
        <f ca="1">IFERROR(__xludf.DUMMYFUNCTION("""COMPUTED_VALUE"""),"VAN TRI LAM")</f>
        <v>VAN TRI LAM</v>
      </c>
      <c r="G801" s="45">
        <f ca="1">IFERROR(__xludf.DUMMYFUNCTION("""COMPUTED_VALUE"""),33891.5833333333)</f>
        <v>33891.583333333299</v>
      </c>
      <c r="H801" s="45" t="str">
        <f ca="1">IFERROR(__xludf.DUMMYFUNCTION("""COMPUTED_VALUE"""),"TLC")</f>
        <v>TLC</v>
      </c>
      <c r="I801" s="46" t="str">
        <f ca="1">IFERROR(__xludf.DUMMYFUNCTION("""COMPUTED_VALUE"""),"STORE")</f>
        <v>STORE</v>
      </c>
      <c r="J801" s="46" t="str">
        <f ca="1">IFERROR(__xludf.DUMMYFUNCTION("""COMPUTED_VALUE"""),"BLANK LOUNGE")</f>
        <v>BLANK LOUNGE</v>
      </c>
      <c r="K801" s="46" t="str">
        <f ca="1">IFERROR(__xludf.DUMMYFUNCTION("""COMPUTED_VALUE"""),"WAITSTAFF")</f>
        <v>WAITSTAFF</v>
      </c>
      <c r="L801" s="46" t="str">
        <f ca="1">IFERROR(__xludf.DUMMYFUNCTION("""COMPUTED_VALUE"""),"PTE")</f>
        <v>PTE</v>
      </c>
      <c r="M801" s="46" t="str">
        <f ca="1">IFERROR(__xludf.DUMMYFUNCTION("""COMPUTED_VALUE"""),"Leave")</f>
        <v>Leave</v>
      </c>
      <c r="N801" s="46" t="str">
        <f ca="1">IFERROR(__xludf.DUMMYFUNCTION("""COMPUTED_VALUE"""),"đủ")</f>
        <v>đủ</v>
      </c>
    </row>
    <row r="802" spans="1:14">
      <c r="A802" s="45">
        <f ca="1">IFERROR(__xludf.DUMMYFUNCTION("""COMPUTED_VALUE"""),45684.625)</f>
        <v>45684.625</v>
      </c>
      <c r="B802" s="45">
        <f ca="1">IFERROR(__xludf.DUMMYFUNCTION("""COMPUTED_VALUE"""),46113.5833333333)</f>
        <v>46113.583333333299</v>
      </c>
      <c r="C802" s="46">
        <f ca="1">IFERROR(__xludf.DUMMYFUNCTION("""COMPUTED_VALUE"""),803)</f>
        <v>803</v>
      </c>
      <c r="D802" s="47" t="str">
        <f ca="1">IFERROR(__xludf.DUMMYFUNCTION("""COMPUTED_VALUE"""),"C0575")</f>
        <v>C0575</v>
      </c>
      <c r="E802" s="46" t="str">
        <f ca="1">IFERROR(__xludf.DUMMYFUNCTION("""COMPUTED_VALUE"""),"ĐẶNG THỊ XUÂN MAI")</f>
        <v>ĐẶNG THỊ XUÂN MAI</v>
      </c>
      <c r="F802" s="46" t="str">
        <f ca="1">IFERROR(__xludf.DUMMYFUNCTION("""COMPUTED_VALUE"""),"DANG THI XUAN MAI")</f>
        <v>DANG THI XUAN MAI</v>
      </c>
      <c r="G802" s="45">
        <f ca="1">IFERROR(__xludf.DUMMYFUNCTION("""COMPUTED_VALUE"""),36844.625)</f>
        <v>36844.625</v>
      </c>
      <c r="H802" s="45" t="str">
        <f ca="1">IFERROR(__xludf.DUMMYFUNCTION("""COMPUTED_VALUE"""),"TLC")</f>
        <v>TLC</v>
      </c>
      <c r="I802" s="46" t="str">
        <f ca="1">IFERROR(__xludf.DUMMYFUNCTION("""COMPUTED_VALUE"""),"STORE")</f>
        <v>STORE</v>
      </c>
      <c r="J802" s="46" t="str">
        <f ca="1">IFERROR(__xludf.DUMMYFUNCTION("""COMPUTED_VALUE"""),"BLANK LOUNGE")</f>
        <v>BLANK LOUNGE</v>
      </c>
      <c r="K802" s="46" t="str">
        <f ca="1">IFERROR(__xludf.DUMMYFUNCTION("""COMPUTED_VALUE"""),"CASHIER")</f>
        <v>CASHIER</v>
      </c>
      <c r="L802" s="46" t="str">
        <f ca="1">IFERROR(__xludf.DUMMYFUNCTION("""COMPUTED_VALUE"""),"PTE")</f>
        <v>PTE</v>
      </c>
      <c r="M802" s="46" t="str">
        <f ca="1">IFERROR(__xludf.DUMMYFUNCTION("""COMPUTED_VALUE"""),"Leave")</f>
        <v>Leave</v>
      </c>
      <c r="N802" s="46" t="str">
        <f ca="1">IFERROR(__xludf.DUMMYFUNCTION("""COMPUTED_VALUE"""),"đủ")</f>
        <v>đủ</v>
      </c>
    </row>
    <row r="803" spans="1:14">
      <c r="A803" s="45">
        <f ca="1">IFERROR(__xludf.DUMMYFUNCTION("""COMPUTED_VALUE"""),45715.625)</f>
        <v>45715.625</v>
      </c>
      <c r="B803" s="45"/>
      <c r="C803" s="46">
        <f ca="1">IFERROR(__xludf.DUMMYFUNCTION("""COMPUTED_VALUE"""),804)</f>
        <v>804</v>
      </c>
      <c r="D803" s="47" t="str">
        <f ca="1">IFERROR(__xludf.DUMMYFUNCTION("""COMPUTED_VALUE"""),"C0576")</f>
        <v>C0576</v>
      </c>
      <c r="E803" s="46" t="str">
        <f ca="1">IFERROR(__xludf.DUMMYFUNCTION("""COMPUTED_VALUE"""),"PHAN TRANG NGÂN")</f>
        <v>PHAN TRANG NGÂN</v>
      </c>
      <c r="F803" s="46" t="str">
        <f ca="1">IFERROR(__xludf.DUMMYFUNCTION("""COMPUTED_VALUE"""),"PHAN TRANG NGAN")</f>
        <v>PHAN TRANG NGAN</v>
      </c>
      <c r="G803" s="45">
        <f ca="1">IFERROR(__xludf.DUMMYFUNCTION("""COMPUTED_VALUE"""),34645.625)</f>
        <v>34645.625</v>
      </c>
      <c r="H803" s="45" t="str">
        <f ca="1">IFERROR(__xludf.DUMMYFUNCTION("""COMPUTED_VALUE"""),"TLC")</f>
        <v>TLC</v>
      </c>
      <c r="I803" s="46" t="str">
        <f ca="1">IFERROR(__xludf.DUMMYFUNCTION("""COMPUTED_VALUE"""),"STORE")</f>
        <v>STORE</v>
      </c>
      <c r="J803" s="46" t="str">
        <f ca="1">IFERROR(__xludf.DUMMYFUNCTION("""COMPUTED_VALUE"""),"BLANK LOUNGE")</f>
        <v>BLANK LOUNGE</v>
      </c>
      <c r="K803" s="46" t="str">
        <f ca="1">IFERROR(__xludf.DUMMYFUNCTION("""COMPUTED_VALUE"""),"KIT")</f>
        <v>KIT</v>
      </c>
      <c r="L803" s="46" t="str">
        <f ca="1">IFERROR(__xludf.DUMMYFUNCTION("""COMPUTED_VALUE"""),"PTE")</f>
        <v>PTE</v>
      </c>
      <c r="M803" s="46" t="str">
        <f ca="1">IFERROR(__xludf.DUMMYFUNCTION("""COMPUTED_VALUE"""),"On")</f>
        <v>On</v>
      </c>
      <c r="N803" s="46" t="str">
        <f ca="1">IFERROR(__xludf.DUMMYFUNCTION("""COMPUTED_VALUE"""),"đủ")</f>
        <v>đủ</v>
      </c>
    </row>
    <row r="804" spans="1:14">
      <c r="A804" s="45">
        <f ca="1">IFERROR(__xludf.DUMMYFUNCTION("""COMPUTED_VALUE"""),45684.625)</f>
        <v>45684.625</v>
      </c>
      <c r="B804" s="45">
        <f ca="1">IFERROR(__xludf.DUMMYFUNCTION("""COMPUTED_VALUE"""),45693.625)</f>
        <v>45693.625</v>
      </c>
      <c r="C804" s="46">
        <f ca="1">IFERROR(__xludf.DUMMYFUNCTION("""COMPUTED_VALUE"""),805)</f>
        <v>805</v>
      </c>
      <c r="D804" s="47" t="str">
        <f ca="1">IFERROR(__xludf.DUMMYFUNCTION("""COMPUTED_VALUE"""),"C0577")</f>
        <v>C0577</v>
      </c>
      <c r="E804" s="46" t="str">
        <f ca="1">IFERROR(__xludf.DUMMYFUNCTION("""COMPUTED_VALUE"""),"LƯƠNG VĨNH PHÚC")</f>
        <v>LƯƠNG VĨNH PHÚC</v>
      </c>
      <c r="F804" s="46" t="str">
        <f ca="1">IFERROR(__xludf.DUMMYFUNCTION("""COMPUTED_VALUE"""),"LUONG VINH PHUC")</f>
        <v>LUONG VINH PHUC</v>
      </c>
      <c r="G804" s="45">
        <f ca="1">IFERROR(__xludf.DUMMYFUNCTION("""COMPUTED_VALUE"""),36439.5833333333)</f>
        <v>36439.583333333299</v>
      </c>
      <c r="H804" s="45" t="str">
        <f ca="1">IFERROR(__xludf.DUMMYFUNCTION("""COMPUTED_VALUE"""),"TLC")</f>
        <v>TLC</v>
      </c>
      <c r="I804" s="46" t="str">
        <f ca="1">IFERROR(__xludf.DUMMYFUNCTION("""COMPUTED_VALUE"""),"STORE")</f>
        <v>STORE</v>
      </c>
      <c r="J804" s="46" t="str">
        <f ca="1">IFERROR(__xludf.DUMMYFUNCTION("""COMPUTED_VALUE"""),"BLANK LOUNGE")</f>
        <v>BLANK LOUNGE</v>
      </c>
      <c r="K804" s="46" t="str">
        <f ca="1">IFERROR(__xludf.DUMMYFUNCTION("""COMPUTED_VALUE"""),"WAITSTAFF")</f>
        <v>WAITSTAFF</v>
      </c>
      <c r="L804" s="46" t="str">
        <f ca="1">IFERROR(__xludf.DUMMYFUNCTION("""COMPUTED_VALUE"""),"PTE")</f>
        <v>PTE</v>
      </c>
      <c r="M804" s="46" t="str">
        <f ca="1">IFERROR(__xludf.DUMMYFUNCTION("""COMPUTED_VALUE"""),"Leave")</f>
        <v>Leave</v>
      </c>
      <c r="N804" s="46" t="str">
        <f ca="1">IFERROR(__xludf.DUMMYFUNCTION("""COMPUTED_VALUE"""),"đủ")</f>
        <v>đủ</v>
      </c>
    </row>
    <row r="805" spans="1:14">
      <c r="A805" s="45">
        <f ca="1">IFERROR(__xludf.DUMMYFUNCTION("""COMPUTED_VALUE"""),45721.625)</f>
        <v>45721.625</v>
      </c>
      <c r="B805" s="45"/>
      <c r="C805" s="46">
        <f ca="1">IFERROR(__xludf.DUMMYFUNCTION("""COMPUTED_VALUE"""),806)</f>
        <v>806</v>
      </c>
      <c r="D805" s="47" t="str">
        <f ca="1">IFERROR(__xludf.DUMMYFUNCTION("""COMPUTED_VALUE"""),"C0578")</f>
        <v>C0578</v>
      </c>
      <c r="E805" s="46" t="str">
        <f ca="1">IFERROR(__xludf.DUMMYFUNCTION("""COMPUTED_VALUE"""),"VÕ THANH LONG")</f>
        <v>VÕ THANH LONG</v>
      </c>
      <c r="F805" s="46" t="str">
        <f ca="1">IFERROR(__xludf.DUMMYFUNCTION("""COMPUTED_VALUE"""),"VO THANH LONG")</f>
        <v>VO THANH LONG</v>
      </c>
      <c r="G805" s="45">
        <f ca="1">IFERROR(__xludf.DUMMYFUNCTION("""COMPUTED_VALUE"""),36832.625)</f>
        <v>36832.625</v>
      </c>
      <c r="H805" s="45" t="str">
        <f ca="1">IFERROR(__xludf.DUMMYFUNCTION("""COMPUTED_VALUE"""),"TLC")</f>
        <v>TLC</v>
      </c>
      <c r="I805" s="46" t="str">
        <f ca="1">IFERROR(__xludf.DUMMYFUNCTION("""COMPUTED_VALUE"""),"STORE")</f>
        <v>STORE</v>
      </c>
      <c r="J805" s="46" t="str">
        <f ca="1">IFERROR(__xludf.DUMMYFUNCTION("""COMPUTED_VALUE"""),"BLANK LOUNGE")</f>
        <v>BLANK LOUNGE</v>
      </c>
      <c r="K805" s="46" t="str">
        <f ca="1">IFERROR(__xludf.DUMMYFUNCTION("""COMPUTED_VALUE"""),"WAITSTAFF")</f>
        <v>WAITSTAFF</v>
      </c>
      <c r="L805" s="46" t="str">
        <f ca="1">IFERROR(__xludf.DUMMYFUNCTION("""COMPUTED_VALUE"""),"PTE")</f>
        <v>PTE</v>
      </c>
      <c r="M805" s="46" t="str">
        <f ca="1">IFERROR(__xludf.DUMMYFUNCTION("""COMPUTED_VALUE"""),"On")</f>
        <v>On</v>
      </c>
      <c r="N805" s="46" t="str">
        <f ca="1">IFERROR(__xludf.DUMMYFUNCTION("""COMPUTED_VALUE"""),"đủ")</f>
        <v>đủ</v>
      </c>
    </row>
    <row r="806" spans="1:14">
      <c r="A806" s="45">
        <f ca="1">IFERROR(__xludf.DUMMYFUNCTION("""COMPUTED_VALUE"""),45684.625)</f>
        <v>45684.625</v>
      </c>
      <c r="B806" s="45">
        <f ca="1">IFERROR(__xludf.DUMMYFUNCTION("""COMPUTED_VALUE"""),45693.625)</f>
        <v>45693.625</v>
      </c>
      <c r="C806" s="46">
        <f ca="1">IFERROR(__xludf.DUMMYFUNCTION("""COMPUTED_VALUE"""),807)</f>
        <v>807</v>
      </c>
      <c r="D806" s="47" t="str">
        <f ca="1">IFERROR(__xludf.DUMMYFUNCTION("""COMPUTED_VALUE"""),"C0579")</f>
        <v>C0579</v>
      </c>
      <c r="E806" s="46" t="str">
        <f ca="1">IFERROR(__xludf.DUMMYFUNCTION("""COMPUTED_VALUE"""),"NGUYỄN PHƯƠNG NAM")</f>
        <v>NGUYỄN PHƯƠNG NAM</v>
      </c>
      <c r="F806" s="46" t="str">
        <f ca="1">IFERROR(__xludf.DUMMYFUNCTION("""COMPUTED_VALUE"""),"NGUYEN PHUONG NAM")</f>
        <v>NGUYEN PHUONG NAM</v>
      </c>
      <c r="G806" s="45">
        <f ca="1">IFERROR(__xludf.DUMMYFUNCTION("""COMPUTED_VALUE"""),36625.5833333333)</f>
        <v>36625.583333333299</v>
      </c>
      <c r="H806" s="45" t="str">
        <f ca="1">IFERROR(__xludf.DUMMYFUNCTION("""COMPUTED_VALUE"""),"TLC")</f>
        <v>TLC</v>
      </c>
      <c r="I806" s="46" t="str">
        <f ca="1">IFERROR(__xludf.DUMMYFUNCTION("""COMPUTED_VALUE"""),"STORE")</f>
        <v>STORE</v>
      </c>
      <c r="J806" s="46" t="str">
        <f ca="1">IFERROR(__xludf.DUMMYFUNCTION("""COMPUTED_VALUE"""),"BLANK LOUNGE")</f>
        <v>BLANK LOUNGE</v>
      </c>
      <c r="K806" s="46" t="str">
        <f ca="1">IFERROR(__xludf.DUMMYFUNCTION("""COMPUTED_VALUE"""),"WAITSTAFF")</f>
        <v>WAITSTAFF</v>
      </c>
      <c r="L806" s="46" t="str">
        <f ca="1">IFERROR(__xludf.DUMMYFUNCTION("""COMPUTED_VALUE"""),"PTE")</f>
        <v>PTE</v>
      </c>
      <c r="M806" s="46" t="str">
        <f ca="1">IFERROR(__xludf.DUMMYFUNCTION("""COMPUTED_VALUE"""),"Leave")</f>
        <v>Leave</v>
      </c>
      <c r="N806" s="46" t="str">
        <f ca="1">IFERROR(__xludf.DUMMYFUNCTION("""COMPUTED_VALUE"""),"đủ")</f>
        <v>đủ</v>
      </c>
    </row>
    <row r="807" spans="1:14">
      <c r="A807" s="45">
        <f ca="1">IFERROR(__xludf.DUMMYFUNCTION("""COMPUTED_VALUE"""),45677.625)</f>
        <v>45677.625</v>
      </c>
      <c r="B807" s="45">
        <f ca="1">IFERROR(__xludf.DUMMYFUNCTION("""COMPUTED_VALUE"""),45693.625)</f>
        <v>45693.625</v>
      </c>
      <c r="C807" s="46">
        <f ca="1">IFERROR(__xludf.DUMMYFUNCTION("""COMPUTED_VALUE"""),808)</f>
        <v>808</v>
      </c>
      <c r="D807" s="47" t="str">
        <f ca="1">IFERROR(__xludf.DUMMYFUNCTION("""COMPUTED_VALUE"""),"C0580")</f>
        <v>C0580</v>
      </c>
      <c r="E807" s="46" t="str">
        <f ca="1">IFERROR(__xludf.DUMMYFUNCTION("""COMPUTED_VALUE"""),"NGUYỄN THỊ KIỀU OANH")</f>
        <v>NGUYỄN THỊ KIỀU OANH</v>
      </c>
      <c r="F807" s="46" t="str">
        <f ca="1">IFERROR(__xludf.DUMMYFUNCTION("""COMPUTED_VALUE"""),"NGUYEN THI KIEU OANH")</f>
        <v>NGUYEN THI KIEU OANH</v>
      </c>
      <c r="G807" s="45">
        <f ca="1">IFERROR(__xludf.DUMMYFUNCTION("""COMPUTED_VALUE"""),37819.5833333333)</f>
        <v>37819.583333333299</v>
      </c>
      <c r="H807" s="45" t="str">
        <f ca="1">IFERROR(__xludf.DUMMYFUNCTION("""COMPUTED_VALUE"""),"TLC")</f>
        <v>TLC</v>
      </c>
      <c r="I807" s="46" t="str">
        <f ca="1">IFERROR(__xludf.DUMMYFUNCTION("""COMPUTED_VALUE"""),"STORE")</f>
        <v>STORE</v>
      </c>
      <c r="J807" s="46" t="str">
        <f ca="1">IFERROR(__xludf.DUMMYFUNCTION("""COMPUTED_VALUE"""),"BLANK LOUNGE")</f>
        <v>BLANK LOUNGE</v>
      </c>
      <c r="K807" s="46" t="str">
        <f ca="1">IFERROR(__xludf.DUMMYFUNCTION("""COMPUTED_VALUE"""),"WAITSTAFF")</f>
        <v>WAITSTAFF</v>
      </c>
      <c r="L807" s="46" t="str">
        <f ca="1">IFERROR(__xludf.DUMMYFUNCTION("""COMPUTED_VALUE"""),"PTE")</f>
        <v>PTE</v>
      </c>
      <c r="M807" s="46" t="str">
        <f ca="1">IFERROR(__xludf.DUMMYFUNCTION("""COMPUTED_VALUE"""),"Leave")</f>
        <v>Leave</v>
      </c>
      <c r="N807" s="46" t="str">
        <f ca="1">IFERROR(__xludf.DUMMYFUNCTION("""COMPUTED_VALUE"""),"đủ")</f>
        <v>đủ</v>
      </c>
    </row>
    <row r="808" spans="1:14">
      <c r="A808" s="45">
        <f ca="1">IFERROR(__xludf.DUMMYFUNCTION("""COMPUTED_VALUE"""),45677.625)</f>
        <v>45677.625</v>
      </c>
      <c r="B808" s="45">
        <f ca="1">IFERROR(__xludf.DUMMYFUNCTION("""COMPUTED_VALUE"""),45693.625)</f>
        <v>45693.625</v>
      </c>
      <c r="C808" s="46">
        <f ca="1">IFERROR(__xludf.DUMMYFUNCTION("""COMPUTED_VALUE"""),809)</f>
        <v>809</v>
      </c>
      <c r="D808" s="47" t="str">
        <f ca="1">IFERROR(__xludf.DUMMYFUNCTION("""COMPUTED_VALUE"""),"C0581")</f>
        <v>C0581</v>
      </c>
      <c r="E808" s="46" t="str">
        <f ca="1">IFERROR(__xludf.DUMMYFUNCTION("""COMPUTED_VALUE"""),"NGUYỄN HOÀNG THÙY NGÂN")</f>
        <v>NGUYỄN HOÀNG THÙY NGÂN</v>
      </c>
      <c r="F808" s="46" t="str">
        <f ca="1">IFERROR(__xludf.DUMMYFUNCTION("""COMPUTED_VALUE"""),"NGUYEN HOANG THUY NGAN")</f>
        <v>NGUYEN HOANG THUY NGAN</v>
      </c>
      <c r="G808" s="45">
        <f ca="1">IFERROR(__xludf.DUMMYFUNCTION("""COMPUTED_VALUE"""),33909.625)</f>
        <v>33909.625</v>
      </c>
      <c r="H808" s="45" t="str">
        <f ca="1">IFERROR(__xludf.DUMMYFUNCTION("""COMPUTED_VALUE"""),"TLC")</f>
        <v>TLC</v>
      </c>
      <c r="I808" s="46" t="str">
        <f ca="1">IFERROR(__xludf.DUMMYFUNCTION("""COMPUTED_VALUE"""),"STORE")</f>
        <v>STORE</v>
      </c>
      <c r="J808" s="46" t="str">
        <f ca="1">IFERROR(__xludf.DUMMYFUNCTION("""COMPUTED_VALUE"""),"BLANK LOUNGE")</f>
        <v>BLANK LOUNGE</v>
      </c>
      <c r="K808" s="46" t="str">
        <f ca="1">IFERROR(__xludf.DUMMYFUNCTION("""COMPUTED_VALUE"""),"WAITSTAFF")</f>
        <v>WAITSTAFF</v>
      </c>
      <c r="L808" s="46" t="str">
        <f ca="1">IFERROR(__xludf.DUMMYFUNCTION("""COMPUTED_VALUE"""),"PTE")</f>
        <v>PTE</v>
      </c>
      <c r="M808" s="46" t="str">
        <f ca="1">IFERROR(__xludf.DUMMYFUNCTION("""COMPUTED_VALUE"""),"Leave")</f>
        <v>Leave</v>
      </c>
      <c r="N808" s="46" t="str">
        <f ca="1">IFERROR(__xludf.DUMMYFUNCTION("""COMPUTED_VALUE"""),"đủ")</f>
        <v>đủ</v>
      </c>
    </row>
    <row r="809" spans="1:14">
      <c r="A809" s="45">
        <f ca="1">IFERROR(__xludf.DUMMYFUNCTION("""COMPUTED_VALUE"""),45689.625)</f>
        <v>45689.625</v>
      </c>
      <c r="B809" s="45">
        <f ca="1">IFERROR(__xludf.DUMMYFUNCTION("""COMPUTED_VALUE"""),45694.625)</f>
        <v>45694.625</v>
      </c>
      <c r="C809" s="46">
        <f ca="1">IFERROR(__xludf.DUMMYFUNCTION("""COMPUTED_VALUE"""),810)</f>
        <v>810</v>
      </c>
      <c r="D809" s="47" t="str">
        <f ca="1">IFERROR(__xludf.DUMMYFUNCTION("""COMPUTED_VALUE"""),"C0582")</f>
        <v>C0582</v>
      </c>
      <c r="E809" s="46" t="str">
        <f ca="1">IFERROR(__xludf.DUMMYFUNCTION("""COMPUTED_VALUE"""),"LƯƠNG THỤC NHÀN")</f>
        <v>LƯƠNG THỤC NHÀN</v>
      </c>
      <c r="F809" s="46" t="str">
        <f ca="1">IFERROR(__xludf.DUMMYFUNCTION("""COMPUTED_VALUE"""),"LUONG THUC NHAN")</f>
        <v>LUONG THUC NHAN</v>
      </c>
      <c r="G809" s="45">
        <f ca="1">IFERROR(__xludf.DUMMYFUNCTION("""COMPUTED_VALUE"""),34231.5833333333)</f>
        <v>34231.583333333299</v>
      </c>
      <c r="H809" s="45" t="str">
        <f ca="1">IFERROR(__xludf.DUMMYFUNCTION("""COMPUTED_VALUE"""),"KITCHEN PASTRY")</f>
        <v>KITCHEN PASTRY</v>
      </c>
      <c r="I809" s="46" t="str">
        <f ca="1">IFERROR(__xludf.DUMMYFUNCTION("""COMPUTED_VALUE"""),"KITCHEN PASTRY")</f>
        <v>KITCHEN PASTRY</v>
      </c>
      <c r="J809" s="46" t="str">
        <f ca="1">IFERROR(__xludf.DUMMYFUNCTION("""COMPUTED_VALUE"""),"KITCHEN PASTRY")</f>
        <v>KITCHEN PASTRY</v>
      </c>
      <c r="K809" s="46" t="str">
        <f ca="1">IFERROR(__xludf.DUMMYFUNCTION("""COMPUTED_VALUE"""),"BAKER")</f>
        <v>BAKER</v>
      </c>
      <c r="L809" s="46" t="str">
        <f ca="1">IFERROR(__xludf.DUMMYFUNCTION("""COMPUTED_VALUE"""),"PTE")</f>
        <v>PTE</v>
      </c>
      <c r="M809" s="46" t="str">
        <f ca="1">IFERROR(__xludf.DUMMYFUNCTION("""COMPUTED_VALUE"""),"Leave")</f>
        <v>Leave</v>
      </c>
      <c r="N809" s="46" t="str">
        <f ca="1">IFERROR(__xludf.DUMMYFUNCTION("""COMPUTED_VALUE"""),"đủ")</f>
        <v>đủ</v>
      </c>
    </row>
    <row r="810" spans="1:14">
      <c r="A810" s="45">
        <f ca="1">IFERROR(__xludf.DUMMYFUNCTION("""COMPUTED_VALUE"""),45691.625)</f>
        <v>45691.625</v>
      </c>
      <c r="B810" s="45">
        <f ca="1">IFERROR(__xludf.DUMMYFUNCTION("""COMPUTED_VALUE"""),45692.625)</f>
        <v>45692.625</v>
      </c>
      <c r="C810" s="46">
        <f ca="1">IFERROR(__xludf.DUMMYFUNCTION("""COMPUTED_VALUE"""),811)</f>
        <v>811</v>
      </c>
      <c r="D810" s="47" t="str">
        <f ca="1">IFERROR(__xludf.DUMMYFUNCTION("""COMPUTED_VALUE"""),"C0583")</f>
        <v>C0583</v>
      </c>
      <c r="E810" s="46" t="str">
        <f ca="1">IFERROR(__xludf.DUMMYFUNCTION("""COMPUTED_VALUE"""),"HỒ THỊ HÀ THƯ")</f>
        <v>HỒ THỊ HÀ THƯ</v>
      </c>
      <c r="F810" s="46" t="str">
        <f ca="1">IFERROR(__xludf.DUMMYFUNCTION("""COMPUTED_VALUE"""),"HO THI HA THU")</f>
        <v>HO THI HA THU</v>
      </c>
      <c r="G810" s="45">
        <f ca="1">IFERROR(__xludf.DUMMYFUNCTION("""COMPUTED_VALUE"""),37233.625)</f>
        <v>37233.625</v>
      </c>
      <c r="H810" s="45" t="str">
        <f ca="1">IFERROR(__xludf.DUMMYFUNCTION("""COMPUTED_VALUE"""),"KITCHEN PASTRY")</f>
        <v>KITCHEN PASTRY</v>
      </c>
      <c r="I810" s="46" t="str">
        <f ca="1">IFERROR(__xludf.DUMMYFUNCTION("""COMPUTED_VALUE"""),"KITCHEN PASTRY")</f>
        <v>KITCHEN PASTRY</v>
      </c>
      <c r="J810" s="46" t="str">
        <f ca="1">IFERROR(__xludf.DUMMYFUNCTION("""COMPUTED_VALUE"""),"KITCHEN PASTRY")</f>
        <v>KITCHEN PASTRY</v>
      </c>
      <c r="K810" s="46" t="str">
        <f ca="1">IFERROR(__xludf.DUMMYFUNCTION("""COMPUTED_VALUE"""),"BAKER")</f>
        <v>BAKER</v>
      </c>
      <c r="L810" s="46" t="str">
        <f ca="1">IFERROR(__xludf.DUMMYFUNCTION("""COMPUTED_VALUE"""),"PTE")</f>
        <v>PTE</v>
      </c>
      <c r="M810" s="46" t="str">
        <f ca="1">IFERROR(__xludf.DUMMYFUNCTION("""COMPUTED_VALUE"""),"Leave")</f>
        <v>Leave</v>
      </c>
      <c r="N810" s="46" t="str">
        <f ca="1">IFERROR(__xludf.DUMMYFUNCTION("""COMPUTED_VALUE"""),"chua nop")</f>
        <v>chua nop</v>
      </c>
    </row>
    <row r="811" spans="1:14">
      <c r="A811" s="45">
        <f ca="1">IFERROR(__xludf.DUMMYFUNCTION("""COMPUTED_VALUE"""),45695.625)</f>
        <v>45695.625</v>
      </c>
      <c r="B811" s="45">
        <f ca="1">IFERROR(__xludf.DUMMYFUNCTION("""COMPUTED_VALUE"""),45779.5833333333)</f>
        <v>45779.583333333299</v>
      </c>
      <c r="C811" s="46">
        <f ca="1">IFERROR(__xludf.DUMMYFUNCTION("""COMPUTED_VALUE"""),812)</f>
        <v>812</v>
      </c>
      <c r="D811" s="47" t="str">
        <f ca="1">IFERROR(__xludf.DUMMYFUNCTION("""COMPUTED_VALUE"""),"C0584")</f>
        <v>C0584</v>
      </c>
      <c r="E811" s="46" t="str">
        <f ca="1">IFERROR(__xludf.DUMMYFUNCTION("""COMPUTED_VALUE"""),"NGUYỄN TUẤN HÙNG")</f>
        <v>NGUYỄN TUẤN HÙNG</v>
      </c>
      <c r="F811" s="46" t="str">
        <f ca="1">IFERROR(__xludf.DUMMYFUNCTION("""COMPUTED_VALUE"""),"NGUYEN TUAN HUNG")</f>
        <v>NGUYEN TUAN HUNG</v>
      </c>
      <c r="G811" s="45">
        <f ca="1">IFERROR(__xludf.DUMMYFUNCTION("""COMPUTED_VALUE"""),37902.5833333333)</f>
        <v>37902.583333333299</v>
      </c>
      <c r="H811" s="45" t="str">
        <f ca="1">IFERROR(__xludf.DUMMYFUNCTION("""COMPUTED_VALUE"""),"BAKES")</f>
        <v>BAKES</v>
      </c>
      <c r="I811" s="46" t="str">
        <f ca="1">IFERROR(__xludf.DUMMYFUNCTION("""COMPUTED_VALUE"""),"STORE")</f>
        <v>STORE</v>
      </c>
      <c r="J811" s="46" t="str">
        <f ca="1">IFERROR(__xludf.DUMMYFUNCTION("""COMPUTED_VALUE"""),"BAKES D7")</f>
        <v>BAKES D7</v>
      </c>
      <c r="K811" s="46" t="str">
        <f ca="1">IFERROR(__xludf.DUMMYFUNCTION("""COMPUTED_VALUE"""),"WAITSTAFF")</f>
        <v>WAITSTAFF</v>
      </c>
      <c r="L811" s="46" t="str">
        <f ca="1">IFERROR(__xludf.DUMMYFUNCTION("""COMPUTED_VALUE"""),"PTE")</f>
        <v>PTE</v>
      </c>
      <c r="M811" s="46" t="str">
        <f ca="1">IFERROR(__xludf.DUMMYFUNCTION("""COMPUTED_VALUE"""),"Leave")</f>
        <v>Leave</v>
      </c>
      <c r="N811" s="46" t="str">
        <f ca="1">IFERROR(__xludf.DUMMYFUNCTION("""COMPUTED_VALUE"""),"đủ")</f>
        <v>đủ</v>
      </c>
    </row>
    <row r="812" spans="1:14">
      <c r="A812" s="45">
        <f ca="1">IFERROR(__xludf.DUMMYFUNCTION("""COMPUTED_VALUE"""),45692.625)</f>
        <v>45692.625</v>
      </c>
      <c r="B812" s="45">
        <f ca="1">IFERROR(__xludf.DUMMYFUNCTION("""COMPUTED_VALUE"""),45751.5833333333)</f>
        <v>45751.583333333299</v>
      </c>
      <c r="C812" s="46">
        <f ca="1">IFERROR(__xludf.DUMMYFUNCTION("""COMPUTED_VALUE"""),813)</f>
        <v>813</v>
      </c>
      <c r="D812" s="47" t="str">
        <f ca="1">IFERROR(__xludf.DUMMYFUNCTION("""COMPUTED_VALUE"""),"C0585")</f>
        <v>C0585</v>
      </c>
      <c r="E812" s="46" t="str">
        <f ca="1">IFERROR(__xludf.DUMMYFUNCTION("""COMPUTED_VALUE"""),"NGUYỄN HOÀNG VÂN ANH")</f>
        <v>NGUYỄN HOÀNG VÂN ANH</v>
      </c>
      <c r="F812" s="46" t="str">
        <f ca="1">IFERROR(__xludf.DUMMYFUNCTION("""COMPUTED_VALUE"""),"NGUYEN HOANG VAN ANH")</f>
        <v>NGUYEN HOANG VAN ANH</v>
      </c>
      <c r="G812" s="45">
        <f ca="1">IFERROR(__xludf.DUMMYFUNCTION("""COMPUTED_VALUE"""),36481.625)</f>
        <v>36481.625</v>
      </c>
      <c r="H812" s="45" t="str">
        <f ca="1">IFERROR(__xludf.DUMMYFUNCTION("""COMPUTED_VALUE"""),"BAKES")</f>
        <v>BAKES</v>
      </c>
      <c r="I812" s="46" t="str">
        <f ca="1">IFERROR(__xludf.DUMMYFUNCTION("""COMPUTED_VALUE"""),"HO")</f>
        <v>HO</v>
      </c>
      <c r="J812" s="46" t="str">
        <f ca="1">IFERROR(__xludf.DUMMYFUNCTION("""COMPUTED_VALUE"""),"MKT")</f>
        <v>MKT</v>
      </c>
      <c r="K812" s="46" t="str">
        <f ca="1">IFERROR(__xludf.DUMMYFUNCTION("""COMPUTED_VALUE"""),"MKT")</f>
        <v>MKT</v>
      </c>
      <c r="L812" s="46" t="str">
        <f ca="1">IFERROR(__xludf.DUMMYFUNCTION("""COMPUTED_VALUE"""),"PRO")</f>
        <v>PRO</v>
      </c>
      <c r="M812" s="46" t="str">
        <f ca="1">IFERROR(__xludf.DUMMYFUNCTION("""COMPUTED_VALUE"""),"Leave")</f>
        <v>Leave</v>
      </c>
      <c r="N812" s="46" t="str">
        <f ca="1">IFERROR(__xludf.DUMMYFUNCTION("""COMPUTED_VALUE"""),"đủ")</f>
        <v>đủ</v>
      </c>
    </row>
    <row r="813" spans="1:14">
      <c r="A813" s="45">
        <f ca="1">IFERROR(__xludf.DUMMYFUNCTION("""COMPUTED_VALUE"""),45718.625)</f>
        <v>45718.625</v>
      </c>
      <c r="B813" s="45">
        <f ca="1">IFERROR(__xludf.DUMMYFUNCTION("""COMPUTED_VALUE"""),45962.5833333333)</f>
        <v>45962.583333333299</v>
      </c>
      <c r="C813" s="46">
        <f ca="1">IFERROR(__xludf.DUMMYFUNCTION("""COMPUTED_VALUE"""),814)</f>
        <v>814</v>
      </c>
      <c r="D813" s="47" t="str">
        <f ca="1">IFERROR(__xludf.DUMMYFUNCTION("""COMPUTED_VALUE"""),"C0586")</f>
        <v>C0586</v>
      </c>
      <c r="E813" s="46" t="str">
        <f ca="1">IFERROR(__xludf.DUMMYFUNCTION("""COMPUTED_VALUE"""),"HOÀNG HẠNH NGUYÊN")</f>
        <v>HOÀNG HẠNH NGUYÊN</v>
      </c>
      <c r="F813" s="46" t="str">
        <f ca="1">IFERROR(__xludf.DUMMYFUNCTION("""COMPUTED_VALUE"""),"HOANG HANH NGUYEN")</f>
        <v>HOANG HANH NGUYEN</v>
      </c>
      <c r="G813" s="45">
        <f ca="1">IFERROR(__xludf.DUMMYFUNCTION("""COMPUTED_VALUE"""),38663.625)</f>
        <v>38663.625</v>
      </c>
      <c r="H813" s="45" t="str">
        <f ca="1">IFERROR(__xludf.DUMMYFUNCTION("""COMPUTED_VALUE"""),"BAKES")</f>
        <v>BAKES</v>
      </c>
      <c r="I813" s="46" t="str">
        <f ca="1">IFERROR(__xludf.DUMMYFUNCTION("""COMPUTED_VALUE"""),"STORE")</f>
        <v>STORE</v>
      </c>
      <c r="J813" s="46" t="str">
        <f ca="1">IFERROR(__xludf.DUMMYFUNCTION("""COMPUTED_VALUE"""),"BAKES D2")</f>
        <v>BAKES D2</v>
      </c>
      <c r="K813" s="46" t="str">
        <f ca="1">IFERROR(__xludf.DUMMYFUNCTION("""COMPUTED_VALUE"""),"WAITSTAFF")</f>
        <v>WAITSTAFF</v>
      </c>
      <c r="L813" s="46" t="str">
        <f ca="1">IFERROR(__xludf.DUMMYFUNCTION("""COMPUTED_VALUE"""),"PTE")</f>
        <v>PTE</v>
      </c>
      <c r="M813" s="46" t="str">
        <f ca="1">IFERROR(__xludf.DUMMYFUNCTION("""COMPUTED_VALUE"""),"Leave")</f>
        <v>Leave</v>
      </c>
      <c r="N813" s="46" t="str">
        <f ca="1">IFERROR(__xludf.DUMMYFUNCTION("""COMPUTED_VALUE"""),"đủ")</f>
        <v>đủ</v>
      </c>
    </row>
    <row r="814" spans="1:14">
      <c r="A814" s="45">
        <f ca="1">IFERROR(__xludf.DUMMYFUNCTION("""COMPUTED_VALUE"""),45703.625)</f>
        <v>45703.625</v>
      </c>
      <c r="B814" s="45">
        <f ca="1">IFERROR(__xludf.DUMMYFUNCTION("""COMPUTED_VALUE"""),45704.625)</f>
        <v>45704.625</v>
      </c>
      <c r="C814" s="46">
        <f ca="1">IFERROR(__xludf.DUMMYFUNCTION("""COMPUTED_VALUE"""),815)</f>
        <v>815</v>
      </c>
      <c r="D814" s="47" t="str">
        <f ca="1">IFERROR(__xludf.DUMMYFUNCTION("""COMPUTED_VALUE"""),"C0587")</f>
        <v>C0587</v>
      </c>
      <c r="E814" s="46" t="str">
        <f ca="1">IFERROR(__xludf.DUMMYFUNCTION("""COMPUTED_VALUE"""),"BÙI NGỌC PHI YẾN")</f>
        <v>BÙI NGỌC PHI YẾN</v>
      </c>
      <c r="F814" s="46" t="str">
        <f ca="1">IFERROR(__xludf.DUMMYFUNCTION("""COMPUTED_VALUE"""),"BUI NGOC PHI YEN")</f>
        <v>BUI NGOC PHI YEN</v>
      </c>
      <c r="G814" s="45">
        <f ca="1">IFERROR(__xludf.DUMMYFUNCTION("""COMPUTED_VALUE"""),38209.5833333333)</f>
        <v>38209.583333333299</v>
      </c>
      <c r="H814" s="45" t="str">
        <f ca="1">IFERROR(__xludf.DUMMYFUNCTION("""COMPUTED_VALUE"""),"MATTE")</f>
        <v>MATTE</v>
      </c>
      <c r="I814" s="46" t="str">
        <f ca="1">IFERROR(__xludf.DUMMYFUNCTION("""COMPUTED_VALUE"""),"STORE")</f>
        <v>STORE</v>
      </c>
      <c r="J814" s="46" t="str">
        <f ca="1">IFERROR(__xludf.DUMMYFUNCTION("""COMPUTED_VALUE"""),"MATTE D1")</f>
        <v>MATTE D1</v>
      </c>
      <c r="K814" s="46" t="str">
        <f ca="1">IFERROR(__xludf.DUMMYFUNCTION("""COMPUTED_VALUE"""),"BAR")</f>
        <v>BAR</v>
      </c>
      <c r="L814" s="46" t="str">
        <f ca="1">IFERROR(__xludf.DUMMYFUNCTION("""COMPUTED_VALUE"""),"PTE")</f>
        <v>PTE</v>
      </c>
      <c r="M814" s="46" t="str">
        <f ca="1">IFERROR(__xludf.DUMMYFUNCTION("""COMPUTED_VALUE"""),"Leave")</f>
        <v>Leave</v>
      </c>
      <c r="N814" s="46" t="str">
        <f ca="1">IFERROR(__xludf.DUMMYFUNCTION("""COMPUTED_VALUE"""),"đủ")</f>
        <v>đủ</v>
      </c>
    </row>
    <row r="815" spans="1:14">
      <c r="A815" s="45">
        <f ca="1">IFERROR(__xludf.DUMMYFUNCTION("""COMPUTED_VALUE"""),45698.625)</f>
        <v>45698.625</v>
      </c>
      <c r="B815" s="45">
        <f ca="1">IFERROR(__xludf.DUMMYFUNCTION("""COMPUTED_VALUE"""),45706.625)</f>
        <v>45706.625</v>
      </c>
      <c r="C815" s="46">
        <f ca="1">IFERROR(__xludf.DUMMYFUNCTION("""COMPUTED_VALUE"""),816)</f>
        <v>816</v>
      </c>
      <c r="D815" s="47" t="str">
        <f ca="1">IFERROR(__xludf.DUMMYFUNCTION("""COMPUTED_VALUE"""),"C0588")</f>
        <v>C0588</v>
      </c>
      <c r="E815" s="46" t="str">
        <f ca="1">IFERROR(__xludf.DUMMYFUNCTION("""COMPUTED_VALUE"""),"TRẦN BẢO LONG")</f>
        <v>TRẦN BẢO LONG</v>
      </c>
      <c r="F815" s="46" t="str">
        <f ca="1">IFERROR(__xludf.DUMMYFUNCTION("""COMPUTED_VALUE"""),"TRAN BAO LONG")</f>
        <v>TRAN BAO LONG</v>
      </c>
      <c r="G815" s="45">
        <f ca="1">IFERROR(__xludf.DUMMYFUNCTION("""COMPUTED_VALUE"""),36815.5833333333)</f>
        <v>36815.583333333299</v>
      </c>
      <c r="H815" s="45" t="str">
        <f ca="1">IFERROR(__xludf.DUMMYFUNCTION("""COMPUTED_VALUE"""),"KITCHEN PASTRY")</f>
        <v>KITCHEN PASTRY</v>
      </c>
      <c r="I815" s="46" t="str">
        <f ca="1">IFERROR(__xludf.DUMMYFUNCTION("""COMPUTED_VALUE"""),"KITCHEN PASTRY")</f>
        <v>KITCHEN PASTRY</v>
      </c>
      <c r="J815" s="46" t="str">
        <f ca="1">IFERROR(__xludf.DUMMYFUNCTION("""COMPUTED_VALUE"""),"KITCHEN PASTRY")</f>
        <v>KITCHEN PASTRY</v>
      </c>
      <c r="K815" s="46" t="str">
        <f ca="1">IFERROR(__xludf.DUMMYFUNCTION("""COMPUTED_VALUE"""),"BAKER")</f>
        <v>BAKER</v>
      </c>
      <c r="L815" s="46" t="str">
        <f ca="1">IFERROR(__xludf.DUMMYFUNCTION("""COMPUTED_VALUE"""),"PTE")</f>
        <v>PTE</v>
      </c>
      <c r="M815" s="46" t="str">
        <f ca="1">IFERROR(__xludf.DUMMYFUNCTION("""COMPUTED_VALUE"""),"Leave")</f>
        <v>Leave</v>
      </c>
      <c r="N815" s="46" t="str">
        <f ca="1">IFERROR(__xludf.DUMMYFUNCTION("""COMPUTED_VALUE"""),"chua nop")</f>
        <v>chua nop</v>
      </c>
    </row>
    <row r="816" spans="1:14">
      <c r="A816" s="45">
        <f ca="1">IFERROR(__xludf.DUMMYFUNCTION("""COMPUTED_VALUE"""),45700.625)</f>
        <v>45700.625</v>
      </c>
      <c r="B816" s="45" t="str">
        <f ca="1">IFERROR(__xludf.DUMMYFUNCTION("""COMPUTED_VALUE"""),"Đã nghỉ")</f>
        <v>Đã nghỉ</v>
      </c>
      <c r="C816" s="46">
        <f ca="1">IFERROR(__xludf.DUMMYFUNCTION("""COMPUTED_VALUE"""),817)</f>
        <v>817</v>
      </c>
      <c r="D816" s="47" t="str">
        <f ca="1">IFERROR(__xludf.DUMMYFUNCTION("""COMPUTED_VALUE"""),"C0589")</f>
        <v>C0589</v>
      </c>
      <c r="E816" s="46" t="str">
        <f ca="1">IFERROR(__xludf.DUMMYFUNCTION("""COMPUTED_VALUE"""),"NGUYỄN THỊ HÀ")</f>
        <v>NGUYỄN THỊ HÀ</v>
      </c>
      <c r="F816" s="46" t="str">
        <f ca="1">IFERROR(__xludf.DUMMYFUNCTION("""COMPUTED_VALUE"""),"NGUYEN THI HÀ")</f>
        <v>NGUYEN THI HÀ</v>
      </c>
      <c r="G816" s="45">
        <f ca="1">IFERROR(__xludf.DUMMYFUNCTION("""COMPUTED_VALUE"""),36201.625)</f>
        <v>36201.625</v>
      </c>
      <c r="H816" s="45" t="str">
        <f ca="1">IFERROR(__xludf.DUMMYFUNCTION("""COMPUTED_VALUE"""),"BAKES")</f>
        <v>BAKES</v>
      </c>
      <c r="I816" s="46" t="str">
        <f ca="1">IFERROR(__xludf.DUMMYFUNCTION("""COMPUTED_VALUE"""),"HO")</f>
        <v>HO</v>
      </c>
      <c r="J816" s="46" t="str">
        <f ca="1">IFERROR(__xludf.DUMMYFUNCTION("""COMPUTED_VALUE"""),"CUS")</f>
        <v>CUS</v>
      </c>
      <c r="K816" s="46" t="str">
        <f ca="1">IFERROR(__xludf.DUMMYFUNCTION("""COMPUTED_VALUE"""),"CUS")</f>
        <v>CUS</v>
      </c>
      <c r="L816" s="46" t="str">
        <f ca="1">IFERROR(__xludf.DUMMYFUNCTION("""COMPUTED_VALUE"""),"PTE")</f>
        <v>PTE</v>
      </c>
      <c r="M816" s="46" t="str">
        <f ca="1">IFERROR(__xludf.DUMMYFUNCTION("""COMPUTED_VALUE"""),"Leave")</f>
        <v>Leave</v>
      </c>
      <c r="N816" s="46" t="str">
        <f ca="1">IFERROR(__xludf.DUMMYFUNCTION("""COMPUTED_VALUE"""),"đủ")</f>
        <v>đủ</v>
      </c>
    </row>
    <row r="817" spans="1:14">
      <c r="A817" s="45">
        <f ca="1">IFERROR(__xludf.DUMMYFUNCTION("""COMPUTED_VALUE"""),45699.625)</f>
        <v>45699.625</v>
      </c>
      <c r="B817" s="45"/>
      <c r="C817" s="46">
        <f ca="1">IFERROR(__xludf.DUMMYFUNCTION("""COMPUTED_VALUE"""),818)</f>
        <v>818</v>
      </c>
      <c r="D817" s="47" t="str">
        <f ca="1">IFERROR(__xludf.DUMMYFUNCTION("""COMPUTED_VALUE"""),"C0590")</f>
        <v>C0590</v>
      </c>
      <c r="E817" s="46" t="str">
        <f ca="1">IFERROR(__xludf.DUMMYFUNCTION("""COMPUTED_VALUE"""),"PHẠM THÚY VY")</f>
        <v>PHẠM THÚY VY</v>
      </c>
      <c r="F817" s="46" t="str">
        <f ca="1">IFERROR(__xludf.DUMMYFUNCTION("""COMPUTED_VALUE"""),"PHAM THUY VY")</f>
        <v>PHAM THUY VY</v>
      </c>
      <c r="G817" s="45">
        <f ca="1">IFERROR(__xludf.DUMMYFUNCTION("""COMPUTED_VALUE"""),36793.5833333333)</f>
        <v>36793.583333333299</v>
      </c>
      <c r="H817" s="45" t="str">
        <f ca="1">IFERROR(__xludf.DUMMYFUNCTION("""COMPUTED_VALUE"""),"BAKES")</f>
        <v>BAKES</v>
      </c>
      <c r="I817" s="46" t="str">
        <f ca="1">IFERROR(__xludf.DUMMYFUNCTION("""COMPUTED_VALUE"""),"STORE")</f>
        <v>STORE</v>
      </c>
      <c r="J817" s="46" t="str">
        <f ca="1">IFERROR(__xludf.DUMMYFUNCTION("""COMPUTED_VALUE"""),"BAKES D7")</f>
        <v>BAKES D7</v>
      </c>
      <c r="K817" s="46" t="str">
        <f ca="1">IFERROR(__xludf.DUMMYFUNCTION("""COMPUTED_VALUE"""),"CASHIER")</f>
        <v>CASHIER</v>
      </c>
      <c r="L817" s="46" t="str">
        <f ca="1">IFERROR(__xludf.DUMMYFUNCTION("""COMPUTED_VALUE"""),"PTE")</f>
        <v>PTE</v>
      </c>
      <c r="M817" s="46" t="str">
        <f ca="1">IFERROR(__xludf.DUMMYFUNCTION("""COMPUTED_VALUE"""),"On")</f>
        <v>On</v>
      </c>
      <c r="N817" s="46" t="str">
        <f ca="1">IFERROR(__xludf.DUMMYFUNCTION("""COMPUTED_VALUE"""),"đủ")</f>
        <v>đủ</v>
      </c>
    </row>
    <row r="818" spans="1:14">
      <c r="A818" s="45">
        <f ca="1">IFERROR(__xludf.DUMMYFUNCTION("""COMPUTED_VALUE"""),45707.625)</f>
        <v>45707.625</v>
      </c>
      <c r="B818" s="45">
        <f ca="1">IFERROR(__xludf.DUMMYFUNCTION("""COMPUTED_VALUE"""),45856.5833333333)</f>
        <v>45856.583333333299</v>
      </c>
      <c r="C818" s="46">
        <f ca="1">IFERROR(__xludf.DUMMYFUNCTION("""COMPUTED_VALUE"""),819)</f>
        <v>819</v>
      </c>
      <c r="D818" s="47" t="str">
        <f ca="1">IFERROR(__xludf.DUMMYFUNCTION("""COMPUTED_VALUE"""),"C0591")</f>
        <v>C0591</v>
      </c>
      <c r="E818" s="46" t="str">
        <f ca="1">IFERROR(__xludf.DUMMYFUNCTION("""COMPUTED_VALUE"""),"NGUYỄN ĐÔN ĐỨC")</f>
        <v>NGUYỄN ĐÔN ĐỨC</v>
      </c>
      <c r="F818" s="46" t="str">
        <f ca="1">IFERROR(__xludf.DUMMYFUNCTION("""COMPUTED_VALUE"""),"NGUYEN DON DUC")</f>
        <v>NGUYEN DON DUC</v>
      </c>
      <c r="G818" s="45">
        <f ca="1">IFERROR(__xludf.DUMMYFUNCTION("""COMPUTED_VALUE"""),38061.625)</f>
        <v>38061.625</v>
      </c>
      <c r="H818" s="45" t="str">
        <f ca="1">IFERROR(__xludf.DUMMYFUNCTION("""COMPUTED_VALUE"""),"TLC")</f>
        <v>TLC</v>
      </c>
      <c r="I818" s="46" t="str">
        <f ca="1">IFERROR(__xludf.DUMMYFUNCTION("""COMPUTED_VALUE"""),"HO")</f>
        <v>HO</v>
      </c>
      <c r="J818" s="46" t="str">
        <f ca="1">IFERROR(__xludf.DUMMYFUNCTION("""COMPUTED_VALUE"""),"FIN")</f>
        <v>FIN</v>
      </c>
      <c r="K818" s="46" t="str">
        <f ca="1">IFERROR(__xludf.DUMMYFUNCTION("""COMPUTED_VALUE"""),"FIN")</f>
        <v>FIN</v>
      </c>
      <c r="L818" s="46" t="str">
        <f ca="1">IFERROR(__xludf.DUMMYFUNCTION("""COMPUTED_VALUE"""),"SER")</f>
        <v>SER</v>
      </c>
      <c r="M818" s="46" t="str">
        <f ca="1">IFERROR(__xludf.DUMMYFUNCTION("""COMPUTED_VALUE"""),"Leave")</f>
        <v>Leave</v>
      </c>
      <c r="N818" s="46" t="str">
        <f ca="1">IFERROR(__xludf.DUMMYFUNCTION("""COMPUTED_VALUE"""),"đủ")</f>
        <v>đủ</v>
      </c>
    </row>
    <row r="819" spans="1:14">
      <c r="A819" s="45">
        <f ca="1">IFERROR(__xludf.DUMMYFUNCTION("""COMPUTED_VALUE"""),45707.625)</f>
        <v>45707.625</v>
      </c>
      <c r="B819" s="45">
        <f ca="1">IFERROR(__xludf.DUMMYFUNCTION("""COMPUTED_VALUE"""),45731.5833333333)</f>
        <v>45731.583333333299</v>
      </c>
      <c r="C819" s="46">
        <f ca="1">IFERROR(__xludf.DUMMYFUNCTION("""COMPUTED_VALUE"""),820)</f>
        <v>820</v>
      </c>
      <c r="D819" s="47" t="str">
        <f ca="1">IFERROR(__xludf.DUMMYFUNCTION("""COMPUTED_VALUE"""),"C0592")</f>
        <v>C0592</v>
      </c>
      <c r="E819" s="46" t="str">
        <f ca="1">IFERROR(__xludf.DUMMYFUNCTION("""COMPUTED_VALUE"""),"NGUYỄN NAM HẢI")</f>
        <v>NGUYỄN NAM HẢI</v>
      </c>
      <c r="F819" s="46" t="str">
        <f ca="1">IFERROR(__xludf.DUMMYFUNCTION("""COMPUTED_VALUE"""),"NGUYEN NAM HAI")</f>
        <v>NGUYEN NAM HAI</v>
      </c>
      <c r="G819" s="45">
        <f ca="1">IFERROR(__xludf.DUMMYFUNCTION("""COMPUTED_VALUE"""),36794.5833333333)</f>
        <v>36794.583333333299</v>
      </c>
      <c r="H819" s="45" t="str">
        <f ca="1">IFERROR(__xludf.DUMMYFUNCTION("""COMPUTED_VALUE"""),"CREATIVE")</f>
        <v>CREATIVE</v>
      </c>
      <c r="I819" s="46" t="str">
        <f ca="1">IFERROR(__xludf.DUMMYFUNCTION("""COMPUTED_VALUE"""),"HO")</f>
        <v>HO</v>
      </c>
      <c r="J819" s="46" t="str">
        <f ca="1">IFERROR(__xludf.DUMMYFUNCTION("""COMPUTED_VALUE"""),"HRD")</f>
        <v>HRD</v>
      </c>
      <c r="K819" s="46" t="str">
        <f ca="1">IFERROR(__xludf.DUMMYFUNCTION("""COMPUTED_VALUE"""),"HRD")</f>
        <v>HRD</v>
      </c>
      <c r="L819" s="46" t="str">
        <f ca="1">IFERROR(__xludf.DUMMYFUNCTION("""COMPUTED_VALUE"""),"PRO")</f>
        <v>PRO</v>
      </c>
      <c r="M819" s="46" t="str">
        <f ca="1">IFERROR(__xludf.DUMMYFUNCTION("""COMPUTED_VALUE"""),"Leave")</f>
        <v>Leave</v>
      </c>
      <c r="N819" s="46" t="str">
        <f ca="1">IFERROR(__xludf.DUMMYFUNCTION("""COMPUTED_VALUE"""),"đủ")</f>
        <v>đủ</v>
      </c>
    </row>
    <row r="820" spans="1:14">
      <c r="A820" s="45">
        <f ca="1">IFERROR(__xludf.DUMMYFUNCTION("""COMPUTED_VALUE"""),45705.625)</f>
        <v>45705.625</v>
      </c>
      <c r="B820" s="45">
        <f ca="1">IFERROR(__xludf.DUMMYFUNCTION("""COMPUTED_VALUE"""),45967.625)</f>
        <v>45967.625</v>
      </c>
      <c r="C820" s="46">
        <f ca="1">IFERROR(__xludf.DUMMYFUNCTION("""COMPUTED_VALUE"""),821)</f>
        <v>821</v>
      </c>
      <c r="D820" s="47" t="str">
        <f ca="1">IFERROR(__xludf.DUMMYFUNCTION("""COMPUTED_VALUE"""),"C0593")</f>
        <v>C0593</v>
      </c>
      <c r="E820" s="46" t="str">
        <f ca="1">IFERROR(__xludf.DUMMYFUNCTION("""COMPUTED_VALUE"""),"LÝ HƯƠNG QUỲNH")</f>
        <v>LÝ HƯƠNG QUỲNH</v>
      </c>
      <c r="F820" s="46" t="str">
        <f ca="1">IFERROR(__xludf.DUMMYFUNCTION("""COMPUTED_VALUE"""),"LY HUONG QUYNH")</f>
        <v>LY HUONG QUYNH</v>
      </c>
      <c r="G820" s="45">
        <f ca="1">IFERROR(__xludf.DUMMYFUNCTION("""COMPUTED_VALUE"""),37302.625)</f>
        <v>37302.625</v>
      </c>
      <c r="H820" s="45" t="str">
        <f ca="1">IFERROR(__xludf.DUMMYFUNCTION("""COMPUTED_VALUE"""),"MATTE")</f>
        <v>MATTE</v>
      </c>
      <c r="I820" s="46" t="str">
        <f ca="1">IFERROR(__xludf.DUMMYFUNCTION("""COMPUTED_VALUE"""),"STORE")</f>
        <v>STORE</v>
      </c>
      <c r="J820" s="46" t="str">
        <f ca="1">IFERROR(__xludf.DUMMYFUNCTION("""COMPUTED_VALUE"""),"MATTE D1")</f>
        <v>MATTE D1</v>
      </c>
      <c r="K820" s="46" t="str">
        <f ca="1">IFERROR(__xludf.DUMMYFUNCTION("""COMPUTED_VALUE"""),"BAR")</f>
        <v>BAR</v>
      </c>
      <c r="L820" s="46" t="str">
        <f ca="1">IFERROR(__xludf.DUMMYFUNCTION("""COMPUTED_VALUE"""),"FTE")</f>
        <v>FTE</v>
      </c>
      <c r="M820" s="46" t="str">
        <f ca="1">IFERROR(__xludf.DUMMYFUNCTION("""COMPUTED_VALUE"""),"Leave")</f>
        <v>Leave</v>
      </c>
      <c r="N820" s="46" t="str">
        <f ca="1">IFERROR(__xludf.DUMMYFUNCTION("""COMPUTED_VALUE"""),"đủ")</f>
        <v>đủ</v>
      </c>
    </row>
    <row r="821" spans="1:14">
      <c r="A821" s="45">
        <f ca="1">IFERROR(__xludf.DUMMYFUNCTION("""COMPUTED_VALUE"""),45703.625)</f>
        <v>45703.625</v>
      </c>
      <c r="B821" s="45">
        <f ca="1">IFERROR(__xludf.DUMMYFUNCTION("""COMPUTED_VALUE"""),45790.5833333333)</f>
        <v>45790.583333333299</v>
      </c>
      <c r="C821" s="46">
        <f ca="1">IFERROR(__xludf.DUMMYFUNCTION("""COMPUTED_VALUE"""),822)</f>
        <v>822</v>
      </c>
      <c r="D821" s="47" t="str">
        <f ca="1">IFERROR(__xludf.DUMMYFUNCTION("""COMPUTED_VALUE"""),"C0594")</f>
        <v>C0594</v>
      </c>
      <c r="E821" s="46" t="str">
        <f ca="1">IFERROR(__xludf.DUMMYFUNCTION("""COMPUTED_VALUE"""),"VÕ QUANG NGHI")</f>
        <v>VÕ QUANG NGHI</v>
      </c>
      <c r="F821" s="46" t="str">
        <f ca="1">IFERROR(__xludf.DUMMYFUNCTION("""COMPUTED_VALUE"""),"VO QUANG NGHI")</f>
        <v>VO QUANG NGHI</v>
      </c>
      <c r="G821" s="45">
        <f ca="1">IFERROR(__xludf.DUMMYFUNCTION("""COMPUTED_VALUE"""),37019.5833333333)</f>
        <v>37019.583333333299</v>
      </c>
      <c r="H821" s="45" t="str">
        <f ca="1">IFERROR(__xludf.DUMMYFUNCTION("""COMPUTED_VALUE"""),"BAKES")</f>
        <v>BAKES</v>
      </c>
      <c r="I821" s="46" t="str">
        <f ca="1">IFERROR(__xludf.DUMMYFUNCTION("""COMPUTED_VALUE"""),"STORE")</f>
        <v>STORE</v>
      </c>
      <c r="J821" s="46" t="str">
        <f ca="1">IFERROR(__xludf.DUMMYFUNCTION("""COMPUTED_VALUE"""),"BAKES D2")</f>
        <v>BAKES D2</v>
      </c>
      <c r="K821" s="46" t="str">
        <f ca="1">IFERROR(__xludf.DUMMYFUNCTION("""COMPUTED_VALUE"""),"WAITSTAFF")</f>
        <v>WAITSTAFF</v>
      </c>
      <c r="L821" s="46" t="str">
        <f ca="1">IFERROR(__xludf.DUMMYFUNCTION("""COMPUTED_VALUE"""),"PTE")</f>
        <v>PTE</v>
      </c>
      <c r="M821" s="46" t="str">
        <f ca="1">IFERROR(__xludf.DUMMYFUNCTION("""COMPUTED_VALUE"""),"Leave")</f>
        <v>Leave</v>
      </c>
      <c r="N821" s="46" t="str">
        <f ca="1">IFERROR(__xludf.DUMMYFUNCTION("""COMPUTED_VALUE"""),"đủ")</f>
        <v>đủ</v>
      </c>
    </row>
    <row r="822" spans="1:14">
      <c r="A822" s="45">
        <f ca="1">IFERROR(__xludf.DUMMYFUNCTION("""COMPUTED_VALUE"""),45706.625)</f>
        <v>45706.625</v>
      </c>
      <c r="B822" s="45">
        <f ca="1">IFERROR(__xludf.DUMMYFUNCTION("""COMPUTED_VALUE"""),46082.625)</f>
        <v>46082.625</v>
      </c>
      <c r="C822" s="46">
        <f ca="1">IFERROR(__xludf.DUMMYFUNCTION("""COMPUTED_VALUE"""),823)</f>
        <v>823</v>
      </c>
      <c r="D822" s="47" t="str">
        <f ca="1">IFERROR(__xludf.DUMMYFUNCTION("""COMPUTED_VALUE"""),"C0595")</f>
        <v>C0595</v>
      </c>
      <c r="E822" s="46" t="str">
        <f ca="1">IFERROR(__xludf.DUMMYFUNCTION("""COMPUTED_VALUE"""),"THÁI NGUYỄN BẢO YẾN")</f>
        <v>THÁI NGUYỄN BẢO YẾN</v>
      </c>
      <c r="F822" s="46" t="str">
        <f ca="1">IFERROR(__xludf.DUMMYFUNCTION("""COMPUTED_VALUE"""),"THAI NGUYEN BAO YEN")</f>
        <v>THAI NGUYEN BAO YEN</v>
      </c>
      <c r="G822" s="45">
        <f ca="1">IFERROR(__xludf.DUMMYFUNCTION("""COMPUTED_VALUE"""),36692.5833333333)</f>
        <v>36692.583333333299</v>
      </c>
      <c r="H822" s="45" t="str">
        <f ca="1">IFERROR(__xludf.DUMMYFUNCTION("""COMPUTED_VALUE"""),"YESHI")</f>
        <v>YESHI</v>
      </c>
      <c r="I822" s="46" t="str">
        <f ca="1">IFERROR(__xludf.DUMMYFUNCTION("""COMPUTED_VALUE"""),"STORE")</f>
        <v>STORE</v>
      </c>
      <c r="J822" s="46" t="str">
        <f ca="1">IFERROR(__xludf.DUMMYFUNCTION("""COMPUTED_VALUE"""),"YESHI D3")</f>
        <v>YESHI D3</v>
      </c>
      <c r="K822" s="46" t="str">
        <f ca="1">IFERROR(__xludf.DUMMYFUNCTION("""COMPUTED_VALUE"""),"KIT")</f>
        <v>KIT</v>
      </c>
      <c r="L822" s="46" t="str">
        <f ca="1">IFERROR(__xludf.DUMMYFUNCTION("""COMPUTED_VALUE"""),"FTE")</f>
        <v>FTE</v>
      </c>
      <c r="M822" s="46" t="str">
        <f ca="1">IFERROR(__xludf.DUMMYFUNCTION("""COMPUTED_VALUE"""),"Leave")</f>
        <v>Leave</v>
      </c>
      <c r="N822" s="46" t="str">
        <f ca="1">IFERROR(__xludf.DUMMYFUNCTION("""COMPUTED_VALUE"""),"đủ")</f>
        <v>đủ</v>
      </c>
    </row>
    <row r="823" spans="1:14">
      <c r="A823" s="45">
        <f ca="1">IFERROR(__xludf.DUMMYFUNCTION("""COMPUTED_VALUE"""),45706.625)</f>
        <v>45706.625</v>
      </c>
      <c r="B823" s="45"/>
      <c r="C823" s="46">
        <f ca="1">IFERROR(__xludf.DUMMYFUNCTION("""COMPUTED_VALUE"""),824)</f>
        <v>824</v>
      </c>
      <c r="D823" s="47" t="str">
        <f ca="1">IFERROR(__xludf.DUMMYFUNCTION("""COMPUTED_VALUE"""),"C0596")</f>
        <v>C0596</v>
      </c>
      <c r="E823" s="46" t="str">
        <f ca="1">IFERROR(__xludf.DUMMYFUNCTION("""COMPUTED_VALUE"""),"CAO NGUYÊN ĐAN THỊNH")</f>
        <v>CAO NGUYÊN ĐAN THỊNH</v>
      </c>
      <c r="F823" s="46" t="str">
        <f ca="1">IFERROR(__xludf.DUMMYFUNCTION("""COMPUTED_VALUE"""),"CAO NGUYEN DAN THINH")</f>
        <v>CAO NGUYEN DAN THINH</v>
      </c>
      <c r="G823" s="45">
        <f ca="1">IFERROR(__xludf.DUMMYFUNCTION("""COMPUTED_VALUE"""),36440.5833333333)</f>
        <v>36440.583333333299</v>
      </c>
      <c r="H823" s="45" t="str">
        <f ca="1">IFERROR(__xludf.DUMMYFUNCTION("""COMPUTED_VALUE"""),"YESHI")</f>
        <v>YESHI</v>
      </c>
      <c r="I823" s="46" t="str">
        <f ca="1">IFERROR(__xludf.DUMMYFUNCTION("""COMPUTED_VALUE"""),"STORE")</f>
        <v>STORE</v>
      </c>
      <c r="J823" s="46" t="str">
        <f ca="1">IFERROR(__xludf.DUMMYFUNCTION("""COMPUTED_VALUE"""),"YESHI D2")</f>
        <v>YESHI D2</v>
      </c>
      <c r="K823" s="46" t="str">
        <f ca="1">IFERROR(__xludf.DUMMYFUNCTION("""COMPUTED_VALUE"""),"KIT")</f>
        <v>KIT</v>
      </c>
      <c r="L823" s="46" t="str">
        <f ca="1">IFERROR(__xludf.DUMMYFUNCTION("""COMPUTED_VALUE"""),"FTE")</f>
        <v>FTE</v>
      </c>
      <c r="M823" s="46" t="str">
        <f ca="1">IFERROR(__xludf.DUMMYFUNCTION("""COMPUTED_VALUE"""),"On")</f>
        <v>On</v>
      </c>
      <c r="N823" s="46" t="str">
        <f ca="1">IFERROR(__xludf.DUMMYFUNCTION("""COMPUTED_VALUE"""),"đủ")</f>
        <v>đủ</v>
      </c>
    </row>
    <row r="824" spans="1:14">
      <c r="A824" s="45">
        <f ca="1">IFERROR(__xludf.DUMMYFUNCTION("""COMPUTED_VALUE"""),45708.625)</f>
        <v>45708.625</v>
      </c>
      <c r="B824" s="45">
        <f ca="1">IFERROR(__xludf.DUMMYFUNCTION("""COMPUTED_VALUE"""),45931.5833333333)</f>
        <v>45931.583333333299</v>
      </c>
      <c r="C824" s="46">
        <f ca="1">IFERROR(__xludf.DUMMYFUNCTION("""COMPUTED_VALUE"""),825)</f>
        <v>825</v>
      </c>
      <c r="D824" s="47" t="str">
        <f ca="1">IFERROR(__xludf.DUMMYFUNCTION("""COMPUTED_VALUE"""),"C0597")</f>
        <v>C0597</v>
      </c>
      <c r="E824" s="46" t="str">
        <f ca="1">IFERROR(__xludf.DUMMYFUNCTION("""COMPUTED_VALUE"""),"ĐẶNG BỬU KHOÁNH")</f>
        <v>ĐẶNG BỬU KHOÁNH</v>
      </c>
      <c r="F824" s="46" t="str">
        <f ca="1">IFERROR(__xludf.DUMMYFUNCTION("""COMPUTED_VALUE"""),"DANG BUU KHOANH")</f>
        <v>DANG BUU KHOANH</v>
      </c>
      <c r="G824" s="45">
        <f ca="1">IFERROR(__xludf.DUMMYFUNCTION("""COMPUTED_VALUE"""),36801.5833333333)</f>
        <v>36801.583333333299</v>
      </c>
      <c r="H824" s="45" t="str">
        <f ca="1">IFERROR(__xludf.DUMMYFUNCTION("""COMPUTED_VALUE"""),"MATTE")</f>
        <v>MATTE</v>
      </c>
      <c r="I824" s="46" t="str">
        <f ca="1">IFERROR(__xludf.DUMMYFUNCTION("""COMPUTED_VALUE"""),"STORE")</f>
        <v>STORE</v>
      </c>
      <c r="J824" s="46" t="str">
        <f ca="1">IFERROR(__xludf.DUMMYFUNCTION("""COMPUTED_VALUE"""),"MATTE D7")</f>
        <v>MATTE D7</v>
      </c>
      <c r="K824" s="46" t="str">
        <f ca="1">IFERROR(__xludf.DUMMYFUNCTION("""COMPUTED_VALUE"""),"BAR")</f>
        <v>BAR</v>
      </c>
      <c r="L824" s="46" t="str">
        <f ca="1">IFERROR(__xludf.DUMMYFUNCTION("""COMPUTED_VALUE"""),"PTE")</f>
        <v>PTE</v>
      </c>
      <c r="M824" s="46" t="str">
        <f ca="1">IFERROR(__xludf.DUMMYFUNCTION("""COMPUTED_VALUE"""),"Leave")</f>
        <v>Leave</v>
      </c>
      <c r="N824" s="46" t="str">
        <f ca="1">IFERROR(__xludf.DUMMYFUNCTION("""COMPUTED_VALUE"""),"đủ")</f>
        <v>đủ</v>
      </c>
    </row>
    <row r="825" spans="1:14">
      <c r="A825" s="45">
        <f ca="1">IFERROR(__xludf.DUMMYFUNCTION("""COMPUTED_VALUE"""),45707.625)</f>
        <v>45707.625</v>
      </c>
      <c r="B825" s="45">
        <f ca="1">IFERROR(__xludf.DUMMYFUNCTION("""COMPUTED_VALUE"""),45724.625)</f>
        <v>45724.625</v>
      </c>
      <c r="C825" s="46">
        <f ca="1">IFERROR(__xludf.DUMMYFUNCTION("""COMPUTED_VALUE"""),826)</f>
        <v>826</v>
      </c>
      <c r="D825" s="47" t="str">
        <f ca="1">IFERROR(__xludf.DUMMYFUNCTION("""COMPUTED_VALUE"""),"C0598")</f>
        <v>C0598</v>
      </c>
      <c r="E825" s="46" t="str">
        <f ca="1">IFERROR(__xludf.DUMMYFUNCTION("""COMPUTED_VALUE"""),"TRỊNH TUYẾT NHI")</f>
        <v>TRỊNH TUYẾT NHI</v>
      </c>
      <c r="F825" s="46" t="str">
        <f ca="1">IFERROR(__xludf.DUMMYFUNCTION("""COMPUTED_VALUE"""),"TRINH TUYET NHI")</f>
        <v>TRINH TUYET NHI</v>
      </c>
      <c r="G825" s="45">
        <f ca="1">IFERROR(__xludf.DUMMYFUNCTION("""COMPUTED_VALUE"""),36528.625)</f>
        <v>36528.625</v>
      </c>
      <c r="H825" s="45" t="str">
        <f ca="1">IFERROR(__xludf.DUMMYFUNCTION("""COMPUTED_VALUE"""),"MATTE")</f>
        <v>MATTE</v>
      </c>
      <c r="I825" s="46" t="str">
        <f ca="1">IFERROR(__xludf.DUMMYFUNCTION("""COMPUTED_VALUE"""),"STORE")</f>
        <v>STORE</v>
      </c>
      <c r="J825" s="46" t="str">
        <f ca="1">IFERROR(__xludf.DUMMYFUNCTION("""COMPUTED_VALUE"""),"MATTE D7")</f>
        <v>MATTE D7</v>
      </c>
      <c r="K825" s="46" t="str">
        <f ca="1">IFERROR(__xludf.DUMMYFUNCTION("""COMPUTED_VALUE"""),"BAR")</f>
        <v>BAR</v>
      </c>
      <c r="L825" s="46" t="str">
        <f ca="1">IFERROR(__xludf.DUMMYFUNCTION("""COMPUTED_VALUE"""),"PRO")</f>
        <v>PRO</v>
      </c>
      <c r="M825" s="46" t="str">
        <f ca="1">IFERROR(__xludf.DUMMYFUNCTION("""COMPUTED_VALUE"""),"Leave")</f>
        <v>Leave</v>
      </c>
      <c r="N825" s="46" t="str">
        <f ca="1">IFERROR(__xludf.DUMMYFUNCTION("""COMPUTED_VALUE"""),"đủ")</f>
        <v>đủ</v>
      </c>
    </row>
    <row r="826" spans="1:14">
      <c r="A826" s="45">
        <f ca="1">IFERROR(__xludf.DUMMYFUNCTION("""COMPUTED_VALUE"""),45768.5833333333)</f>
        <v>45768.583333333299</v>
      </c>
      <c r="B826" s="45"/>
      <c r="C826" s="46">
        <f ca="1">IFERROR(__xludf.DUMMYFUNCTION("""COMPUTED_VALUE"""),827)</f>
        <v>827</v>
      </c>
      <c r="D826" s="47" t="str">
        <f ca="1">IFERROR(__xludf.DUMMYFUNCTION("""COMPUTED_VALUE"""),"C0599")</f>
        <v>C0599</v>
      </c>
      <c r="E826" s="46" t="str">
        <f ca="1">IFERROR(__xludf.DUMMYFUNCTION("""COMPUTED_VALUE"""),"VĂN TRẦN TRÚC THƯ")</f>
        <v>VĂN TRẦN TRÚC THƯ</v>
      </c>
      <c r="F826" s="46" t="str">
        <f ca="1">IFERROR(__xludf.DUMMYFUNCTION("""COMPUTED_VALUE"""),"VAN TRAN TRUC THU")</f>
        <v>VAN TRAN TRUC THU</v>
      </c>
      <c r="G826" s="45">
        <f ca="1">IFERROR(__xludf.DUMMYFUNCTION("""COMPUTED_VALUE"""),36543.625)</f>
        <v>36543.625</v>
      </c>
      <c r="H826" s="45" t="str">
        <f ca="1">IFERROR(__xludf.DUMMYFUNCTION("""COMPUTED_VALUE"""),"BAKES")</f>
        <v>BAKES</v>
      </c>
      <c r="I826" s="46" t="str">
        <f ca="1">IFERROR(__xludf.DUMMYFUNCTION("""COMPUTED_VALUE"""),"HO")</f>
        <v>HO</v>
      </c>
      <c r="J826" s="46" t="str">
        <f ca="1">IFERROR(__xludf.DUMMYFUNCTION("""COMPUTED_VALUE"""),"CUS")</f>
        <v>CUS</v>
      </c>
      <c r="K826" s="46" t="str">
        <f ca="1">IFERROR(__xludf.DUMMYFUNCTION("""COMPUTED_VALUE"""),"CUS")</f>
        <v>CUS</v>
      </c>
      <c r="L826" s="46" t="str">
        <f ca="1">IFERROR(__xludf.DUMMYFUNCTION("""COMPUTED_VALUE"""),"PTE")</f>
        <v>PTE</v>
      </c>
      <c r="M826" s="46" t="str">
        <f ca="1">IFERROR(__xludf.DUMMYFUNCTION("""COMPUTED_VALUE"""),"On")</f>
        <v>On</v>
      </c>
      <c r="N826" s="46" t="str">
        <f ca="1">IFERROR(__xludf.DUMMYFUNCTION("""COMPUTED_VALUE"""),"đủ")</f>
        <v>đủ</v>
      </c>
    </row>
    <row r="827" spans="1:14">
      <c r="A827" s="45">
        <f ca="1">IFERROR(__xludf.DUMMYFUNCTION("""COMPUTED_VALUE"""),45705.625)</f>
        <v>45705.625</v>
      </c>
      <c r="B827" s="45">
        <f ca="1">IFERROR(__xludf.DUMMYFUNCTION("""COMPUTED_VALUE"""),45682.625)</f>
        <v>45682.625</v>
      </c>
      <c r="C827" s="46">
        <f ca="1">IFERROR(__xludf.DUMMYFUNCTION("""COMPUTED_VALUE"""),828)</f>
        <v>828</v>
      </c>
      <c r="D827" s="47" t="str">
        <f ca="1">IFERROR(__xludf.DUMMYFUNCTION("""COMPUTED_VALUE"""),"C0600")</f>
        <v>C0600</v>
      </c>
      <c r="E827" s="46" t="str">
        <f ca="1">IFERROR(__xludf.DUMMYFUNCTION("""COMPUTED_VALUE"""),"NGUYỄN QUỐC HIẾU")</f>
        <v>NGUYỄN QUỐC HIẾU</v>
      </c>
      <c r="F827" s="46" t="str">
        <f ca="1">IFERROR(__xludf.DUMMYFUNCTION("""COMPUTED_VALUE"""),"NGUYEN QUOC HIEU")</f>
        <v>NGUYEN QUOC HIEU</v>
      </c>
      <c r="G827" s="45">
        <f ca="1">IFERROR(__xludf.DUMMYFUNCTION("""COMPUTED_VALUE"""),35245.5833333333)</f>
        <v>35245.583333333299</v>
      </c>
      <c r="H827" s="45" t="str">
        <f ca="1">IFERROR(__xludf.DUMMYFUNCTION("""COMPUTED_VALUE"""),"BAKES")</f>
        <v>BAKES</v>
      </c>
      <c r="I827" s="46" t="str">
        <f ca="1">IFERROR(__xludf.DUMMYFUNCTION("""COMPUTED_VALUE"""),"STORE")</f>
        <v>STORE</v>
      </c>
      <c r="J827" s="46" t="str">
        <f ca="1">IFERROR(__xludf.DUMMYFUNCTION("""COMPUTED_VALUE"""),"BAKES D9")</f>
        <v>BAKES D9</v>
      </c>
      <c r="K827" s="46" t="str">
        <f ca="1">IFERROR(__xludf.DUMMYFUNCTION("""COMPUTED_VALUE"""),"BAR")</f>
        <v>BAR</v>
      </c>
      <c r="L827" s="46" t="str">
        <f ca="1">IFERROR(__xludf.DUMMYFUNCTION("""COMPUTED_VALUE"""),"PTE")</f>
        <v>PTE</v>
      </c>
      <c r="M827" s="46" t="str">
        <f ca="1">IFERROR(__xludf.DUMMYFUNCTION("""COMPUTED_VALUE"""),"Leave")</f>
        <v>Leave</v>
      </c>
      <c r="N827" s="46" t="str">
        <f ca="1">IFERROR(__xludf.DUMMYFUNCTION("""COMPUTED_VALUE"""),"chua nop")</f>
        <v>chua nop</v>
      </c>
    </row>
    <row r="828" spans="1:14">
      <c r="A828" s="45">
        <f ca="1">IFERROR(__xludf.DUMMYFUNCTION("""COMPUTED_VALUE"""),45706.625)</f>
        <v>45706.625</v>
      </c>
      <c r="B828" s="45">
        <f ca="1">IFERROR(__xludf.DUMMYFUNCTION("""COMPUTED_VALUE"""),45845.5833333333)</f>
        <v>45845.583333333299</v>
      </c>
      <c r="C828" s="46">
        <f ca="1">IFERROR(__xludf.DUMMYFUNCTION("""COMPUTED_VALUE"""),829)</f>
        <v>829</v>
      </c>
      <c r="D828" s="47" t="str">
        <f ca="1">IFERROR(__xludf.DUMMYFUNCTION("""COMPUTED_VALUE"""),"C0601")</f>
        <v>C0601</v>
      </c>
      <c r="E828" s="46" t="str">
        <f ca="1">IFERROR(__xludf.DUMMYFUNCTION("""COMPUTED_VALUE"""),"NGHIÊM TUẤN KIỆT")</f>
        <v>NGHIÊM TUẤN KIỆT</v>
      </c>
      <c r="F828" s="46" t="str">
        <f ca="1">IFERROR(__xludf.DUMMYFUNCTION("""COMPUTED_VALUE"""),"NGHIEM TUAN KIET")</f>
        <v>NGHIEM TUAN KIET</v>
      </c>
      <c r="G828" s="45">
        <f ca="1">IFERROR(__xludf.DUMMYFUNCTION("""COMPUTED_VALUE"""),38089.5833333333)</f>
        <v>38089.583333333299</v>
      </c>
      <c r="H828" s="45" t="str">
        <f ca="1">IFERROR(__xludf.DUMMYFUNCTION("""COMPUTED_VALUE"""),"TLC")</f>
        <v>TLC</v>
      </c>
      <c r="I828" s="46" t="str">
        <f ca="1">IFERROR(__xludf.DUMMYFUNCTION("""COMPUTED_VALUE"""),"STORE")</f>
        <v>STORE</v>
      </c>
      <c r="J828" s="46" t="str">
        <f ca="1">IFERROR(__xludf.DUMMYFUNCTION("""COMPUTED_VALUE"""),"BAKES HCR")</f>
        <v>BAKES HCR</v>
      </c>
      <c r="K828" s="46" t="str">
        <f ca="1">IFERROR(__xludf.DUMMYFUNCTION("""COMPUTED_VALUE"""),"WAITSTAFF")</f>
        <v>WAITSTAFF</v>
      </c>
      <c r="L828" s="46" t="str">
        <f ca="1">IFERROR(__xludf.DUMMYFUNCTION("""COMPUTED_VALUE"""),"PTE")</f>
        <v>PTE</v>
      </c>
      <c r="M828" s="46" t="str">
        <f ca="1">IFERROR(__xludf.DUMMYFUNCTION("""COMPUTED_VALUE"""),"Leave")</f>
        <v>Leave</v>
      </c>
      <c r="N828" s="46" t="str">
        <f ca="1">IFERROR(__xludf.DUMMYFUNCTION("""COMPUTED_VALUE"""),"đủ")</f>
        <v>đủ</v>
      </c>
    </row>
    <row r="829" spans="1:14">
      <c r="A829" s="45">
        <f ca="1">IFERROR(__xludf.DUMMYFUNCTION("""COMPUTED_VALUE"""),45707.625)</f>
        <v>45707.625</v>
      </c>
      <c r="B829" s="45">
        <f ca="1">IFERROR(__xludf.DUMMYFUNCTION("""COMPUTED_VALUE"""),45711.625)</f>
        <v>45711.625</v>
      </c>
      <c r="C829" s="46">
        <f ca="1">IFERROR(__xludf.DUMMYFUNCTION("""COMPUTED_VALUE"""),830)</f>
        <v>830</v>
      </c>
      <c r="D829" s="47" t="str">
        <f ca="1">IFERROR(__xludf.DUMMYFUNCTION("""COMPUTED_VALUE"""),"C0602")</f>
        <v>C0602</v>
      </c>
      <c r="E829" s="46" t="str">
        <f ca="1">IFERROR(__xludf.DUMMYFUNCTION("""COMPUTED_VALUE"""),"NGUYỄN TIẾN MINH QUÝ")</f>
        <v>NGUYỄN TIẾN MINH QUÝ</v>
      </c>
      <c r="F829" s="46" t="str">
        <f ca="1">IFERROR(__xludf.DUMMYFUNCTION("""COMPUTED_VALUE"""),"NGUYEN TIEN MINH QUY")</f>
        <v>NGUYEN TIEN MINH QUY</v>
      </c>
      <c r="G829" s="45">
        <f ca="1">IFERROR(__xludf.DUMMYFUNCTION("""COMPUTED_VALUE"""),37991.625)</f>
        <v>37991.625</v>
      </c>
      <c r="H829" s="45" t="str">
        <f ca="1">IFERROR(__xludf.DUMMYFUNCTION("""COMPUTED_VALUE"""),"BAKES")</f>
        <v>BAKES</v>
      </c>
      <c r="I829" s="46" t="str">
        <f ca="1">IFERROR(__xludf.DUMMYFUNCTION("""COMPUTED_VALUE"""),"STORE")</f>
        <v>STORE</v>
      </c>
      <c r="J829" s="46" t="str">
        <f ca="1">IFERROR(__xludf.DUMMYFUNCTION("""COMPUTED_VALUE"""),"BAKES D2")</f>
        <v>BAKES D2</v>
      </c>
      <c r="K829" s="46" t="str">
        <f ca="1">IFERROR(__xludf.DUMMYFUNCTION("""COMPUTED_VALUE"""),"WAITSTAFF")</f>
        <v>WAITSTAFF</v>
      </c>
      <c r="L829" s="46" t="str">
        <f ca="1">IFERROR(__xludf.DUMMYFUNCTION("""COMPUTED_VALUE"""),"PTE")</f>
        <v>PTE</v>
      </c>
      <c r="M829" s="46" t="str">
        <f ca="1">IFERROR(__xludf.DUMMYFUNCTION("""COMPUTED_VALUE"""),"Leave")</f>
        <v>Leave</v>
      </c>
      <c r="N829" s="46" t="str">
        <f ca="1">IFERROR(__xludf.DUMMYFUNCTION("""COMPUTED_VALUE"""),"chua nop")</f>
        <v>chua nop</v>
      </c>
    </row>
    <row r="830" spans="1:14">
      <c r="A830" s="45">
        <f ca="1">IFERROR(__xludf.DUMMYFUNCTION("""COMPUTED_VALUE"""),45707.625)</f>
        <v>45707.625</v>
      </c>
      <c r="B830" s="45">
        <f ca="1">IFERROR(__xludf.DUMMYFUNCTION("""COMPUTED_VALUE"""),45709.625)</f>
        <v>45709.625</v>
      </c>
      <c r="C830" s="46">
        <f ca="1">IFERROR(__xludf.DUMMYFUNCTION("""COMPUTED_VALUE"""),831)</f>
        <v>831</v>
      </c>
      <c r="D830" s="47" t="str">
        <f ca="1">IFERROR(__xludf.DUMMYFUNCTION("""COMPUTED_VALUE"""),"C0603")</f>
        <v>C0603</v>
      </c>
      <c r="E830" s="46" t="str">
        <f ca="1">IFERROR(__xludf.DUMMYFUNCTION("""COMPUTED_VALUE"""),"NGUYỄN ANH KHOA")</f>
        <v>NGUYỄN ANH KHOA</v>
      </c>
      <c r="F830" s="46" t="str">
        <f ca="1">IFERROR(__xludf.DUMMYFUNCTION("""COMPUTED_VALUE"""),"NGUYEN ANH KHOA")</f>
        <v>NGUYEN ANH KHOA</v>
      </c>
      <c r="G830" s="45">
        <f ca="1">IFERROR(__xludf.DUMMYFUNCTION("""COMPUTED_VALUE"""),38382.625)</f>
        <v>38382.625</v>
      </c>
      <c r="H830" s="45" t="str">
        <f ca="1">IFERROR(__xludf.DUMMYFUNCTION("""COMPUTED_VALUE"""),"BAKES")</f>
        <v>BAKES</v>
      </c>
      <c r="I830" s="46" t="str">
        <f ca="1">IFERROR(__xludf.DUMMYFUNCTION("""COMPUTED_VALUE"""),"STORE")</f>
        <v>STORE</v>
      </c>
      <c r="J830" s="46" t="str">
        <f ca="1">IFERROR(__xludf.DUMMYFUNCTION("""COMPUTED_VALUE"""),"BAKES D2")</f>
        <v>BAKES D2</v>
      </c>
      <c r="K830" s="46" t="str">
        <f ca="1">IFERROR(__xludf.DUMMYFUNCTION("""COMPUTED_VALUE"""),"WAITSTAFF")</f>
        <v>WAITSTAFF</v>
      </c>
      <c r="L830" s="46" t="str">
        <f ca="1">IFERROR(__xludf.DUMMYFUNCTION("""COMPUTED_VALUE"""),"PTE")</f>
        <v>PTE</v>
      </c>
      <c r="M830" s="46" t="str">
        <f ca="1">IFERROR(__xludf.DUMMYFUNCTION("""COMPUTED_VALUE"""),"Leave")</f>
        <v>Leave</v>
      </c>
      <c r="N830" s="46" t="str">
        <f ca="1">IFERROR(__xludf.DUMMYFUNCTION("""COMPUTED_VALUE"""),"chua nop")</f>
        <v>chua nop</v>
      </c>
    </row>
    <row r="831" spans="1:14">
      <c r="A831" s="45">
        <f ca="1">IFERROR(__xludf.DUMMYFUNCTION("""COMPUTED_VALUE"""),45699.625)</f>
        <v>45699.625</v>
      </c>
      <c r="B831" s="45">
        <f ca="1">IFERROR(__xludf.DUMMYFUNCTION("""COMPUTED_VALUE"""),45713.625)</f>
        <v>45713.625</v>
      </c>
      <c r="C831" s="46">
        <f ca="1">IFERROR(__xludf.DUMMYFUNCTION("""COMPUTED_VALUE"""),832)</f>
        <v>832</v>
      </c>
      <c r="D831" s="47" t="str">
        <f ca="1">IFERROR(__xludf.DUMMYFUNCTION("""COMPUTED_VALUE"""),"C0604")</f>
        <v>C0604</v>
      </c>
      <c r="E831" s="46" t="str">
        <f ca="1">IFERROR(__xludf.DUMMYFUNCTION("""COMPUTED_VALUE"""),"TRẦN VĂN NĂM")</f>
        <v>TRẦN VĂN NĂM</v>
      </c>
      <c r="F831" s="46" t="str">
        <f ca="1">IFERROR(__xludf.DUMMYFUNCTION("""COMPUTED_VALUE"""),"TRAN VAN NAM")</f>
        <v>TRAN VAN NAM</v>
      </c>
      <c r="G831" s="45">
        <f ca="1">IFERROR(__xludf.DUMMYFUNCTION("""COMPUTED_VALUE"""),35913.5833333333)</f>
        <v>35913.583333333299</v>
      </c>
      <c r="H831" s="45" t="str">
        <f ca="1">IFERROR(__xludf.DUMMYFUNCTION("""COMPUTED_VALUE"""),"YESHI")</f>
        <v>YESHI</v>
      </c>
      <c r="I831" s="46" t="str">
        <f ca="1">IFERROR(__xludf.DUMMYFUNCTION("""COMPUTED_VALUE"""),"STORE")</f>
        <v>STORE</v>
      </c>
      <c r="J831" s="46" t="str">
        <f ca="1">IFERROR(__xludf.DUMMYFUNCTION("""COMPUTED_VALUE"""),"YESHI D2")</f>
        <v>YESHI D2</v>
      </c>
      <c r="K831" s="46" t="str">
        <f ca="1">IFERROR(__xludf.DUMMYFUNCTION("""COMPUTED_VALUE"""),"KIT")</f>
        <v>KIT</v>
      </c>
      <c r="L831" s="46" t="str">
        <f ca="1">IFERROR(__xludf.DUMMYFUNCTION("""COMPUTED_VALUE"""),"PTE")</f>
        <v>PTE</v>
      </c>
      <c r="M831" s="46" t="str">
        <f ca="1">IFERROR(__xludf.DUMMYFUNCTION("""COMPUTED_VALUE"""),"Leave")</f>
        <v>Leave</v>
      </c>
      <c r="N831" s="46" t="str">
        <f ca="1">IFERROR(__xludf.DUMMYFUNCTION("""COMPUTED_VALUE"""),"đủ")</f>
        <v>đủ</v>
      </c>
    </row>
    <row r="832" spans="1:14">
      <c r="A832" s="45">
        <f ca="1">IFERROR(__xludf.DUMMYFUNCTION("""COMPUTED_VALUE"""),45713.625)</f>
        <v>45713.625</v>
      </c>
      <c r="B832" s="45">
        <f ca="1">IFERROR(__xludf.DUMMYFUNCTION("""COMPUTED_VALUE"""),45836.5833333333)</f>
        <v>45836.583333333299</v>
      </c>
      <c r="C832" s="46">
        <f ca="1">IFERROR(__xludf.DUMMYFUNCTION("""COMPUTED_VALUE"""),833)</f>
        <v>833</v>
      </c>
      <c r="D832" s="47" t="str">
        <f ca="1">IFERROR(__xludf.DUMMYFUNCTION("""COMPUTED_VALUE"""),"C0605")</f>
        <v>C0605</v>
      </c>
      <c r="E832" s="46" t="str">
        <f ca="1">IFERROR(__xludf.DUMMYFUNCTION("""COMPUTED_VALUE"""),"NGUYỄN HOÀNG PHƯƠNG VY")</f>
        <v>NGUYỄN HOÀNG PHƯƠNG VY</v>
      </c>
      <c r="F832" s="46" t="str">
        <f ca="1">IFERROR(__xludf.DUMMYFUNCTION("""COMPUTED_VALUE"""),"NGUYEN HOANG PHUONG VY")</f>
        <v>NGUYEN HOANG PHUONG VY</v>
      </c>
      <c r="G832" s="45">
        <f ca="1">IFERROR(__xludf.DUMMYFUNCTION("""COMPUTED_VALUE"""),37990.625)</f>
        <v>37990.625</v>
      </c>
      <c r="H832" s="45" t="str">
        <f ca="1">IFERROR(__xludf.DUMMYFUNCTION("""COMPUTED_VALUE"""),"SHADOW")</f>
        <v>SHADOW</v>
      </c>
      <c r="I832" s="46" t="str">
        <f ca="1">IFERROR(__xludf.DUMMYFUNCTION("""COMPUTED_VALUE"""),"STORE")</f>
        <v>STORE</v>
      </c>
      <c r="J832" s="46" t="str">
        <f ca="1">IFERROR(__xludf.DUMMYFUNCTION("""COMPUTED_VALUE"""),"BAKES PASTEUR")</f>
        <v>BAKES PASTEUR</v>
      </c>
      <c r="K832" s="46" t="str">
        <f ca="1">IFERROR(__xludf.DUMMYFUNCTION("""COMPUTED_VALUE"""),"WAITSTAFF")</f>
        <v>WAITSTAFF</v>
      </c>
      <c r="L832" s="46" t="str">
        <f ca="1">IFERROR(__xludf.DUMMYFUNCTION("""COMPUTED_VALUE"""),"FTE")</f>
        <v>FTE</v>
      </c>
      <c r="M832" s="46" t="str">
        <f ca="1">IFERROR(__xludf.DUMMYFUNCTION("""COMPUTED_VALUE"""),"Leave")</f>
        <v>Leave</v>
      </c>
      <c r="N832" s="46" t="str">
        <f ca="1">IFERROR(__xludf.DUMMYFUNCTION("""COMPUTED_VALUE"""),"đủ")</f>
        <v>đủ</v>
      </c>
    </row>
    <row r="833" spans="1:14">
      <c r="A833" s="45">
        <f ca="1">IFERROR(__xludf.DUMMYFUNCTION("""COMPUTED_VALUE"""),45702.625)</f>
        <v>45702.625</v>
      </c>
      <c r="B833" s="45"/>
      <c r="C833" s="46">
        <f ca="1">IFERROR(__xludf.DUMMYFUNCTION("""COMPUTED_VALUE"""),834)</f>
        <v>834</v>
      </c>
      <c r="D833" s="47" t="str">
        <f ca="1">IFERROR(__xludf.DUMMYFUNCTION("""COMPUTED_VALUE"""),"C0606")</f>
        <v>C0606</v>
      </c>
      <c r="E833" s="46" t="str">
        <f ca="1">IFERROR(__xludf.DUMMYFUNCTION("""COMPUTED_VALUE"""),"VÕ THỊ THƠM")</f>
        <v>VÕ THỊ THƠM</v>
      </c>
      <c r="F833" s="46" t="str">
        <f ca="1">IFERROR(__xludf.DUMMYFUNCTION("""COMPUTED_VALUE"""),"VO THI THOM")</f>
        <v>VO THI THOM</v>
      </c>
      <c r="G833" s="45">
        <f ca="1">IFERROR(__xludf.DUMMYFUNCTION("""COMPUTED_VALUE"""),25875.6666666666)</f>
        <v>25875.666666666599</v>
      </c>
      <c r="H833" s="45" t="str">
        <f ca="1">IFERROR(__xludf.DUMMYFUNCTION("""COMPUTED_VALUE"""),"KITCHEN PASTRY")</f>
        <v>KITCHEN PASTRY</v>
      </c>
      <c r="I833" s="46" t="str">
        <f ca="1">IFERROR(__xludf.DUMMYFUNCTION("""COMPUTED_VALUE"""),"KITCHEN PASTRY")</f>
        <v>KITCHEN PASTRY</v>
      </c>
      <c r="J833" s="46" t="str">
        <f ca="1">IFERROR(__xludf.DUMMYFUNCTION("""COMPUTED_VALUE"""),"KITCHEN PASTRY")</f>
        <v>KITCHEN PASTRY</v>
      </c>
      <c r="K833" s="46" t="str">
        <f ca="1">IFERROR(__xludf.DUMMYFUNCTION("""COMPUTED_VALUE"""),"CLEANER")</f>
        <v>CLEANER</v>
      </c>
      <c r="L833" s="46" t="str">
        <f ca="1">IFERROR(__xludf.DUMMYFUNCTION("""COMPUTED_VALUE"""),"FTE")</f>
        <v>FTE</v>
      </c>
      <c r="M833" s="46" t="str">
        <f ca="1">IFERROR(__xludf.DUMMYFUNCTION("""COMPUTED_VALUE"""),"On")</f>
        <v>On</v>
      </c>
      <c r="N833" s="46" t="str">
        <f ca="1">IFERROR(__xludf.DUMMYFUNCTION("""COMPUTED_VALUE"""),"đủ")</f>
        <v>đủ</v>
      </c>
    </row>
    <row r="834" spans="1:14">
      <c r="A834" s="45">
        <f ca="1">IFERROR(__xludf.DUMMYFUNCTION("""COMPUTED_VALUE"""),45697.625)</f>
        <v>45697.625</v>
      </c>
      <c r="B834" s="45">
        <f ca="1">IFERROR(__xludf.DUMMYFUNCTION("""COMPUTED_VALUE"""),45710.625)</f>
        <v>45710.625</v>
      </c>
      <c r="C834" s="46">
        <f ca="1">IFERROR(__xludf.DUMMYFUNCTION("""COMPUTED_VALUE"""),835)</f>
        <v>835</v>
      </c>
      <c r="D834" s="47" t="str">
        <f ca="1">IFERROR(__xludf.DUMMYFUNCTION("""COMPUTED_VALUE"""),"C0607")</f>
        <v>C0607</v>
      </c>
      <c r="E834" s="46" t="str">
        <f ca="1">IFERROR(__xludf.DUMMYFUNCTION("""COMPUTED_VALUE"""),"NGUYỄN THANH THANH")</f>
        <v>NGUYỄN THANH THANH</v>
      </c>
      <c r="F834" s="46" t="str">
        <f ca="1">IFERROR(__xludf.DUMMYFUNCTION("""COMPUTED_VALUE"""),"NGUYEN THANH THANH")</f>
        <v>NGUYEN THANH THANH</v>
      </c>
      <c r="G834" s="45">
        <f ca="1">IFERROR(__xludf.DUMMYFUNCTION("""COMPUTED_VALUE"""),26424.625)</f>
        <v>26424.625</v>
      </c>
      <c r="H834" s="45" t="str">
        <f ca="1">IFERROR(__xludf.DUMMYFUNCTION("""COMPUTED_VALUE"""),"KITCHEN PASTRY")</f>
        <v>KITCHEN PASTRY</v>
      </c>
      <c r="I834" s="46" t="str">
        <f ca="1">IFERROR(__xludf.DUMMYFUNCTION("""COMPUTED_VALUE"""),"KITCHEN PASTRY")</f>
        <v>KITCHEN PASTRY</v>
      </c>
      <c r="J834" s="46" t="str">
        <f ca="1">IFERROR(__xludf.DUMMYFUNCTION("""COMPUTED_VALUE"""),"KITCHEN PASTRY")</f>
        <v>KITCHEN PASTRY</v>
      </c>
      <c r="K834" s="46" t="str">
        <f ca="1">IFERROR(__xludf.DUMMYFUNCTION("""COMPUTED_VALUE"""),"CLEANER")</f>
        <v>CLEANER</v>
      </c>
      <c r="L834" s="46" t="str">
        <f ca="1">IFERROR(__xludf.DUMMYFUNCTION("""COMPUTED_VALUE"""),"PRO")</f>
        <v>PRO</v>
      </c>
      <c r="M834" s="46" t="str">
        <f ca="1">IFERROR(__xludf.DUMMYFUNCTION("""COMPUTED_VALUE"""),"Leave")</f>
        <v>Leave</v>
      </c>
      <c r="N834" s="46" t="str">
        <f ca="1">IFERROR(__xludf.DUMMYFUNCTION("""COMPUTED_VALUE"""),"đủ")</f>
        <v>đủ</v>
      </c>
    </row>
    <row r="835" spans="1:14">
      <c r="A835" s="45">
        <f ca="1">IFERROR(__xludf.DUMMYFUNCTION("""COMPUTED_VALUE"""),45698.625)</f>
        <v>45698.625</v>
      </c>
      <c r="B835" s="45">
        <f ca="1">IFERROR(__xludf.DUMMYFUNCTION("""COMPUTED_VALUE"""),45717.625)</f>
        <v>45717.625</v>
      </c>
      <c r="C835" s="46">
        <f ca="1">IFERROR(__xludf.DUMMYFUNCTION("""COMPUTED_VALUE"""),836)</f>
        <v>836</v>
      </c>
      <c r="D835" s="47" t="str">
        <f ca="1">IFERROR(__xludf.DUMMYFUNCTION("""COMPUTED_VALUE"""),"C0608")</f>
        <v>C0608</v>
      </c>
      <c r="E835" s="46" t="str">
        <f ca="1">IFERROR(__xludf.DUMMYFUNCTION("""COMPUTED_VALUE"""),"NGUYỄN THỊ THU")</f>
        <v>NGUYỄN THỊ THU</v>
      </c>
      <c r="F835" s="46" t="str">
        <f ca="1">IFERROR(__xludf.DUMMYFUNCTION("""COMPUTED_VALUE"""),"NGUYEN THI THU")</f>
        <v>NGUYEN THI THU</v>
      </c>
      <c r="G835" s="45">
        <f ca="1">IFERROR(__xludf.DUMMYFUNCTION("""COMPUTED_VALUE"""),21186.625)</f>
        <v>21186.625</v>
      </c>
      <c r="H835" s="45" t="str">
        <f ca="1">IFERROR(__xludf.DUMMYFUNCTION("""COMPUTED_VALUE"""),"KITCHEN PASTRY")</f>
        <v>KITCHEN PASTRY</v>
      </c>
      <c r="I835" s="46" t="str">
        <f ca="1">IFERROR(__xludf.DUMMYFUNCTION("""COMPUTED_VALUE"""),"KITCHEN PASTRY")</f>
        <v>KITCHEN PASTRY</v>
      </c>
      <c r="J835" s="46" t="str">
        <f ca="1">IFERROR(__xludf.DUMMYFUNCTION("""COMPUTED_VALUE"""),"KITCHEN PASTRY")</f>
        <v>KITCHEN PASTRY</v>
      </c>
      <c r="K835" s="46" t="str">
        <f ca="1">IFERROR(__xludf.DUMMYFUNCTION("""COMPUTED_VALUE"""),"CLEANER")</f>
        <v>CLEANER</v>
      </c>
      <c r="L835" s="46" t="str">
        <f ca="1">IFERROR(__xludf.DUMMYFUNCTION("""COMPUTED_VALUE"""),"PRO")</f>
        <v>PRO</v>
      </c>
      <c r="M835" s="46" t="str">
        <f ca="1">IFERROR(__xludf.DUMMYFUNCTION("""COMPUTED_VALUE"""),"Leave")</f>
        <v>Leave</v>
      </c>
      <c r="N835" s="46" t="str">
        <f ca="1">IFERROR(__xludf.DUMMYFUNCTION("""COMPUTED_VALUE"""),"đủ")</f>
        <v>đủ</v>
      </c>
    </row>
    <row r="836" spans="1:14">
      <c r="A836" s="45">
        <f ca="1">IFERROR(__xludf.DUMMYFUNCTION("""COMPUTED_VALUE"""),45712.625)</f>
        <v>45712.625</v>
      </c>
      <c r="B836" s="45">
        <f ca="1">IFERROR(__xludf.DUMMYFUNCTION("""COMPUTED_VALUE"""),45726.5833333333)</f>
        <v>45726.583333333299</v>
      </c>
      <c r="C836" s="46">
        <f ca="1">IFERROR(__xludf.DUMMYFUNCTION("""COMPUTED_VALUE"""),837)</f>
        <v>837</v>
      </c>
      <c r="D836" s="47" t="str">
        <f ca="1">IFERROR(__xludf.DUMMYFUNCTION("""COMPUTED_VALUE"""),"C0609")</f>
        <v>C0609</v>
      </c>
      <c r="E836" s="46" t="str">
        <f ca="1">IFERROR(__xludf.DUMMYFUNCTION("""COMPUTED_VALUE"""),"TRƯƠNG MINH TIẾN")</f>
        <v>TRƯƠNG MINH TIẾN</v>
      </c>
      <c r="F836" s="46" t="str">
        <f ca="1">IFERROR(__xludf.DUMMYFUNCTION("""COMPUTED_VALUE"""),"TRUONG MINH TIEN")</f>
        <v>TRUONG MINH TIEN</v>
      </c>
      <c r="G836" s="45">
        <f ca="1">IFERROR(__xludf.DUMMYFUNCTION("""COMPUTED_VALUE"""),36335.5833333333)</f>
        <v>36335.583333333299</v>
      </c>
      <c r="H836" s="45" t="str">
        <f ca="1">IFERROR(__xludf.DUMMYFUNCTION("""COMPUTED_VALUE"""),"KITCHEN PASTRY")</f>
        <v>KITCHEN PASTRY</v>
      </c>
      <c r="I836" s="46" t="str">
        <f ca="1">IFERROR(__xludf.DUMMYFUNCTION("""COMPUTED_VALUE"""),"KITCHEN PASTRY")</f>
        <v>KITCHEN PASTRY</v>
      </c>
      <c r="J836" s="46" t="str">
        <f ca="1">IFERROR(__xludf.DUMMYFUNCTION("""COMPUTED_VALUE"""),"KITCHEN PASTRY")</f>
        <v>KITCHEN PASTRY</v>
      </c>
      <c r="K836" s="46" t="str">
        <f ca="1">IFERROR(__xludf.DUMMYFUNCTION("""COMPUTED_VALUE"""),"BAKER")</f>
        <v>BAKER</v>
      </c>
      <c r="L836" s="46" t="str">
        <f ca="1">IFERROR(__xludf.DUMMYFUNCTION("""COMPUTED_VALUE"""),"PTE")</f>
        <v>PTE</v>
      </c>
      <c r="M836" s="46" t="str">
        <f ca="1">IFERROR(__xludf.DUMMYFUNCTION("""COMPUTED_VALUE"""),"Leave")</f>
        <v>Leave</v>
      </c>
      <c r="N836" s="46" t="str">
        <f ca="1">IFERROR(__xludf.DUMMYFUNCTION("""COMPUTED_VALUE"""),"chua nop")</f>
        <v>chua nop</v>
      </c>
    </row>
    <row r="837" spans="1:14">
      <c r="A837" s="45">
        <f ca="1">IFERROR(__xludf.DUMMYFUNCTION("""COMPUTED_VALUE"""),45713.625)</f>
        <v>45713.625</v>
      </c>
      <c r="B837" s="45">
        <f ca="1">IFERROR(__xludf.DUMMYFUNCTION("""COMPUTED_VALUE"""),45796.5833333333)</f>
        <v>45796.583333333299</v>
      </c>
      <c r="C837" s="46">
        <f ca="1">IFERROR(__xludf.DUMMYFUNCTION("""COMPUTED_VALUE"""),838)</f>
        <v>838</v>
      </c>
      <c r="D837" s="47" t="str">
        <f ca="1">IFERROR(__xludf.DUMMYFUNCTION("""COMPUTED_VALUE"""),"C0610")</f>
        <v>C0610</v>
      </c>
      <c r="E837" s="46" t="str">
        <f ca="1">IFERROR(__xludf.DUMMYFUNCTION("""COMPUTED_VALUE"""),"PHẠM THỊ BÍCH VÂN")</f>
        <v>PHẠM THỊ BÍCH VÂN</v>
      </c>
      <c r="F837" s="46" t="str">
        <f ca="1">IFERROR(__xludf.DUMMYFUNCTION("""COMPUTED_VALUE"""),"PHAM THI BICH VAN")</f>
        <v>PHAM THI BICH VAN</v>
      </c>
      <c r="G837" s="45">
        <f ca="1">IFERROR(__xludf.DUMMYFUNCTION("""COMPUTED_VALUE"""),33103.5833333333)</f>
        <v>33103.583333333299</v>
      </c>
      <c r="H837" s="45" t="str">
        <f ca="1">IFERROR(__xludf.DUMMYFUNCTION("""COMPUTED_VALUE"""),"KITCHEN PASTRY")</f>
        <v>KITCHEN PASTRY</v>
      </c>
      <c r="I837" s="46" t="str">
        <f ca="1">IFERROR(__xludf.DUMMYFUNCTION("""COMPUTED_VALUE"""),"KITCHEN PASTRY")</f>
        <v>KITCHEN PASTRY</v>
      </c>
      <c r="J837" s="46" t="str">
        <f ca="1">IFERROR(__xludf.DUMMYFUNCTION("""COMPUTED_VALUE"""),"KITCHEN PASTRY")</f>
        <v>KITCHEN PASTRY</v>
      </c>
      <c r="K837" s="46" t="str">
        <f ca="1">IFERROR(__xludf.DUMMYFUNCTION("""COMPUTED_VALUE"""),"PASTRY")</f>
        <v>PASTRY</v>
      </c>
      <c r="L837" s="46" t="str">
        <f ca="1">IFERROR(__xludf.DUMMYFUNCTION("""COMPUTED_VALUE"""),"FTE")</f>
        <v>FTE</v>
      </c>
      <c r="M837" s="46" t="str">
        <f ca="1">IFERROR(__xludf.DUMMYFUNCTION("""COMPUTED_VALUE"""),"Leave")</f>
        <v>Leave</v>
      </c>
      <c r="N837" s="46" t="str">
        <f ca="1">IFERROR(__xludf.DUMMYFUNCTION("""COMPUTED_VALUE"""),"đủ")</f>
        <v>đủ</v>
      </c>
    </row>
    <row r="838" spans="1:14">
      <c r="A838" s="45">
        <f ca="1">IFERROR(__xludf.DUMMYFUNCTION("""COMPUTED_VALUE"""),45712.625)</f>
        <v>45712.625</v>
      </c>
      <c r="B838" s="45">
        <f ca="1">IFERROR(__xludf.DUMMYFUNCTION("""COMPUTED_VALUE"""),45744.5833333333)</f>
        <v>45744.583333333299</v>
      </c>
      <c r="C838" s="46">
        <f ca="1">IFERROR(__xludf.DUMMYFUNCTION("""COMPUTED_VALUE"""),839)</f>
        <v>839</v>
      </c>
      <c r="D838" s="47" t="str">
        <f ca="1">IFERROR(__xludf.DUMMYFUNCTION("""COMPUTED_VALUE"""),"C0611")</f>
        <v>C0611</v>
      </c>
      <c r="E838" s="46" t="str">
        <f ca="1">IFERROR(__xludf.DUMMYFUNCTION("""COMPUTED_VALUE"""),"NGUYỄN MỸ HẠNH")</f>
        <v>NGUYỄN MỸ HẠNH</v>
      </c>
      <c r="F838" s="46" t="str">
        <f ca="1">IFERROR(__xludf.DUMMYFUNCTION("""COMPUTED_VALUE"""),"NGUYEN MY HANH")</f>
        <v>NGUYEN MY HANH</v>
      </c>
      <c r="G838" s="45">
        <f ca="1">IFERROR(__xludf.DUMMYFUNCTION("""COMPUTED_VALUE"""),32138.625)</f>
        <v>32138.625</v>
      </c>
      <c r="H838" s="45" t="str">
        <f ca="1">IFERROR(__xludf.DUMMYFUNCTION("""COMPUTED_VALUE"""),"KITCHEN PASTRY")</f>
        <v>KITCHEN PASTRY</v>
      </c>
      <c r="I838" s="46" t="str">
        <f ca="1">IFERROR(__xludf.DUMMYFUNCTION("""COMPUTED_VALUE"""),"KITCHEN PASTRY")</f>
        <v>KITCHEN PASTRY</v>
      </c>
      <c r="J838" s="46" t="str">
        <f ca="1">IFERROR(__xludf.DUMMYFUNCTION("""COMPUTED_VALUE"""),"KITCHEN PASTRY")</f>
        <v>KITCHEN PASTRY</v>
      </c>
      <c r="K838" s="46" t="str">
        <f ca="1">IFERROR(__xludf.DUMMYFUNCTION("""COMPUTED_VALUE"""),"PASTRY")</f>
        <v>PASTRY</v>
      </c>
      <c r="L838" s="46" t="str">
        <f ca="1">IFERROR(__xludf.DUMMYFUNCTION("""COMPUTED_VALUE"""),"PTE")</f>
        <v>PTE</v>
      </c>
      <c r="M838" s="46" t="str">
        <f ca="1">IFERROR(__xludf.DUMMYFUNCTION("""COMPUTED_VALUE"""),"Leave")</f>
        <v>Leave</v>
      </c>
      <c r="N838" s="46" t="str">
        <f ca="1">IFERROR(__xludf.DUMMYFUNCTION("""COMPUTED_VALUE"""),"đủ")</f>
        <v>đủ</v>
      </c>
    </row>
    <row r="839" spans="1:14">
      <c r="A839" s="45">
        <f ca="1">IFERROR(__xludf.DUMMYFUNCTION("""COMPUTED_VALUE"""),45712.625)</f>
        <v>45712.625</v>
      </c>
      <c r="B839" s="45">
        <f ca="1">IFERROR(__xludf.DUMMYFUNCTION("""COMPUTED_VALUE"""),45717.625)</f>
        <v>45717.625</v>
      </c>
      <c r="C839" s="46">
        <f ca="1">IFERROR(__xludf.DUMMYFUNCTION("""COMPUTED_VALUE"""),840)</f>
        <v>840</v>
      </c>
      <c r="D839" s="47" t="str">
        <f ca="1">IFERROR(__xludf.DUMMYFUNCTION("""COMPUTED_VALUE"""),"C0612")</f>
        <v>C0612</v>
      </c>
      <c r="E839" s="46" t="str">
        <f ca="1">IFERROR(__xludf.DUMMYFUNCTION("""COMPUTED_VALUE"""),"NGUYỄN HƯNG THỊNH")</f>
        <v>NGUYỄN HƯNG THỊNH</v>
      </c>
      <c r="F839" s="46" t="str">
        <f ca="1">IFERROR(__xludf.DUMMYFUNCTION("""COMPUTED_VALUE"""),"NGUYEN HUNG THINH")</f>
        <v>NGUYEN HUNG THINH</v>
      </c>
      <c r="G839" s="45">
        <f ca="1">IFERROR(__xludf.DUMMYFUNCTION("""COMPUTED_VALUE"""),36542.625)</f>
        <v>36542.625</v>
      </c>
      <c r="H839" s="45" t="str">
        <f ca="1">IFERROR(__xludf.DUMMYFUNCTION("""COMPUTED_VALUE"""),"KITCHEN PASTRY")</f>
        <v>KITCHEN PASTRY</v>
      </c>
      <c r="I839" s="46" t="str">
        <f ca="1">IFERROR(__xludf.DUMMYFUNCTION("""COMPUTED_VALUE"""),"KITCHEN PASTRY")</f>
        <v>KITCHEN PASTRY</v>
      </c>
      <c r="J839" s="46" t="str">
        <f ca="1">IFERROR(__xludf.DUMMYFUNCTION("""COMPUTED_VALUE"""),"KITCHEN PASTRY")</f>
        <v>KITCHEN PASTRY</v>
      </c>
      <c r="K839" s="46" t="str">
        <f ca="1">IFERROR(__xludf.DUMMYFUNCTION("""COMPUTED_VALUE"""),"PASTRY")</f>
        <v>PASTRY</v>
      </c>
      <c r="L839" s="46" t="str">
        <f ca="1">IFERROR(__xludf.DUMMYFUNCTION("""COMPUTED_VALUE"""),"PTE")</f>
        <v>PTE</v>
      </c>
      <c r="M839" s="46" t="str">
        <f ca="1">IFERROR(__xludf.DUMMYFUNCTION("""COMPUTED_VALUE"""),"Leave")</f>
        <v>Leave</v>
      </c>
      <c r="N839" s="46" t="str">
        <f ca="1">IFERROR(__xludf.DUMMYFUNCTION("""COMPUTED_VALUE"""),"chua nop")</f>
        <v>chua nop</v>
      </c>
    </row>
    <row r="840" spans="1:14">
      <c r="A840" s="45">
        <f ca="1">IFERROR(__xludf.DUMMYFUNCTION("""COMPUTED_VALUE"""),45713.625)</f>
        <v>45713.625</v>
      </c>
      <c r="B840" s="45">
        <f ca="1">IFERROR(__xludf.DUMMYFUNCTION("""COMPUTED_VALUE"""),45838.5833333333)</f>
        <v>45838.583333333299</v>
      </c>
      <c r="C840" s="46">
        <f ca="1">IFERROR(__xludf.DUMMYFUNCTION("""COMPUTED_VALUE"""),841)</f>
        <v>841</v>
      </c>
      <c r="D840" s="47" t="str">
        <f ca="1">IFERROR(__xludf.DUMMYFUNCTION("""COMPUTED_VALUE"""),"C0613")</f>
        <v>C0613</v>
      </c>
      <c r="E840" s="46" t="str">
        <f ca="1">IFERROR(__xludf.DUMMYFUNCTION("""COMPUTED_VALUE"""),"LÊ NGUYỄN KIỀU MY")</f>
        <v>LÊ NGUYỄN KIỀU MY</v>
      </c>
      <c r="F840" s="46" t="str">
        <f ca="1">IFERROR(__xludf.DUMMYFUNCTION("""COMPUTED_VALUE"""),"LE NGUYEN KIEU MY")</f>
        <v>LE NGUYEN KIEU MY</v>
      </c>
      <c r="G840" s="45">
        <f ca="1">IFERROR(__xludf.DUMMYFUNCTION("""COMPUTED_VALUE"""),38075.625)</f>
        <v>38075.625</v>
      </c>
      <c r="H840" s="45" t="str">
        <f ca="1">IFERROR(__xludf.DUMMYFUNCTION("""COMPUTED_VALUE"""),"BAKES")</f>
        <v>BAKES</v>
      </c>
      <c r="I840" s="46" t="str">
        <f ca="1">IFERROR(__xludf.DUMMYFUNCTION("""COMPUTED_VALUE"""),"STORE")</f>
        <v>STORE</v>
      </c>
      <c r="J840" s="46" t="str">
        <f ca="1">IFERROR(__xludf.DUMMYFUNCTION("""COMPUTED_VALUE"""),"BAKES D7")</f>
        <v>BAKES D7</v>
      </c>
      <c r="K840" s="46" t="str">
        <f ca="1">IFERROR(__xludf.DUMMYFUNCTION("""COMPUTED_VALUE"""),"WAITSTAFF")</f>
        <v>WAITSTAFF</v>
      </c>
      <c r="L840" s="46" t="str">
        <f ca="1">IFERROR(__xludf.DUMMYFUNCTION("""COMPUTED_VALUE"""),"PTE")</f>
        <v>PTE</v>
      </c>
      <c r="M840" s="46" t="str">
        <f ca="1">IFERROR(__xludf.DUMMYFUNCTION("""COMPUTED_VALUE"""),"Leave")</f>
        <v>Leave</v>
      </c>
      <c r="N840" s="46" t="str">
        <f ca="1">IFERROR(__xludf.DUMMYFUNCTION("""COMPUTED_VALUE"""),"đủ")</f>
        <v>đủ</v>
      </c>
    </row>
    <row r="841" spans="1:14">
      <c r="A841" s="45">
        <f ca="1">IFERROR(__xludf.DUMMYFUNCTION("""COMPUTED_VALUE"""),45712.625)</f>
        <v>45712.625</v>
      </c>
      <c r="B841" s="45">
        <f ca="1">IFERROR(__xludf.DUMMYFUNCTION("""COMPUTED_VALUE"""),45962.5833333333)</f>
        <v>45962.583333333299</v>
      </c>
      <c r="C841" s="46">
        <f ca="1">IFERROR(__xludf.DUMMYFUNCTION("""COMPUTED_VALUE"""),842)</f>
        <v>842</v>
      </c>
      <c r="D841" s="47" t="str">
        <f ca="1">IFERROR(__xludf.DUMMYFUNCTION("""COMPUTED_VALUE"""),"C0614")</f>
        <v>C0614</v>
      </c>
      <c r="E841" s="46" t="str">
        <f ca="1">IFERROR(__xludf.DUMMYFUNCTION("""COMPUTED_VALUE"""),"NGÔ HẢI NAM")</f>
        <v>NGÔ HẢI NAM</v>
      </c>
      <c r="F841" s="46" t="str">
        <f ca="1">IFERROR(__xludf.DUMMYFUNCTION("""COMPUTED_VALUE"""),"NGO HAI NAM")</f>
        <v>NGO HAI NAM</v>
      </c>
      <c r="G841" s="45">
        <f ca="1">IFERROR(__xludf.DUMMYFUNCTION("""COMPUTED_VALUE"""),38279.5833333333)</f>
        <v>38279.583333333299</v>
      </c>
      <c r="H841" s="45" t="str">
        <f ca="1">IFERROR(__xludf.DUMMYFUNCTION("""COMPUTED_VALUE"""),"MATTE")</f>
        <v>MATTE</v>
      </c>
      <c r="I841" s="46" t="str">
        <f ca="1">IFERROR(__xludf.DUMMYFUNCTION("""COMPUTED_VALUE"""),"STORE")</f>
        <v>STORE</v>
      </c>
      <c r="J841" s="46" t="str">
        <f ca="1">IFERROR(__xludf.DUMMYFUNCTION("""COMPUTED_VALUE"""),"MATTE D1")</f>
        <v>MATTE D1</v>
      </c>
      <c r="K841" s="46" t="str">
        <f ca="1">IFERROR(__xludf.DUMMYFUNCTION("""COMPUTED_VALUE"""),"BAR")</f>
        <v>BAR</v>
      </c>
      <c r="L841" s="46" t="str">
        <f ca="1">IFERROR(__xludf.DUMMYFUNCTION("""COMPUTED_VALUE"""),"PTE")</f>
        <v>PTE</v>
      </c>
      <c r="M841" s="46" t="str">
        <f ca="1">IFERROR(__xludf.DUMMYFUNCTION("""COMPUTED_VALUE"""),"Leave")</f>
        <v>Leave</v>
      </c>
      <c r="N841" s="46" t="str">
        <f ca="1">IFERROR(__xludf.DUMMYFUNCTION("""COMPUTED_VALUE"""),"đủ")</f>
        <v>đủ</v>
      </c>
    </row>
    <row r="842" spans="1:14">
      <c r="A842" s="45">
        <f ca="1">IFERROR(__xludf.DUMMYFUNCTION("""COMPUTED_VALUE"""),45714.625)</f>
        <v>45714.625</v>
      </c>
      <c r="B842" s="45">
        <f ca="1">IFERROR(__xludf.DUMMYFUNCTION("""COMPUTED_VALUE"""),45778.5833333333)</f>
        <v>45778.583333333299</v>
      </c>
      <c r="C842" s="46">
        <f ca="1">IFERROR(__xludf.DUMMYFUNCTION("""COMPUTED_VALUE"""),843)</f>
        <v>843</v>
      </c>
      <c r="D842" s="47" t="str">
        <f ca="1">IFERROR(__xludf.DUMMYFUNCTION("""COMPUTED_VALUE"""),"C0615")</f>
        <v>C0615</v>
      </c>
      <c r="E842" s="46" t="str">
        <f ca="1">IFERROR(__xludf.DUMMYFUNCTION("""COMPUTED_VALUE"""),"VÕ DUY QUANG")</f>
        <v>VÕ DUY QUANG</v>
      </c>
      <c r="F842" s="46" t="str">
        <f ca="1">IFERROR(__xludf.DUMMYFUNCTION("""COMPUTED_VALUE"""),"VO DUY QUANG")</f>
        <v>VO DUY QUANG</v>
      </c>
      <c r="G842" s="45">
        <f ca="1">IFERROR(__xludf.DUMMYFUNCTION("""COMPUTED_VALUE"""),37864.5833333333)</f>
        <v>37864.583333333299</v>
      </c>
      <c r="H842" s="45" t="str">
        <f ca="1">IFERROR(__xludf.DUMMYFUNCTION("""COMPUTED_VALUE"""),"SHADOW")</f>
        <v>SHADOW</v>
      </c>
      <c r="I842" s="46" t="str">
        <f ca="1">IFERROR(__xludf.DUMMYFUNCTION("""COMPUTED_VALUE"""),"STORE")</f>
        <v>STORE</v>
      </c>
      <c r="J842" s="46" t="str">
        <f ca="1">IFERROR(__xludf.DUMMYFUNCTION("""COMPUTED_VALUE"""),"BAKES PASTEUR")</f>
        <v>BAKES PASTEUR</v>
      </c>
      <c r="K842" s="46" t="str">
        <f ca="1">IFERROR(__xludf.DUMMYFUNCTION("""COMPUTED_VALUE"""),"WAITSTAFF")</f>
        <v>WAITSTAFF</v>
      </c>
      <c r="L842" s="46" t="str">
        <f ca="1">IFERROR(__xludf.DUMMYFUNCTION("""COMPUTED_VALUE"""),"PTE")</f>
        <v>PTE</v>
      </c>
      <c r="M842" s="46" t="str">
        <f ca="1">IFERROR(__xludf.DUMMYFUNCTION("""COMPUTED_VALUE"""),"Leave")</f>
        <v>Leave</v>
      </c>
      <c r="N842" s="46" t="str">
        <f ca="1">IFERROR(__xludf.DUMMYFUNCTION("""COMPUTED_VALUE"""),"đủ")</f>
        <v>đủ</v>
      </c>
    </row>
    <row r="843" spans="1:14">
      <c r="A843" s="45">
        <f ca="1">IFERROR(__xludf.DUMMYFUNCTION("""COMPUTED_VALUE"""),45719.625)</f>
        <v>45719.625</v>
      </c>
      <c r="B843" s="45">
        <f ca="1">IFERROR(__xludf.DUMMYFUNCTION("""COMPUTED_VALUE"""),45748.5833333333)</f>
        <v>45748.583333333299</v>
      </c>
      <c r="C843" s="46">
        <f ca="1">IFERROR(__xludf.DUMMYFUNCTION("""COMPUTED_VALUE"""),844)</f>
        <v>844</v>
      </c>
      <c r="D843" s="47" t="str">
        <f ca="1">IFERROR(__xludf.DUMMYFUNCTION("""COMPUTED_VALUE"""),"C0616")</f>
        <v>C0616</v>
      </c>
      <c r="E843" s="46" t="str">
        <f ca="1">IFERROR(__xludf.DUMMYFUNCTION("""COMPUTED_VALUE"""),"NGUYỄN QUẾ HƯƠNG")</f>
        <v>NGUYỄN QUẾ HƯƠNG</v>
      </c>
      <c r="F843" s="46" t="str">
        <f ca="1">IFERROR(__xludf.DUMMYFUNCTION("""COMPUTED_VALUE"""),"NGUYEN QUE HUONG")</f>
        <v>NGUYEN QUE HUONG</v>
      </c>
      <c r="G843" s="45">
        <f ca="1">IFERROR(__xludf.DUMMYFUNCTION("""COMPUTED_VALUE"""),36293.5833333333)</f>
        <v>36293.583333333299</v>
      </c>
      <c r="H843" s="45" t="str">
        <f ca="1">IFERROR(__xludf.DUMMYFUNCTION("""COMPUTED_VALUE"""),"TLC")</f>
        <v>TLC</v>
      </c>
      <c r="I843" s="46" t="str">
        <f ca="1">IFERROR(__xludf.DUMMYFUNCTION("""COMPUTED_VALUE"""),"STORE")</f>
        <v>STORE</v>
      </c>
      <c r="J843" s="46" t="str">
        <f ca="1">IFERROR(__xludf.DUMMYFUNCTION("""COMPUTED_VALUE"""),"BLANK LOUNGE")</f>
        <v>BLANK LOUNGE</v>
      </c>
      <c r="K843" s="46" t="str">
        <f ca="1">IFERROR(__xludf.DUMMYFUNCTION("""COMPUTED_VALUE"""),"WAITSTAFF")</f>
        <v>WAITSTAFF</v>
      </c>
      <c r="L843" s="46" t="str">
        <f ca="1">IFERROR(__xludf.DUMMYFUNCTION("""COMPUTED_VALUE"""),"PTE")</f>
        <v>PTE</v>
      </c>
      <c r="M843" s="46" t="str">
        <f ca="1">IFERROR(__xludf.DUMMYFUNCTION("""COMPUTED_VALUE"""),"Leave")</f>
        <v>Leave</v>
      </c>
      <c r="N843" s="46" t="str">
        <f ca="1">IFERROR(__xludf.DUMMYFUNCTION("""COMPUTED_VALUE"""),"đủ")</f>
        <v>đủ</v>
      </c>
    </row>
    <row r="844" spans="1:14">
      <c r="A844" s="45">
        <f ca="1">IFERROR(__xludf.DUMMYFUNCTION("""COMPUTED_VALUE"""),45712.625)</f>
        <v>45712.625</v>
      </c>
      <c r="B844" s="45">
        <f ca="1">IFERROR(__xludf.DUMMYFUNCTION("""COMPUTED_VALUE"""),45942.5833333333)</f>
        <v>45942.583333333299</v>
      </c>
      <c r="C844" s="46">
        <f ca="1">IFERROR(__xludf.DUMMYFUNCTION("""COMPUTED_VALUE"""),845)</f>
        <v>845</v>
      </c>
      <c r="D844" s="47" t="str">
        <f ca="1">IFERROR(__xludf.DUMMYFUNCTION("""COMPUTED_VALUE"""),"C0617")</f>
        <v>C0617</v>
      </c>
      <c r="E844" s="46" t="str">
        <f ca="1">IFERROR(__xludf.DUMMYFUNCTION("""COMPUTED_VALUE"""),"CAO ĐẠI GIA HY")</f>
        <v>CAO ĐẠI GIA HY</v>
      </c>
      <c r="F844" s="46" t="str">
        <f ca="1">IFERROR(__xludf.DUMMYFUNCTION("""COMPUTED_VALUE"""),"CAO DAI GIA HY")</f>
        <v>CAO DAI GIA HY</v>
      </c>
      <c r="G844" s="45">
        <f ca="1">IFERROR(__xludf.DUMMYFUNCTION("""COMPUTED_VALUE"""),36726.5833333333)</f>
        <v>36726.583333333299</v>
      </c>
      <c r="H844" s="45" t="str">
        <f ca="1">IFERROR(__xludf.DUMMYFUNCTION("""COMPUTED_VALUE"""),"KITCHEN PASTRY")</f>
        <v>KITCHEN PASTRY</v>
      </c>
      <c r="I844" s="46" t="str">
        <f ca="1">IFERROR(__xludf.DUMMYFUNCTION("""COMPUTED_VALUE"""),"KITCHEN PASTRY")</f>
        <v>KITCHEN PASTRY</v>
      </c>
      <c r="J844" s="46" t="str">
        <f ca="1">IFERROR(__xludf.DUMMYFUNCTION("""COMPUTED_VALUE"""),"KITCHEN PASTRY")</f>
        <v>KITCHEN PASTRY</v>
      </c>
      <c r="K844" s="46" t="str">
        <f ca="1">IFERROR(__xludf.DUMMYFUNCTION("""COMPUTED_VALUE"""),"PASTRY")</f>
        <v>PASTRY</v>
      </c>
      <c r="L844" s="46" t="str">
        <f ca="1">IFERROR(__xludf.DUMMYFUNCTION("""COMPUTED_VALUE"""),"FTE")</f>
        <v>FTE</v>
      </c>
      <c r="M844" s="46" t="str">
        <f ca="1">IFERROR(__xludf.DUMMYFUNCTION("""COMPUTED_VALUE"""),"Leave")</f>
        <v>Leave</v>
      </c>
      <c r="N844" s="46" t="str">
        <f ca="1">IFERROR(__xludf.DUMMYFUNCTION("""COMPUTED_VALUE"""),"đủ")</f>
        <v>đủ</v>
      </c>
    </row>
    <row r="845" spans="1:14">
      <c r="A845" s="45">
        <f ca="1">IFERROR(__xludf.DUMMYFUNCTION("""COMPUTED_VALUE"""),45712.625)</f>
        <v>45712.625</v>
      </c>
      <c r="B845" s="45">
        <f ca="1">IFERROR(__xludf.DUMMYFUNCTION("""COMPUTED_VALUE"""),45714.625)</f>
        <v>45714.625</v>
      </c>
      <c r="C845" s="46">
        <f ca="1">IFERROR(__xludf.DUMMYFUNCTION("""COMPUTED_VALUE"""),846)</f>
        <v>846</v>
      </c>
      <c r="D845" s="47" t="str">
        <f ca="1">IFERROR(__xludf.DUMMYFUNCTION("""COMPUTED_VALUE"""),"C0618")</f>
        <v>C0618</v>
      </c>
      <c r="E845" s="46" t="str">
        <f ca="1">IFERROR(__xludf.DUMMYFUNCTION("""COMPUTED_VALUE"""),"ĐOÀN MINH HOÀNG")</f>
        <v>ĐOÀN MINH HOÀNG</v>
      </c>
      <c r="F845" s="46" t="str">
        <f ca="1">IFERROR(__xludf.DUMMYFUNCTION("""COMPUTED_VALUE"""),"DOAN MINH HOANG")</f>
        <v>DOAN MINH HOANG</v>
      </c>
      <c r="G845" s="45">
        <f ca="1">IFERROR(__xludf.DUMMYFUNCTION("""COMPUTED_VALUE"""),36884.625)</f>
        <v>36884.625</v>
      </c>
      <c r="H845" s="45" t="str">
        <f ca="1">IFERROR(__xludf.DUMMYFUNCTION("""COMPUTED_VALUE"""),"TLC")</f>
        <v>TLC</v>
      </c>
      <c r="I845" s="46" t="str">
        <f ca="1">IFERROR(__xludf.DUMMYFUNCTION("""COMPUTED_VALUE"""),"STORE")</f>
        <v>STORE</v>
      </c>
      <c r="J845" s="46" t="str">
        <f ca="1">IFERROR(__xludf.DUMMYFUNCTION("""COMPUTED_VALUE"""),"BLANK LOUNGE")</f>
        <v>BLANK LOUNGE</v>
      </c>
      <c r="K845" s="46" t="str">
        <f ca="1">IFERROR(__xludf.DUMMYFUNCTION("""COMPUTED_VALUE"""),"WAITSTAFF")</f>
        <v>WAITSTAFF</v>
      </c>
      <c r="L845" s="46" t="str">
        <f ca="1">IFERROR(__xludf.DUMMYFUNCTION("""COMPUTED_VALUE"""),"PTE")</f>
        <v>PTE</v>
      </c>
      <c r="M845" s="46" t="str">
        <f ca="1">IFERROR(__xludf.DUMMYFUNCTION("""COMPUTED_VALUE"""),"Leave")</f>
        <v>Leave</v>
      </c>
      <c r="N845" s="46" t="str">
        <f ca="1">IFERROR(__xludf.DUMMYFUNCTION("""COMPUTED_VALUE"""),"đủ")</f>
        <v>đủ</v>
      </c>
    </row>
    <row r="846" spans="1:14">
      <c r="A846" s="45">
        <f ca="1">IFERROR(__xludf.DUMMYFUNCTION("""COMPUTED_VALUE"""),45714.625)</f>
        <v>45714.625</v>
      </c>
      <c r="B846" s="45">
        <f ca="1">IFERROR(__xludf.DUMMYFUNCTION("""COMPUTED_VALUE"""),45989.625)</f>
        <v>45989.625</v>
      </c>
      <c r="C846" s="46">
        <f ca="1">IFERROR(__xludf.DUMMYFUNCTION("""COMPUTED_VALUE"""),847)</f>
        <v>847</v>
      </c>
      <c r="D846" s="47" t="str">
        <f ca="1">IFERROR(__xludf.DUMMYFUNCTION("""COMPUTED_VALUE"""),"C0619")</f>
        <v>C0619</v>
      </c>
      <c r="E846" s="46" t="str">
        <f ca="1">IFERROR(__xludf.DUMMYFUNCTION("""COMPUTED_VALUE"""),"HÀ ĐẶNG UYÊN VY")</f>
        <v>HÀ ĐẶNG UYÊN VY</v>
      </c>
      <c r="F846" s="46" t="str">
        <f ca="1">IFERROR(__xludf.DUMMYFUNCTION("""COMPUTED_VALUE"""),"HA DANG UYEN VY")</f>
        <v>HA DANG UYEN VY</v>
      </c>
      <c r="G846" s="45">
        <f ca="1">IFERROR(__xludf.DUMMYFUNCTION("""COMPUTED_VALUE"""),35881.625)</f>
        <v>35881.625</v>
      </c>
      <c r="H846" s="45" t="str">
        <f ca="1">IFERROR(__xludf.DUMMYFUNCTION("""COMPUTED_VALUE"""),"KITCHEN PASTRY")</f>
        <v>KITCHEN PASTRY</v>
      </c>
      <c r="I846" s="46" t="str">
        <f ca="1">IFERROR(__xludf.DUMMYFUNCTION("""COMPUTED_VALUE"""),"KITCHEN PASTRY")</f>
        <v>KITCHEN PASTRY</v>
      </c>
      <c r="J846" s="46" t="str">
        <f ca="1">IFERROR(__xludf.DUMMYFUNCTION("""COMPUTED_VALUE"""),"KITCHEN PASTRY")</f>
        <v>KITCHEN PASTRY</v>
      </c>
      <c r="K846" s="46" t="str">
        <f ca="1">IFERROR(__xludf.DUMMYFUNCTION("""COMPUTED_VALUE"""),"PASTRY")</f>
        <v>PASTRY</v>
      </c>
      <c r="L846" s="46" t="str">
        <f ca="1">IFERROR(__xludf.DUMMYFUNCTION("""COMPUTED_VALUE"""),"FTE")</f>
        <v>FTE</v>
      </c>
      <c r="M846" s="46" t="str">
        <f ca="1">IFERROR(__xludf.DUMMYFUNCTION("""COMPUTED_VALUE"""),"Leave")</f>
        <v>Leave</v>
      </c>
      <c r="N846" s="46" t="str">
        <f ca="1">IFERROR(__xludf.DUMMYFUNCTION("""COMPUTED_VALUE"""),"đủ")</f>
        <v>đủ</v>
      </c>
    </row>
    <row r="847" spans="1:14">
      <c r="A847" s="45">
        <f ca="1">IFERROR(__xludf.DUMMYFUNCTION("""COMPUTED_VALUE"""),45818.5833333333)</f>
        <v>45818.583333333299</v>
      </c>
      <c r="B847" s="45">
        <f ca="1">IFERROR(__xludf.DUMMYFUNCTION("""COMPUTED_VALUE"""),45888.5833333333)</f>
        <v>45888.583333333299</v>
      </c>
      <c r="C847" s="46">
        <f ca="1">IFERROR(__xludf.DUMMYFUNCTION("""COMPUTED_VALUE"""),848)</f>
        <v>848</v>
      </c>
      <c r="D847" s="47" t="str">
        <f ca="1">IFERROR(__xludf.DUMMYFUNCTION("""COMPUTED_VALUE"""),"C0620")</f>
        <v>C0620</v>
      </c>
      <c r="E847" s="46" t="str">
        <f ca="1">IFERROR(__xludf.DUMMYFUNCTION("""COMPUTED_VALUE"""),"LÊ NGỌC ANH QUÂN")</f>
        <v>LÊ NGỌC ANH QUÂN</v>
      </c>
      <c r="F847" s="46" t="str">
        <f ca="1">IFERROR(__xludf.DUMMYFUNCTION("""COMPUTED_VALUE"""),"LE NGOC ANH QUAN")</f>
        <v>LE NGOC ANH QUAN</v>
      </c>
      <c r="G847" s="45">
        <f ca="1">IFERROR(__xludf.DUMMYFUNCTION("""COMPUTED_VALUE"""),38256.5833333333)</f>
        <v>38256.583333333299</v>
      </c>
      <c r="H847" s="45" t="str">
        <f ca="1">IFERROR(__xludf.DUMMYFUNCTION("""COMPUTED_VALUE"""),"YESHI")</f>
        <v>YESHI</v>
      </c>
      <c r="I847" s="46" t="str">
        <f ca="1">IFERROR(__xludf.DUMMYFUNCTION("""COMPUTED_VALUE"""),"STORE")</f>
        <v>STORE</v>
      </c>
      <c r="J847" s="46" t="str">
        <f ca="1">IFERROR(__xludf.DUMMYFUNCTION("""COMPUTED_VALUE"""),"YESHI D2")</f>
        <v>YESHI D2</v>
      </c>
      <c r="K847" s="46" t="str">
        <f ca="1">IFERROR(__xludf.DUMMYFUNCTION("""COMPUTED_VALUE"""),"WAITSTAFF")</f>
        <v>WAITSTAFF</v>
      </c>
      <c r="L847" s="46" t="str">
        <f ca="1">IFERROR(__xludf.DUMMYFUNCTION("""COMPUTED_VALUE"""),"PTE")</f>
        <v>PTE</v>
      </c>
      <c r="M847" s="46" t="str">
        <f ca="1">IFERROR(__xludf.DUMMYFUNCTION("""COMPUTED_VALUE"""),"Leave")</f>
        <v>Leave</v>
      </c>
      <c r="N847" s="46" t="str">
        <f ca="1">IFERROR(__xludf.DUMMYFUNCTION("""COMPUTED_VALUE"""),"đủ")</f>
        <v>đủ</v>
      </c>
    </row>
    <row r="848" spans="1:14">
      <c r="A848" s="45">
        <f ca="1">IFERROR(__xludf.DUMMYFUNCTION("""COMPUTED_VALUE"""),45717.625)</f>
        <v>45717.625</v>
      </c>
      <c r="B848" s="45"/>
      <c r="C848" s="46">
        <f ca="1">IFERROR(__xludf.DUMMYFUNCTION("""COMPUTED_VALUE"""),849)</f>
        <v>849</v>
      </c>
      <c r="D848" s="47" t="str">
        <f ca="1">IFERROR(__xludf.DUMMYFUNCTION("""COMPUTED_VALUE"""),"C0621")</f>
        <v>C0621</v>
      </c>
      <c r="E848" s="46" t="str">
        <f ca="1">IFERROR(__xludf.DUMMYFUNCTION("""COMPUTED_VALUE"""),"NGUYỄN VĂN VIỆT")</f>
        <v>NGUYỄN VĂN VIỆT</v>
      </c>
      <c r="F848" s="46" t="str">
        <f ca="1">IFERROR(__xludf.DUMMYFUNCTION("""COMPUTED_VALUE"""),"NGUYEN VAN VIET")</f>
        <v>NGUYEN VAN VIET</v>
      </c>
      <c r="G848" s="45">
        <f ca="1">IFERROR(__xludf.DUMMYFUNCTION("""COMPUTED_VALUE"""),38069.625)</f>
        <v>38069.625</v>
      </c>
      <c r="H848" s="45" t="str">
        <f ca="1">IFERROR(__xludf.DUMMYFUNCTION("""COMPUTED_VALUE"""),"YESHI")</f>
        <v>YESHI</v>
      </c>
      <c r="I848" s="46" t="str">
        <f ca="1">IFERROR(__xludf.DUMMYFUNCTION("""COMPUTED_VALUE"""),"STORE")</f>
        <v>STORE</v>
      </c>
      <c r="J848" s="46" t="str">
        <f ca="1">IFERROR(__xludf.DUMMYFUNCTION("""COMPUTED_VALUE"""),"YESHI D2")</f>
        <v>YESHI D2</v>
      </c>
      <c r="K848" s="46" t="str">
        <f ca="1">IFERROR(__xludf.DUMMYFUNCTION("""COMPUTED_VALUE"""),"KIT")</f>
        <v>KIT</v>
      </c>
      <c r="L848" s="46" t="str">
        <f ca="1">IFERROR(__xludf.DUMMYFUNCTION("""COMPUTED_VALUE"""),"PTE")</f>
        <v>PTE</v>
      </c>
      <c r="M848" s="46" t="str">
        <f ca="1">IFERROR(__xludf.DUMMYFUNCTION("""COMPUTED_VALUE"""),"On")</f>
        <v>On</v>
      </c>
      <c r="N848" s="46" t="str">
        <f ca="1">IFERROR(__xludf.DUMMYFUNCTION("""COMPUTED_VALUE"""),"đủ")</f>
        <v>đủ</v>
      </c>
    </row>
    <row r="849" spans="1:14">
      <c r="A849" s="45">
        <f ca="1">IFERROR(__xludf.DUMMYFUNCTION("""COMPUTED_VALUE"""),45717.625)</f>
        <v>45717.625</v>
      </c>
      <c r="B849" s="45">
        <f ca="1">IFERROR(__xludf.DUMMYFUNCTION("""COMPUTED_VALUE"""),45985.625)</f>
        <v>45985.625</v>
      </c>
      <c r="C849" s="46">
        <f ca="1">IFERROR(__xludf.DUMMYFUNCTION("""COMPUTED_VALUE"""),850)</f>
        <v>850</v>
      </c>
      <c r="D849" s="47" t="str">
        <f ca="1">IFERROR(__xludf.DUMMYFUNCTION("""COMPUTED_VALUE"""),"C0622")</f>
        <v>C0622</v>
      </c>
      <c r="E849" s="46" t="str">
        <f ca="1">IFERROR(__xludf.DUMMYFUNCTION("""COMPUTED_VALUE"""),"NGÔ LÊ DUY")</f>
        <v>NGÔ LÊ DUY</v>
      </c>
      <c r="F849" s="46" t="str">
        <f ca="1">IFERROR(__xludf.DUMMYFUNCTION("""COMPUTED_VALUE"""),"NGO LE DUY")</f>
        <v>NGO LE DUY</v>
      </c>
      <c r="G849" s="45">
        <f ca="1">IFERROR(__xludf.DUMMYFUNCTION("""COMPUTED_VALUE"""),38050.625)</f>
        <v>38050.625</v>
      </c>
      <c r="H849" s="45" t="str">
        <f ca="1">IFERROR(__xludf.DUMMYFUNCTION("""COMPUTED_VALUE"""),"BAKES")</f>
        <v>BAKES</v>
      </c>
      <c r="I849" s="46" t="str">
        <f ca="1">IFERROR(__xludf.DUMMYFUNCTION("""COMPUTED_VALUE"""),"STORE")</f>
        <v>STORE</v>
      </c>
      <c r="J849" s="46" t="str">
        <f ca="1">IFERROR(__xludf.DUMMYFUNCTION("""COMPUTED_VALUE"""),"BAKES D2")</f>
        <v>BAKES D2</v>
      </c>
      <c r="K849" s="46" t="str">
        <f ca="1">IFERROR(__xludf.DUMMYFUNCTION("""COMPUTED_VALUE"""),"CASHIER")</f>
        <v>CASHIER</v>
      </c>
      <c r="L849" s="46" t="str">
        <f ca="1">IFERROR(__xludf.DUMMYFUNCTION("""COMPUTED_VALUE"""),"PTE")</f>
        <v>PTE</v>
      </c>
      <c r="M849" s="46" t="str">
        <f ca="1">IFERROR(__xludf.DUMMYFUNCTION("""COMPUTED_VALUE"""),"Leave")</f>
        <v>Leave</v>
      </c>
      <c r="N849" s="46" t="str">
        <f ca="1">IFERROR(__xludf.DUMMYFUNCTION("""COMPUTED_VALUE"""),"đủ")</f>
        <v>đủ</v>
      </c>
    </row>
    <row r="850" spans="1:14">
      <c r="A850" s="45">
        <f ca="1">IFERROR(__xludf.DUMMYFUNCTION("""COMPUTED_VALUE"""),45720.625)</f>
        <v>45720.625</v>
      </c>
      <c r="B850" s="45"/>
      <c r="C850" s="46">
        <f ca="1">IFERROR(__xludf.DUMMYFUNCTION("""COMPUTED_VALUE"""),851)</f>
        <v>851</v>
      </c>
      <c r="D850" s="47" t="str">
        <f ca="1">IFERROR(__xludf.DUMMYFUNCTION("""COMPUTED_VALUE"""),"C0623")</f>
        <v>C0623</v>
      </c>
      <c r="E850" s="46" t="str">
        <f ca="1">IFERROR(__xludf.DUMMYFUNCTION("""COMPUTED_VALUE"""),"NGUYỄN TUẤN ANH")</f>
        <v>NGUYỄN TUẤN ANH</v>
      </c>
      <c r="F850" s="46" t="str">
        <f ca="1">IFERROR(__xludf.DUMMYFUNCTION("""COMPUTED_VALUE"""),"NGUYEN TUAN ANH")</f>
        <v>NGUYEN TUAN ANH</v>
      </c>
      <c r="G850" s="45">
        <f ca="1">IFERROR(__xludf.DUMMYFUNCTION("""COMPUTED_VALUE"""),36078.5833333333)</f>
        <v>36078.583333333299</v>
      </c>
      <c r="H850" s="45" t="str">
        <f ca="1">IFERROR(__xludf.DUMMYFUNCTION("""COMPUTED_VALUE"""),"TLC")</f>
        <v>TLC</v>
      </c>
      <c r="I850" s="46" t="str">
        <f ca="1">IFERROR(__xludf.DUMMYFUNCTION("""COMPUTED_VALUE"""),"HO")</f>
        <v>HO</v>
      </c>
      <c r="J850" s="46" t="str">
        <f ca="1">IFERROR(__xludf.DUMMYFUNCTION("""COMPUTED_VALUE"""),"BE")</f>
        <v>BE</v>
      </c>
      <c r="K850" s="46" t="str">
        <f ca="1">IFERROR(__xludf.DUMMYFUNCTION("""COMPUTED_VALUE"""),"BE")</f>
        <v>BE</v>
      </c>
      <c r="L850" s="46" t="str">
        <f ca="1">IFERROR(__xludf.DUMMYFUNCTION("""COMPUTED_VALUE"""),"FTE")</f>
        <v>FTE</v>
      </c>
      <c r="M850" s="46" t="str">
        <f ca="1">IFERROR(__xludf.DUMMYFUNCTION("""COMPUTED_VALUE"""),"On")</f>
        <v>On</v>
      </c>
      <c r="N850" s="46" t="str">
        <f ca="1">IFERROR(__xludf.DUMMYFUNCTION("""COMPUTED_VALUE"""),"đủ")</f>
        <v>đủ</v>
      </c>
    </row>
    <row r="851" spans="1:14">
      <c r="A851" s="45">
        <f ca="1">IFERROR(__xludf.DUMMYFUNCTION("""COMPUTED_VALUE"""),45720.625)</f>
        <v>45720.625</v>
      </c>
      <c r="B851" s="45">
        <f ca="1">IFERROR(__xludf.DUMMYFUNCTION("""COMPUTED_VALUE"""),45936.5833333333)</f>
        <v>45936.583333333299</v>
      </c>
      <c r="C851" s="46">
        <f ca="1">IFERROR(__xludf.DUMMYFUNCTION("""COMPUTED_VALUE"""),852)</f>
        <v>852</v>
      </c>
      <c r="D851" s="47" t="str">
        <f ca="1">IFERROR(__xludf.DUMMYFUNCTION("""COMPUTED_VALUE"""),"C0624")</f>
        <v>C0624</v>
      </c>
      <c r="E851" s="46" t="str">
        <f ca="1">IFERROR(__xludf.DUMMYFUNCTION("""COMPUTED_VALUE"""),"NGUYỄN TRƯỜNG ĐAN THANH")</f>
        <v>NGUYỄN TRƯỜNG ĐAN THANH</v>
      </c>
      <c r="F851" s="46" t="str">
        <f ca="1">IFERROR(__xludf.DUMMYFUNCTION("""COMPUTED_VALUE"""),"NGUYEN TRUONG DAN THANH")</f>
        <v>NGUYEN TRUONG DAN THANH</v>
      </c>
      <c r="G851" s="45">
        <f ca="1">IFERROR(__xludf.DUMMYFUNCTION("""COMPUTED_VALUE"""),37269.625)</f>
        <v>37269.625</v>
      </c>
      <c r="H851" s="45" t="str">
        <f ca="1">IFERROR(__xludf.DUMMYFUNCTION("""COMPUTED_VALUE"""),"BAKES")</f>
        <v>BAKES</v>
      </c>
      <c r="I851" s="46" t="str">
        <f ca="1">IFERROR(__xludf.DUMMYFUNCTION("""COMPUTED_VALUE"""),"STORE")</f>
        <v>STORE</v>
      </c>
      <c r="J851" s="46" t="str">
        <f ca="1">IFERROR(__xludf.DUMMYFUNCTION("""COMPUTED_VALUE"""),"BAKES D7")</f>
        <v>BAKES D7</v>
      </c>
      <c r="K851" s="46" t="str">
        <f ca="1">IFERROR(__xludf.DUMMYFUNCTION("""COMPUTED_VALUE"""),"CASHIER")</f>
        <v>CASHIER</v>
      </c>
      <c r="L851" s="46" t="str">
        <f ca="1">IFERROR(__xludf.DUMMYFUNCTION("""COMPUTED_VALUE"""),"FTE")</f>
        <v>FTE</v>
      </c>
      <c r="M851" s="46" t="str">
        <f ca="1">IFERROR(__xludf.DUMMYFUNCTION("""COMPUTED_VALUE"""),"Leave")</f>
        <v>Leave</v>
      </c>
      <c r="N851" s="46" t="str">
        <f ca="1">IFERROR(__xludf.DUMMYFUNCTION("""COMPUTED_VALUE"""),"đủ")</f>
        <v>đủ</v>
      </c>
    </row>
    <row r="852" spans="1:14">
      <c r="A852" s="45">
        <f ca="1">IFERROR(__xludf.DUMMYFUNCTION("""COMPUTED_VALUE"""),45720.625)</f>
        <v>45720.625</v>
      </c>
      <c r="B852" s="45"/>
      <c r="C852" s="46">
        <f ca="1">IFERROR(__xludf.DUMMYFUNCTION("""COMPUTED_VALUE"""),853)</f>
        <v>853</v>
      </c>
      <c r="D852" s="47" t="str">
        <f ca="1">IFERROR(__xludf.DUMMYFUNCTION("""COMPUTED_VALUE"""),"C0625")</f>
        <v>C0625</v>
      </c>
      <c r="E852" s="46" t="str">
        <f ca="1">IFERROR(__xludf.DUMMYFUNCTION("""COMPUTED_VALUE"""),"TRẦN MAI TRÚC")</f>
        <v>TRẦN MAI TRÚC</v>
      </c>
      <c r="F852" s="46" t="str">
        <f ca="1">IFERROR(__xludf.DUMMYFUNCTION("""COMPUTED_VALUE"""),"TRAN MAI TRUC")</f>
        <v>TRAN MAI TRUC</v>
      </c>
      <c r="G852" s="45">
        <f ca="1">IFERROR(__xludf.DUMMYFUNCTION("""COMPUTED_VALUE"""),38168.5833333333)</f>
        <v>38168.583333333299</v>
      </c>
      <c r="H852" s="45" t="str">
        <f ca="1">IFERROR(__xludf.DUMMYFUNCTION("""COMPUTED_VALUE"""),"TLC")</f>
        <v>TLC</v>
      </c>
      <c r="I852" s="46" t="str">
        <f ca="1">IFERROR(__xludf.DUMMYFUNCTION("""COMPUTED_VALUE"""),"HO")</f>
        <v>HO</v>
      </c>
      <c r="J852" s="46" t="str">
        <f ca="1">IFERROR(__xludf.DUMMYFUNCTION("""COMPUTED_VALUE"""),"FIN")</f>
        <v>FIN</v>
      </c>
      <c r="K852" s="46" t="str">
        <f ca="1">IFERROR(__xludf.DUMMYFUNCTION("""COMPUTED_VALUE"""),"FIN")</f>
        <v>FIN</v>
      </c>
      <c r="L852" s="46" t="str">
        <f ca="1">IFERROR(__xludf.DUMMYFUNCTION("""COMPUTED_VALUE"""),"FTE")</f>
        <v>FTE</v>
      </c>
      <c r="M852" s="46" t="str">
        <f ca="1">IFERROR(__xludf.DUMMYFUNCTION("""COMPUTED_VALUE"""),"On")</f>
        <v>On</v>
      </c>
      <c r="N852" s="46" t="str">
        <f ca="1">IFERROR(__xludf.DUMMYFUNCTION("""COMPUTED_VALUE"""),"đủ")</f>
        <v>đủ</v>
      </c>
    </row>
    <row r="853" spans="1:14">
      <c r="A853" s="45">
        <f ca="1">IFERROR(__xludf.DUMMYFUNCTION("""COMPUTED_VALUE"""),45726.5833333333)</f>
        <v>45726.583333333299</v>
      </c>
      <c r="B853" s="45">
        <f ca="1">IFERROR(__xludf.DUMMYFUNCTION("""COMPUTED_VALUE"""),45870.5833333333)</f>
        <v>45870.583333333299</v>
      </c>
      <c r="C853" s="46">
        <f ca="1">IFERROR(__xludf.DUMMYFUNCTION("""COMPUTED_VALUE"""),854)</f>
        <v>854</v>
      </c>
      <c r="D853" s="47" t="str">
        <f ca="1">IFERROR(__xludf.DUMMYFUNCTION("""COMPUTED_VALUE"""),"C0626")</f>
        <v>C0626</v>
      </c>
      <c r="E853" s="46" t="str">
        <f ca="1">IFERROR(__xludf.DUMMYFUNCTION("""COMPUTED_VALUE"""),"TRẦN THY MẪN")</f>
        <v>TRẦN THY MẪN</v>
      </c>
      <c r="F853" s="46" t="str">
        <f ca="1">IFERROR(__xludf.DUMMYFUNCTION("""COMPUTED_VALUE"""),"TRAN THY MAN")</f>
        <v>TRAN THY MAN</v>
      </c>
      <c r="G853" s="45">
        <f ca="1">IFERROR(__xludf.DUMMYFUNCTION("""COMPUTED_VALUE"""),36784.5833333333)</f>
        <v>36784.583333333299</v>
      </c>
      <c r="H853" s="45" t="str">
        <f ca="1">IFERROR(__xludf.DUMMYFUNCTION("""COMPUTED_VALUE"""),"MATTE")</f>
        <v>MATTE</v>
      </c>
      <c r="I853" s="46" t="str">
        <f ca="1">IFERROR(__xludf.DUMMYFUNCTION("""COMPUTED_VALUE"""),"STORE")</f>
        <v>STORE</v>
      </c>
      <c r="J853" s="46" t="str">
        <f ca="1">IFERROR(__xludf.DUMMYFUNCTION("""COMPUTED_VALUE"""),"MATTE D1")</f>
        <v>MATTE D1</v>
      </c>
      <c r="K853" s="46" t="str">
        <f ca="1">IFERROR(__xludf.DUMMYFUNCTION("""COMPUTED_VALUE"""),"Management team")</f>
        <v>Management team</v>
      </c>
      <c r="L853" s="46" t="str">
        <f ca="1">IFERROR(__xludf.DUMMYFUNCTION("""COMPUTED_VALUE"""),"FTE")</f>
        <v>FTE</v>
      </c>
      <c r="M853" s="46" t="str">
        <f ca="1">IFERROR(__xludf.DUMMYFUNCTION("""COMPUTED_VALUE"""),"Leave")</f>
        <v>Leave</v>
      </c>
      <c r="N853" s="46" t="str">
        <f ca="1">IFERROR(__xludf.DUMMYFUNCTION("""COMPUTED_VALUE"""),"đủ")</f>
        <v>đủ</v>
      </c>
    </row>
    <row r="854" spans="1:14">
      <c r="A854" s="45">
        <f ca="1">IFERROR(__xludf.DUMMYFUNCTION("""COMPUTED_VALUE"""),45717.625)</f>
        <v>45717.625</v>
      </c>
      <c r="B854" s="45"/>
      <c r="C854" s="46">
        <f ca="1">IFERROR(__xludf.DUMMYFUNCTION("""COMPUTED_VALUE"""),855)</f>
        <v>855</v>
      </c>
      <c r="D854" s="47" t="str">
        <f ca="1">IFERROR(__xludf.DUMMYFUNCTION("""COMPUTED_VALUE"""),"C0627")</f>
        <v>C0627</v>
      </c>
      <c r="E854" s="46" t="str">
        <f ca="1">IFERROR(__xludf.DUMMYFUNCTION("""COMPUTED_VALUE"""),"TRẦN CHÂN NGUYÊN")</f>
        <v>TRẦN CHÂN NGUYÊN</v>
      </c>
      <c r="F854" s="46" t="str">
        <f ca="1">IFERROR(__xludf.DUMMYFUNCTION("""COMPUTED_VALUE"""),"TRAN CHAN NGUYEN")</f>
        <v>TRAN CHAN NGUYEN</v>
      </c>
      <c r="G854" s="45">
        <f ca="1">IFERROR(__xludf.DUMMYFUNCTION("""COMPUTED_VALUE"""),37333.625)</f>
        <v>37333.625</v>
      </c>
      <c r="H854" s="45" t="str">
        <f ca="1">IFERROR(__xludf.DUMMYFUNCTION("""COMPUTED_VALUE"""),"MATTE")</f>
        <v>MATTE</v>
      </c>
      <c r="I854" s="46" t="str">
        <f ca="1">IFERROR(__xludf.DUMMYFUNCTION("""COMPUTED_VALUE"""),"HO")</f>
        <v>HO</v>
      </c>
      <c r="J854" s="46" t="str">
        <f ca="1">IFERROR(__xludf.DUMMYFUNCTION("""COMPUTED_VALUE"""),"OPS")</f>
        <v>OPS</v>
      </c>
      <c r="K854" s="46" t="str">
        <f ca="1">IFERROR(__xludf.DUMMYFUNCTION("""COMPUTED_VALUE"""),"OPS")</f>
        <v>OPS</v>
      </c>
      <c r="L854" s="46" t="str">
        <f ca="1">IFERROR(__xludf.DUMMYFUNCTION("""COMPUTED_VALUE"""),"SER")</f>
        <v>SER</v>
      </c>
      <c r="M854" s="46" t="str">
        <f ca="1">IFERROR(__xludf.DUMMYFUNCTION("""COMPUTED_VALUE"""),"On")</f>
        <v>On</v>
      </c>
      <c r="N854" s="46" t="str">
        <f ca="1">IFERROR(__xludf.DUMMYFUNCTION("""COMPUTED_VALUE"""),"đủ")</f>
        <v>đủ</v>
      </c>
    </row>
    <row r="855" spans="1:14">
      <c r="A855" s="45">
        <f ca="1">IFERROR(__xludf.DUMMYFUNCTION("""COMPUTED_VALUE"""),45722.625)</f>
        <v>45722.625</v>
      </c>
      <c r="B855" s="45">
        <f ca="1">IFERROR(__xludf.DUMMYFUNCTION("""COMPUTED_VALUE"""),45784.5833333333)</f>
        <v>45784.583333333299</v>
      </c>
      <c r="C855" s="46">
        <f ca="1">IFERROR(__xludf.DUMMYFUNCTION("""COMPUTED_VALUE"""),856)</f>
        <v>856</v>
      </c>
      <c r="D855" s="47" t="str">
        <f ca="1">IFERROR(__xludf.DUMMYFUNCTION("""COMPUTED_VALUE"""),"C0628")</f>
        <v>C0628</v>
      </c>
      <c r="E855" s="46" t="str">
        <f ca="1">IFERROR(__xludf.DUMMYFUNCTION("""COMPUTED_VALUE"""),"PHAN NHẬT KHÁNH QUỲNH")</f>
        <v>PHAN NHẬT KHÁNH QUỲNH</v>
      </c>
      <c r="F855" s="46" t="str">
        <f ca="1">IFERROR(__xludf.DUMMYFUNCTION("""COMPUTED_VALUE"""),"PHAN NHAT KHANH QUYNH")</f>
        <v>PHAN NHAT KHANH QUYNH</v>
      </c>
      <c r="G855" s="45">
        <f ca="1">IFERROR(__xludf.DUMMYFUNCTION("""COMPUTED_VALUE"""),38867.5833333333)</f>
        <v>38867.583333333299</v>
      </c>
      <c r="H855" s="45" t="str">
        <f ca="1">IFERROR(__xludf.DUMMYFUNCTION("""COMPUTED_VALUE"""),"KITCHEN PASTRY")</f>
        <v>KITCHEN PASTRY</v>
      </c>
      <c r="I855" s="46" t="str">
        <f ca="1">IFERROR(__xludf.DUMMYFUNCTION("""COMPUTED_VALUE"""),"KITCHEN PASTRY")</f>
        <v>KITCHEN PASTRY</v>
      </c>
      <c r="J855" s="46" t="str">
        <f ca="1">IFERROR(__xludf.DUMMYFUNCTION("""COMPUTED_VALUE"""),"KITCHEN PASTRY")</f>
        <v>KITCHEN PASTRY</v>
      </c>
      <c r="K855" s="46" t="str">
        <f ca="1">IFERROR(__xludf.DUMMYFUNCTION("""COMPUTED_VALUE"""),"PASTRY")</f>
        <v>PASTRY</v>
      </c>
      <c r="L855" s="46" t="str">
        <f ca="1">IFERROR(__xludf.DUMMYFUNCTION("""COMPUTED_VALUE"""),"PTE")</f>
        <v>PTE</v>
      </c>
      <c r="M855" s="46" t="str">
        <f ca="1">IFERROR(__xludf.DUMMYFUNCTION("""COMPUTED_VALUE"""),"Leave")</f>
        <v>Leave</v>
      </c>
      <c r="N855" s="46" t="str">
        <f ca="1">IFERROR(__xludf.DUMMYFUNCTION("""COMPUTED_VALUE"""),"đủ")</f>
        <v>đủ</v>
      </c>
    </row>
    <row r="856" spans="1:14">
      <c r="A856" s="45">
        <f ca="1">IFERROR(__xludf.DUMMYFUNCTION("""COMPUTED_VALUE"""),45722.625)</f>
        <v>45722.625</v>
      </c>
      <c r="B856" s="45">
        <f ca="1">IFERROR(__xludf.DUMMYFUNCTION("""COMPUTED_VALUE"""),45731.5833333333)</f>
        <v>45731.583333333299</v>
      </c>
      <c r="C856" s="46">
        <f ca="1">IFERROR(__xludf.DUMMYFUNCTION("""COMPUTED_VALUE"""),857)</f>
        <v>857</v>
      </c>
      <c r="D856" s="47" t="str">
        <f ca="1">IFERROR(__xludf.DUMMYFUNCTION("""COMPUTED_VALUE"""),"C0629")</f>
        <v>C0629</v>
      </c>
      <c r="E856" s="46" t="str">
        <f ca="1">IFERROR(__xludf.DUMMYFUNCTION("""COMPUTED_VALUE"""),"LÊ TRÀ AN THANH")</f>
        <v>LÊ TRÀ AN THANH</v>
      </c>
      <c r="F856" s="46" t="str">
        <f ca="1">IFERROR(__xludf.DUMMYFUNCTION("""COMPUTED_VALUE"""),"LE TRA AN THANH")</f>
        <v>LE TRA AN THANH</v>
      </c>
      <c r="G856" s="45">
        <f ca="1">IFERROR(__xludf.DUMMYFUNCTION("""COMPUTED_VALUE"""),34463.5833333333)</f>
        <v>34463.583333333299</v>
      </c>
      <c r="H856" s="45" t="str">
        <f ca="1">IFERROR(__xludf.DUMMYFUNCTION("""COMPUTED_VALUE"""),"KITCHEN PASTRY")</f>
        <v>KITCHEN PASTRY</v>
      </c>
      <c r="I856" s="46" t="str">
        <f ca="1">IFERROR(__xludf.DUMMYFUNCTION("""COMPUTED_VALUE"""),"KITCHEN PASTRY")</f>
        <v>KITCHEN PASTRY</v>
      </c>
      <c r="J856" s="46" t="str">
        <f ca="1">IFERROR(__xludf.DUMMYFUNCTION("""COMPUTED_VALUE"""),"KITCHEN PASTRY")</f>
        <v>KITCHEN PASTRY</v>
      </c>
      <c r="K856" s="46" t="str">
        <f ca="1">IFERROR(__xludf.DUMMYFUNCTION("""COMPUTED_VALUE"""),"BAKER")</f>
        <v>BAKER</v>
      </c>
      <c r="L856" s="46" t="str">
        <f ca="1">IFERROR(__xludf.DUMMYFUNCTION("""COMPUTED_VALUE"""),"PTE")</f>
        <v>PTE</v>
      </c>
      <c r="M856" s="46" t="str">
        <f ca="1">IFERROR(__xludf.DUMMYFUNCTION("""COMPUTED_VALUE"""),"Leave")</f>
        <v>Leave</v>
      </c>
      <c r="N856" s="46" t="str">
        <f ca="1">IFERROR(__xludf.DUMMYFUNCTION("""COMPUTED_VALUE"""),"đủ")</f>
        <v>đủ</v>
      </c>
    </row>
    <row r="857" spans="1:14">
      <c r="A857" s="45">
        <f ca="1">IFERROR(__xludf.DUMMYFUNCTION("""COMPUTED_VALUE"""),45728.5833333333)</f>
        <v>45728.583333333299</v>
      </c>
      <c r="B857" s="45">
        <f ca="1">IFERROR(__xludf.DUMMYFUNCTION("""COMPUTED_VALUE"""),45729.5833333333)</f>
        <v>45729.583333333299</v>
      </c>
      <c r="C857" s="46">
        <f ca="1">IFERROR(__xludf.DUMMYFUNCTION("""COMPUTED_VALUE"""),858)</f>
        <v>858</v>
      </c>
      <c r="D857" s="47" t="str">
        <f ca="1">IFERROR(__xludf.DUMMYFUNCTION("""COMPUTED_VALUE"""),"C0630")</f>
        <v>C0630</v>
      </c>
      <c r="E857" s="46" t="str">
        <f ca="1">IFERROR(__xludf.DUMMYFUNCTION("""COMPUTED_VALUE"""),"TRẦN THÚY NGA")</f>
        <v>TRẦN THÚY NGA</v>
      </c>
      <c r="F857" s="46" t="str">
        <f ca="1">IFERROR(__xludf.DUMMYFUNCTION("""COMPUTED_VALUE"""),"TRAN THUY NGA")</f>
        <v>TRAN THUY NGA</v>
      </c>
      <c r="G857" s="45">
        <f ca="1">IFERROR(__xludf.DUMMYFUNCTION("""COMPUTED_VALUE"""),38020.625)</f>
        <v>38020.625</v>
      </c>
      <c r="H857" s="45" t="str">
        <f ca="1">IFERROR(__xludf.DUMMYFUNCTION("""COMPUTED_VALUE"""),"BAKES")</f>
        <v>BAKES</v>
      </c>
      <c r="I857" s="46" t="str">
        <f ca="1">IFERROR(__xludf.DUMMYFUNCTION("""COMPUTED_VALUE"""),"STORE")</f>
        <v>STORE</v>
      </c>
      <c r="J857" s="46" t="str">
        <f ca="1">IFERROR(__xludf.DUMMYFUNCTION("""COMPUTED_VALUE"""),"BAKES D2")</f>
        <v>BAKES D2</v>
      </c>
      <c r="K857" s="46" t="str">
        <f ca="1">IFERROR(__xludf.DUMMYFUNCTION("""COMPUTED_VALUE"""),"WAITSTAFF")</f>
        <v>WAITSTAFF</v>
      </c>
      <c r="L857" s="46" t="str">
        <f ca="1">IFERROR(__xludf.DUMMYFUNCTION("""COMPUTED_VALUE"""),"PTE")</f>
        <v>PTE</v>
      </c>
      <c r="M857" s="46" t="str">
        <f ca="1">IFERROR(__xludf.DUMMYFUNCTION("""COMPUTED_VALUE"""),"Leave")</f>
        <v>Leave</v>
      </c>
      <c r="N857" s="46" t="str">
        <f ca="1">IFERROR(__xludf.DUMMYFUNCTION("""COMPUTED_VALUE"""),"chua nop")</f>
        <v>chua nop</v>
      </c>
    </row>
    <row r="858" spans="1:14">
      <c r="A858" s="45">
        <f ca="1">IFERROR(__xludf.DUMMYFUNCTION("""COMPUTED_VALUE"""),45729.5833333333)</f>
        <v>45729.583333333299</v>
      </c>
      <c r="B858" s="45">
        <f ca="1">IFERROR(__xludf.DUMMYFUNCTION("""COMPUTED_VALUE"""),45764.5833333333)</f>
        <v>45764.583333333299</v>
      </c>
      <c r="C858" s="46">
        <f ca="1">IFERROR(__xludf.DUMMYFUNCTION("""COMPUTED_VALUE"""),859)</f>
        <v>859</v>
      </c>
      <c r="D858" s="47" t="str">
        <f ca="1">IFERROR(__xludf.DUMMYFUNCTION("""COMPUTED_VALUE"""),"C0631")</f>
        <v>C0631</v>
      </c>
      <c r="E858" s="46" t="str">
        <f ca="1">IFERROR(__xludf.DUMMYFUNCTION("""COMPUTED_VALUE"""),"ĐỖ NHẬT NAM")</f>
        <v>ĐỖ NHẬT NAM</v>
      </c>
      <c r="F858" s="46" t="str">
        <f ca="1">IFERROR(__xludf.DUMMYFUNCTION("""COMPUTED_VALUE"""),"DO NHAT NAM")</f>
        <v>DO NHAT NAM</v>
      </c>
      <c r="G858" s="45">
        <f ca="1">IFERROR(__xludf.DUMMYFUNCTION("""COMPUTED_VALUE"""),36878.625)</f>
        <v>36878.625</v>
      </c>
      <c r="H858" s="45" t="str">
        <f ca="1">IFERROR(__xludf.DUMMYFUNCTION("""COMPUTED_VALUE"""),"MATTE")</f>
        <v>MATTE</v>
      </c>
      <c r="I858" s="46" t="str">
        <f ca="1">IFERROR(__xludf.DUMMYFUNCTION("""COMPUTED_VALUE"""),"STORE")</f>
        <v>STORE</v>
      </c>
      <c r="J858" s="46" t="str">
        <f ca="1">IFERROR(__xludf.DUMMYFUNCTION("""COMPUTED_VALUE"""),"MATTE D7")</f>
        <v>MATTE D7</v>
      </c>
      <c r="K858" s="46" t="str">
        <f ca="1">IFERROR(__xludf.DUMMYFUNCTION("""COMPUTED_VALUE"""),"BAR")</f>
        <v>BAR</v>
      </c>
      <c r="L858" s="46" t="str">
        <f ca="1">IFERROR(__xludf.DUMMYFUNCTION("""COMPUTED_VALUE"""),"PRO")</f>
        <v>PRO</v>
      </c>
      <c r="M858" s="46" t="str">
        <f ca="1">IFERROR(__xludf.DUMMYFUNCTION("""COMPUTED_VALUE"""),"Leave")</f>
        <v>Leave</v>
      </c>
      <c r="N858" s="46" t="str">
        <f ca="1">IFERROR(__xludf.DUMMYFUNCTION("""COMPUTED_VALUE"""),"đủ")</f>
        <v>đủ</v>
      </c>
    </row>
    <row r="859" spans="1:14">
      <c r="A859" s="45">
        <f ca="1">IFERROR(__xludf.DUMMYFUNCTION("""COMPUTED_VALUE"""),45727.5833333333)</f>
        <v>45727.583333333299</v>
      </c>
      <c r="B859" s="45">
        <f ca="1">IFERROR(__xludf.DUMMYFUNCTION("""COMPUTED_VALUE"""),45931.5833333333)</f>
        <v>45931.583333333299</v>
      </c>
      <c r="C859" s="46">
        <f ca="1">IFERROR(__xludf.DUMMYFUNCTION("""COMPUTED_VALUE"""),860)</f>
        <v>860</v>
      </c>
      <c r="D859" s="47" t="str">
        <f ca="1">IFERROR(__xludf.DUMMYFUNCTION("""COMPUTED_VALUE"""),"C0632")</f>
        <v>C0632</v>
      </c>
      <c r="E859" s="46" t="str">
        <f ca="1">IFERROR(__xludf.DUMMYFUNCTION("""COMPUTED_VALUE"""),"ĐÀO THÚY NGA")</f>
        <v>ĐÀO THÚY NGA</v>
      </c>
      <c r="F859" s="46" t="str">
        <f ca="1">IFERROR(__xludf.DUMMYFUNCTION("""COMPUTED_VALUE"""),"DAO THUY NGA")</f>
        <v>DAO THUY NGA</v>
      </c>
      <c r="G859" s="45">
        <f ca="1">IFERROR(__xludf.DUMMYFUNCTION("""COMPUTED_VALUE"""),36453.5833333333)</f>
        <v>36453.583333333299</v>
      </c>
      <c r="H859" s="45" t="str">
        <f ca="1">IFERROR(__xludf.DUMMYFUNCTION("""COMPUTED_VALUE"""),"BAKES")</f>
        <v>BAKES</v>
      </c>
      <c r="I859" s="46" t="str">
        <f ca="1">IFERROR(__xludf.DUMMYFUNCTION("""COMPUTED_VALUE"""),"HO")</f>
        <v>HO</v>
      </c>
      <c r="J859" s="46" t="str">
        <f ca="1">IFERROR(__xludf.DUMMYFUNCTION("""COMPUTED_VALUE"""),"PET")</f>
        <v>PET</v>
      </c>
      <c r="K859" s="46" t="str">
        <f ca="1">IFERROR(__xludf.DUMMYFUNCTION("""COMPUTED_VALUE"""),"PET")</f>
        <v>PET</v>
      </c>
      <c r="L859" s="46" t="str">
        <f ca="1">IFERROR(__xludf.DUMMYFUNCTION("""COMPUTED_VALUE"""),"PRO")</f>
        <v>PRO</v>
      </c>
      <c r="M859" s="46" t="str">
        <f ca="1">IFERROR(__xludf.DUMMYFUNCTION("""COMPUTED_VALUE"""),"Leave")</f>
        <v>Leave</v>
      </c>
      <c r="N859" s="46" t="str">
        <f ca="1">IFERROR(__xludf.DUMMYFUNCTION("""COMPUTED_VALUE"""),"đủ")</f>
        <v>đủ</v>
      </c>
    </row>
    <row r="860" spans="1:14">
      <c r="A860" s="45">
        <f ca="1">IFERROR(__xludf.DUMMYFUNCTION("""COMPUTED_VALUE"""),45726.5833333333)</f>
        <v>45726.583333333299</v>
      </c>
      <c r="B860" s="45">
        <f ca="1">IFERROR(__xludf.DUMMYFUNCTION("""COMPUTED_VALUE"""),46092.5833333333)</f>
        <v>46092.583333333299</v>
      </c>
      <c r="C860" s="46">
        <f ca="1">IFERROR(__xludf.DUMMYFUNCTION("""COMPUTED_VALUE"""),861)</f>
        <v>861</v>
      </c>
      <c r="D860" s="47" t="str">
        <f ca="1">IFERROR(__xludf.DUMMYFUNCTION("""COMPUTED_VALUE"""),"C0633")</f>
        <v>C0633</v>
      </c>
      <c r="E860" s="46" t="str">
        <f ca="1">IFERROR(__xludf.DUMMYFUNCTION("""COMPUTED_VALUE"""),"NGUYỄN THỊ NGỌC HIỆP")</f>
        <v>NGUYỄN THỊ NGỌC HIỆP</v>
      </c>
      <c r="F860" s="46" t="str">
        <f ca="1">IFERROR(__xludf.DUMMYFUNCTION("""COMPUTED_VALUE"""),"NGUYEN THI NGOC HIEP")</f>
        <v>NGUYEN THI NGOC HIEP</v>
      </c>
      <c r="G860" s="45">
        <f ca="1">IFERROR(__xludf.DUMMYFUNCTION("""COMPUTED_VALUE"""),36919.625)</f>
        <v>36919.625</v>
      </c>
      <c r="H860" s="45" t="str">
        <f ca="1">IFERROR(__xludf.DUMMYFUNCTION("""COMPUTED_VALUE"""),"KITCHEN PASTRY")</f>
        <v>KITCHEN PASTRY</v>
      </c>
      <c r="I860" s="46" t="str">
        <f ca="1">IFERROR(__xludf.DUMMYFUNCTION("""COMPUTED_VALUE"""),"KITCHEN PASTRY")</f>
        <v>KITCHEN PASTRY</v>
      </c>
      <c r="J860" s="46" t="str">
        <f ca="1">IFERROR(__xludf.DUMMYFUNCTION("""COMPUTED_VALUE"""),"KITCHEN PASTRY")</f>
        <v>KITCHEN PASTRY</v>
      </c>
      <c r="K860" s="46" t="str">
        <f ca="1">IFERROR(__xludf.DUMMYFUNCTION("""COMPUTED_VALUE"""),"ADMIN")</f>
        <v>ADMIN</v>
      </c>
      <c r="L860" s="46" t="str">
        <f ca="1">IFERROR(__xludf.DUMMYFUNCTION("""COMPUTED_VALUE"""),"PTE")</f>
        <v>PTE</v>
      </c>
      <c r="M860" s="46" t="str">
        <f ca="1">IFERROR(__xludf.DUMMYFUNCTION("""COMPUTED_VALUE"""),"Leave")</f>
        <v>Leave</v>
      </c>
      <c r="N860" s="46" t="str">
        <f ca="1">IFERROR(__xludf.DUMMYFUNCTION("""COMPUTED_VALUE"""),"đủ")</f>
        <v>đủ</v>
      </c>
    </row>
    <row r="861" spans="1:14">
      <c r="A861" s="45">
        <f ca="1">IFERROR(__xludf.DUMMYFUNCTION("""COMPUTED_VALUE"""),45719.625)</f>
        <v>45719.625</v>
      </c>
      <c r="B861" s="45">
        <f ca="1">IFERROR(__xludf.DUMMYFUNCTION("""COMPUTED_VALUE"""),45809.5833333333)</f>
        <v>45809.583333333299</v>
      </c>
      <c r="C861" s="46">
        <f ca="1">IFERROR(__xludf.DUMMYFUNCTION("""COMPUTED_VALUE"""),862)</f>
        <v>862</v>
      </c>
      <c r="D861" s="47" t="str">
        <f ca="1">IFERROR(__xludf.DUMMYFUNCTION("""COMPUTED_VALUE"""),"C0634")</f>
        <v>C0634</v>
      </c>
      <c r="E861" s="46" t="str">
        <f ca="1">IFERROR(__xludf.DUMMYFUNCTION("""COMPUTED_VALUE"""),"NGUYỄN THỊ THÙY TRANG")</f>
        <v>NGUYỄN THỊ THÙY TRANG</v>
      </c>
      <c r="F861" s="46" t="str">
        <f ca="1">IFERROR(__xludf.DUMMYFUNCTION("""COMPUTED_VALUE"""),"NGUYEN THI THUY TRANG")</f>
        <v>NGUYEN THI THUY TRANG</v>
      </c>
      <c r="G861" s="45">
        <f ca="1">IFERROR(__xludf.DUMMYFUNCTION("""COMPUTED_VALUE"""),35529.5833333333)</f>
        <v>35529.583333333299</v>
      </c>
      <c r="H861" s="45" t="str">
        <f ca="1">IFERROR(__xludf.DUMMYFUNCTION("""COMPUTED_VALUE"""),"MOONCAKE")</f>
        <v>MOONCAKE</v>
      </c>
      <c r="I861" s="46" t="str">
        <f ca="1">IFERROR(__xludf.DUMMYFUNCTION("""COMPUTED_VALUE"""),"KITCHEN PASTRY")</f>
        <v>KITCHEN PASTRY</v>
      </c>
      <c r="J861" s="46" t="str">
        <f ca="1">IFERROR(__xludf.DUMMYFUNCTION("""COMPUTED_VALUE"""),"KITCHEN PASTRY")</f>
        <v>KITCHEN PASTRY</v>
      </c>
      <c r="K861" s="46" t="str">
        <f ca="1">IFERROR(__xludf.DUMMYFUNCTION("""COMPUTED_VALUE"""),"PASTRY")</f>
        <v>PASTRY</v>
      </c>
      <c r="L861" s="46" t="str">
        <f ca="1">IFERROR(__xludf.DUMMYFUNCTION("""COMPUTED_VALUE"""),"SER")</f>
        <v>SER</v>
      </c>
      <c r="M861" s="46" t="str">
        <f ca="1">IFERROR(__xludf.DUMMYFUNCTION("""COMPUTED_VALUE"""),"Leave")</f>
        <v>Leave</v>
      </c>
      <c r="N861" s="46" t="str">
        <f ca="1">IFERROR(__xludf.DUMMYFUNCTION("""COMPUTED_VALUE"""),"đủ")</f>
        <v>đủ</v>
      </c>
    </row>
    <row r="862" spans="1:14">
      <c r="A862" s="45">
        <f ca="1">IFERROR(__xludf.DUMMYFUNCTION("""COMPUTED_VALUE"""),45731.5833333333)</f>
        <v>45731.583333333299</v>
      </c>
      <c r="B862" s="45">
        <f ca="1">IFERROR(__xludf.DUMMYFUNCTION("""COMPUTED_VALUE"""),45804.5833333333)</f>
        <v>45804.583333333299</v>
      </c>
      <c r="C862" s="46">
        <f ca="1">IFERROR(__xludf.DUMMYFUNCTION("""COMPUTED_VALUE"""),863)</f>
        <v>863</v>
      </c>
      <c r="D862" s="47" t="str">
        <f ca="1">IFERROR(__xludf.DUMMYFUNCTION("""COMPUTED_VALUE"""),"C0635")</f>
        <v>C0635</v>
      </c>
      <c r="E862" s="46" t="str">
        <f ca="1">IFERROR(__xludf.DUMMYFUNCTION("""COMPUTED_VALUE"""),"LÊ MINH HOÀNG BẢO")</f>
        <v>LÊ MINH HOÀNG BẢO</v>
      </c>
      <c r="F862" s="46" t="str">
        <f ca="1">IFERROR(__xludf.DUMMYFUNCTION("""COMPUTED_VALUE"""),"LE MINH HOANG BAO")</f>
        <v>LE MINH HOANG BAO</v>
      </c>
      <c r="G862" s="45">
        <f ca="1">IFERROR(__xludf.DUMMYFUNCTION("""COMPUTED_VALUE"""),38962.5833333333)</f>
        <v>38962.583333333299</v>
      </c>
      <c r="H862" s="45" t="str">
        <f ca="1">IFERROR(__xludf.DUMMYFUNCTION("""COMPUTED_VALUE"""),"BAKES")</f>
        <v>BAKES</v>
      </c>
      <c r="I862" s="46" t="str">
        <f ca="1">IFERROR(__xludf.DUMMYFUNCTION("""COMPUTED_VALUE"""),"STORE")</f>
        <v>STORE</v>
      </c>
      <c r="J862" s="46" t="str">
        <f ca="1">IFERROR(__xludf.DUMMYFUNCTION("""COMPUTED_VALUE"""),"BAKES D2")</f>
        <v>BAKES D2</v>
      </c>
      <c r="K862" s="46" t="str">
        <f ca="1">IFERROR(__xludf.DUMMYFUNCTION("""COMPUTED_VALUE"""),"WAITSTAFF")</f>
        <v>WAITSTAFF</v>
      </c>
      <c r="L862" s="46" t="str">
        <f ca="1">IFERROR(__xludf.DUMMYFUNCTION("""COMPUTED_VALUE"""),"PTE")</f>
        <v>PTE</v>
      </c>
      <c r="M862" s="46" t="str">
        <f ca="1">IFERROR(__xludf.DUMMYFUNCTION("""COMPUTED_VALUE"""),"Leave")</f>
        <v>Leave</v>
      </c>
      <c r="N862" s="46" t="str">
        <f ca="1">IFERROR(__xludf.DUMMYFUNCTION("""COMPUTED_VALUE"""),"đủ")</f>
        <v>đủ</v>
      </c>
    </row>
    <row r="863" spans="1:14">
      <c r="A863" s="45">
        <f ca="1">IFERROR(__xludf.DUMMYFUNCTION("""COMPUTED_VALUE"""),45734.5833333333)</f>
        <v>45734.583333333299</v>
      </c>
      <c r="B863" s="45">
        <f ca="1">IFERROR(__xludf.DUMMYFUNCTION("""COMPUTED_VALUE"""),45856.5833333333)</f>
        <v>45856.583333333299</v>
      </c>
      <c r="C863" s="46">
        <f ca="1">IFERROR(__xludf.DUMMYFUNCTION("""COMPUTED_VALUE"""),864)</f>
        <v>864</v>
      </c>
      <c r="D863" s="47" t="str">
        <f ca="1">IFERROR(__xludf.DUMMYFUNCTION("""COMPUTED_VALUE"""),"C0636")</f>
        <v>C0636</v>
      </c>
      <c r="E863" s="46" t="str">
        <f ca="1">IFERROR(__xludf.DUMMYFUNCTION("""COMPUTED_VALUE"""),"NGUYỄN THỊ NGỌC")</f>
        <v>NGUYỄN THỊ NGỌC</v>
      </c>
      <c r="F863" s="46" t="str">
        <f ca="1">IFERROR(__xludf.DUMMYFUNCTION("""COMPUTED_VALUE"""),"NGUYEN THI NGOC")</f>
        <v>NGUYEN THI NGOC</v>
      </c>
      <c r="G863" s="45">
        <f ca="1">IFERROR(__xludf.DUMMYFUNCTION("""COMPUTED_VALUE"""),37858.5833333333)</f>
        <v>37858.583333333299</v>
      </c>
      <c r="H863" s="45" t="str">
        <f ca="1">IFERROR(__xludf.DUMMYFUNCTION("""COMPUTED_VALUE"""),"TLC")</f>
        <v>TLC</v>
      </c>
      <c r="I863" s="46" t="str">
        <f ca="1">IFERROR(__xludf.DUMMYFUNCTION("""COMPUTED_VALUE"""),"HO")</f>
        <v>HO</v>
      </c>
      <c r="J863" s="46" t="str">
        <f ca="1">IFERROR(__xludf.DUMMYFUNCTION("""COMPUTED_VALUE"""),"HRD")</f>
        <v>HRD</v>
      </c>
      <c r="K863" s="46" t="str">
        <f ca="1">IFERROR(__xludf.DUMMYFUNCTION("""COMPUTED_VALUE"""),"HRD")</f>
        <v>HRD</v>
      </c>
      <c r="L863" s="46" t="str">
        <f ca="1">IFERROR(__xludf.DUMMYFUNCTION("""COMPUTED_VALUE"""),"SER")</f>
        <v>SER</v>
      </c>
      <c r="M863" s="46" t="str">
        <f ca="1">IFERROR(__xludf.DUMMYFUNCTION("""COMPUTED_VALUE"""),"Leave")</f>
        <v>Leave</v>
      </c>
      <c r="N863" s="46" t="str">
        <f ca="1">IFERROR(__xludf.DUMMYFUNCTION("""COMPUTED_VALUE"""),"đủ")</f>
        <v>đủ</v>
      </c>
    </row>
    <row r="864" spans="1:14">
      <c r="A864" s="45">
        <f ca="1">IFERROR(__xludf.DUMMYFUNCTION("""COMPUTED_VALUE"""),45733.5833333333)</f>
        <v>45733.583333333299</v>
      </c>
      <c r="B864" s="45">
        <f ca="1">IFERROR(__xludf.DUMMYFUNCTION("""COMPUTED_VALUE"""),45741.5833333333)</f>
        <v>45741.583333333299</v>
      </c>
      <c r="C864" s="46">
        <f ca="1">IFERROR(__xludf.DUMMYFUNCTION("""COMPUTED_VALUE"""),865)</f>
        <v>865</v>
      </c>
      <c r="D864" s="47" t="str">
        <f ca="1">IFERROR(__xludf.DUMMYFUNCTION("""COMPUTED_VALUE"""),"C0637")</f>
        <v>C0637</v>
      </c>
      <c r="E864" s="46" t="str">
        <f ca="1">IFERROR(__xludf.DUMMYFUNCTION("""COMPUTED_VALUE"""),"NGUYỄN KHẢ TÚ")</f>
        <v>NGUYỄN KHẢ TÚ</v>
      </c>
      <c r="F864" s="46" t="str">
        <f ca="1">IFERROR(__xludf.DUMMYFUNCTION("""COMPUTED_VALUE"""),"NGUYEN KHA TU")</f>
        <v>NGUYEN KHA TU</v>
      </c>
      <c r="G864" s="45">
        <f ca="1">IFERROR(__xludf.DUMMYFUNCTION("""COMPUTED_VALUE"""),34953.5833333333)</f>
        <v>34953.583333333299</v>
      </c>
      <c r="H864" s="45" t="str">
        <f ca="1">IFERROR(__xludf.DUMMYFUNCTION("""COMPUTED_VALUE"""),"KITCHEN PASTRY")</f>
        <v>KITCHEN PASTRY</v>
      </c>
      <c r="I864" s="46" t="str">
        <f ca="1">IFERROR(__xludf.DUMMYFUNCTION("""COMPUTED_VALUE"""),"KITCHEN PASTRY")</f>
        <v>KITCHEN PASTRY</v>
      </c>
      <c r="J864" s="46" t="str">
        <f ca="1">IFERROR(__xludf.DUMMYFUNCTION("""COMPUTED_VALUE"""),"KITCHEN PASTRY")</f>
        <v>KITCHEN PASTRY</v>
      </c>
      <c r="K864" s="46" t="str">
        <f ca="1">IFERROR(__xludf.DUMMYFUNCTION("""COMPUTED_VALUE"""),"PASTRY")</f>
        <v>PASTRY</v>
      </c>
      <c r="L864" s="46" t="str">
        <f ca="1">IFERROR(__xludf.DUMMYFUNCTION("""COMPUTED_VALUE"""),"PRO")</f>
        <v>PRO</v>
      </c>
      <c r="M864" s="46" t="str">
        <f ca="1">IFERROR(__xludf.DUMMYFUNCTION("""COMPUTED_VALUE"""),"Leave")</f>
        <v>Leave</v>
      </c>
      <c r="N864" s="46" t="str">
        <f ca="1">IFERROR(__xludf.DUMMYFUNCTION("""COMPUTED_VALUE"""),"đủ")</f>
        <v>đủ</v>
      </c>
    </row>
    <row r="865" spans="1:14">
      <c r="A865" s="45">
        <f ca="1">IFERROR(__xludf.DUMMYFUNCTION("""COMPUTED_VALUE"""),45740.5833333333)</f>
        <v>45740.583333333299</v>
      </c>
      <c r="B865" s="45">
        <f ca="1">IFERROR(__xludf.DUMMYFUNCTION("""COMPUTED_VALUE"""),45773.5833333333)</f>
        <v>45773.583333333299</v>
      </c>
      <c r="C865" s="46">
        <f ca="1">IFERROR(__xludf.DUMMYFUNCTION("""COMPUTED_VALUE"""),866)</f>
        <v>866</v>
      </c>
      <c r="D865" s="47" t="str">
        <f ca="1">IFERROR(__xludf.DUMMYFUNCTION("""COMPUTED_VALUE"""),"C0638")</f>
        <v>C0638</v>
      </c>
      <c r="E865" s="46" t="str">
        <f ca="1">IFERROR(__xludf.DUMMYFUNCTION("""COMPUTED_VALUE"""),"OLGA PETUKHOVA")</f>
        <v>OLGA PETUKHOVA</v>
      </c>
      <c r="F865" s="46" t="str">
        <f ca="1">IFERROR(__xludf.DUMMYFUNCTION("""COMPUTED_VALUE"""),"OLGA PETUKHOVA")</f>
        <v>OLGA PETUKHOVA</v>
      </c>
      <c r="G865" s="45">
        <f ca="1">IFERROR(__xludf.DUMMYFUNCTION("""COMPUTED_VALUE"""),29984.625)</f>
        <v>29984.625</v>
      </c>
      <c r="H865" s="45" t="str">
        <f ca="1">IFERROR(__xludf.DUMMYFUNCTION("""COMPUTED_VALUE"""),"KITCHEN PASTRY")</f>
        <v>KITCHEN PASTRY</v>
      </c>
      <c r="I865" s="46" t="str">
        <f ca="1">IFERROR(__xludf.DUMMYFUNCTION("""COMPUTED_VALUE"""),"KITCHEN PASTRY")</f>
        <v>KITCHEN PASTRY</v>
      </c>
      <c r="J865" s="46" t="str">
        <f ca="1">IFERROR(__xludf.DUMMYFUNCTION("""COMPUTED_VALUE"""),"KITCHEN PASTRY")</f>
        <v>KITCHEN PASTRY</v>
      </c>
      <c r="K865" s="46" t="str">
        <f ca="1">IFERROR(__xludf.DUMMYFUNCTION("""COMPUTED_VALUE"""),"PASTRY")</f>
        <v>PASTRY</v>
      </c>
      <c r="L865" s="46" t="str">
        <f ca="1">IFERROR(__xludf.DUMMYFUNCTION("""COMPUTED_VALUE"""),"PRO")</f>
        <v>PRO</v>
      </c>
      <c r="M865" s="46" t="str">
        <f ca="1">IFERROR(__xludf.DUMMYFUNCTION("""COMPUTED_VALUE"""),"Leave")</f>
        <v>Leave</v>
      </c>
      <c r="N865" s="46" t="str">
        <f ca="1">IFERROR(__xludf.DUMMYFUNCTION("""COMPUTED_VALUE"""),"đủ")</f>
        <v>đủ</v>
      </c>
    </row>
    <row r="866" spans="1:14">
      <c r="A866" s="45">
        <f ca="1">IFERROR(__xludf.DUMMYFUNCTION("""COMPUTED_VALUE"""),45733.5833333333)</f>
        <v>45733.583333333299</v>
      </c>
      <c r="B866" s="45">
        <f ca="1">IFERROR(__xludf.DUMMYFUNCTION("""COMPUTED_VALUE"""),45965.625)</f>
        <v>45965.625</v>
      </c>
      <c r="C866" s="46">
        <f ca="1">IFERROR(__xludf.DUMMYFUNCTION("""COMPUTED_VALUE"""),867)</f>
        <v>867</v>
      </c>
      <c r="D866" s="47" t="str">
        <f ca="1">IFERROR(__xludf.DUMMYFUNCTION("""COMPUTED_VALUE"""),"C0639")</f>
        <v>C0639</v>
      </c>
      <c r="E866" s="46" t="str">
        <f ca="1">IFERROR(__xludf.DUMMYFUNCTION("""COMPUTED_VALUE"""),"TRẦN NGUYỄN KHÁNH LINH")</f>
        <v>TRẦN NGUYỄN KHÁNH LINH</v>
      </c>
      <c r="F866" s="46" t="str">
        <f ca="1">IFERROR(__xludf.DUMMYFUNCTION("""COMPUTED_VALUE"""),"TRAN NGUYEN KHANH LINH")</f>
        <v>TRAN NGUYEN KHANH LINH</v>
      </c>
      <c r="G866" s="45">
        <f ca="1">IFERROR(__xludf.DUMMYFUNCTION("""COMPUTED_VALUE"""),33370.5833333333)</f>
        <v>33370.583333333299</v>
      </c>
      <c r="H866" s="45" t="str">
        <f ca="1">IFERROR(__xludf.DUMMYFUNCTION("""COMPUTED_VALUE"""),"MATTE")</f>
        <v>MATTE</v>
      </c>
      <c r="I866" s="46" t="str">
        <f ca="1">IFERROR(__xludf.DUMMYFUNCTION("""COMPUTED_VALUE"""),"STORE")</f>
        <v>STORE</v>
      </c>
      <c r="J866" s="46" t="str">
        <f ca="1">IFERROR(__xludf.DUMMYFUNCTION("""COMPUTED_VALUE"""),"MATTE D1")</f>
        <v>MATTE D1</v>
      </c>
      <c r="K866" s="46" t="str">
        <f ca="1">IFERROR(__xludf.DUMMYFUNCTION("""COMPUTED_VALUE"""),"BAR")</f>
        <v>BAR</v>
      </c>
      <c r="L866" s="46" t="str">
        <f ca="1">IFERROR(__xludf.DUMMYFUNCTION("""COMPUTED_VALUE"""),"FTE")</f>
        <v>FTE</v>
      </c>
      <c r="M866" s="46" t="str">
        <f ca="1">IFERROR(__xludf.DUMMYFUNCTION("""COMPUTED_VALUE"""),"Leave")</f>
        <v>Leave</v>
      </c>
      <c r="N866" s="46" t="str">
        <f ca="1">IFERROR(__xludf.DUMMYFUNCTION("""COMPUTED_VALUE"""),"đủ")</f>
        <v>đủ</v>
      </c>
    </row>
    <row r="867" spans="1:14">
      <c r="A867" s="45">
        <f ca="1">IFERROR(__xludf.DUMMYFUNCTION("""COMPUTED_VALUE"""),45734.5833333333)</f>
        <v>45734.583333333299</v>
      </c>
      <c r="B867" s="45">
        <f ca="1">IFERROR(__xludf.DUMMYFUNCTION("""COMPUTED_VALUE"""),46054.625)</f>
        <v>46054.625</v>
      </c>
      <c r="C867" s="46">
        <f ca="1">IFERROR(__xludf.DUMMYFUNCTION("""COMPUTED_VALUE"""),868)</f>
        <v>868</v>
      </c>
      <c r="D867" s="47" t="str">
        <f ca="1">IFERROR(__xludf.DUMMYFUNCTION("""COMPUTED_VALUE"""),"C0640")</f>
        <v>C0640</v>
      </c>
      <c r="E867" s="46" t="str">
        <f ca="1">IFERROR(__xludf.DUMMYFUNCTION("""COMPUTED_VALUE"""),"ĐỖ LÂM KHÁNH TRUNG")</f>
        <v>ĐỖ LÂM KHÁNH TRUNG</v>
      </c>
      <c r="F867" s="46" t="str">
        <f ca="1">IFERROR(__xludf.DUMMYFUNCTION("""COMPUTED_VALUE"""),"DO LAM KHANH TRUNG")</f>
        <v>DO LAM KHANH TRUNG</v>
      </c>
      <c r="G867" s="45">
        <f ca="1">IFERROR(__xludf.DUMMYFUNCTION("""COMPUTED_VALUE"""),37844.5833333333)</f>
        <v>37844.583333333299</v>
      </c>
      <c r="H867" s="45" t="str">
        <f ca="1">IFERROR(__xludf.DUMMYFUNCTION("""COMPUTED_VALUE"""),"BAKES")</f>
        <v>BAKES</v>
      </c>
      <c r="I867" s="46" t="str">
        <f ca="1">IFERROR(__xludf.DUMMYFUNCTION("""COMPUTED_VALUE"""),"STORE")</f>
        <v>STORE</v>
      </c>
      <c r="J867" s="46" t="str">
        <f ca="1">IFERROR(__xludf.DUMMYFUNCTION("""COMPUTED_VALUE"""),"BAKES D2")</f>
        <v>BAKES D2</v>
      </c>
      <c r="K867" s="46" t="str">
        <f ca="1">IFERROR(__xludf.DUMMYFUNCTION("""COMPUTED_VALUE"""),"BAR")</f>
        <v>BAR</v>
      </c>
      <c r="L867" s="46" t="str">
        <f ca="1">IFERROR(__xludf.DUMMYFUNCTION("""COMPUTED_VALUE"""),"PTE")</f>
        <v>PTE</v>
      </c>
      <c r="M867" s="46" t="str">
        <f ca="1">IFERROR(__xludf.DUMMYFUNCTION("""COMPUTED_VALUE"""),"Leave")</f>
        <v>Leave</v>
      </c>
      <c r="N867" s="46" t="str">
        <f ca="1">IFERROR(__xludf.DUMMYFUNCTION("""COMPUTED_VALUE"""),"đủ")</f>
        <v>đủ</v>
      </c>
    </row>
    <row r="868" spans="1:14">
      <c r="A868" s="45">
        <f ca="1">IFERROR(__xludf.DUMMYFUNCTION("""COMPUTED_VALUE"""),45733.5833333333)</f>
        <v>45733.583333333299</v>
      </c>
      <c r="B868" s="45">
        <f ca="1">IFERROR(__xludf.DUMMYFUNCTION("""COMPUTED_VALUE"""),46023.625)</f>
        <v>46023.625</v>
      </c>
      <c r="C868" s="46">
        <f ca="1">IFERROR(__xludf.DUMMYFUNCTION("""COMPUTED_VALUE"""),869)</f>
        <v>869</v>
      </c>
      <c r="D868" s="47" t="str">
        <f ca="1">IFERROR(__xludf.DUMMYFUNCTION("""COMPUTED_VALUE"""),"C0641")</f>
        <v>C0641</v>
      </c>
      <c r="E868" s="46" t="str">
        <f ca="1">IFERROR(__xludf.DUMMYFUNCTION("""COMPUTED_VALUE"""),"NGUYỄN THÀNH ĐĂNG KHOA")</f>
        <v>NGUYỄN THÀNH ĐĂNG KHOA</v>
      </c>
      <c r="F868" s="46" t="str">
        <f ca="1">IFERROR(__xludf.DUMMYFUNCTION("""COMPUTED_VALUE"""),"NGUYEN THANH DANG KHOA")</f>
        <v>NGUYEN THANH DANG KHOA</v>
      </c>
      <c r="G868" s="45">
        <f ca="1">IFERROR(__xludf.DUMMYFUNCTION("""COMPUTED_VALUE"""),37818.5833333333)</f>
        <v>37818.583333333299</v>
      </c>
      <c r="H868" s="45" t="str">
        <f ca="1">IFERROR(__xludf.DUMMYFUNCTION("""COMPUTED_VALUE"""),"BAKES")</f>
        <v>BAKES</v>
      </c>
      <c r="I868" s="46" t="str">
        <f ca="1">IFERROR(__xludf.DUMMYFUNCTION("""COMPUTED_VALUE"""),"STORE")</f>
        <v>STORE</v>
      </c>
      <c r="J868" s="46" t="str">
        <f ca="1">IFERROR(__xludf.DUMMYFUNCTION("""COMPUTED_VALUE"""),"BAKES D2")</f>
        <v>BAKES D2</v>
      </c>
      <c r="K868" s="46" t="str">
        <f ca="1">IFERROR(__xludf.DUMMYFUNCTION("""COMPUTED_VALUE"""),"BAR")</f>
        <v>BAR</v>
      </c>
      <c r="L868" s="46" t="str">
        <f ca="1">IFERROR(__xludf.DUMMYFUNCTION("""COMPUTED_VALUE"""),"PTE")</f>
        <v>PTE</v>
      </c>
      <c r="M868" s="46" t="str">
        <f ca="1">IFERROR(__xludf.DUMMYFUNCTION("""COMPUTED_VALUE"""),"Leave")</f>
        <v>Leave</v>
      </c>
      <c r="N868" s="46" t="str">
        <f ca="1">IFERROR(__xludf.DUMMYFUNCTION("""COMPUTED_VALUE"""),"đủ")</f>
        <v>đủ</v>
      </c>
    </row>
    <row r="869" spans="1:14">
      <c r="A869" s="45">
        <f ca="1">IFERROR(__xludf.DUMMYFUNCTION("""COMPUTED_VALUE"""),45750.5833333333)</f>
        <v>45750.583333333299</v>
      </c>
      <c r="B869" s="45">
        <f ca="1">IFERROR(__xludf.DUMMYFUNCTION("""COMPUTED_VALUE"""),45753.5833333333)</f>
        <v>45753.583333333299</v>
      </c>
      <c r="C869" s="46">
        <f ca="1">IFERROR(__xludf.DUMMYFUNCTION("""COMPUTED_VALUE"""),870)</f>
        <v>870</v>
      </c>
      <c r="D869" s="47" t="str">
        <f ca="1">IFERROR(__xludf.DUMMYFUNCTION("""COMPUTED_VALUE"""),"C0642")</f>
        <v>C0642</v>
      </c>
      <c r="E869" s="46" t="str">
        <f ca="1">IFERROR(__xludf.DUMMYFUNCTION("""COMPUTED_VALUE"""),"PHẠM MINH QUÂN")</f>
        <v>PHẠM MINH QUÂN</v>
      </c>
      <c r="F869" s="46" t="str">
        <f ca="1">IFERROR(__xludf.DUMMYFUNCTION("""COMPUTED_VALUE"""),"PHAM MINH QUAN")</f>
        <v>PHAM MINH QUAN</v>
      </c>
      <c r="G869" s="45">
        <f ca="1">IFERROR(__xludf.DUMMYFUNCTION("""COMPUTED_VALUE"""),37833.5833333333)</f>
        <v>37833.583333333299</v>
      </c>
      <c r="H869" s="45" t="str">
        <f ca="1">IFERROR(__xludf.DUMMYFUNCTION("""COMPUTED_VALUE"""),"MATTE")</f>
        <v>MATTE</v>
      </c>
      <c r="I869" s="46" t="str">
        <f ca="1">IFERROR(__xludf.DUMMYFUNCTION("""COMPUTED_VALUE"""),"STORE")</f>
        <v>STORE</v>
      </c>
      <c r="J869" s="46" t="str">
        <f ca="1">IFERROR(__xludf.DUMMYFUNCTION("""COMPUTED_VALUE"""),"MATTE D7")</f>
        <v>MATTE D7</v>
      </c>
      <c r="K869" s="46" t="str">
        <f ca="1">IFERROR(__xludf.DUMMYFUNCTION("""COMPUTED_VALUE"""),"BAR")</f>
        <v>BAR</v>
      </c>
      <c r="L869" s="46" t="str">
        <f ca="1">IFERROR(__xludf.DUMMYFUNCTION("""COMPUTED_VALUE"""),"PRO")</f>
        <v>PRO</v>
      </c>
      <c r="M869" s="46" t="str">
        <f ca="1">IFERROR(__xludf.DUMMYFUNCTION("""COMPUTED_VALUE"""),"Leave")</f>
        <v>Leave</v>
      </c>
      <c r="N869" s="46" t="str">
        <f ca="1">IFERROR(__xludf.DUMMYFUNCTION("""COMPUTED_VALUE"""),"chua nop")</f>
        <v>chua nop</v>
      </c>
    </row>
    <row r="870" spans="1:14">
      <c r="A870" s="45">
        <f ca="1">IFERROR(__xludf.DUMMYFUNCTION("""COMPUTED_VALUE"""),45738.5833333333)</f>
        <v>45738.583333333299</v>
      </c>
      <c r="B870" s="45">
        <f ca="1">IFERROR(__xludf.DUMMYFUNCTION("""COMPUTED_VALUE"""),45888.5833333333)</f>
        <v>45888.583333333299</v>
      </c>
      <c r="C870" s="46">
        <f ca="1">IFERROR(__xludf.DUMMYFUNCTION("""COMPUTED_VALUE"""),871)</f>
        <v>871</v>
      </c>
      <c r="D870" s="47" t="str">
        <f ca="1">IFERROR(__xludf.DUMMYFUNCTION("""COMPUTED_VALUE"""),"C0643")</f>
        <v>C0643</v>
      </c>
      <c r="E870" s="46" t="str">
        <f ca="1">IFERROR(__xludf.DUMMYFUNCTION("""COMPUTED_VALUE"""),"LÊ THỊ DIỄM HÀ")</f>
        <v>LÊ THỊ DIỄM HÀ</v>
      </c>
      <c r="F870" s="46" t="str">
        <f ca="1">IFERROR(__xludf.DUMMYFUNCTION("""COMPUTED_VALUE"""),"LE THI DIEM HA")</f>
        <v>LE THI DIEM HA</v>
      </c>
      <c r="G870" s="45">
        <f ca="1">IFERROR(__xludf.DUMMYFUNCTION("""COMPUTED_VALUE"""),36966.625)</f>
        <v>36966.625</v>
      </c>
      <c r="H870" s="45" t="str">
        <f ca="1">IFERROR(__xludf.DUMMYFUNCTION("""COMPUTED_VALUE"""),"BAKES")</f>
        <v>BAKES</v>
      </c>
      <c r="I870" s="46" t="str">
        <f ca="1">IFERROR(__xludf.DUMMYFUNCTION("""COMPUTED_VALUE"""),"STORE")</f>
        <v>STORE</v>
      </c>
      <c r="J870" s="46" t="str">
        <f ca="1">IFERROR(__xludf.DUMMYFUNCTION("""COMPUTED_VALUE"""),"BAKES D2")</f>
        <v>BAKES D2</v>
      </c>
      <c r="K870" s="46" t="str">
        <f ca="1">IFERROR(__xludf.DUMMYFUNCTION("""COMPUTED_VALUE"""),"WAITSTAFF")</f>
        <v>WAITSTAFF</v>
      </c>
      <c r="L870" s="46" t="str">
        <f ca="1">IFERROR(__xludf.DUMMYFUNCTION("""COMPUTED_VALUE"""),"PTE")</f>
        <v>PTE</v>
      </c>
      <c r="M870" s="46" t="str">
        <f ca="1">IFERROR(__xludf.DUMMYFUNCTION("""COMPUTED_VALUE"""),"Leave")</f>
        <v>Leave</v>
      </c>
      <c r="N870" s="46" t="str">
        <f ca="1">IFERROR(__xludf.DUMMYFUNCTION("""COMPUTED_VALUE"""),"đủ")</f>
        <v>đủ</v>
      </c>
    </row>
    <row r="871" spans="1:14">
      <c r="A871" s="45">
        <f ca="1">IFERROR(__xludf.DUMMYFUNCTION("""COMPUTED_VALUE"""),45733.5833333333)</f>
        <v>45733.583333333299</v>
      </c>
      <c r="B871" s="45">
        <f ca="1">IFERROR(__xludf.DUMMYFUNCTION("""COMPUTED_VALUE"""),45775.5833333333)</f>
        <v>45775.583333333299</v>
      </c>
      <c r="C871" s="46">
        <f ca="1">IFERROR(__xludf.DUMMYFUNCTION("""COMPUTED_VALUE"""),872)</f>
        <v>872</v>
      </c>
      <c r="D871" s="47" t="str">
        <f ca="1">IFERROR(__xludf.DUMMYFUNCTION("""COMPUTED_VALUE"""),"C0644")</f>
        <v>C0644</v>
      </c>
      <c r="E871" s="46" t="str">
        <f ca="1">IFERROR(__xludf.DUMMYFUNCTION("""COMPUTED_VALUE"""),"GIẢNG HOÀNG BẢO YẾN")</f>
        <v>GIẢNG HOÀNG BẢO YẾN</v>
      </c>
      <c r="F871" s="46" t="str">
        <f ca="1">IFERROR(__xludf.DUMMYFUNCTION("""COMPUTED_VALUE"""),"GIANG HOANG BAO YEN")</f>
        <v>GIANG HOANG BAO YEN</v>
      </c>
      <c r="G871" s="45">
        <f ca="1">IFERROR(__xludf.DUMMYFUNCTION("""COMPUTED_VALUE"""),38239.5833333333)</f>
        <v>38239.583333333299</v>
      </c>
      <c r="H871" s="45" t="str">
        <f ca="1">IFERROR(__xludf.DUMMYFUNCTION("""COMPUTED_VALUE"""),"BAKES")</f>
        <v>BAKES</v>
      </c>
      <c r="I871" s="46" t="str">
        <f ca="1">IFERROR(__xludf.DUMMYFUNCTION("""COMPUTED_VALUE"""),"STORE")</f>
        <v>STORE</v>
      </c>
      <c r="J871" s="46" t="str">
        <f ca="1">IFERROR(__xludf.DUMMYFUNCTION("""COMPUTED_VALUE"""),"BAKES D2")</f>
        <v>BAKES D2</v>
      </c>
      <c r="K871" s="46" t="str">
        <f ca="1">IFERROR(__xludf.DUMMYFUNCTION("""COMPUTED_VALUE"""),"WAITSTAFF")</f>
        <v>WAITSTAFF</v>
      </c>
      <c r="L871" s="46" t="str">
        <f ca="1">IFERROR(__xludf.DUMMYFUNCTION("""COMPUTED_VALUE"""),"PTE")</f>
        <v>PTE</v>
      </c>
      <c r="M871" s="46" t="str">
        <f ca="1">IFERROR(__xludf.DUMMYFUNCTION("""COMPUTED_VALUE"""),"Leave")</f>
        <v>Leave</v>
      </c>
      <c r="N871" s="46" t="str">
        <f ca="1">IFERROR(__xludf.DUMMYFUNCTION("""COMPUTED_VALUE"""),"đủ")</f>
        <v>đủ</v>
      </c>
    </row>
    <row r="872" spans="1:14">
      <c r="A872" s="45">
        <f ca="1">IFERROR(__xludf.DUMMYFUNCTION("""COMPUTED_VALUE"""),45733.5833333333)</f>
        <v>45733.583333333299</v>
      </c>
      <c r="B872" s="45">
        <f ca="1">IFERROR(__xludf.DUMMYFUNCTION("""COMPUTED_VALUE"""),45839.5833333333)</f>
        <v>45839.583333333299</v>
      </c>
      <c r="C872" s="46">
        <f ca="1">IFERROR(__xludf.DUMMYFUNCTION("""COMPUTED_VALUE"""),873)</f>
        <v>873</v>
      </c>
      <c r="D872" s="47" t="str">
        <f ca="1">IFERROR(__xludf.DUMMYFUNCTION("""COMPUTED_VALUE"""),"C0645")</f>
        <v>C0645</v>
      </c>
      <c r="E872" s="46" t="str">
        <f ca="1">IFERROR(__xludf.DUMMYFUNCTION("""COMPUTED_VALUE"""),"DOÃN HÙNG KIỆT")</f>
        <v>DOÃN HÙNG KIỆT</v>
      </c>
      <c r="F872" s="46" t="str">
        <f ca="1">IFERROR(__xludf.DUMMYFUNCTION("""COMPUTED_VALUE"""),"DOAN HUNG KIET")</f>
        <v>DOAN HUNG KIET</v>
      </c>
      <c r="G872" s="45">
        <f ca="1">IFERROR(__xludf.DUMMYFUNCTION("""COMPUTED_VALUE"""),37871.5833333333)</f>
        <v>37871.583333333299</v>
      </c>
      <c r="H872" s="45" t="str">
        <f ca="1">IFERROR(__xludf.DUMMYFUNCTION("""COMPUTED_VALUE"""),"TLC")</f>
        <v>TLC</v>
      </c>
      <c r="I872" s="46" t="str">
        <f ca="1">IFERROR(__xludf.DUMMYFUNCTION("""COMPUTED_VALUE"""),"STORE")</f>
        <v>STORE</v>
      </c>
      <c r="J872" s="46" t="str">
        <f ca="1">IFERROR(__xludf.DUMMYFUNCTION("""COMPUTED_VALUE"""),"BLANK LOUNGE")</f>
        <v>BLANK LOUNGE</v>
      </c>
      <c r="K872" s="46" t="str">
        <f ca="1">IFERROR(__xludf.DUMMYFUNCTION("""COMPUTED_VALUE"""),"WAITSTAFF")</f>
        <v>WAITSTAFF</v>
      </c>
      <c r="L872" s="46" t="str">
        <f ca="1">IFERROR(__xludf.DUMMYFUNCTION("""COMPUTED_VALUE"""),"PTE")</f>
        <v>PTE</v>
      </c>
      <c r="M872" s="46" t="str">
        <f ca="1">IFERROR(__xludf.DUMMYFUNCTION("""COMPUTED_VALUE"""),"Leave")</f>
        <v>Leave</v>
      </c>
      <c r="N872" s="46" t="str">
        <f ca="1">IFERROR(__xludf.DUMMYFUNCTION("""COMPUTED_VALUE"""),"đủ")</f>
        <v>đủ</v>
      </c>
    </row>
    <row r="873" spans="1:14">
      <c r="A873" s="45">
        <f ca="1">IFERROR(__xludf.DUMMYFUNCTION("""COMPUTED_VALUE"""),45732.5833333333)</f>
        <v>45732.583333333299</v>
      </c>
      <c r="B873" s="45" t="str">
        <f ca="1">IFERROR(__xludf.DUMMYFUNCTION("""COMPUTED_VALUE"""),"Đã nghỉ")</f>
        <v>Đã nghỉ</v>
      </c>
      <c r="C873" s="46">
        <f ca="1">IFERROR(__xludf.DUMMYFUNCTION("""COMPUTED_VALUE"""),874)</f>
        <v>874</v>
      </c>
      <c r="D873" s="47" t="str">
        <f ca="1">IFERROR(__xludf.DUMMYFUNCTION("""COMPUTED_VALUE"""),"C0646")</f>
        <v>C0646</v>
      </c>
      <c r="E873" s="46" t="str">
        <f ca="1">IFERROR(__xludf.DUMMYFUNCTION("""COMPUTED_VALUE"""),"HUỲNH THỊ HẠNH UYÊN")</f>
        <v>HUỲNH THỊ HẠNH UYÊN</v>
      </c>
      <c r="F873" s="46" t="str">
        <f ca="1">IFERROR(__xludf.DUMMYFUNCTION("""COMPUTED_VALUE"""),"HUYNH THI HANH UYEN")</f>
        <v>HUYNH THI HANH UYEN</v>
      </c>
      <c r="G873" s="45">
        <f ca="1">IFERROR(__xludf.DUMMYFUNCTION("""COMPUTED_VALUE"""),36945.625)</f>
        <v>36945.625</v>
      </c>
      <c r="H873" s="45" t="str">
        <f ca="1">IFERROR(__xludf.DUMMYFUNCTION("""COMPUTED_VALUE"""),"TLC")</f>
        <v>TLC</v>
      </c>
      <c r="I873" s="46" t="str">
        <f ca="1">IFERROR(__xludf.DUMMYFUNCTION("""COMPUTED_VALUE"""),"STORE")</f>
        <v>STORE</v>
      </c>
      <c r="J873" s="46" t="str">
        <f ca="1">IFERROR(__xludf.DUMMYFUNCTION("""COMPUTED_VALUE"""),"BAKES HCR")</f>
        <v>BAKES HCR</v>
      </c>
      <c r="K873" s="46" t="str">
        <f ca="1">IFERROR(__xludf.DUMMYFUNCTION("""COMPUTED_VALUE"""),"CASHIER")</f>
        <v>CASHIER</v>
      </c>
      <c r="L873" s="46" t="str">
        <f ca="1">IFERROR(__xludf.DUMMYFUNCTION("""COMPUTED_VALUE"""),"PTE")</f>
        <v>PTE</v>
      </c>
      <c r="M873" s="46" t="str">
        <f ca="1">IFERROR(__xludf.DUMMYFUNCTION("""COMPUTED_VALUE"""),"Leave")</f>
        <v>Leave</v>
      </c>
      <c r="N873" s="46" t="str">
        <f ca="1">IFERROR(__xludf.DUMMYFUNCTION("""COMPUTED_VALUE"""),"đủ")</f>
        <v>đủ</v>
      </c>
    </row>
    <row r="874" spans="1:14">
      <c r="A874" s="45">
        <f ca="1">IFERROR(__xludf.DUMMYFUNCTION("""COMPUTED_VALUE"""),45733.5833333333)</f>
        <v>45733.583333333299</v>
      </c>
      <c r="B874" s="45">
        <f ca="1">IFERROR(__xludf.DUMMYFUNCTION("""COMPUTED_VALUE"""),45748.5833333333)</f>
        <v>45748.583333333299</v>
      </c>
      <c r="C874" s="46">
        <f ca="1">IFERROR(__xludf.DUMMYFUNCTION("""COMPUTED_VALUE"""),875)</f>
        <v>875</v>
      </c>
      <c r="D874" s="47" t="str">
        <f ca="1">IFERROR(__xludf.DUMMYFUNCTION("""COMPUTED_VALUE"""),"C0647")</f>
        <v>C0647</v>
      </c>
      <c r="E874" s="46" t="str">
        <f ca="1">IFERROR(__xludf.DUMMYFUNCTION("""COMPUTED_VALUE"""),"LƯƠNG THỊ THÚY ÁI")</f>
        <v>LƯƠNG THỊ THÚY ÁI</v>
      </c>
      <c r="F874" s="46" t="str">
        <f ca="1">IFERROR(__xludf.DUMMYFUNCTION("""COMPUTED_VALUE"""),"LUONG THI THUY AI")</f>
        <v>LUONG THI THUY AI</v>
      </c>
      <c r="G874" s="45">
        <f ca="1">IFERROR(__xludf.DUMMYFUNCTION("""COMPUTED_VALUE"""),30009.625)</f>
        <v>30009.625</v>
      </c>
      <c r="H874" s="45" t="str">
        <f ca="1">IFERROR(__xludf.DUMMYFUNCTION("""COMPUTED_VALUE"""),"KITCHEN PASTRY")</f>
        <v>KITCHEN PASTRY</v>
      </c>
      <c r="I874" s="46" t="str">
        <f ca="1">IFERROR(__xludf.DUMMYFUNCTION("""COMPUTED_VALUE"""),"KITCHEN PASTRY")</f>
        <v>KITCHEN PASTRY</v>
      </c>
      <c r="J874" s="46" t="str">
        <f ca="1">IFERROR(__xludf.DUMMYFUNCTION("""COMPUTED_VALUE"""),"KITCHEN PASTRY")</f>
        <v>KITCHEN PASTRY</v>
      </c>
      <c r="K874" s="46" t="str">
        <f ca="1">IFERROR(__xludf.DUMMYFUNCTION("""COMPUTED_VALUE"""),"BAKER")</f>
        <v>BAKER</v>
      </c>
      <c r="L874" s="46" t="str">
        <f ca="1">IFERROR(__xludf.DUMMYFUNCTION("""COMPUTED_VALUE"""),"PTE")</f>
        <v>PTE</v>
      </c>
      <c r="M874" s="46" t="str">
        <f ca="1">IFERROR(__xludf.DUMMYFUNCTION("""COMPUTED_VALUE"""),"Leave")</f>
        <v>Leave</v>
      </c>
      <c r="N874" s="46" t="str">
        <f ca="1">IFERROR(__xludf.DUMMYFUNCTION("""COMPUTED_VALUE"""),"đủ")</f>
        <v>đủ</v>
      </c>
    </row>
    <row r="875" spans="1:14">
      <c r="A875" s="45">
        <f ca="1">IFERROR(__xludf.DUMMYFUNCTION("""COMPUTED_VALUE"""),45741.5833333333)</f>
        <v>45741.583333333299</v>
      </c>
      <c r="B875" s="45">
        <f ca="1">IFERROR(__xludf.DUMMYFUNCTION("""COMPUTED_VALUE"""),45742.5833333333)</f>
        <v>45742.583333333299</v>
      </c>
      <c r="C875" s="46">
        <f ca="1">IFERROR(__xludf.DUMMYFUNCTION("""COMPUTED_VALUE"""),876)</f>
        <v>876</v>
      </c>
      <c r="D875" s="47" t="str">
        <f ca="1">IFERROR(__xludf.DUMMYFUNCTION("""COMPUTED_VALUE"""),"C0648")</f>
        <v>C0648</v>
      </c>
      <c r="E875" s="46" t="str">
        <f ca="1">IFERROR(__xludf.DUMMYFUNCTION("""COMPUTED_VALUE"""),"ĐINH LINH PHƯƠNG")</f>
        <v>ĐINH LINH PHƯƠNG</v>
      </c>
      <c r="F875" s="46" t="str">
        <f ca="1">IFERROR(__xludf.DUMMYFUNCTION("""COMPUTED_VALUE"""),"DINH LINH PHUONG")</f>
        <v>DINH LINH PHUONG</v>
      </c>
      <c r="G875" s="45">
        <f ca="1">IFERROR(__xludf.DUMMYFUNCTION("""COMPUTED_VALUE"""),38308.625)</f>
        <v>38308.625</v>
      </c>
      <c r="H875" s="45" t="str">
        <f ca="1">IFERROR(__xludf.DUMMYFUNCTION("""COMPUTED_VALUE"""),"BAKES")</f>
        <v>BAKES</v>
      </c>
      <c r="I875" s="46" t="str">
        <f ca="1">IFERROR(__xludf.DUMMYFUNCTION("""COMPUTED_VALUE"""),"STORE")</f>
        <v>STORE</v>
      </c>
      <c r="J875" s="46" t="str">
        <f ca="1">IFERROR(__xludf.DUMMYFUNCTION("""COMPUTED_VALUE"""),"BAKES D2")</f>
        <v>BAKES D2</v>
      </c>
      <c r="K875" s="46" t="str">
        <f ca="1">IFERROR(__xludf.DUMMYFUNCTION("""COMPUTED_VALUE"""),"WAITSTAFF")</f>
        <v>WAITSTAFF</v>
      </c>
      <c r="L875" s="46" t="str">
        <f ca="1">IFERROR(__xludf.DUMMYFUNCTION("""COMPUTED_VALUE"""),"PTE")</f>
        <v>PTE</v>
      </c>
      <c r="M875" s="46" t="str">
        <f ca="1">IFERROR(__xludf.DUMMYFUNCTION("""COMPUTED_VALUE"""),"Leave")</f>
        <v>Leave</v>
      </c>
      <c r="N875" s="46" t="str">
        <f ca="1">IFERROR(__xludf.DUMMYFUNCTION("""COMPUTED_VALUE"""),"chua nop")</f>
        <v>chua nop</v>
      </c>
    </row>
    <row r="876" spans="1:14">
      <c r="A876" s="45">
        <f ca="1">IFERROR(__xludf.DUMMYFUNCTION("""COMPUTED_VALUE"""),45736.5833333333)</f>
        <v>45736.583333333299</v>
      </c>
      <c r="B876" s="45">
        <f ca="1">IFERROR(__xludf.DUMMYFUNCTION("""COMPUTED_VALUE"""),45746.5833333333)</f>
        <v>45746.583333333299</v>
      </c>
      <c r="C876" s="46">
        <f ca="1">IFERROR(__xludf.DUMMYFUNCTION("""COMPUTED_VALUE"""),877)</f>
        <v>877</v>
      </c>
      <c r="D876" s="47" t="str">
        <f ca="1">IFERROR(__xludf.DUMMYFUNCTION("""COMPUTED_VALUE"""),"C0649")</f>
        <v>C0649</v>
      </c>
      <c r="E876" s="46" t="str">
        <f ca="1">IFERROR(__xludf.DUMMYFUNCTION("""COMPUTED_VALUE"""),"ĐÀM THÙY LINH")</f>
        <v>ĐÀM THÙY LINH</v>
      </c>
      <c r="F876" s="46" t="str">
        <f ca="1">IFERROR(__xludf.DUMMYFUNCTION("""COMPUTED_VALUE"""),"DAM THUY LINH")</f>
        <v>DAM THUY LINH</v>
      </c>
      <c r="G876" s="45">
        <f ca="1">IFERROR(__xludf.DUMMYFUNCTION("""COMPUTED_VALUE"""),37678.625)</f>
        <v>37678.625</v>
      </c>
      <c r="H876" s="45" t="str">
        <f ca="1">IFERROR(__xludf.DUMMYFUNCTION("""COMPUTED_VALUE"""),"TLC")</f>
        <v>TLC</v>
      </c>
      <c r="I876" s="46" t="str">
        <f ca="1">IFERROR(__xludf.DUMMYFUNCTION("""COMPUTED_VALUE"""),"STORE")</f>
        <v>STORE</v>
      </c>
      <c r="J876" s="46" t="str">
        <f ca="1">IFERROR(__xludf.DUMMYFUNCTION("""COMPUTED_VALUE"""),"BLANK LOUNGE")</f>
        <v>BLANK LOUNGE</v>
      </c>
      <c r="K876" s="46" t="str">
        <f ca="1">IFERROR(__xludf.DUMMYFUNCTION("""COMPUTED_VALUE"""),"WAITSTAFF")</f>
        <v>WAITSTAFF</v>
      </c>
      <c r="L876" s="46" t="str">
        <f ca="1">IFERROR(__xludf.DUMMYFUNCTION("""COMPUTED_VALUE"""),"PTE")</f>
        <v>PTE</v>
      </c>
      <c r="M876" s="46" t="str">
        <f ca="1">IFERROR(__xludf.DUMMYFUNCTION("""COMPUTED_VALUE"""),"Leave")</f>
        <v>Leave</v>
      </c>
      <c r="N876" s="46" t="str">
        <f ca="1">IFERROR(__xludf.DUMMYFUNCTION("""COMPUTED_VALUE"""),"đủ")</f>
        <v>đủ</v>
      </c>
    </row>
    <row r="877" spans="1:14">
      <c r="A877" s="45">
        <f ca="1">IFERROR(__xludf.DUMMYFUNCTION("""COMPUTED_VALUE"""),45748.5833333333)</f>
        <v>45748.583333333299</v>
      </c>
      <c r="B877" s="45">
        <f ca="1">IFERROR(__xludf.DUMMYFUNCTION("""COMPUTED_VALUE"""),45890.5833333333)</f>
        <v>45890.583333333299</v>
      </c>
      <c r="C877" s="46">
        <f ca="1">IFERROR(__xludf.DUMMYFUNCTION("""COMPUTED_VALUE"""),878)</f>
        <v>878</v>
      </c>
      <c r="D877" s="47" t="str">
        <f ca="1">IFERROR(__xludf.DUMMYFUNCTION("""COMPUTED_VALUE"""),"C0650")</f>
        <v>C0650</v>
      </c>
      <c r="E877" s="46" t="str">
        <f ca="1">IFERROR(__xludf.DUMMYFUNCTION("""COMPUTED_VALUE"""),"ĐÀO THẾ ANH")</f>
        <v>ĐÀO THẾ ANH</v>
      </c>
      <c r="F877" s="46" t="str">
        <f ca="1">IFERROR(__xludf.DUMMYFUNCTION("""COMPUTED_VALUE"""),"DAO THE ANH")</f>
        <v>DAO THE ANH</v>
      </c>
      <c r="G877" s="45">
        <f ca="1">IFERROR(__xludf.DUMMYFUNCTION("""COMPUTED_VALUE"""),38162.5833333333)</f>
        <v>38162.583333333299</v>
      </c>
      <c r="H877" s="45" t="str">
        <f ca="1">IFERROR(__xludf.DUMMYFUNCTION("""COMPUTED_VALUE"""),"BAKES")</f>
        <v>BAKES</v>
      </c>
      <c r="I877" s="46" t="str">
        <f ca="1">IFERROR(__xludf.DUMMYFUNCTION("""COMPUTED_VALUE"""),"STORE")</f>
        <v>STORE</v>
      </c>
      <c r="J877" s="46" t="str">
        <f ca="1">IFERROR(__xludf.DUMMYFUNCTION("""COMPUTED_VALUE"""),"BAKES D2")</f>
        <v>BAKES D2</v>
      </c>
      <c r="K877" s="46" t="str">
        <f ca="1">IFERROR(__xludf.DUMMYFUNCTION("""COMPUTED_VALUE"""),"BAR")</f>
        <v>BAR</v>
      </c>
      <c r="L877" s="46" t="str">
        <f ca="1">IFERROR(__xludf.DUMMYFUNCTION("""COMPUTED_VALUE"""),"PTE")</f>
        <v>PTE</v>
      </c>
      <c r="M877" s="46" t="str">
        <f ca="1">IFERROR(__xludf.DUMMYFUNCTION("""COMPUTED_VALUE"""),"Leave")</f>
        <v>Leave</v>
      </c>
      <c r="N877" s="46" t="str">
        <f ca="1">IFERROR(__xludf.DUMMYFUNCTION("""COMPUTED_VALUE"""),"đủ")</f>
        <v>đủ</v>
      </c>
    </row>
    <row r="878" spans="1:14">
      <c r="A878" s="45">
        <f ca="1">IFERROR(__xludf.DUMMYFUNCTION("""COMPUTED_VALUE"""),45749.5833333333)</f>
        <v>45749.583333333299</v>
      </c>
      <c r="B878" s="45"/>
      <c r="C878" s="46">
        <f ca="1">IFERROR(__xludf.DUMMYFUNCTION("""COMPUTED_VALUE"""),879)</f>
        <v>879</v>
      </c>
      <c r="D878" s="47" t="str">
        <f ca="1">IFERROR(__xludf.DUMMYFUNCTION("""COMPUTED_VALUE"""),"C0651")</f>
        <v>C0651</v>
      </c>
      <c r="E878" s="46" t="str">
        <f ca="1">IFERROR(__xludf.DUMMYFUNCTION("""COMPUTED_VALUE"""),"NGUYỄN THỊ TRÂM ANH")</f>
        <v>NGUYỄN THỊ TRÂM ANH</v>
      </c>
      <c r="F878" s="46" t="str">
        <f ca="1">IFERROR(__xludf.DUMMYFUNCTION("""COMPUTED_VALUE"""),"NGUYEN THI TRAM ANH")</f>
        <v>NGUYEN THI TRAM ANH</v>
      </c>
      <c r="G878" s="45">
        <f ca="1">IFERROR(__xludf.DUMMYFUNCTION("""COMPUTED_VALUE"""),37316.625)</f>
        <v>37316.625</v>
      </c>
      <c r="H878" s="45" t="str">
        <f ca="1">IFERROR(__xludf.DUMMYFUNCTION("""COMPUTED_VALUE"""),"BAKES")</f>
        <v>BAKES</v>
      </c>
      <c r="I878" s="46" t="str">
        <f ca="1">IFERROR(__xludf.DUMMYFUNCTION("""COMPUTED_VALUE"""),"STORE")</f>
        <v>STORE</v>
      </c>
      <c r="J878" s="46" t="str">
        <f ca="1">IFERROR(__xludf.DUMMYFUNCTION("""COMPUTED_VALUE"""),"BAKES D2")</f>
        <v>BAKES D2</v>
      </c>
      <c r="K878" s="46" t="str">
        <f ca="1">IFERROR(__xludf.DUMMYFUNCTION("""COMPUTED_VALUE"""),"CASHIER")</f>
        <v>CASHIER</v>
      </c>
      <c r="L878" s="46" t="str">
        <f ca="1">IFERROR(__xludf.DUMMYFUNCTION("""COMPUTED_VALUE"""),"PTE")</f>
        <v>PTE</v>
      </c>
      <c r="M878" s="46" t="str">
        <f ca="1">IFERROR(__xludf.DUMMYFUNCTION("""COMPUTED_VALUE"""),"On")</f>
        <v>On</v>
      </c>
      <c r="N878" s="46" t="str">
        <f ca="1">IFERROR(__xludf.DUMMYFUNCTION("""COMPUTED_VALUE"""),"đủ")</f>
        <v>đủ</v>
      </c>
    </row>
    <row r="879" spans="1:14">
      <c r="A879" s="45">
        <f ca="1">IFERROR(__xludf.DUMMYFUNCTION("""COMPUTED_VALUE"""),45748.5833333333)</f>
        <v>45748.583333333299</v>
      </c>
      <c r="B879" s="45">
        <f ca="1">IFERROR(__xludf.DUMMYFUNCTION("""COMPUTED_VALUE"""),45901.5833333333)</f>
        <v>45901.583333333299</v>
      </c>
      <c r="C879" s="46">
        <f ca="1">IFERROR(__xludf.DUMMYFUNCTION("""COMPUTED_VALUE"""),880)</f>
        <v>880</v>
      </c>
      <c r="D879" s="47" t="str">
        <f ca="1">IFERROR(__xludf.DUMMYFUNCTION("""COMPUTED_VALUE"""),"C0652")</f>
        <v>C0652</v>
      </c>
      <c r="E879" s="46" t="str">
        <f ca="1">IFERROR(__xludf.DUMMYFUNCTION("""COMPUTED_VALUE"""),"NGÔ ĐỨC MINH")</f>
        <v>NGÔ ĐỨC MINH</v>
      </c>
      <c r="F879" s="46" t="str">
        <f ca="1">IFERROR(__xludf.DUMMYFUNCTION("""COMPUTED_VALUE"""),"NGO DUC MINH")</f>
        <v>NGO DUC MINH</v>
      </c>
      <c r="G879" s="45">
        <f ca="1">IFERROR(__xludf.DUMMYFUNCTION("""COMPUTED_VALUE"""),37289.625)</f>
        <v>37289.625</v>
      </c>
      <c r="H879" s="45" t="str">
        <f ca="1">IFERROR(__xludf.DUMMYFUNCTION("""COMPUTED_VALUE"""),"BAKES")</f>
        <v>BAKES</v>
      </c>
      <c r="I879" s="46" t="str">
        <f ca="1">IFERROR(__xludf.DUMMYFUNCTION("""COMPUTED_VALUE"""),"STORE")</f>
        <v>STORE</v>
      </c>
      <c r="J879" s="46" t="str">
        <f ca="1">IFERROR(__xludf.DUMMYFUNCTION("""COMPUTED_VALUE"""),"BAKES D2")</f>
        <v>BAKES D2</v>
      </c>
      <c r="K879" s="46" t="str">
        <f ca="1">IFERROR(__xludf.DUMMYFUNCTION("""COMPUTED_VALUE"""),"BAR")</f>
        <v>BAR</v>
      </c>
      <c r="L879" s="46" t="str">
        <f ca="1">IFERROR(__xludf.DUMMYFUNCTION("""COMPUTED_VALUE"""),"PTE")</f>
        <v>PTE</v>
      </c>
      <c r="M879" s="46" t="str">
        <f ca="1">IFERROR(__xludf.DUMMYFUNCTION("""COMPUTED_VALUE"""),"Leave")</f>
        <v>Leave</v>
      </c>
      <c r="N879" s="46" t="str">
        <f ca="1">IFERROR(__xludf.DUMMYFUNCTION("""COMPUTED_VALUE"""),"đủ")</f>
        <v>đủ</v>
      </c>
    </row>
    <row r="880" spans="1:14">
      <c r="A880" s="45">
        <f ca="1">IFERROR(__xludf.DUMMYFUNCTION("""COMPUTED_VALUE"""),45748.5833333333)</f>
        <v>45748.583333333299</v>
      </c>
      <c r="B880" s="45">
        <f ca="1">IFERROR(__xludf.DUMMYFUNCTION("""COMPUTED_VALUE"""),45804.5833333333)</f>
        <v>45804.583333333299</v>
      </c>
      <c r="C880" s="46">
        <f ca="1">IFERROR(__xludf.DUMMYFUNCTION("""COMPUTED_VALUE"""),881)</f>
        <v>881</v>
      </c>
      <c r="D880" s="47" t="str">
        <f ca="1">IFERROR(__xludf.DUMMYFUNCTION("""COMPUTED_VALUE"""),"C0653")</f>
        <v>C0653</v>
      </c>
      <c r="E880" s="46" t="str">
        <f ca="1">IFERROR(__xludf.DUMMYFUNCTION("""COMPUTED_VALUE"""),"TRẦN THỊ MỸ LINH")</f>
        <v>TRẦN THỊ MỸ LINH</v>
      </c>
      <c r="F880" s="46" t="str">
        <f ca="1">IFERROR(__xludf.DUMMYFUNCTION("""COMPUTED_VALUE"""),"TRAN THI MY LINH")</f>
        <v>TRAN THI MY LINH</v>
      </c>
      <c r="G880" s="45">
        <f ca="1">IFERROR(__xludf.DUMMYFUNCTION("""COMPUTED_VALUE"""),37252.625)</f>
        <v>37252.625</v>
      </c>
      <c r="H880" s="45" t="str">
        <f ca="1">IFERROR(__xludf.DUMMYFUNCTION("""COMPUTED_VALUE"""),"BAKES")</f>
        <v>BAKES</v>
      </c>
      <c r="I880" s="46" t="str">
        <f ca="1">IFERROR(__xludf.DUMMYFUNCTION("""COMPUTED_VALUE"""),"STORE")</f>
        <v>STORE</v>
      </c>
      <c r="J880" s="46" t="str">
        <f ca="1">IFERROR(__xludf.DUMMYFUNCTION("""COMPUTED_VALUE"""),"BAKES D2")</f>
        <v>BAKES D2</v>
      </c>
      <c r="K880" s="46" t="str">
        <f ca="1">IFERROR(__xludf.DUMMYFUNCTION("""COMPUTED_VALUE"""),"WAITSTAFF")</f>
        <v>WAITSTAFF</v>
      </c>
      <c r="L880" s="46" t="str">
        <f ca="1">IFERROR(__xludf.DUMMYFUNCTION("""COMPUTED_VALUE"""),"PTE")</f>
        <v>PTE</v>
      </c>
      <c r="M880" s="46" t="str">
        <f ca="1">IFERROR(__xludf.DUMMYFUNCTION("""COMPUTED_VALUE"""),"Leave")</f>
        <v>Leave</v>
      </c>
      <c r="N880" s="46" t="str">
        <f ca="1">IFERROR(__xludf.DUMMYFUNCTION("""COMPUTED_VALUE"""),"đủ")</f>
        <v>đủ</v>
      </c>
    </row>
    <row r="881" spans="1:14">
      <c r="A881" s="45">
        <f ca="1">IFERROR(__xludf.DUMMYFUNCTION("""COMPUTED_VALUE"""),45761.5833333333)</f>
        <v>45761.583333333299</v>
      </c>
      <c r="B881" s="45">
        <f ca="1">IFERROR(__xludf.DUMMYFUNCTION("""COMPUTED_VALUE"""),46133.5833333333)</f>
        <v>46133.583333333299</v>
      </c>
      <c r="C881" s="46">
        <f ca="1">IFERROR(__xludf.DUMMYFUNCTION("""COMPUTED_VALUE"""),882)</f>
        <v>882</v>
      </c>
      <c r="D881" s="47" t="str">
        <f ca="1">IFERROR(__xludf.DUMMYFUNCTION("""COMPUTED_VALUE"""),"C0654")</f>
        <v>C0654</v>
      </c>
      <c r="E881" s="46" t="str">
        <f ca="1">IFERROR(__xludf.DUMMYFUNCTION("""COMPUTED_VALUE"""),"LƯU HOÀNG PHÚC")</f>
        <v>LƯU HOÀNG PHÚC</v>
      </c>
      <c r="F881" s="46" t="str">
        <f ca="1">IFERROR(__xludf.DUMMYFUNCTION("""COMPUTED_VALUE"""),"LUU HOANG PHUC")</f>
        <v>LUU HOANG PHUC</v>
      </c>
      <c r="G881" s="45">
        <f ca="1">IFERROR(__xludf.DUMMYFUNCTION("""COMPUTED_VALUE"""),35539.5833333333)</f>
        <v>35539.583333333299</v>
      </c>
      <c r="H881" s="45" t="str">
        <f ca="1">IFERROR(__xludf.DUMMYFUNCTION("""COMPUTED_VALUE"""),"KITCHEN PASTRY")</f>
        <v>KITCHEN PASTRY</v>
      </c>
      <c r="I881" s="46" t="str">
        <f ca="1">IFERROR(__xludf.DUMMYFUNCTION("""COMPUTED_VALUE"""),"KITCHEN PASTRY")</f>
        <v>KITCHEN PASTRY</v>
      </c>
      <c r="J881" s="46" t="str">
        <f ca="1">IFERROR(__xludf.DUMMYFUNCTION("""COMPUTED_VALUE"""),"KITCHEN PASTRY")</f>
        <v>KITCHEN PASTRY</v>
      </c>
      <c r="K881" s="46" t="str">
        <f ca="1">IFERROR(__xludf.DUMMYFUNCTION("""COMPUTED_VALUE"""),"PASTRY")</f>
        <v>PASTRY</v>
      </c>
      <c r="L881" s="46" t="str">
        <f ca="1">IFERROR(__xludf.DUMMYFUNCTION("""COMPUTED_VALUE"""),"FTE")</f>
        <v>FTE</v>
      </c>
      <c r="M881" s="46" t="str">
        <f ca="1">IFERROR(__xludf.DUMMYFUNCTION("""COMPUTED_VALUE"""),"Leave")</f>
        <v>Leave</v>
      </c>
      <c r="N881" s="46" t="str">
        <f ca="1">IFERROR(__xludf.DUMMYFUNCTION("""COMPUTED_VALUE"""),"đủ")</f>
        <v>đủ</v>
      </c>
    </row>
    <row r="882" spans="1:14">
      <c r="A882" s="45">
        <f ca="1">IFERROR(__xludf.DUMMYFUNCTION("""COMPUTED_VALUE"""),45748.5833333333)</f>
        <v>45748.583333333299</v>
      </c>
      <c r="B882" s="45">
        <f ca="1">IFERROR(__xludf.DUMMYFUNCTION("""COMPUTED_VALUE"""),45838.5833333333)</f>
        <v>45838.583333333299</v>
      </c>
      <c r="C882" s="46">
        <f ca="1">IFERROR(__xludf.DUMMYFUNCTION("""COMPUTED_VALUE"""),883)</f>
        <v>883</v>
      </c>
      <c r="D882" s="47" t="str">
        <f ca="1">IFERROR(__xludf.DUMMYFUNCTION("""COMPUTED_VALUE"""),"C0655")</f>
        <v>C0655</v>
      </c>
      <c r="E882" s="46" t="str">
        <f ca="1">IFERROR(__xludf.DUMMYFUNCTION("""COMPUTED_VALUE"""),"DƯƠNG THỊ QUỲNH NHƯ")</f>
        <v>DƯƠNG THỊ QUỲNH NHƯ</v>
      </c>
      <c r="F882" s="46" t="str">
        <f ca="1">IFERROR(__xludf.DUMMYFUNCTION("""COMPUTED_VALUE"""),"DUONG THI QUYNH NHU")</f>
        <v>DUONG THI QUYNH NHU</v>
      </c>
      <c r="G882" s="45">
        <f ca="1">IFERROR(__xludf.DUMMYFUNCTION("""COMPUTED_VALUE"""),33604.625)</f>
        <v>33604.625</v>
      </c>
      <c r="H882" s="45" t="str">
        <f ca="1">IFERROR(__xludf.DUMMYFUNCTION("""COMPUTED_VALUE"""),"KITCHEN PASTRY")</f>
        <v>KITCHEN PASTRY</v>
      </c>
      <c r="I882" s="46" t="str">
        <f ca="1">IFERROR(__xludf.DUMMYFUNCTION("""COMPUTED_VALUE"""),"KITCHEN PASTRY")</f>
        <v>KITCHEN PASTRY</v>
      </c>
      <c r="J882" s="46" t="str">
        <f ca="1">IFERROR(__xludf.DUMMYFUNCTION("""COMPUTED_VALUE"""),"KITCHEN PASTRY")</f>
        <v>KITCHEN PASTRY</v>
      </c>
      <c r="K882" s="46" t="str">
        <f ca="1">IFERROR(__xludf.DUMMYFUNCTION("""COMPUTED_VALUE"""),"PASTRY")</f>
        <v>PASTRY</v>
      </c>
      <c r="L882" s="46" t="str">
        <f ca="1">IFERROR(__xludf.DUMMYFUNCTION("""COMPUTED_VALUE"""),"FTE")</f>
        <v>FTE</v>
      </c>
      <c r="M882" s="46" t="str">
        <f ca="1">IFERROR(__xludf.DUMMYFUNCTION("""COMPUTED_VALUE"""),"Leave")</f>
        <v>Leave</v>
      </c>
      <c r="N882" s="46" t="str">
        <f ca="1">IFERROR(__xludf.DUMMYFUNCTION("""COMPUTED_VALUE"""),"đủ")</f>
        <v>đủ</v>
      </c>
    </row>
    <row r="883" spans="1:14">
      <c r="A883" s="45">
        <f ca="1">IFERROR(__xludf.DUMMYFUNCTION("""COMPUTED_VALUE"""),45748.5833333333)</f>
        <v>45748.583333333299</v>
      </c>
      <c r="B883" s="45">
        <f ca="1">IFERROR(__xludf.DUMMYFUNCTION("""COMPUTED_VALUE"""),45885.5833333333)</f>
        <v>45885.583333333299</v>
      </c>
      <c r="C883" s="46">
        <f ca="1">IFERROR(__xludf.DUMMYFUNCTION("""COMPUTED_VALUE"""),884)</f>
        <v>884</v>
      </c>
      <c r="D883" s="47" t="str">
        <f ca="1">IFERROR(__xludf.DUMMYFUNCTION("""COMPUTED_VALUE"""),"C0396")</f>
        <v>C0396</v>
      </c>
      <c r="E883" s="46" t="str">
        <f ca="1">IFERROR(__xludf.DUMMYFUNCTION("""COMPUTED_VALUE"""),"NGUYỄN BẢO TƯỜNG LAM")</f>
        <v>NGUYỄN BẢO TƯỜNG LAM</v>
      </c>
      <c r="F883" s="46" t="str">
        <f ca="1">IFERROR(__xludf.DUMMYFUNCTION("""COMPUTED_VALUE"""),"NGUYEN BAO TUONG LAM")</f>
        <v>NGUYEN BAO TUONG LAM</v>
      </c>
      <c r="G883" s="45">
        <f ca="1">IFERROR(__xludf.DUMMYFUNCTION("""COMPUTED_VALUE"""),36057.5833333333)</f>
        <v>36057.583333333299</v>
      </c>
      <c r="H883" s="45" t="str">
        <f ca="1">IFERROR(__xludf.DUMMYFUNCTION("""COMPUTED_VALUE"""),"MOONCAKE")</f>
        <v>MOONCAKE</v>
      </c>
      <c r="I883" s="46" t="str">
        <f ca="1">IFERROR(__xludf.DUMMYFUNCTION("""COMPUTED_VALUE"""),"KITCHEN PASTRY")</f>
        <v>KITCHEN PASTRY</v>
      </c>
      <c r="J883" s="46" t="str">
        <f ca="1">IFERROR(__xludf.DUMMYFUNCTION("""COMPUTED_VALUE"""),"KITCHEN PASTRY")</f>
        <v>KITCHEN PASTRY</v>
      </c>
      <c r="K883" s="46" t="str">
        <f ca="1">IFERROR(__xludf.DUMMYFUNCTION("""COMPUTED_VALUE"""),"PASTRY")</f>
        <v>PASTRY</v>
      </c>
      <c r="L883" s="46" t="str">
        <f ca="1">IFERROR(__xludf.DUMMYFUNCTION("""COMPUTED_VALUE"""),"PTE")</f>
        <v>PTE</v>
      </c>
      <c r="M883" s="46" t="str">
        <f ca="1">IFERROR(__xludf.DUMMYFUNCTION("""COMPUTED_VALUE"""),"Leave")</f>
        <v>Leave</v>
      </c>
      <c r="N883" s="46" t="str">
        <f ca="1">IFERROR(__xludf.DUMMYFUNCTION("""COMPUTED_VALUE"""),"đủ")</f>
        <v>đủ</v>
      </c>
    </row>
    <row r="884" spans="1:14">
      <c r="A884" s="45">
        <f ca="1">IFERROR(__xludf.DUMMYFUNCTION("""COMPUTED_VALUE"""),45748.5833333333)</f>
        <v>45748.583333333299</v>
      </c>
      <c r="B884" s="45">
        <f ca="1">IFERROR(__xludf.DUMMYFUNCTION("""COMPUTED_VALUE"""),45858.5833333333)</f>
        <v>45858.583333333299</v>
      </c>
      <c r="C884" s="46">
        <f ca="1">IFERROR(__xludf.DUMMYFUNCTION("""COMPUTED_VALUE"""),885)</f>
        <v>885</v>
      </c>
      <c r="D884" s="47" t="str">
        <f ca="1">IFERROR(__xludf.DUMMYFUNCTION("""COMPUTED_VALUE"""),"C0657")</f>
        <v>C0657</v>
      </c>
      <c r="E884" s="46" t="str">
        <f ca="1">IFERROR(__xludf.DUMMYFUNCTION("""COMPUTED_VALUE"""),"NGUYỄN XUÂN HUY")</f>
        <v>NGUYỄN XUÂN HUY</v>
      </c>
      <c r="F884" s="46" t="str">
        <f ca="1">IFERROR(__xludf.DUMMYFUNCTION("""COMPUTED_VALUE"""),"NGUYEN XUAN HUY")</f>
        <v>NGUYEN XUAN HUY</v>
      </c>
      <c r="G884" s="45">
        <f ca="1">IFERROR(__xludf.DUMMYFUNCTION("""COMPUTED_VALUE"""),37270.625)</f>
        <v>37270.625</v>
      </c>
      <c r="H884" s="45" t="str">
        <f ca="1">IFERROR(__xludf.DUMMYFUNCTION("""COMPUTED_VALUE"""),"KITCHEN PASTRY")</f>
        <v>KITCHEN PASTRY</v>
      </c>
      <c r="I884" s="46" t="str">
        <f ca="1">IFERROR(__xludf.DUMMYFUNCTION("""COMPUTED_VALUE"""),"KITCHEN PASTRY")</f>
        <v>KITCHEN PASTRY</v>
      </c>
      <c r="J884" s="46" t="str">
        <f ca="1">IFERROR(__xludf.DUMMYFUNCTION("""COMPUTED_VALUE"""),"KITCHEN PASTRY")</f>
        <v>KITCHEN PASTRY</v>
      </c>
      <c r="K884" s="46" t="str">
        <f ca="1">IFERROR(__xludf.DUMMYFUNCTION("""COMPUTED_VALUE"""),"PASTRY")</f>
        <v>PASTRY</v>
      </c>
      <c r="L884" s="46" t="str">
        <f ca="1">IFERROR(__xludf.DUMMYFUNCTION("""COMPUTED_VALUE"""),"FTE")</f>
        <v>FTE</v>
      </c>
      <c r="M884" s="46" t="str">
        <f ca="1">IFERROR(__xludf.DUMMYFUNCTION("""COMPUTED_VALUE"""),"Leave")</f>
        <v>Leave</v>
      </c>
      <c r="N884" s="46" t="str">
        <f ca="1">IFERROR(__xludf.DUMMYFUNCTION("""COMPUTED_VALUE"""),"đủ")</f>
        <v>đủ</v>
      </c>
    </row>
    <row r="885" spans="1:14">
      <c r="A885" s="45">
        <f ca="1">IFERROR(__xludf.DUMMYFUNCTION("""COMPUTED_VALUE"""),45748.5833333333)</f>
        <v>45748.583333333299</v>
      </c>
      <c r="B885" s="45">
        <f ca="1">IFERROR(__xludf.DUMMYFUNCTION("""COMPUTED_VALUE"""),45908.5833333333)</f>
        <v>45908.583333333299</v>
      </c>
      <c r="C885" s="46">
        <f ca="1">IFERROR(__xludf.DUMMYFUNCTION("""COMPUTED_VALUE"""),886)</f>
        <v>886</v>
      </c>
      <c r="D885" s="47" t="str">
        <f ca="1">IFERROR(__xludf.DUMMYFUNCTION("""COMPUTED_VALUE"""),"C0658")</f>
        <v>C0658</v>
      </c>
      <c r="E885" s="46" t="str">
        <f ca="1">IFERROR(__xludf.DUMMYFUNCTION("""COMPUTED_VALUE"""),"TRẦN HOÀNG VĨNH AN")</f>
        <v>TRẦN HOÀNG VĨNH AN</v>
      </c>
      <c r="F885" s="46" t="str">
        <f ca="1">IFERROR(__xludf.DUMMYFUNCTION("""COMPUTED_VALUE"""),"TRAN HOANG VINH AN")</f>
        <v>TRAN HOANG VINH AN</v>
      </c>
      <c r="G885" s="45">
        <f ca="1">IFERROR(__xludf.DUMMYFUNCTION("""COMPUTED_VALUE"""),36746.5833333333)</f>
        <v>36746.583333333299</v>
      </c>
      <c r="H885" s="45" t="str">
        <f ca="1">IFERROR(__xludf.DUMMYFUNCTION("""COMPUTED_VALUE"""),"KITCHEN PASTRY")</f>
        <v>KITCHEN PASTRY</v>
      </c>
      <c r="I885" s="46" t="str">
        <f ca="1">IFERROR(__xludf.DUMMYFUNCTION("""COMPUTED_VALUE"""),"KITCHEN PASTRY")</f>
        <v>KITCHEN PASTRY</v>
      </c>
      <c r="J885" s="46" t="str">
        <f ca="1">IFERROR(__xludf.DUMMYFUNCTION("""COMPUTED_VALUE"""),"KITCHEN PASTRY")</f>
        <v>KITCHEN PASTRY</v>
      </c>
      <c r="K885" s="46" t="str">
        <f ca="1">IFERROR(__xludf.DUMMYFUNCTION("""COMPUTED_VALUE"""),"PASTRY")</f>
        <v>PASTRY</v>
      </c>
      <c r="L885" s="46" t="str">
        <f ca="1">IFERROR(__xludf.DUMMYFUNCTION("""COMPUTED_VALUE"""),"FTE")</f>
        <v>FTE</v>
      </c>
      <c r="M885" s="46" t="str">
        <f ca="1">IFERROR(__xludf.DUMMYFUNCTION("""COMPUTED_VALUE"""),"Leave")</f>
        <v>Leave</v>
      </c>
      <c r="N885" s="46" t="str">
        <f ca="1">IFERROR(__xludf.DUMMYFUNCTION("""COMPUTED_VALUE"""),"đủ")</f>
        <v>đủ</v>
      </c>
    </row>
    <row r="886" spans="1:14">
      <c r="A886" s="45">
        <f ca="1">IFERROR(__xludf.DUMMYFUNCTION("""COMPUTED_VALUE"""),45752.5833333333)</f>
        <v>45752.583333333299</v>
      </c>
      <c r="B886" s="45">
        <f ca="1">IFERROR(__xludf.DUMMYFUNCTION("""COMPUTED_VALUE"""),45845.5833333333)</f>
        <v>45845.583333333299</v>
      </c>
      <c r="C886" s="46">
        <f ca="1">IFERROR(__xludf.DUMMYFUNCTION("""COMPUTED_VALUE"""),887)</f>
        <v>887</v>
      </c>
      <c r="D886" s="47" t="str">
        <f ca="1">IFERROR(__xludf.DUMMYFUNCTION("""COMPUTED_VALUE"""),"C0659")</f>
        <v>C0659</v>
      </c>
      <c r="E886" s="46" t="str">
        <f ca="1">IFERROR(__xludf.DUMMYFUNCTION("""COMPUTED_VALUE"""),"HUỲNH THỊ THÚY AN")</f>
        <v>HUỲNH THỊ THÚY AN</v>
      </c>
      <c r="F886" s="46" t="str">
        <f ca="1">IFERROR(__xludf.DUMMYFUNCTION("""COMPUTED_VALUE"""),"HUYNH THI THUY AN")</f>
        <v>HUYNH THI THUY AN</v>
      </c>
      <c r="G886" s="45">
        <f ca="1">IFERROR(__xludf.DUMMYFUNCTION("""COMPUTED_VALUE"""),35369.625)</f>
        <v>35369.625</v>
      </c>
      <c r="H886" s="45" t="str">
        <f ca="1">IFERROR(__xludf.DUMMYFUNCTION("""COMPUTED_VALUE"""),"KITCHEN PASTRY")</f>
        <v>KITCHEN PASTRY</v>
      </c>
      <c r="I886" s="46" t="str">
        <f ca="1">IFERROR(__xludf.DUMMYFUNCTION("""COMPUTED_VALUE"""),"KITCHEN PASTRY")</f>
        <v>KITCHEN PASTRY</v>
      </c>
      <c r="J886" s="46" t="str">
        <f ca="1">IFERROR(__xludf.DUMMYFUNCTION("""COMPUTED_VALUE"""),"KITCHEN PASTRY")</f>
        <v>KITCHEN PASTRY</v>
      </c>
      <c r="K886" s="46" t="str">
        <f ca="1">IFERROR(__xludf.DUMMYFUNCTION("""COMPUTED_VALUE"""),"PASTRY")</f>
        <v>PASTRY</v>
      </c>
      <c r="L886" s="46" t="str">
        <f ca="1">IFERROR(__xludf.DUMMYFUNCTION("""COMPUTED_VALUE"""),"FTE")</f>
        <v>FTE</v>
      </c>
      <c r="M886" s="46" t="str">
        <f ca="1">IFERROR(__xludf.DUMMYFUNCTION("""COMPUTED_VALUE"""),"Leave")</f>
        <v>Leave</v>
      </c>
      <c r="N886" s="46" t="str">
        <f ca="1">IFERROR(__xludf.DUMMYFUNCTION("""COMPUTED_VALUE"""),"đủ")</f>
        <v>đủ</v>
      </c>
    </row>
    <row r="887" spans="1:14">
      <c r="A887" s="45">
        <f ca="1">IFERROR(__xludf.DUMMYFUNCTION("""COMPUTED_VALUE"""),45748.5833333333)</f>
        <v>45748.583333333299</v>
      </c>
      <c r="B887" s="45">
        <f ca="1">IFERROR(__xludf.DUMMYFUNCTION("""COMPUTED_VALUE"""),45943.5833333333)</f>
        <v>45943.583333333299</v>
      </c>
      <c r="C887" s="46">
        <f ca="1">IFERROR(__xludf.DUMMYFUNCTION("""COMPUTED_VALUE"""),888)</f>
        <v>888</v>
      </c>
      <c r="D887" s="47" t="str">
        <f ca="1">IFERROR(__xludf.DUMMYFUNCTION("""COMPUTED_VALUE"""),"C0660")</f>
        <v>C0660</v>
      </c>
      <c r="E887" s="46" t="str">
        <f ca="1">IFERROR(__xludf.DUMMYFUNCTION("""COMPUTED_VALUE"""),"VÕ HOÀI THY")</f>
        <v>VÕ HOÀI THY</v>
      </c>
      <c r="F887" s="46" t="str">
        <f ca="1">IFERROR(__xludf.DUMMYFUNCTION("""COMPUTED_VALUE"""),"VO HOAI THY")</f>
        <v>VO HOAI THY</v>
      </c>
      <c r="G887" s="45">
        <f ca="1">IFERROR(__xludf.DUMMYFUNCTION("""COMPUTED_VALUE"""),38657.625)</f>
        <v>38657.625</v>
      </c>
      <c r="H887" s="45" t="str">
        <f ca="1">IFERROR(__xludf.DUMMYFUNCTION("""COMPUTED_VALUE"""),"MATTE")</f>
        <v>MATTE</v>
      </c>
      <c r="I887" s="46" t="str">
        <f ca="1">IFERROR(__xludf.DUMMYFUNCTION("""COMPUTED_VALUE"""),"STORE")</f>
        <v>STORE</v>
      </c>
      <c r="J887" s="46" t="str">
        <f ca="1">IFERROR(__xludf.DUMMYFUNCTION("""COMPUTED_VALUE"""),"MATTE D1")</f>
        <v>MATTE D1</v>
      </c>
      <c r="K887" s="46" t="str">
        <f ca="1">IFERROR(__xludf.DUMMYFUNCTION("""COMPUTED_VALUE"""),"BAR")</f>
        <v>BAR</v>
      </c>
      <c r="L887" s="46" t="str">
        <f ca="1">IFERROR(__xludf.DUMMYFUNCTION("""COMPUTED_VALUE"""),"PTE")</f>
        <v>PTE</v>
      </c>
      <c r="M887" s="46" t="str">
        <f ca="1">IFERROR(__xludf.DUMMYFUNCTION("""COMPUTED_VALUE"""),"Leave")</f>
        <v>Leave</v>
      </c>
      <c r="N887" s="46" t="str">
        <f ca="1">IFERROR(__xludf.DUMMYFUNCTION("""COMPUTED_VALUE"""),"đủ")</f>
        <v>đủ</v>
      </c>
    </row>
    <row r="888" spans="1:14">
      <c r="A888" s="45">
        <f ca="1">IFERROR(__xludf.DUMMYFUNCTION("""COMPUTED_VALUE"""),45748.5833333333)</f>
        <v>45748.583333333299</v>
      </c>
      <c r="B888" s="45">
        <f ca="1">IFERROR(__xludf.DUMMYFUNCTION("""COMPUTED_VALUE"""),46050.625)</f>
        <v>46050.625</v>
      </c>
      <c r="C888" s="46">
        <f ca="1">IFERROR(__xludf.DUMMYFUNCTION("""COMPUTED_VALUE"""),889)</f>
        <v>889</v>
      </c>
      <c r="D888" s="47" t="str">
        <f ca="1">IFERROR(__xludf.DUMMYFUNCTION("""COMPUTED_VALUE"""),"C0661")</f>
        <v>C0661</v>
      </c>
      <c r="E888" s="46" t="str">
        <f ca="1">IFERROR(__xludf.DUMMYFUNCTION("""COMPUTED_VALUE"""),"NGUYỄN THANH BÌNH")</f>
        <v>NGUYỄN THANH BÌNH</v>
      </c>
      <c r="F888" s="46" t="str">
        <f ca="1">IFERROR(__xludf.DUMMYFUNCTION("""COMPUTED_VALUE"""),"NGUYEN THANH BINH")</f>
        <v>NGUYEN THANH BINH</v>
      </c>
      <c r="G888" s="45">
        <f ca="1">IFERROR(__xludf.DUMMYFUNCTION("""COMPUTED_VALUE"""),32980.5833333333)</f>
        <v>32980.583333333299</v>
      </c>
      <c r="H888" s="45" t="str">
        <f ca="1">IFERROR(__xludf.DUMMYFUNCTION("""COMPUTED_VALUE"""),"KITCHEN PASTRY")</f>
        <v>KITCHEN PASTRY</v>
      </c>
      <c r="I888" s="46" t="str">
        <f ca="1">IFERROR(__xludf.DUMMYFUNCTION("""COMPUTED_VALUE"""),"KITCHEN PASTRY")</f>
        <v>KITCHEN PASTRY</v>
      </c>
      <c r="J888" s="46" t="str">
        <f ca="1">IFERROR(__xludf.DUMMYFUNCTION("""COMPUTED_VALUE"""),"KITCHEN PASTRY")</f>
        <v>KITCHEN PASTRY</v>
      </c>
      <c r="K888" s="46" t="str">
        <f ca="1">IFERROR(__xludf.DUMMYFUNCTION("""COMPUTED_VALUE"""),"BAKER")</f>
        <v>BAKER</v>
      </c>
      <c r="L888" s="46" t="str">
        <f ca="1">IFERROR(__xludf.DUMMYFUNCTION("""COMPUTED_VALUE"""),"FTE")</f>
        <v>FTE</v>
      </c>
      <c r="M888" s="46" t="str">
        <f ca="1">IFERROR(__xludf.DUMMYFUNCTION("""COMPUTED_VALUE"""),"Leave")</f>
        <v>Leave</v>
      </c>
      <c r="N888" s="46" t="str">
        <f ca="1">IFERROR(__xludf.DUMMYFUNCTION("""COMPUTED_VALUE"""),"đủ")</f>
        <v>đủ</v>
      </c>
    </row>
    <row r="889" spans="1:14">
      <c r="A889" s="45">
        <f ca="1">IFERROR(__xludf.DUMMYFUNCTION("""COMPUTED_VALUE"""),45748.5833333333)</f>
        <v>45748.583333333299</v>
      </c>
      <c r="B889" s="45">
        <f ca="1">IFERROR(__xludf.DUMMYFUNCTION("""COMPUTED_VALUE"""),45809.5833333333)</f>
        <v>45809.583333333299</v>
      </c>
      <c r="C889" s="46">
        <f ca="1">IFERROR(__xludf.DUMMYFUNCTION("""COMPUTED_VALUE"""),890)</f>
        <v>890</v>
      </c>
      <c r="D889" s="47" t="str">
        <f ca="1">IFERROR(__xludf.DUMMYFUNCTION("""COMPUTED_VALUE"""),"C0662")</f>
        <v>C0662</v>
      </c>
      <c r="E889" s="46" t="str">
        <f ca="1">IFERROR(__xludf.DUMMYFUNCTION("""COMPUTED_VALUE"""),"BÙI THỊ HỒNG NGỌC")</f>
        <v>BÙI THỊ HỒNG NGỌC</v>
      </c>
      <c r="F889" s="46" t="str">
        <f ca="1">IFERROR(__xludf.DUMMYFUNCTION("""COMPUTED_VALUE"""),"BUI THI HONG NGOC")</f>
        <v>BUI THI HONG NGOC</v>
      </c>
      <c r="G889" s="45">
        <f ca="1">IFERROR(__xludf.DUMMYFUNCTION("""COMPUTED_VALUE"""),38310.625)</f>
        <v>38310.625</v>
      </c>
      <c r="H889" s="45" t="str">
        <f ca="1">IFERROR(__xludf.DUMMYFUNCTION("""COMPUTED_VALUE"""),"BAKES")</f>
        <v>BAKES</v>
      </c>
      <c r="I889" s="46" t="str">
        <f ca="1">IFERROR(__xludf.DUMMYFUNCTION("""COMPUTED_VALUE"""),"STORE")</f>
        <v>STORE</v>
      </c>
      <c r="J889" s="46" t="str">
        <f ca="1">IFERROR(__xludf.DUMMYFUNCTION("""COMPUTED_VALUE"""),"BAKES D9")</f>
        <v>BAKES D9</v>
      </c>
      <c r="K889" s="46" t="str">
        <f ca="1">IFERROR(__xludf.DUMMYFUNCTION("""COMPUTED_VALUE"""),"Cashier")</f>
        <v>Cashier</v>
      </c>
      <c r="L889" s="46" t="str">
        <f ca="1">IFERROR(__xludf.DUMMYFUNCTION("""COMPUTED_VALUE"""),"PRO")</f>
        <v>PRO</v>
      </c>
      <c r="M889" s="46" t="str">
        <f ca="1">IFERROR(__xludf.DUMMYFUNCTION("""COMPUTED_VALUE"""),"Leave")</f>
        <v>Leave</v>
      </c>
      <c r="N889" s="46" t="str">
        <f ca="1">IFERROR(__xludf.DUMMYFUNCTION("""COMPUTED_VALUE"""),"đủ")</f>
        <v>đủ</v>
      </c>
    </row>
    <row r="890" spans="1:14">
      <c r="A890" s="45">
        <f ca="1">IFERROR(__xludf.DUMMYFUNCTION("""COMPUTED_VALUE"""),45761.5833333333)</f>
        <v>45761.583333333299</v>
      </c>
      <c r="B890" s="45">
        <f ca="1">IFERROR(__xludf.DUMMYFUNCTION("""COMPUTED_VALUE"""),45796.5833333333)</f>
        <v>45796.583333333299</v>
      </c>
      <c r="C890" s="46">
        <f ca="1">IFERROR(__xludf.DUMMYFUNCTION("""COMPUTED_VALUE"""),891)</f>
        <v>891</v>
      </c>
      <c r="D890" s="47" t="str">
        <f ca="1">IFERROR(__xludf.DUMMYFUNCTION("""COMPUTED_VALUE"""),"C0663")</f>
        <v>C0663</v>
      </c>
      <c r="E890" s="46" t="str">
        <f ca="1">IFERROR(__xludf.DUMMYFUNCTION("""COMPUTED_VALUE"""),"HOÀNG DUY")</f>
        <v>HOÀNG DUY</v>
      </c>
      <c r="F890" s="46" t="str">
        <f ca="1">IFERROR(__xludf.DUMMYFUNCTION("""COMPUTED_VALUE"""),"HOANG DUY")</f>
        <v>HOANG DUY</v>
      </c>
      <c r="G890" s="45">
        <f ca="1">IFERROR(__xludf.DUMMYFUNCTION("""COMPUTED_VALUE"""),38333.625)</f>
        <v>38333.625</v>
      </c>
      <c r="H890" s="45" t="str">
        <f ca="1">IFERROR(__xludf.DUMMYFUNCTION("""COMPUTED_VALUE"""),"TLC")</f>
        <v>TLC</v>
      </c>
      <c r="I890" s="46" t="str">
        <f ca="1">IFERROR(__xludf.DUMMYFUNCTION("""COMPUTED_VALUE"""),"STORE")</f>
        <v>STORE</v>
      </c>
      <c r="J890" s="46" t="str">
        <f ca="1">IFERROR(__xludf.DUMMYFUNCTION("""COMPUTED_VALUE"""),"BLANK LOUNGE")</f>
        <v>BLANK LOUNGE</v>
      </c>
      <c r="K890" s="46" t="str">
        <f ca="1">IFERROR(__xludf.DUMMYFUNCTION("""COMPUTED_VALUE"""),"WAITSTAFF")</f>
        <v>WAITSTAFF</v>
      </c>
      <c r="L890" s="46" t="str">
        <f ca="1">IFERROR(__xludf.DUMMYFUNCTION("""COMPUTED_VALUE"""),"PTE")</f>
        <v>PTE</v>
      </c>
      <c r="M890" s="46" t="str">
        <f ca="1">IFERROR(__xludf.DUMMYFUNCTION("""COMPUTED_VALUE"""),"Leave")</f>
        <v>Leave</v>
      </c>
      <c r="N890" s="46" t="str">
        <f ca="1">IFERROR(__xludf.DUMMYFUNCTION("""COMPUTED_VALUE"""),"đủ")</f>
        <v>đủ</v>
      </c>
    </row>
    <row r="891" spans="1:14">
      <c r="A891" s="45">
        <f ca="1">IFERROR(__xludf.DUMMYFUNCTION("""COMPUTED_VALUE"""),45748.5833333333)</f>
        <v>45748.583333333299</v>
      </c>
      <c r="B891" s="45">
        <f ca="1">IFERROR(__xludf.DUMMYFUNCTION("""COMPUTED_VALUE"""),45763.5833333333)</f>
        <v>45763.583333333299</v>
      </c>
      <c r="C891" s="46">
        <f ca="1">IFERROR(__xludf.DUMMYFUNCTION("""COMPUTED_VALUE"""),892)</f>
        <v>892</v>
      </c>
      <c r="D891" s="47" t="str">
        <f ca="1">IFERROR(__xludf.DUMMYFUNCTION("""COMPUTED_VALUE"""),"C0664")</f>
        <v>C0664</v>
      </c>
      <c r="E891" s="46" t="str">
        <f ca="1">IFERROR(__xludf.DUMMYFUNCTION("""COMPUTED_VALUE"""),"TÔ THỊ DIỄM THÚY")</f>
        <v>TÔ THỊ DIỄM THÚY</v>
      </c>
      <c r="F891" s="46" t="str">
        <f ca="1">IFERROR(__xludf.DUMMYFUNCTION("""COMPUTED_VALUE"""),"TO THI DIEM THUY")</f>
        <v>TO THI DIEM THUY</v>
      </c>
      <c r="G891" s="45">
        <f ca="1">IFERROR(__xludf.DUMMYFUNCTION("""COMPUTED_VALUE"""),31230.5833333333)</f>
        <v>31230.583333333299</v>
      </c>
      <c r="H891" s="45" t="str">
        <f ca="1">IFERROR(__xludf.DUMMYFUNCTION("""COMPUTED_VALUE"""),"CREATIVE")</f>
        <v>CREATIVE</v>
      </c>
      <c r="I891" s="46" t="str">
        <f ca="1">IFERROR(__xludf.DUMMYFUNCTION("""COMPUTED_VALUE"""),"HO")</f>
        <v>HO</v>
      </c>
      <c r="J891" s="46" t="str">
        <f ca="1">IFERROR(__xludf.DUMMYFUNCTION("""COMPUTED_VALUE"""),"HRD")</f>
        <v>HRD</v>
      </c>
      <c r="K891" s="46" t="str">
        <f ca="1">IFERROR(__xludf.DUMMYFUNCTION("""COMPUTED_VALUE"""),"HRD")</f>
        <v>HRD</v>
      </c>
      <c r="L891" s="46" t="str">
        <f ca="1">IFERROR(__xludf.DUMMYFUNCTION("""COMPUTED_VALUE"""),"PRO")</f>
        <v>PRO</v>
      </c>
      <c r="M891" s="46" t="str">
        <f ca="1">IFERROR(__xludf.DUMMYFUNCTION("""COMPUTED_VALUE"""),"Leave")</f>
        <v>Leave</v>
      </c>
      <c r="N891" s="46" t="str">
        <f ca="1">IFERROR(__xludf.DUMMYFUNCTION("""COMPUTED_VALUE"""),"đủ")</f>
        <v>đủ</v>
      </c>
    </row>
    <row r="892" spans="1:14">
      <c r="A892" s="45">
        <f ca="1">IFERROR(__xludf.DUMMYFUNCTION("""COMPUTED_VALUE"""),45754.5833333333)</f>
        <v>45754.583333333299</v>
      </c>
      <c r="B892" s="45">
        <f ca="1">IFERROR(__xludf.DUMMYFUNCTION("""COMPUTED_VALUE"""),45962.5833333333)</f>
        <v>45962.583333333299</v>
      </c>
      <c r="C892" s="46">
        <f ca="1">IFERROR(__xludf.DUMMYFUNCTION("""COMPUTED_VALUE"""),893)</f>
        <v>893</v>
      </c>
      <c r="D892" s="47" t="str">
        <f ca="1">IFERROR(__xludf.DUMMYFUNCTION("""COMPUTED_VALUE"""),"C0665")</f>
        <v>C0665</v>
      </c>
      <c r="E892" s="46" t="str">
        <f ca="1">IFERROR(__xludf.DUMMYFUNCTION("""COMPUTED_VALUE"""),"NGUYỄN THỊ THẮM")</f>
        <v>NGUYỄN THỊ THẮM</v>
      </c>
      <c r="F892" s="46" t="str">
        <f ca="1">IFERROR(__xludf.DUMMYFUNCTION("""COMPUTED_VALUE"""),"NGUYEN THI THAM")</f>
        <v>NGUYEN THI THAM</v>
      </c>
      <c r="G892" s="45">
        <f ca="1">IFERROR(__xludf.DUMMYFUNCTION("""COMPUTED_VALUE"""),37930.625)</f>
        <v>37930.625</v>
      </c>
      <c r="H892" s="45" t="str">
        <f ca="1">IFERROR(__xludf.DUMMYFUNCTION("""COMPUTED_VALUE"""),"BAKES")</f>
        <v>BAKES</v>
      </c>
      <c r="I892" s="46" t="str">
        <f ca="1">IFERROR(__xludf.DUMMYFUNCTION("""COMPUTED_VALUE"""),"STORE")</f>
        <v>STORE</v>
      </c>
      <c r="J892" s="46" t="str">
        <f ca="1">IFERROR(__xludf.DUMMYFUNCTION("""COMPUTED_VALUE"""),"BAKES HCR")</f>
        <v>BAKES HCR</v>
      </c>
      <c r="K892" s="46" t="str">
        <f ca="1">IFERROR(__xludf.DUMMYFUNCTION("""COMPUTED_VALUE"""),"BAR")</f>
        <v>BAR</v>
      </c>
      <c r="L892" s="46" t="str">
        <f ca="1">IFERROR(__xludf.DUMMYFUNCTION("""COMPUTED_VALUE"""),"PTE")</f>
        <v>PTE</v>
      </c>
      <c r="M892" s="46" t="str">
        <f ca="1">IFERROR(__xludf.DUMMYFUNCTION("""COMPUTED_VALUE"""),"Leave")</f>
        <v>Leave</v>
      </c>
      <c r="N892" s="46" t="str">
        <f ca="1">IFERROR(__xludf.DUMMYFUNCTION("""COMPUTED_VALUE"""),"đủ")</f>
        <v>đủ</v>
      </c>
    </row>
    <row r="893" spans="1:14">
      <c r="A893" s="45">
        <f ca="1">IFERROR(__xludf.DUMMYFUNCTION("""COMPUTED_VALUE"""),45748.5833333333)</f>
        <v>45748.583333333299</v>
      </c>
      <c r="B893" s="45">
        <f ca="1">IFERROR(__xludf.DUMMYFUNCTION("""COMPUTED_VALUE"""),45946.5833333333)</f>
        <v>45946.583333333299</v>
      </c>
      <c r="C893" s="46">
        <f ca="1">IFERROR(__xludf.DUMMYFUNCTION("""COMPUTED_VALUE"""),894)</f>
        <v>894</v>
      </c>
      <c r="D893" s="47" t="str">
        <f ca="1">IFERROR(__xludf.DUMMYFUNCTION("""COMPUTED_VALUE"""),"C0666")</f>
        <v>C0666</v>
      </c>
      <c r="E893" s="46" t="str">
        <f ca="1">IFERROR(__xludf.DUMMYFUNCTION("""COMPUTED_VALUE"""),"PHẠM THỊ THANH NGA")</f>
        <v>PHẠM THỊ THANH NGA</v>
      </c>
      <c r="F893" s="46" t="str">
        <f ca="1">IFERROR(__xludf.DUMMYFUNCTION("""COMPUTED_VALUE"""),"PHAM THI THANH NGA")</f>
        <v>PHAM THI THANH NGA</v>
      </c>
      <c r="G893" s="45">
        <f ca="1">IFERROR(__xludf.DUMMYFUNCTION("""COMPUTED_VALUE"""),37568.625)</f>
        <v>37568.625</v>
      </c>
      <c r="H893" s="45" t="str">
        <f ca="1">IFERROR(__xludf.DUMMYFUNCTION("""COMPUTED_VALUE"""),"TLC")</f>
        <v>TLC</v>
      </c>
      <c r="I893" s="46" t="str">
        <f ca="1">IFERROR(__xludf.DUMMYFUNCTION("""COMPUTED_VALUE"""),"HO")</f>
        <v>HO</v>
      </c>
      <c r="J893" s="46" t="str">
        <f ca="1">IFERROR(__xludf.DUMMYFUNCTION("""COMPUTED_VALUE"""),"CE")</f>
        <v>CE</v>
      </c>
      <c r="K893" s="46" t="str">
        <f ca="1">IFERROR(__xludf.DUMMYFUNCTION("""COMPUTED_VALUE"""),"CE")</f>
        <v>CE</v>
      </c>
      <c r="L893" s="46" t="str">
        <f ca="1">IFERROR(__xludf.DUMMYFUNCTION("""COMPUTED_VALUE"""),"FTE")</f>
        <v>FTE</v>
      </c>
      <c r="M893" s="46" t="str">
        <f ca="1">IFERROR(__xludf.DUMMYFUNCTION("""COMPUTED_VALUE"""),"Leave")</f>
        <v>Leave</v>
      </c>
      <c r="N893" s="46" t="str">
        <f ca="1">IFERROR(__xludf.DUMMYFUNCTION("""COMPUTED_VALUE"""),"đủ")</f>
        <v>đủ</v>
      </c>
    </row>
    <row r="894" spans="1:14">
      <c r="A894" s="45">
        <f ca="1">IFERROR(__xludf.DUMMYFUNCTION("""COMPUTED_VALUE"""),45754.5833333333)</f>
        <v>45754.583333333299</v>
      </c>
      <c r="B894" s="45">
        <f ca="1">IFERROR(__xludf.DUMMYFUNCTION("""COMPUTED_VALUE"""),45755.5833333333)</f>
        <v>45755.583333333299</v>
      </c>
      <c r="C894" s="46">
        <f ca="1">IFERROR(__xludf.DUMMYFUNCTION("""COMPUTED_VALUE"""),895)</f>
        <v>895</v>
      </c>
      <c r="D894" s="47" t="str">
        <f ca="1">IFERROR(__xludf.DUMMYFUNCTION("""COMPUTED_VALUE"""),"C0667")</f>
        <v>C0667</v>
      </c>
      <c r="E894" s="46" t="str">
        <f ca="1">IFERROR(__xludf.DUMMYFUNCTION("""COMPUTED_VALUE"""),"NGUYỄN TRẦN DUY BẢO")</f>
        <v>NGUYỄN TRẦN DUY BẢO</v>
      </c>
      <c r="F894" s="46" t="str">
        <f ca="1">IFERROR(__xludf.DUMMYFUNCTION("""COMPUTED_VALUE"""),"NGUYEN TRAN DUY BAO")</f>
        <v>NGUYEN TRAN DUY BAO</v>
      </c>
      <c r="G894" s="45">
        <f ca="1">IFERROR(__xludf.DUMMYFUNCTION("""COMPUTED_VALUE"""),36638.5833333333)</f>
        <v>36638.583333333299</v>
      </c>
      <c r="H894" s="45" t="str">
        <f ca="1">IFERROR(__xludf.DUMMYFUNCTION("""COMPUTED_VALUE"""),"BAKES")</f>
        <v>BAKES</v>
      </c>
      <c r="I894" s="46" t="str">
        <f ca="1">IFERROR(__xludf.DUMMYFUNCTION("""COMPUTED_VALUE"""),"STORE")</f>
        <v>STORE</v>
      </c>
      <c r="J894" s="46" t="str">
        <f ca="1">IFERROR(__xludf.DUMMYFUNCTION("""COMPUTED_VALUE"""),"BAKES D2")</f>
        <v>BAKES D2</v>
      </c>
      <c r="K894" s="46" t="str">
        <f ca="1">IFERROR(__xludf.DUMMYFUNCTION("""COMPUTED_VALUE"""),"BAR")</f>
        <v>BAR</v>
      </c>
      <c r="L894" s="46" t="str">
        <f ca="1">IFERROR(__xludf.DUMMYFUNCTION("""COMPUTED_VALUE"""),"PRO")</f>
        <v>PRO</v>
      </c>
      <c r="M894" s="46" t="str">
        <f ca="1">IFERROR(__xludf.DUMMYFUNCTION("""COMPUTED_VALUE"""),"Leave")</f>
        <v>Leave</v>
      </c>
      <c r="N894" s="46" t="str">
        <f ca="1">IFERROR(__xludf.DUMMYFUNCTION("""COMPUTED_VALUE"""),"đủ")</f>
        <v>đủ</v>
      </c>
    </row>
    <row r="895" spans="1:14">
      <c r="A895" s="45">
        <f ca="1">IFERROR(__xludf.DUMMYFUNCTION("""COMPUTED_VALUE"""),45761.5833333333)</f>
        <v>45761.583333333299</v>
      </c>
      <c r="B895" s="45">
        <f ca="1">IFERROR(__xludf.DUMMYFUNCTION("""COMPUTED_VALUE"""),45901.5833333333)</f>
        <v>45901.583333333299</v>
      </c>
      <c r="C895" s="46">
        <f ca="1">IFERROR(__xludf.DUMMYFUNCTION("""COMPUTED_VALUE"""),896)</f>
        <v>896</v>
      </c>
      <c r="D895" s="47" t="str">
        <f ca="1">IFERROR(__xludf.DUMMYFUNCTION("""COMPUTED_VALUE"""),"C0668")</f>
        <v>C0668</v>
      </c>
      <c r="E895" s="46" t="str">
        <f ca="1">IFERROR(__xludf.DUMMYFUNCTION("""COMPUTED_VALUE"""),"NGUYỄN PHƯƠNG ANH")</f>
        <v>NGUYỄN PHƯƠNG ANH</v>
      </c>
      <c r="F895" s="46" t="str">
        <f ca="1">IFERROR(__xludf.DUMMYFUNCTION("""COMPUTED_VALUE"""),"NGUYEN PHUONG ANH")</f>
        <v>NGUYEN PHUONG ANH</v>
      </c>
      <c r="G895" s="45">
        <f ca="1">IFERROR(__xludf.DUMMYFUNCTION("""COMPUTED_VALUE"""),37738.5833333333)</f>
        <v>37738.583333333299</v>
      </c>
      <c r="H895" s="45" t="str">
        <f ca="1">IFERROR(__xludf.DUMMYFUNCTION("""COMPUTED_VALUE"""),"MATTE")</f>
        <v>MATTE</v>
      </c>
      <c r="I895" s="46" t="str">
        <f ca="1">IFERROR(__xludf.DUMMYFUNCTION("""COMPUTED_VALUE"""),"STORE")</f>
        <v>STORE</v>
      </c>
      <c r="J895" s="46" t="str">
        <f ca="1">IFERROR(__xludf.DUMMYFUNCTION("""COMPUTED_VALUE"""),"MATTE D1")</f>
        <v>MATTE D1</v>
      </c>
      <c r="K895" s="46" t="str">
        <f ca="1">IFERROR(__xludf.DUMMYFUNCTION("""COMPUTED_VALUE"""),"BAR")</f>
        <v>BAR</v>
      </c>
      <c r="L895" s="46" t="str">
        <f ca="1">IFERROR(__xludf.DUMMYFUNCTION("""COMPUTED_VALUE"""),"FTE")</f>
        <v>FTE</v>
      </c>
      <c r="M895" s="46" t="str">
        <f ca="1">IFERROR(__xludf.DUMMYFUNCTION("""COMPUTED_VALUE"""),"Leave")</f>
        <v>Leave</v>
      </c>
      <c r="N895" s="46" t="str">
        <f ca="1">IFERROR(__xludf.DUMMYFUNCTION("""COMPUTED_VALUE"""),"đủ")</f>
        <v>đủ</v>
      </c>
    </row>
    <row r="896" spans="1:14">
      <c r="A896" s="45">
        <f ca="1">IFERROR(__xludf.DUMMYFUNCTION("""COMPUTED_VALUE"""),45754.5833333333)</f>
        <v>45754.583333333299</v>
      </c>
      <c r="B896" s="45">
        <f ca="1">IFERROR(__xludf.DUMMYFUNCTION("""COMPUTED_VALUE"""),45756.5833333333)</f>
        <v>45756.583333333299</v>
      </c>
      <c r="C896" s="46">
        <f ca="1">IFERROR(__xludf.DUMMYFUNCTION("""COMPUTED_VALUE"""),897)</f>
        <v>897</v>
      </c>
      <c r="D896" s="47" t="str">
        <f ca="1">IFERROR(__xludf.DUMMYFUNCTION("""COMPUTED_VALUE"""),"C0669")</f>
        <v>C0669</v>
      </c>
      <c r="E896" s="46" t="str">
        <f ca="1">IFERROR(__xludf.DUMMYFUNCTION("""COMPUTED_VALUE"""),"BÙI HỒ KHÁNH VÂN")</f>
        <v>BÙI HỒ KHÁNH VÂN</v>
      </c>
      <c r="F896" s="46" t="str">
        <f ca="1">IFERROR(__xludf.DUMMYFUNCTION("""COMPUTED_VALUE"""),"BUI HO KHANH VAN")</f>
        <v>BUI HO KHANH VAN</v>
      </c>
      <c r="G896" s="45">
        <f ca="1">IFERROR(__xludf.DUMMYFUNCTION("""COMPUTED_VALUE"""),38121.5833333333)</f>
        <v>38121.583333333299</v>
      </c>
      <c r="H896" s="45" t="str">
        <f ca="1">IFERROR(__xludf.DUMMYFUNCTION("""COMPUTED_VALUE"""),"MATTE")</f>
        <v>MATTE</v>
      </c>
      <c r="I896" s="46" t="str">
        <f ca="1">IFERROR(__xludf.DUMMYFUNCTION("""COMPUTED_VALUE"""),"STORE")</f>
        <v>STORE</v>
      </c>
      <c r="J896" s="46" t="str">
        <f ca="1">IFERROR(__xludf.DUMMYFUNCTION("""COMPUTED_VALUE"""),"MATTE D3")</f>
        <v>MATTE D3</v>
      </c>
      <c r="K896" s="46" t="str">
        <f ca="1">IFERROR(__xludf.DUMMYFUNCTION("""COMPUTED_VALUE"""),"BAR")</f>
        <v>BAR</v>
      </c>
      <c r="L896" s="46" t="str">
        <f ca="1">IFERROR(__xludf.DUMMYFUNCTION("""COMPUTED_VALUE"""),"PTE")</f>
        <v>PTE</v>
      </c>
      <c r="M896" s="46" t="str">
        <f ca="1">IFERROR(__xludf.DUMMYFUNCTION("""COMPUTED_VALUE"""),"Leave")</f>
        <v>Leave</v>
      </c>
      <c r="N896" s="46" t="str">
        <f ca="1">IFERROR(__xludf.DUMMYFUNCTION("""COMPUTED_VALUE"""),"chua nop")</f>
        <v>chua nop</v>
      </c>
    </row>
    <row r="897" spans="1:14">
      <c r="A897" s="45">
        <f ca="1">IFERROR(__xludf.DUMMYFUNCTION("""COMPUTED_VALUE"""),45763.5833333333)</f>
        <v>45763.583333333299</v>
      </c>
      <c r="B897" s="45">
        <f ca="1">IFERROR(__xludf.DUMMYFUNCTION("""COMPUTED_VALUE"""),46083.625)</f>
        <v>46083.625</v>
      </c>
      <c r="C897" s="46">
        <f ca="1">IFERROR(__xludf.DUMMYFUNCTION("""COMPUTED_VALUE"""),898)</f>
        <v>898</v>
      </c>
      <c r="D897" s="47" t="str">
        <f ca="1">IFERROR(__xludf.DUMMYFUNCTION("""COMPUTED_VALUE"""),"C0670")</f>
        <v>C0670</v>
      </c>
      <c r="E897" s="46" t="str">
        <f ca="1">IFERROR(__xludf.DUMMYFUNCTION("""COMPUTED_VALUE"""),"LÊ MỸ UYÊN")</f>
        <v>LÊ MỸ UYÊN</v>
      </c>
      <c r="F897" s="46" t="str">
        <f ca="1">IFERROR(__xludf.DUMMYFUNCTION("""COMPUTED_VALUE"""),"LE MY UYEN")</f>
        <v>LE MY UYEN</v>
      </c>
      <c r="G897" s="45">
        <f ca="1">IFERROR(__xludf.DUMMYFUNCTION("""COMPUTED_VALUE"""),37963.625)</f>
        <v>37963.625</v>
      </c>
      <c r="H897" s="45" t="str">
        <f ca="1">IFERROR(__xludf.DUMMYFUNCTION("""COMPUTED_VALUE"""),"BAKES")</f>
        <v>BAKES</v>
      </c>
      <c r="I897" s="46" t="str">
        <f ca="1">IFERROR(__xludf.DUMMYFUNCTION("""COMPUTED_VALUE"""),"STORE")</f>
        <v>STORE</v>
      </c>
      <c r="J897" s="46" t="str">
        <f ca="1">IFERROR(__xludf.DUMMYFUNCTION("""COMPUTED_VALUE"""),"BAKES D7")</f>
        <v>BAKES D7</v>
      </c>
      <c r="K897" s="46" t="str">
        <f ca="1">IFERROR(__xludf.DUMMYFUNCTION("""COMPUTED_VALUE"""),"WAITSTAFF")</f>
        <v>WAITSTAFF</v>
      </c>
      <c r="L897" s="46" t="str">
        <f ca="1">IFERROR(__xludf.DUMMYFUNCTION("""COMPUTED_VALUE"""),"PTE")</f>
        <v>PTE</v>
      </c>
      <c r="M897" s="46" t="str">
        <f ca="1">IFERROR(__xludf.DUMMYFUNCTION("""COMPUTED_VALUE"""),"Leave")</f>
        <v>Leave</v>
      </c>
      <c r="N897" s="46" t="str">
        <f ca="1">IFERROR(__xludf.DUMMYFUNCTION("""COMPUTED_VALUE"""),"đủ")</f>
        <v>đủ</v>
      </c>
    </row>
    <row r="898" spans="1:14">
      <c r="A898" s="45">
        <f ca="1">IFERROR(__xludf.DUMMYFUNCTION("""COMPUTED_VALUE"""),45758.5833333333)</f>
        <v>45758.583333333299</v>
      </c>
      <c r="B898" s="45"/>
      <c r="C898" s="46">
        <f ca="1">IFERROR(__xludf.DUMMYFUNCTION("""COMPUTED_VALUE"""),899)</f>
        <v>899</v>
      </c>
      <c r="D898" s="47" t="str">
        <f ca="1">IFERROR(__xludf.DUMMYFUNCTION("""COMPUTED_VALUE"""),"C0671")</f>
        <v>C0671</v>
      </c>
      <c r="E898" s="46" t="str">
        <f ca="1">IFERROR(__xludf.DUMMYFUNCTION("""COMPUTED_VALUE"""),"NGUYỄN LƯU ĐỒNG")</f>
        <v>NGUYỄN LƯU ĐỒNG</v>
      </c>
      <c r="F898" s="46" t="str">
        <f ca="1">IFERROR(__xludf.DUMMYFUNCTION("""COMPUTED_VALUE"""),"NGUYEN LUU DONG")</f>
        <v>NGUYEN LUU DONG</v>
      </c>
      <c r="G898" s="45">
        <f ca="1">IFERROR(__xludf.DUMMYFUNCTION("""COMPUTED_VALUE"""),38393.625)</f>
        <v>38393.625</v>
      </c>
      <c r="H898" s="45" t="str">
        <f ca="1">IFERROR(__xludf.DUMMYFUNCTION("""COMPUTED_VALUE"""),"BAKES")</f>
        <v>BAKES</v>
      </c>
      <c r="I898" s="46" t="str">
        <f ca="1">IFERROR(__xludf.DUMMYFUNCTION("""COMPUTED_VALUE"""),"STORE")</f>
        <v>STORE</v>
      </c>
      <c r="J898" s="46" t="str">
        <f ca="1">IFERROR(__xludf.DUMMYFUNCTION("""COMPUTED_VALUE"""),"BAKES HCR")</f>
        <v>BAKES HCR</v>
      </c>
      <c r="K898" s="46" t="str">
        <f ca="1">IFERROR(__xludf.DUMMYFUNCTION("""COMPUTED_VALUE"""),"BAR")</f>
        <v>BAR</v>
      </c>
      <c r="L898" s="46" t="str">
        <f ca="1">IFERROR(__xludf.DUMMYFUNCTION("""COMPUTED_VALUE"""),"PTE")</f>
        <v>PTE</v>
      </c>
      <c r="M898" s="46" t="str">
        <f ca="1">IFERROR(__xludf.DUMMYFUNCTION("""COMPUTED_VALUE"""),"On")</f>
        <v>On</v>
      </c>
      <c r="N898" s="46" t="str">
        <f ca="1">IFERROR(__xludf.DUMMYFUNCTION("""COMPUTED_VALUE"""),"đủ")</f>
        <v>đủ</v>
      </c>
    </row>
    <row r="899" spans="1:14">
      <c r="A899" s="45">
        <f ca="1">IFERROR(__xludf.DUMMYFUNCTION("""COMPUTED_VALUE"""),45749.5833333333)</f>
        <v>45749.583333333299</v>
      </c>
      <c r="B899" s="45"/>
      <c r="C899" s="46">
        <f ca="1">IFERROR(__xludf.DUMMYFUNCTION("""COMPUTED_VALUE"""),900)</f>
        <v>900</v>
      </c>
      <c r="D899" s="47" t="str">
        <f ca="1">IFERROR(__xludf.DUMMYFUNCTION("""COMPUTED_VALUE"""),"C0672")</f>
        <v>C0672</v>
      </c>
      <c r="E899" s="46" t="str">
        <f ca="1">IFERROR(__xludf.DUMMYFUNCTION("""COMPUTED_VALUE"""),"NGUYỄN THANH LUÂN")</f>
        <v>NGUYỄN THANH LUÂN</v>
      </c>
      <c r="F899" s="46" t="str">
        <f ca="1">IFERROR(__xludf.DUMMYFUNCTION("""COMPUTED_VALUE"""),"NGUYEN THANH LUAN")</f>
        <v>NGUYEN THANH LUAN</v>
      </c>
      <c r="G899" s="45">
        <f ca="1">IFERROR(__xludf.DUMMYFUNCTION("""COMPUTED_VALUE"""),35222.5833333333)</f>
        <v>35222.583333333299</v>
      </c>
      <c r="H899" s="45" t="str">
        <f ca="1">IFERROR(__xludf.DUMMYFUNCTION("""COMPUTED_VALUE"""),"KITCHEN PASTRY")</f>
        <v>KITCHEN PASTRY</v>
      </c>
      <c r="I899" s="46" t="str">
        <f ca="1">IFERROR(__xludf.DUMMYFUNCTION("""COMPUTED_VALUE"""),"KITCHEN PASTRY")</f>
        <v>KITCHEN PASTRY</v>
      </c>
      <c r="J899" s="46" t="str">
        <f ca="1">IFERROR(__xludf.DUMMYFUNCTION("""COMPUTED_VALUE"""),"KITCHEN PASTRY")</f>
        <v>KITCHEN PASTRY</v>
      </c>
      <c r="K899" s="46" t="str">
        <f ca="1">IFERROR(__xludf.DUMMYFUNCTION("""COMPUTED_VALUE"""),"BAKER")</f>
        <v>BAKER</v>
      </c>
      <c r="L899" s="46" t="str">
        <f ca="1">IFERROR(__xludf.DUMMYFUNCTION("""COMPUTED_VALUE"""),"FTE")</f>
        <v>FTE</v>
      </c>
      <c r="M899" s="46" t="str">
        <f ca="1">IFERROR(__xludf.DUMMYFUNCTION("""COMPUTED_VALUE"""),"On")</f>
        <v>On</v>
      </c>
      <c r="N899" s="46" t="str">
        <f ca="1">IFERROR(__xludf.DUMMYFUNCTION("""COMPUTED_VALUE"""),"đủ")</f>
        <v>đủ</v>
      </c>
    </row>
    <row r="900" spans="1:14">
      <c r="A900" s="45">
        <f ca="1">IFERROR(__xludf.DUMMYFUNCTION("""COMPUTED_VALUE"""),45760.5833333333)</f>
        <v>45760.583333333299</v>
      </c>
      <c r="B900" s="45">
        <f ca="1">IFERROR(__xludf.DUMMYFUNCTION("""COMPUTED_VALUE"""),45807.5833333333)</f>
        <v>45807.583333333299</v>
      </c>
      <c r="C900" s="46">
        <f ca="1">IFERROR(__xludf.DUMMYFUNCTION("""COMPUTED_VALUE"""),901)</f>
        <v>901</v>
      </c>
      <c r="D900" s="47" t="str">
        <f ca="1">IFERROR(__xludf.DUMMYFUNCTION("""COMPUTED_VALUE"""),"C0673")</f>
        <v>C0673</v>
      </c>
      <c r="E900" s="46" t="str">
        <f ca="1">IFERROR(__xludf.DUMMYFUNCTION("""COMPUTED_VALUE"""),"LÊ THÁI PHƯƠNG KHANH")</f>
        <v>LÊ THÁI PHƯƠNG KHANH</v>
      </c>
      <c r="F900" s="46" t="str">
        <f ca="1">IFERROR(__xludf.DUMMYFUNCTION("""COMPUTED_VALUE"""),"LE THAI PHUONG KHANH")</f>
        <v>LE THAI PHUONG KHANH</v>
      </c>
      <c r="G900" s="45">
        <f ca="1">IFERROR(__xludf.DUMMYFUNCTION("""COMPUTED_VALUE"""),37330.625)</f>
        <v>37330.625</v>
      </c>
      <c r="H900" s="45" t="str">
        <f ca="1">IFERROR(__xludf.DUMMYFUNCTION("""COMPUTED_VALUE"""),"KITCHEN PASTRY")</f>
        <v>KITCHEN PASTRY</v>
      </c>
      <c r="I900" s="46" t="str">
        <f ca="1">IFERROR(__xludf.DUMMYFUNCTION("""COMPUTED_VALUE"""),"KITCHEN PASTRY")</f>
        <v>KITCHEN PASTRY</v>
      </c>
      <c r="J900" s="46" t="str">
        <f ca="1">IFERROR(__xludf.DUMMYFUNCTION("""COMPUTED_VALUE"""),"KITCHEN PASTRY")</f>
        <v>KITCHEN PASTRY</v>
      </c>
      <c r="K900" s="46" t="str">
        <f ca="1">IFERROR(__xludf.DUMMYFUNCTION("""COMPUTED_VALUE"""),"PASTRY")</f>
        <v>PASTRY</v>
      </c>
      <c r="L900" s="46" t="str">
        <f ca="1">IFERROR(__xludf.DUMMYFUNCTION("""COMPUTED_VALUE"""),"PRO")</f>
        <v>PRO</v>
      </c>
      <c r="M900" s="46" t="str">
        <f ca="1">IFERROR(__xludf.DUMMYFUNCTION("""COMPUTED_VALUE"""),"Leave")</f>
        <v>Leave</v>
      </c>
      <c r="N900" s="46" t="str">
        <f ca="1">IFERROR(__xludf.DUMMYFUNCTION("""COMPUTED_VALUE"""),"đủ")</f>
        <v>đủ</v>
      </c>
    </row>
    <row r="901" spans="1:14">
      <c r="A901" s="45">
        <f ca="1">IFERROR(__xludf.DUMMYFUNCTION("""COMPUTED_VALUE"""),45775.5833333333)</f>
        <v>45775.583333333299</v>
      </c>
      <c r="B901" s="45">
        <f ca="1">IFERROR(__xludf.DUMMYFUNCTION("""COMPUTED_VALUE"""),45852.5833333333)</f>
        <v>45852.583333333299</v>
      </c>
      <c r="C901" s="46">
        <f ca="1">IFERROR(__xludf.DUMMYFUNCTION("""COMPUTED_VALUE"""),902)</f>
        <v>902</v>
      </c>
      <c r="D901" s="47" t="str">
        <f ca="1">IFERROR(__xludf.DUMMYFUNCTION("""COMPUTED_VALUE"""),"C0674")</f>
        <v>C0674</v>
      </c>
      <c r="E901" s="46" t="str">
        <f ca="1">IFERROR(__xludf.DUMMYFUNCTION("""COMPUTED_VALUE"""),"KHÂU MINH THƯ")</f>
        <v>KHÂU MINH THƯ</v>
      </c>
      <c r="F901" s="46" t="str">
        <f ca="1">IFERROR(__xludf.DUMMYFUNCTION("""COMPUTED_VALUE"""),"KHAU MINH THU")</f>
        <v>KHAU MINH THU</v>
      </c>
      <c r="G901" s="45">
        <f ca="1">IFERROR(__xludf.DUMMYFUNCTION("""COMPUTED_VALUE"""),37533.5833333333)</f>
        <v>37533.583333333299</v>
      </c>
      <c r="H901" s="45" t="str">
        <f ca="1">IFERROR(__xludf.DUMMYFUNCTION("""COMPUTED_VALUE"""),"MATTE")</f>
        <v>MATTE</v>
      </c>
      <c r="I901" s="46" t="str">
        <f ca="1">IFERROR(__xludf.DUMMYFUNCTION("""COMPUTED_VALUE"""),"STORE")</f>
        <v>STORE</v>
      </c>
      <c r="J901" s="46" t="str">
        <f ca="1">IFERROR(__xludf.DUMMYFUNCTION("""COMPUTED_VALUE"""),"MATTE D3")</f>
        <v>MATTE D3</v>
      </c>
      <c r="K901" s="46" t="str">
        <f ca="1">IFERROR(__xludf.DUMMYFUNCTION("""COMPUTED_VALUE"""),"BAR")</f>
        <v>BAR</v>
      </c>
      <c r="L901" s="46" t="str">
        <f ca="1">IFERROR(__xludf.DUMMYFUNCTION("""COMPUTED_VALUE"""),"FTE")</f>
        <v>FTE</v>
      </c>
      <c r="M901" s="46" t="str">
        <f ca="1">IFERROR(__xludf.DUMMYFUNCTION("""COMPUTED_VALUE"""),"Leave")</f>
        <v>Leave</v>
      </c>
      <c r="N901" s="46" t="str">
        <f ca="1">IFERROR(__xludf.DUMMYFUNCTION("""COMPUTED_VALUE"""),"đủ")</f>
        <v>đủ</v>
      </c>
    </row>
    <row r="902" spans="1:14">
      <c r="A902" s="45">
        <f ca="1">IFERROR(__xludf.DUMMYFUNCTION("""COMPUTED_VALUE"""),45758.5833333333)</f>
        <v>45758.583333333299</v>
      </c>
      <c r="B902" s="45">
        <f ca="1">IFERROR(__xludf.DUMMYFUNCTION("""COMPUTED_VALUE"""),45819.5833333333)</f>
        <v>45819.583333333299</v>
      </c>
      <c r="C902" s="46">
        <f ca="1">IFERROR(__xludf.DUMMYFUNCTION("""COMPUTED_VALUE"""),903)</f>
        <v>903</v>
      </c>
      <c r="D902" s="47" t="str">
        <f ca="1">IFERROR(__xludf.DUMMYFUNCTION("""COMPUTED_VALUE"""),"C0675")</f>
        <v>C0675</v>
      </c>
      <c r="E902" s="46" t="str">
        <f ca="1">IFERROR(__xludf.DUMMYFUNCTION("""COMPUTED_VALUE"""),"NGUYỄN THANH VŨ")</f>
        <v>NGUYỄN THANH VŨ</v>
      </c>
      <c r="F902" s="46" t="str">
        <f ca="1">IFERROR(__xludf.DUMMYFUNCTION("""COMPUTED_VALUE"""),"NGUYEN THANH VU")</f>
        <v>NGUYEN THANH VU</v>
      </c>
      <c r="G902" s="45">
        <f ca="1">IFERROR(__xludf.DUMMYFUNCTION("""COMPUTED_VALUE"""),35464.625)</f>
        <v>35464.625</v>
      </c>
      <c r="H902" s="45" t="str">
        <f ca="1">IFERROR(__xludf.DUMMYFUNCTION("""COMPUTED_VALUE"""),"KITCHEN PASTRY")</f>
        <v>KITCHEN PASTRY</v>
      </c>
      <c r="I902" s="46" t="str">
        <f ca="1">IFERROR(__xludf.DUMMYFUNCTION("""COMPUTED_VALUE"""),"KITCHEN PASTRY")</f>
        <v>KITCHEN PASTRY</v>
      </c>
      <c r="J902" s="46" t="str">
        <f ca="1">IFERROR(__xludf.DUMMYFUNCTION("""COMPUTED_VALUE"""),"KITCHEN PASTRY")</f>
        <v>KITCHEN PASTRY</v>
      </c>
      <c r="K902" s="46" t="str">
        <f ca="1">IFERROR(__xludf.DUMMYFUNCTION("""COMPUTED_VALUE"""),"PASTRY")</f>
        <v>PASTRY</v>
      </c>
      <c r="L902" s="46" t="str">
        <f ca="1">IFERROR(__xludf.DUMMYFUNCTION("""COMPUTED_VALUE"""),"PRO")</f>
        <v>PRO</v>
      </c>
      <c r="M902" s="46" t="str">
        <f ca="1">IFERROR(__xludf.DUMMYFUNCTION("""COMPUTED_VALUE"""),"Leave")</f>
        <v>Leave</v>
      </c>
      <c r="N902" s="46" t="str">
        <f ca="1">IFERROR(__xludf.DUMMYFUNCTION("""COMPUTED_VALUE"""),"đủ")</f>
        <v>đủ</v>
      </c>
    </row>
    <row r="903" spans="1:14">
      <c r="A903" s="45">
        <f ca="1">IFERROR(__xludf.DUMMYFUNCTION("""COMPUTED_VALUE"""),45761.5833333333)</f>
        <v>45761.583333333299</v>
      </c>
      <c r="B903" s="45">
        <f ca="1">IFERROR(__xludf.DUMMYFUNCTION("""COMPUTED_VALUE"""),45767.5833333333)</f>
        <v>45767.583333333299</v>
      </c>
      <c r="C903" s="46">
        <f ca="1">IFERROR(__xludf.DUMMYFUNCTION("""COMPUTED_VALUE"""),904)</f>
        <v>904</v>
      </c>
      <c r="D903" s="47" t="str">
        <f ca="1">IFERROR(__xludf.DUMMYFUNCTION("""COMPUTED_VALUE"""),"C0676")</f>
        <v>C0676</v>
      </c>
      <c r="E903" s="46" t="str">
        <f ca="1">IFERROR(__xludf.DUMMYFUNCTION("""COMPUTED_VALUE"""),"TRƯƠNG MINH QUÂN")</f>
        <v>TRƯƠNG MINH QUÂN</v>
      </c>
      <c r="F903" s="46" t="str">
        <f ca="1">IFERROR(__xludf.DUMMYFUNCTION("""COMPUTED_VALUE"""),"TRUONG MINH QUAN")</f>
        <v>TRUONG MINH QUAN</v>
      </c>
      <c r="G903" s="45">
        <f ca="1">IFERROR(__xludf.DUMMYFUNCTION("""COMPUTED_VALUE"""),36071.5833333333)</f>
        <v>36071.583333333299</v>
      </c>
      <c r="H903" s="45" t="str">
        <f ca="1">IFERROR(__xludf.DUMMYFUNCTION("""COMPUTED_VALUE"""),"KITCHEN PASTRY")</f>
        <v>KITCHEN PASTRY</v>
      </c>
      <c r="I903" s="46" t="str">
        <f ca="1">IFERROR(__xludf.DUMMYFUNCTION("""COMPUTED_VALUE"""),"KITCHEN PASTRY")</f>
        <v>KITCHEN PASTRY</v>
      </c>
      <c r="J903" s="46" t="str">
        <f ca="1">IFERROR(__xludf.DUMMYFUNCTION("""COMPUTED_VALUE"""),"KITCHEN PASTRY")</f>
        <v>KITCHEN PASTRY</v>
      </c>
      <c r="K903" s="46" t="str">
        <f ca="1">IFERROR(__xludf.DUMMYFUNCTION("""COMPUTED_VALUE"""),"BAKER")</f>
        <v>BAKER</v>
      </c>
      <c r="L903" s="46" t="str">
        <f ca="1">IFERROR(__xludf.DUMMYFUNCTION("""COMPUTED_VALUE"""),"PRO")</f>
        <v>PRO</v>
      </c>
      <c r="M903" s="46" t="str">
        <f ca="1">IFERROR(__xludf.DUMMYFUNCTION("""COMPUTED_VALUE"""),"Leave")</f>
        <v>Leave</v>
      </c>
      <c r="N903" s="46" t="str">
        <f ca="1">IFERROR(__xludf.DUMMYFUNCTION("""COMPUTED_VALUE"""),"chua nop")</f>
        <v>chua nop</v>
      </c>
    </row>
    <row r="904" spans="1:14">
      <c r="A904" s="45">
        <f ca="1">IFERROR(__xludf.DUMMYFUNCTION("""COMPUTED_VALUE"""),45770.5833333333)</f>
        <v>45770.583333333299</v>
      </c>
      <c r="B904" s="45">
        <f ca="1">IFERROR(__xludf.DUMMYFUNCTION("""COMPUTED_VALUE"""),45809.5833333333)</f>
        <v>45809.583333333299</v>
      </c>
      <c r="C904" s="46">
        <f ca="1">IFERROR(__xludf.DUMMYFUNCTION("""COMPUTED_VALUE"""),905)</f>
        <v>905</v>
      </c>
      <c r="D904" s="47" t="str">
        <f ca="1">IFERROR(__xludf.DUMMYFUNCTION("""COMPUTED_VALUE"""),"C0677")</f>
        <v>C0677</v>
      </c>
      <c r="E904" s="46" t="str">
        <f ca="1">IFERROR(__xludf.DUMMYFUNCTION("""COMPUTED_VALUE"""),"NGUYỄN THỊ BÍCH NGỌC")</f>
        <v>NGUYỄN THỊ BÍCH NGỌC</v>
      </c>
      <c r="F904" s="46" t="str">
        <f ca="1">IFERROR(__xludf.DUMMYFUNCTION("""COMPUTED_VALUE"""),"NGUYEN THI BICH NGOC")</f>
        <v>NGUYEN THI BICH NGOC</v>
      </c>
      <c r="G904" s="45">
        <f ca="1">IFERROR(__xludf.DUMMYFUNCTION("""COMPUTED_VALUE"""),26594.625)</f>
        <v>26594.625</v>
      </c>
      <c r="H904" s="45" t="str">
        <f ca="1">IFERROR(__xludf.DUMMYFUNCTION("""COMPUTED_VALUE"""),"CREATIVE")</f>
        <v>CREATIVE</v>
      </c>
      <c r="I904" s="46" t="str">
        <f ca="1">IFERROR(__xludf.DUMMYFUNCTION("""COMPUTED_VALUE"""),"HO")</f>
        <v>HO</v>
      </c>
      <c r="J904" s="46" t="str">
        <f ca="1">IFERROR(__xludf.DUMMYFUNCTION("""COMPUTED_VALUE"""),"HRD")</f>
        <v>HRD</v>
      </c>
      <c r="K904" s="46" t="str">
        <f ca="1">IFERROR(__xludf.DUMMYFUNCTION("""COMPUTED_VALUE"""),"HRD")</f>
        <v>HRD</v>
      </c>
      <c r="L904" s="46" t="str">
        <f ca="1">IFERROR(__xludf.DUMMYFUNCTION("""COMPUTED_VALUE"""),"PRO")</f>
        <v>PRO</v>
      </c>
      <c r="M904" s="46" t="str">
        <f ca="1">IFERROR(__xludf.DUMMYFUNCTION("""COMPUTED_VALUE"""),"Leave")</f>
        <v>Leave</v>
      </c>
      <c r="N904" s="46" t="str">
        <f ca="1">IFERROR(__xludf.DUMMYFUNCTION("""COMPUTED_VALUE"""),"đủ")</f>
        <v>đủ</v>
      </c>
    </row>
    <row r="905" spans="1:14">
      <c r="A905" s="45">
        <f ca="1">IFERROR(__xludf.DUMMYFUNCTION("""COMPUTED_VALUE"""),45768.5833333333)</f>
        <v>45768.583333333299</v>
      </c>
      <c r="B905" s="45">
        <f ca="1">IFERROR(__xludf.DUMMYFUNCTION("""COMPUTED_VALUE"""),45821.5833333333)</f>
        <v>45821.583333333299</v>
      </c>
      <c r="C905" s="46">
        <f ca="1">IFERROR(__xludf.DUMMYFUNCTION("""COMPUTED_VALUE"""),906)</f>
        <v>906</v>
      </c>
      <c r="D905" s="47" t="str">
        <f ca="1">IFERROR(__xludf.DUMMYFUNCTION("""COMPUTED_VALUE"""),"C0678")</f>
        <v>C0678</v>
      </c>
      <c r="E905" s="46" t="str">
        <f ca="1">IFERROR(__xludf.DUMMYFUNCTION("""COMPUTED_VALUE"""),"NGUYỄN THỊ NHÃ TÂM")</f>
        <v>NGUYỄN THỊ NHÃ TÂM</v>
      </c>
      <c r="F905" s="46" t="str">
        <f ca="1">IFERROR(__xludf.DUMMYFUNCTION("""COMPUTED_VALUE"""),"NGUYEN THI NHA TAM")</f>
        <v>NGUYEN THI NHA TAM</v>
      </c>
      <c r="G905" s="45">
        <f ca="1">IFERROR(__xludf.DUMMYFUNCTION("""COMPUTED_VALUE"""),37523.5833333333)</f>
        <v>37523.583333333299</v>
      </c>
      <c r="H905" s="45" t="str">
        <f ca="1">IFERROR(__xludf.DUMMYFUNCTION("""COMPUTED_VALUE"""),"TLC")</f>
        <v>TLC</v>
      </c>
      <c r="I905" s="46" t="str">
        <f ca="1">IFERROR(__xludf.DUMMYFUNCTION("""COMPUTED_VALUE"""),"HO")</f>
        <v>HO</v>
      </c>
      <c r="J905" s="46" t="str">
        <f ca="1">IFERROR(__xludf.DUMMYFUNCTION("""COMPUTED_VALUE"""),"MKT")</f>
        <v>MKT</v>
      </c>
      <c r="K905" s="46" t="str">
        <f ca="1">IFERROR(__xludf.DUMMYFUNCTION("""COMPUTED_VALUE"""),"MKT")</f>
        <v>MKT</v>
      </c>
      <c r="L905" s="46" t="str">
        <f ca="1">IFERROR(__xludf.DUMMYFUNCTION("""COMPUTED_VALUE"""),"SER")</f>
        <v>SER</v>
      </c>
      <c r="M905" s="46" t="str">
        <f ca="1">IFERROR(__xludf.DUMMYFUNCTION("""COMPUTED_VALUE"""),"Leave")</f>
        <v>Leave</v>
      </c>
      <c r="N905" s="46" t="str">
        <f ca="1">IFERROR(__xludf.DUMMYFUNCTION("""COMPUTED_VALUE"""),"đủ")</f>
        <v>đủ</v>
      </c>
    </row>
    <row r="906" spans="1:14">
      <c r="A906" s="45">
        <f ca="1">IFERROR(__xludf.DUMMYFUNCTION("""COMPUTED_VALUE"""),45768.5833333333)</f>
        <v>45768.583333333299</v>
      </c>
      <c r="B906" s="45">
        <f ca="1">IFERROR(__xludf.DUMMYFUNCTION("""COMPUTED_VALUE"""),45901.5833333333)</f>
        <v>45901.583333333299</v>
      </c>
      <c r="C906" s="46">
        <f ca="1">IFERROR(__xludf.DUMMYFUNCTION("""COMPUTED_VALUE"""),907)</f>
        <v>907</v>
      </c>
      <c r="D906" s="47" t="str">
        <f ca="1">IFERROR(__xludf.DUMMYFUNCTION("""COMPUTED_VALUE"""),"C0679")</f>
        <v>C0679</v>
      </c>
      <c r="E906" s="46" t="str">
        <f ca="1">IFERROR(__xludf.DUMMYFUNCTION("""COMPUTED_VALUE"""),"NGUYỄN HOÀNG THÔNG")</f>
        <v>NGUYỄN HOÀNG THÔNG</v>
      </c>
      <c r="F906" s="46" t="str">
        <f ca="1">IFERROR(__xludf.DUMMYFUNCTION("""COMPUTED_VALUE"""),"NGUYEN HOANG THONG")</f>
        <v>NGUYEN HOANG THONG</v>
      </c>
      <c r="G906" s="45">
        <f ca="1">IFERROR(__xludf.DUMMYFUNCTION("""COMPUTED_VALUE"""),36769.5833333333)</f>
        <v>36769.583333333299</v>
      </c>
      <c r="H906" s="45" t="str">
        <f ca="1">IFERROR(__xludf.DUMMYFUNCTION("""COMPUTED_VALUE"""),"KITCHEN PASTRY")</f>
        <v>KITCHEN PASTRY</v>
      </c>
      <c r="I906" s="46" t="str">
        <f ca="1">IFERROR(__xludf.DUMMYFUNCTION("""COMPUTED_VALUE"""),"KITCHEN PASTRY")</f>
        <v>KITCHEN PASTRY</v>
      </c>
      <c r="J906" s="46" t="str">
        <f ca="1">IFERROR(__xludf.DUMMYFUNCTION("""COMPUTED_VALUE"""),"KITCHEN PASTRY")</f>
        <v>KITCHEN PASTRY</v>
      </c>
      <c r="K906" s="46" t="str">
        <f ca="1">IFERROR(__xludf.DUMMYFUNCTION("""COMPUTED_VALUE"""),"PASTRY")</f>
        <v>PASTRY</v>
      </c>
      <c r="L906" s="46" t="str">
        <f ca="1">IFERROR(__xludf.DUMMYFUNCTION("""COMPUTED_VALUE"""),"PRO")</f>
        <v>PRO</v>
      </c>
      <c r="M906" s="46" t="str">
        <f ca="1">IFERROR(__xludf.DUMMYFUNCTION("""COMPUTED_VALUE"""),"Leave")</f>
        <v>Leave</v>
      </c>
      <c r="N906" s="46" t="str">
        <f ca="1">IFERROR(__xludf.DUMMYFUNCTION("""COMPUTED_VALUE"""),"đủ")</f>
        <v>đủ</v>
      </c>
    </row>
    <row r="907" spans="1:14">
      <c r="A907" s="45">
        <f ca="1">IFERROR(__xludf.DUMMYFUNCTION("""COMPUTED_VALUE"""),45768.5833333333)</f>
        <v>45768.583333333299</v>
      </c>
      <c r="B907" s="45"/>
      <c r="C907" s="46">
        <f ca="1">IFERROR(__xludf.DUMMYFUNCTION("""COMPUTED_VALUE"""),908)</f>
        <v>908</v>
      </c>
      <c r="D907" s="47" t="str">
        <f ca="1">IFERROR(__xludf.DUMMYFUNCTION("""COMPUTED_VALUE"""),"C0680")</f>
        <v>C0680</v>
      </c>
      <c r="E907" s="46" t="str">
        <f ca="1">IFERROR(__xludf.DUMMYFUNCTION("""COMPUTED_VALUE"""),"NGUYỄN KHUÊ TÚ")</f>
        <v>NGUYỄN KHUÊ TÚ</v>
      </c>
      <c r="F907" s="46" t="str">
        <f ca="1">IFERROR(__xludf.DUMMYFUNCTION("""COMPUTED_VALUE"""),"NGUYEN KHUE TU")</f>
        <v>NGUYEN KHUE TU</v>
      </c>
      <c r="G907" s="45">
        <f ca="1">IFERROR(__xludf.DUMMYFUNCTION("""COMPUTED_VALUE"""),36215.625)</f>
        <v>36215.625</v>
      </c>
      <c r="H907" s="45" t="str">
        <f ca="1">IFERROR(__xludf.DUMMYFUNCTION("""COMPUTED_VALUE"""),"TLC")</f>
        <v>TLC</v>
      </c>
      <c r="I907" s="46" t="str">
        <f ca="1">IFERROR(__xludf.DUMMYFUNCTION("""COMPUTED_VALUE"""),"HO")</f>
        <v>HO</v>
      </c>
      <c r="J907" s="46" t="str">
        <f ca="1">IFERROR(__xludf.DUMMYFUNCTION("""COMPUTED_VALUE"""),"HRD")</f>
        <v>HRD</v>
      </c>
      <c r="K907" s="46" t="str">
        <f ca="1">IFERROR(__xludf.DUMMYFUNCTION("""COMPUTED_VALUE"""),"HRD")</f>
        <v>HRD</v>
      </c>
      <c r="L907" s="46" t="str">
        <f ca="1">IFERROR(__xludf.DUMMYFUNCTION("""COMPUTED_VALUE"""),"FTE")</f>
        <v>FTE</v>
      </c>
      <c r="M907" s="46" t="str">
        <f ca="1">IFERROR(__xludf.DUMMYFUNCTION("""COMPUTED_VALUE"""),"On")</f>
        <v>On</v>
      </c>
      <c r="N907" s="46" t="str">
        <f ca="1">IFERROR(__xludf.DUMMYFUNCTION("""COMPUTED_VALUE"""),"đủ")</f>
        <v>đủ</v>
      </c>
    </row>
    <row r="908" spans="1:14">
      <c r="A908" s="45">
        <f ca="1">IFERROR(__xludf.DUMMYFUNCTION("""COMPUTED_VALUE"""),45768.5833333333)</f>
        <v>45768.583333333299</v>
      </c>
      <c r="B908" s="45">
        <f ca="1">IFERROR(__xludf.DUMMYFUNCTION("""COMPUTED_VALUE"""),45769.5833333333)</f>
        <v>45769.583333333299</v>
      </c>
      <c r="C908" s="46">
        <f ca="1">IFERROR(__xludf.DUMMYFUNCTION("""COMPUTED_VALUE"""),909)</f>
        <v>909</v>
      </c>
      <c r="D908" s="47" t="str">
        <f ca="1">IFERROR(__xludf.DUMMYFUNCTION("""COMPUTED_VALUE"""),"C0681")</f>
        <v>C0681</v>
      </c>
      <c r="E908" s="46" t="str">
        <f ca="1">IFERROR(__xludf.DUMMYFUNCTION("""COMPUTED_VALUE"""),"NGUYỄN NGỌC KHÁNH QUỲNH")</f>
        <v>NGUYỄN NGỌC KHÁNH QUỲNH</v>
      </c>
      <c r="F908" s="46" t="str">
        <f ca="1">IFERROR(__xludf.DUMMYFUNCTION("""COMPUTED_VALUE"""),"NGUYEN NGOC KHANH QUYNH")</f>
        <v>NGUYEN NGOC KHANH QUYNH</v>
      </c>
      <c r="G908" s="45">
        <f ca="1">IFERROR(__xludf.DUMMYFUNCTION("""COMPUTED_VALUE"""),37614.625)</f>
        <v>37614.625</v>
      </c>
      <c r="H908" s="45" t="str">
        <f ca="1">IFERROR(__xludf.DUMMYFUNCTION("""COMPUTED_VALUE"""),"TLC")</f>
        <v>TLC</v>
      </c>
      <c r="I908" s="46" t="str">
        <f ca="1">IFERROR(__xludf.DUMMYFUNCTION("""COMPUTED_VALUE"""),"STORE")</f>
        <v>STORE</v>
      </c>
      <c r="J908" s="46" t="str">
        <f ca="1">IFERROR(__xludf.DUMMYFUNCTION("""COMPUTED_VALUE"""),"BAKES HCR")</f>
        <v>BAKES HCR</v>
      </c>
      <c r="K908" s="46" t="str">
        <f ca="1">IFERROR(__xludf.DUMMYFUNCTION("""COMPUTED_VALUE"""),"WAITSTAFF")</f>
        <v>WAITSTAFF</v>
      </c>
      <c r="L908" s="46" t="str">
        <f ca="1">IFERROR(__xludf.DUMMYFUNCTION("""COMPUTED_VALUE"""),"PTE")</f>
        <v>PTE</v>
      </c>
      <c r="M908" s="46" t="str">
        <f ca="1">IFERROR(__xludf.DUMMYFUNCTION("""COMPUTED_VALUE"""),"Leave")</f>
        <v>Leave</v>
      </c>
      <c r="N908" s="46" t="str">
        <f ca="1">IFERROR(__xludf.DUMMYFUNCTION("""COMPUTED_VALUE"""),"chua nop")</f>
        <v>chua nop</v>
      </c>
    </row>
    <row r="909" spans="1:14">
      <c r="A909" s="45">
        <f ca="1">IFERROR(__xludf.DUMMYFUNCTION("""COMPUTED_VALUE"""),45768.5833333333)</f>
        <v>45768.583333333299</v>
      </c>
      <c r="B909" s="45">
        <f ca="1">IFERROR(__xludf.DUMMYFUNCTION("""COMPUTED_VALUE"""),45837.5833333333)</f>
        <v>45837.583333333299</v>
      </c>
      <c r="C909" s="46">
        <f ca="1">IFERROR(__xludf.DUMMYFUNCTION("""COMPUTED_VALUE"""),910)</f>
        <v>910</v>
      </c>
      <c r="D909" s="47" t="str">
        <f ca="1">IFERROR(__xludf.DUMMYFUNCTION("""COMPUTED_VALUE"""),"C0682")</f>
        <v>C0682</v>
      </c>
      <c r="E909" s="46" t="str">
        <f ca="1">IFERROR(__xludf.DUMMYFUNCTION("""COMPUTED_VALUE"""),"LÂM HOÀNG THÁI TÚ")</f>
        <v>LÂM HOÀNG THÁI TÚ</v>
      </c>
      <c r="F909" s="46" t="str">
        <f ca="1">IFERROR(__xludf.DUMMYFUNCTION("""COMPUTED_VALUE"""),"LAM HOANG THAI TU")</f>
        <v>LAM HOANG THAI TU</v>
      </c>
      <c r="G909" s="45">
        <f ca="1">IFERROR(__xludf.DUMMYFUNCTION("""COMPUTED_VALUE"""),38872.5833333333)</f>
        <v>38872.583333333299</v>
      </c>
      <c r="H909" s="45" t="str">
        <f ca="1">IFERROR(__xludf.DUMMYFUNCTION("""COMPUTED_VALUE"""),"SHADOW")</f>
        <v>SHADOW</v>
      </c>
      <c r="I909" s="46" t="str">
        <f ca="1">IFERROR(__xludf.DUMMYFUNCTION("""COMPUTED_VALUE"""),"STORE")</f>
        <v>STORE</v>
      </c>
      <c r="J909" s="46" t="str">
        <f ca="1">IFERROR(__xludf.DUMMYFUNCTION("""COMPUTED_VALUE"""),"BAKES PASTEUR")</f>
        <v>BAKES PASTEUR</v>
      </c>
      <c r="K909" s="46" t="str">
        <f ca="1">IFERROR(__xludf.DUMMYFUNCTION("""COMPUTED_VALUE"""),"WAITSTAFF")</f>
        <v>WAITSTAFF</v>
      </c>
      <c r="L909" s="46" t="str">
        <f ca="1">IFERROR(__xludf.DUMMYFUNCTION("""COMPUTED_VALUE"""),"PTE")</f>
        <v>PTE</v>
      </c>
      <c r="M909" s="46" t="str">
        <f ca="1">IFERROR(__xludf.DUMMYFUNCTION("""COMPUTED_VALUE"""),"Leave")</f>
        <v>Leave</v>
      </c>
      <c r="N909" s="46" t="str">
        <f ca="1">IFERROR(__xludf.DUMMYFUNCTION("""COMPUTED_VALUE"""),"đủ")</f>
        <v>đủ</v>
      </c>
    </row>
    <row r="910" spans="1:14">
      <c r="A910" s="45">
        <f ca="1">IFERROR(__xludf.DUMMYFUNCTION("""COMPUTED_VALUE"""),45768.5833333333)</f>
        <v>45768.583333333299</v>
      </c>
      <c r="B910" s="45">
        <f ca="1">IFERROR(__xludf.DUMMYFUNCTION("""COMPUTED_VALUE"""),45797.5833333333)</f>
        <v>45797.583333333299</v>
      </c>
      <c r="C910" s="46">
        <f ca="1">IFERROR(__xludf.DUMMYFUNCTION("""COMPUTED_VALUE"""),911)</f>
        <v>911</v>
      </c>
      <c r="D910" s="47" t="str">
        <f ca="1">IFERROR(__xludf.DUMMYFUNCTION("""COMPUTED_VALUE"""),"C0683")</f>
        <v>C0683</v>
      </c>
      <c r="E910" s="46" t="str">
        <f ca="1">IFERROR(__xludf.DUMMYFUNCTION("""COMPUTED_VALUE"""),"TRẦN NGỌC UYÊN TRÂM")</f>
        <v>TRẦN NGỌC UYÊN TRÂM</v>
      </c>
      <c r="F910" s="46" t="str">
        <f ca="1">IFERROR(__xludf.DUMMYFUNCTION("""COMPUTED_VALUE"""),"TRAN NGOC UYEN TRAM")</f>
        <v>TRAN NGOC UYEN TRAM</v>
      </c>
      <c r="G910" s="45">
        <f ca="1">IFERROR(__xludf.DUMMYFUNCTION("""COMPUTED_VALUE"""),38946.5833333333)</f>
        <v>38946.583333333299</v>
      </c>
      <c r="H910" s="45" t="str">
        <f ca="1">IFERROR(__xludf.DUMMYFUNCTION("""COMPUTED_VALUE"""),"SHADOW")</f>
        <v>SHADOW</v>
      </c>
      <c r="I910" s="46" t="str">
        <f ca="1">IFERROR(__xludf.DUMMYFUNCTION("""COMPUTED_VALUE"""),"STORE")</f>
        <v>STORE</v>
      </c>
      <c r="J910" s="46" t="str">
        <f ca="1">IFERROR(__xludf.DUMMYFUNCTION("""COMPUTED_VALUE"""),"BAKES PASTEUR")</f>
        <v>BAKES PASTEUR</v>
      </c>
      <c r="K910" s="46" t="str">
        <f ca="1">IFERROR(__xludf.DUMMYFUNCTION("""COMPUTED_VALUE"""),"WAITSTAFF")</f>
        <v>WAITSTAFF</v>
      </c>
      <c r="L910" s="46" t="str">
        <f ca="1">IFERROR(__xludf.DUMMYFUNCTION("""COMPUTED_VALUE"""),"PTE")</f>
        <v>PTE</v>
      </c>
      <c r="M910" s="46" t="str">
        <f ca="1">IFERROR(__xludf.DUMMYFUNCTION("""COMPUTED_VALUE"""),"Leave")</f>
        <v>Leave</v>
      </c>
      <c r="N910" s="46" t="str">
        <f ca="1">IFERROR(__xludf.DUMMYFUNCTION("""COMPUTED_VALUE"""),"đủ")</f>
        <v>đủ</v>
      </c>
    </row>
    <row r="911" spans="1:14">
      <c r="A911" s="45">
        <f ca="1">IFERROR(__xludf.DUMMYFUNCTION("""COMPUTED_VALUE"""),45768.5833333333)</f>
        <v>45768.583333333299</v>
      </c>
      <c r="B911" s="45">
        <f ca="1">IFERROR(__xludf.DUMMYFUNCTION("""COMPUTED_VALUE"""),45898.5833333333)</f>
        <v>45898.583333333299</v>
      </c>
      <c r="C911" s="46">
        <f ca="1">IFERROR(__xludf.DUMMYFUNCTION("""COMPUTED_VALUE"""),912)</f>
        <v>912</v>
      </c>
      <c r="D911" s="47" t="str">
        <f ca="1">IFERROR(__xludf.DUMMYFUNCTION("""COMPUTED_VALUE"""),"C0684")</f>
        <v>C0684</v>
      </c>
      <c r="E911" s="46" t="str">
        <f ca="1">IFERROR(__xludf.DUMMYFUNCTION("""COMPUTED_VALUE"""),"NGUYỄN THÚY QUỲNH")</f>
        <v>NGUYỄN THÚY QUỲNH</v>
      </c>
      <c r="F911" s="46" t="str">
        <f ca="1">IFERROR(__xludf.DUMMYFUNCTION("""COMPUTED_VALUE"""),"NGUYEN THUY QUYNH")</f>
        <v>NGUYEN THUY QUYNH</v>
      </c>
      <c r="G911" s="45">
        <f ca="1">IFERROR(__xludf.DUMMYFUNCTION("""COMPUTED_VALUE"""),37477.5833333333)</f>
        <v>37477.583333333299</v>
      </c>
      <c r="H911" s="45" t="str">
        <f ca="1">IFERROR(__xludf.DUMMYFUNCTION("""COMPUTED_VALUE"""),"MATTE")</f>
        <v>MATTE</v>
      </c>
      <c r="I911" s="46" t="str">
        <f ca="1">IFERROR(__xludf.DUMMYFUNCTION("""COMPUTED_VALUE"""),"HO")</f>
        <v>HO</v>
      </c>
      <c r="J911" s="46" t="str">
        <f ca="1">IFERROR(__xludf.DUMMYFUNCTION("""COMPUTED_VALUE"""),"BE")</f>
        <v>BE</v>
      </c>
      <c r="K911" s="46" t="str">
        <f ca="1">IFERROR(__xludf.DUMMYFUNCTION("""COMPUTED_VALUE"""),"BE")</f>
        <v>BE</v>
      </c>
      <c r="L911" s="46" t="str">
        <f ca="1">IFERROR(__xludf.DUMMYFUNCTION("""COMPUTED_VALUE"""),"FTE")</f>
        <v>FTE</v>
      </c>
      <c r="M911" s="46" t="str">
        <f ca="1">IFERROR(__xludf.DUMMYFUNCTION("""COMPUTED_VALUE"""),"Leave")</f>
        <v>Leave</v>
      </c>
      <c r="N911" s="46" t="str">
        <f ca="1">IFERROR(__xludf.DUMMYFUNCTION("""COMPUTED_VALUE"""),"đủ")</f>
        <v>đủ</v>
      </c>
    </row>
    <row r="912" spans="1:14">
      <c r="A912" s="45">
        <f ca="1">IFERROR(__xludf.DUMMYFUNCTION("""COMPUTED_VALUE"""),45768.5833333333)</f>
        <v>45768.583333333299</v>
      </c>
      <c r="B912" s="45">
        <f ca="1">IFERROR(__xludf.DUMMYFUNCTION("""COMPUTED_VALUE"""),45769.5833333333)</f>
        <v>45769.583333333299</v>
      </c>
      <c r="C912" s="46">
        <f ca="1">IFERROR(__xludf.DUMMYFUNCTION("""COMPUTED_VALUE"""),913)</f>
        <v>913</v>
      </c>
      <c r="D912" s="47" t="str">
        <f ca="1">IFERROR(__xludf.DUMMYFUNCTION("""COMPUTED_VALUE"""),"C0685")</f>
        <v>C0685</v>
      </c>
      <c r="E912" s="46" t="str">
        <f ca="1">IFERROR(__xludf.DUMMYFUNCTION("""COMPUTED_VALUE"""),"THÁI QUANG HUY")</f>
        <v>THÁI QUANG HUY</v>
      </c>
      <c r="F912" s="46" t="str">
        <f ca="1">IFERROR(__xludf.DUMMYFUNCTION("""COMPUTED_VALUE"""),"THAI QUANG HUY")</f>
        <v>THAI QUANG HUY</v>
      </c>
      <c r="G912" s="45">
        <f ca="1">IFERROR(__xludf.DUMMYFUNCTION("""COMPUTED_VALUE"""),38514.5833333333)</f>
        <v>38514.583333333299</v>
      </c>
      <c r="H912" s="45" t="str">
        <f ca="1">IFERROR(__xludf.DUMMYFUNCTION("""COMPUTED_VALUE"""),"BAKES")</f>
        <v>BAKES</v>
      </c>
      <c r="I912" s="46" t="str">
        <f ca="1">IFERROR(__xludf.DUMMYFUNCTION("""COMPUTED_VALUE"""),"STORE")</f>
        <v>STORE</v>
      </c>
      <c r="J912" s="46" t="str">
        <f ca="1">IFERROR(__xludf.DUMMYFUNCTION("""COMPUTED_VALUE"""),"BAKES D7")</f>
        <v>BAKES D7</v>
      </c>
      <c r="K912" s="46" t="str">
        <f ca="1">IFERROR(__xludf.DUMMYFUNCTION("""COMPUTED_VALUE"""),"WAITSTAFF")</f>
        <v>WAITSTAFF</v>
      </c>
      <c r="L912" s="46" t="str">
        <f ca="1">IFERROR(__xludf.DUMMYFUNCTION("""COMPUTED_VALUE"""),"PTE")</f>
        <v>PTE</v>
      </c>
      <c r="M912" s="46" t="str">
        <f ca="1">IFERROR(__xludf.DUMMYFUNCTION("""COMPUTED_VALUE"""),"Leave")</f>
        <v>Leave</v>
      </c>
      <c r="N912" s="46" t="str">
        <f ca="1">IFERROR(__xludf.DUMMYFUNCTION("""COMPUTED_VALUE"""),"chua nop")</f>
        <v>chua nop</v>
      </c>
    </row>
    <row r="913" spans="1:14">
      <c r="A913" s="45">
        <f ca="1">IFERROR(__xludf.DUMMYFUNCTION("""COMPUTED_VALUE"""),45750.5833333333)</f>
        <v>45750.583333333299</v>
      </c>
      <c r="B913" s="45">
        <f ca="1">IFERROR(__xludf.DUMMYFUNCTION("""COMPUTED_VALUE"""),45751.5833333333)</f>
        <v>45751.583333333299</v>
      </c>
      <c r="C913" s="46">
        <f ca="1">IFERROR(__xludf.DUMMYFUNCTION("""COMPUTED_VALUE"""),914)</f>
        <v>914</v>
      </c>
      <c r="D913" s="47" t="str">
        <f ca="1">IFERROR(__xludf.DUMMYFUNCTION("""COMPUTED_VALUE"""),"C0686")</f>
        <v>C0686</v>
      </c>
      <c r="E913" s="46" t="str">
        <f ca="1">IFERROR(__xludf.DUMMYFUNCTION("""COMPUTED_VALUE"""),"LƯU THỊ PHƯƠNG HẬU")</f>
        <v>LƯU THỊ PHƯƠNG HẬU</v>
      </c>
      <c r="F913" s="46" t="str">
        <f ca="1">IFERROR(__xludf.DUMMYFUNCTION("""COMPUTED_VALUE"""),"LUU THI PHUONG HAU")</f>
        <v>LUU THI PHUONG HAU</v>
      </c>
      <c r="G913" s="45">
        <f ca="1">IFERROR(__xludf.DUMMYFUNCTION("""COMPUTED_VALUE"""),36705.5833333333)</f>
        <v>36705.583333333299</v>
      </c>
      <c r="H913" s="45" t="str">
        <f ca="1">IFERROR(__xludf.DUMMYFUNCTION("""COMPUTED_VALUE"""),"BAKES")</f>
        <v>BAKES</v>
      </c>
      <c r="I913" s="46" t="str">
        <f ca="1">IFERROR(__xludf.DUMMYFUNCTION("""COMPUTED_VALUE"""),"STORE")</f>
        <v>STORE</v>
      </c>
      <c r="J913" s="46" t="str">
        <f ca="1">IFERROR(__xludf.DUMMYFUNCTION("""COMPUTED_VALUE"""),"BAKES D2")</f>
        <v>BAKES D2</v>
      </c>
      <c r="K913" s="46" t="str">
        <f ca="1">IFERROR(__xludf.DUMMYFUNCTION("""COMPUTED_VALUE"""),"BAR")</f>
        <v>BAR</v>
      </c>
      <c r="L913" s="46" t="str">
        <f ca="1">IFERROR(__xludf.DUMMYFUNCTION("""COMPUTED_VALUE"""),"PRO")</f>
        <v>PRO</v>
      </c>
      <c r="M913" s="46" t="str">
        <f ca="1">IFERROR(__xludf.DUMMYFUNCTION("""COMPUTED_VALUE"""),"Leave")</f>
        <v>Leave</v>
      </c>
      <c r="N913" s="46" t="str">
        <f ca="1">IFERROR(__xludf.DUMMYFUNCTION("""COMPUTED_VALUE"""),"chua nop")</f>
        <v>chua nop</v>
      </c>
    </row>
    <row r="914" spans="1:14">
      <c r="A914" s="45">
        <f ca="1">IFERROR(__xludf.DUMMYFUNCTION("""COMPUTED_VALUE"""),45772.5833333333)</f>
        <v>45772.583333333299</v>
      </c>
      <c r="B914" s="45"/>
      <c r="C914" s="46">
        <f ca="1">IFERROR(__xludf.DUMMYFUNCTION("""COMPUTED_VALUE"""),915)</f>
        <v>915</v>
      </c>
      <c r="D914" s="47" t="str">
        <f ca="1">IFERROR(__xludf.DUMMYFUNCTION("""COMPUTED_VALUE"""),"C0687")</f>
        <v>C0687</v>
      </c>
      <c r="E914" s="46" t="str">
        <f ca="1">IFERROR(__xludf.DUMMYFUNCTION("""COMPUTED_VALUE"""),"BÙI QUỐC TRUNG")</f>
        <v>BÙI QUỐC TRUNG</v>
      </c>
      <c r="F914" s="46" t="str">
        <f ca="1">IFERROR(__xludf.DUMMYFUNCTION("""COMPUTED_VALUE"""),"BUI QUOC TRUNG")</f>
        <v>BUI QUOC TRUNG</v>
      </c>
      <c r="G914" s="45">
        <f ca="1">IFERROR(__xludf.DUMMYFUNCTION("""COMPUTED_VALUE"""),37132.5833333333)</f>
        <v>37132.583333333299</v>
      </c>
      <c r="H914" s="45" t="str">
        <f ca="1">IFERROR(__xludf.DUMMYFUNCTION("""COMPUTED_VALUE"""),"MATTE")</f>
        <v>MATTE</v>
      </c>
      <c r="I914" s="46" t="str">
        <f ca="1">IFERROR(__xludf.DUMMYFUNCTION("""COMPUTED_VALUE"""),"STORE")</f>
        <v>STORE</v>
      </c>
      <c r="J914" s="46" t="str">
        <f ca="1">IFERROR(__xludf.DUMMYFUNCTION("""COMPUTED_VALUE"""),"MATTE D7")</f>
        <v>MATTE D7</v>
      </c>
      <c r="K914" s="46" t="str">
        <f ca="1">IFERROR(__xludf.DUMMYFUNCTION("""COMPUTED_VALUE"""),"BAR")</f>
        <v>BAR</v>
      </c>
      <c r="L914" s="46" t="str">
        <f ca="1">IFERROR(__xludf.DUMMYFUNCTION("""COMPUTED_VALUE"""),"FTE")</f>
        <v>FTE</v>
      </c>
      <c r="M914" s="46" t="str">
        <f ca="1">IFERROR(__xludf.DUMMYFUNCTION("""COMPUTED_VALUE"""),"On")</f>
        <v>On</v>
      </c>
      <c r="N914" s="46" t="str">
        <f ca="1">IFERROR(__xludf.DUMMYFUNCTION("""COMPUTED_VALUE"""),"đủ")</f>
        <v>đủ</v>
      </c>
    </row>
    <row r="915" spans="1:14">
      <c r="A915" s="45">
        <f ca="1">IFERROR(__xludf.DUMMYFUNCTION("""COMPUTED_VALUE"""),45782.5833333333)</f>
        <v>45782.583333333299</v>
      </c>
      <c r="B915" s="45">
        <f ca="1">IFERROR(__xludf.DUMMYFUNCTION("""COMPUTED_VALUE"""),46011.625)</f>
        <v>46011.625</v>
      </c>
      <c r="C915" s="46">
        <f ca="1">IFERROR(__xludf.DUMMYFUNCTION("""COMPUTED_VALUE"""),916)</f>
        <v>916</v>
      </c>
      <c r="D915" s="47" t="str">
        <f ca="1">IFERROR(__xludf.DUMMYFUNCTION("""COMPUTED_VALUE"""),"C0688")</f>
        <v>C0688</v>
      </c>
      <c r="E915" s="46" t="str">
        <f ca="1">IFERROR(__xludf.DUMMYFUNCTION("""COMPUTED_VALUE"""),"PHẠM THỤY HƯƠNG THẢO")</f>
        <v>PHẠM THỤY HƯƠNG THẢO</v>
      </c>
      <c r="F915" s="46" t="str">
        <f ca="1">IFERROR(__xludf.DUMMYFUNCTION("""COMPUTED_VALUE"""),"PHAM THUY HUONG THAO")</f>
        <v>PHAM THUY HUONG THAO</v>
      </c>
      <c r="G915" s="45">
        <f ca="1">IFERROR(__xludf.DUMMYFUNCTION("""COMPUTED_VALUE"""),37540.5833333333)</f>
        <v>37540.583333333299</v>
      </c>
      <c r="H915" s="45" t="str">
        <f ca="1">IFERROR(__xludf.DUMMYFUNCTION("""COMPUTED_VALUE"""),"MATTE")</f>
        <v>MATTE</v>
      </c>
      <c r="I915" s="46" t="str">
        <f ca="1">IFERROR(__xludf.DUMMYFUNCTION("""COMPUTED_VALUE"""),"STORE")</f>
        <v>STORE</v>
      </c>
      <c r="J915" s="46" t="str">
        <f ca="1">IFERROR(__xludf.DUMMYFUNCTION("""COMPUTED_VALUE"""),"MATTE D3")</f>
        <v>MATTE D3</v>
      </c>
      <c r="K915" s="46" t="str">
        <f ca="1">IFERROR(__xludf.DUMMYFUNCTION("""COMPUTED_VALUE"""),"BAR")</f>
        <v>BAR</v>
      </c>
      <c r="L915" s="46" t="str">
        <f ca="1">IFERROR(__xludf.DUMMYFUNCTION("""COMPUTED_VALUE"""),"FTE")</f>
        <v>FTE</v>
      </c>
      <c r="M915" s="46" t="str">
        <f ca="1">IFERROR(__xludf.DUMMYFUNCTION("""COMPUTED_VALUE"""),"Leave")</f>
        <v>Leave</v>
      </c>
      <c r="N915" s="46" t="str">
        <f ca="1">IFERROR(__xludf.DUMMYFUNCTION("""COMPUTED_VALUE"""),"đủ")</f>
        <v>đủ</v>
      </c>
    </row>
    <row r="916" spans="1:14">
      <c r="A916" s="45">
        <f ca="1">IFERROR(__xludf.DUMMYFUNCTION("""COMPUTED_VALUE"""),45779.5833333333)</f>
        <v>45779.583333333299</v>
      </c>
      <c r="B916" s="45">
        <f ca="1">IFERROR(__xludf.DUMMYFUNCTION("""COMPUTED_VALUE"""),46010.625)</f>
        <v>46010.625</v>
      </c>
      <c r="C916" s="46">
        <f ca="1">IFERROR(__xludf.DUMMYFUNCTION("""COMPUTED_VALUE"""),917)</f>
        <v>917</v>
      </c>
      <c r="D916" s="47" t="str">
        <f ca="1">IFERROR(__xludf.DUMMYFUNCTION("""COMPUTED_VALUE"""),"C0689")</f>
        <v>C0689</v>
      </c>
      <c r="E916" s="46" t="str">
        <f ca="1">IFERROR(__xludf.DUMMYFUNCTION("""COMPUTED_VALUE"""),"NGUYỄN THỊ NGỌC ANH")</f>
        <v>NGUYỄN THỊ NGỌC ANH</v>
      </c>
      <c r="F916" s="46" t="str">
        <f ca="1">IFERROR(__xludf.DUMMYFUNCTION("""COMPUTED_VALUE"""),"NGUYEN THI NGOC ANH")</f>
        <v>NGUYEN THI NGOC ANH</v>
      </c>
      <c r="G916" s="45">
        <f ca="1">IFERROR(__xludf.DUMMYFUNCTION("""COMPUTED_VALUE"""),35600.5833333333)</f>
        <v>35600.583333333299</v>
      </c>
      <c r="H916" s="45" t="str">
        <f ca="1">IFERROR(__xludf.DUMMYFUNCTION("""COMPUTED_VALUE"""),"MATTE")</f>
        <v>MATTE</v>
      </c>
      <c r="I916" s="46" t="str">
        <f ca="1">IFERROR(__xludf.DUMMYFUNCTION("""COMPUTED_VALUE"""),"STORE")</f>
        <v>STORE</v>
      </c>
      <c r="J916" s="46" t="str">
        <f ca="1">IFERROR(__xludf.DUMMYFUNCTION("""COMPUTED_VALUE"""),"MATTE D3")</f>
        <v>MATTE D3</v>
      </c>
      <c r="K916" s="46" t="str">
        <f ca="1">IFERROR(__xludf.DUMMYFUNCTION("""COMPUTED_VALUE"""),"BAR")</f>
        <v>BAR</v>
      </c>
      <c r="L916" s="46" t="str">
        <f ca="1">IFERROR(__xludf.DUMMYFUNCTION("""COMPUTED_VALUE"""),"FTE")</f>
        <v>FTE</v>
      </c>
      <c r="M916" s="46" t="str">
        <f ca="1">IFERROR(__xludf.DUMMYFUNCTION("""COMPUTED_VALUE"""),"Leave")</f>
        <v>Leave</v>
      </c>
      <c r="N916" s="46" t="str">
        <f ca="1">IFERROR(__xludf.DUMMYFUNCTION("""COMPUTED_VALUE"""),"đủ")</f>
        <v>đủ</v>
      </c>
    </row>
    <row r="917" spans="1:14">
      <c r="A917" s="45">
        <f ca="1">IFERROR(__xludf.DUMMYFUNCTION("""COMPUTED_VALUE"""),45782.5833333333)</f>
        <v>45782.583333333299</v>
      </c>
      <c r="B917" s="45">
        <f ca="1">IFERROR(__xludf.DUMMYFUNCTION("""COMPUTED_VALUE"""),45849.5833333333)</f>
        <v>45849.583333333299</v>
      </c>
      <c r="C917" s="46">
        <f ca="1">IFERROR(__xludf.DUMMYFUNCTION("""COMPUTED_VALUE"""),918)</f>
        <v>918</v>
      </c>
      <c r="D917" s="47" t="str">
        <f ca="1">IFERROR(__xludf.DUMMYFUNCTION("""COMPUTED_VALUE"""),"C0690")</f>
        <v>C0690</v>
      </c>
      <c r="E917" s="46" t="str">
        <f ca="1">IFERROR(__xludf.DUMMYFUNCTION("""COMPUTED_VALUE"""),"NGUYỄN PHAN THÙY DUNG")</f>
        <v>NGUYỄN PHAN THÙY DUNG</v>
      </c>
      <c r="F917" s="46" t="str">
        <f ca="1">IFERROR(__xludf.DUMMYFUNCTION("""COMPUTED_VALUE"""),"NGUYEN PHAN THUY DUNG")</f>
        <v>NGUYEN PHAN THUY DUNG</v>
      </c>
      <c r="G917" s="45">
        <f ca="1">IFERROR(__xludf.DUMMYFUNCTION("""COMPUTED_VALUE"""),37683.625)</f>
        <v>37683.625</v>
      </c>
      <c r="H917" s="45" t="str">
        <f ca="1">IFERROR(__xludf.DUMMYFUNCTION("""COMPUTED_VALUE"""),"MATTE")</f>
        <v>MATTE</v>
      </c>
      <c r="I917" s="46" t="str">
        <f ca="1">IFERROR(__xludf.DUMMYFUNCTION("""COMPUTED_VALUE"""),"STORE")</f>
        <v>STORE</v>
      </c>
      <c r="J917" s="46" t="str">
        <f ca="1">IFERROR(__xludf.DUMMYFUNCTION("""COMPUTED_VALUE"""),"MATTE D7")</f>
        <v>MATTE D7</v>
      </c>
      <c r="K917" s="46" t="str">
        <f ca="1">IFERROR(__xludf.DUMMYFUNCTION("""COMPUTED_VALUE"""),"BAR")</f>
        <v>BAR</v>
      </c>
      <c r="L917" s="46" t="str">
        <f ca="1">IFERROR(__xludf.DUMMYFUNCTION("""COMPUTED_VALUE"""),"PTE")</f>
        <v>PTE</v>
      </c>
      <c r="M917" s="46" t="str">
        <f ca="1">IFERROR(__xludf.DUMMYFUNCTION("""COMPUTED_VALUE"""),"Leave")</f>
        <v>Leave</v>
      </c>
      <c r="N917" s="46" t="str">
        <f ca="1">IFERROR(__xludf.DUMMYFUNCTION("""COMPUTED_VALUE"""),"chưa trả đồng phục, đủ")</f>
        <v>chưa trả đồng phục, đủ</v>
      </c>
    </row>
    <row r="918" spans="1:14">
      <c r="A918" s="45">
        <f ca="1">IFERROR(__xludf.DUMMYFUNCTION("""COMPUTED_VALUE"""),45782.5833333333)</f>
        <v>45782.583333333299</v>
      </c>
      <c r="B918" s="45">
        <f ca="1">IFERROR(__xludf.DUMMYFUNCTION("""COMPUTED_VALUE"""),45908.5833333333)</f>
        <v>45908.583333333299</v>
      </c>
      <c r="C918" s="46">
        <f ca="1">IFERROR(__xludf.DUMMYFUNCTION("""COMPUTED_VALUE"""),919)</f>
        <v>919</v>
      </c>
      <c r="D918" s="47" t="str">
        <f ca="1">IFERROR(__xludf.DUMMYFUNCTION("""COMPUTED_VALUE"""),"C0691")</f>
        <v>C0691</v>
      </c>
      <c r="E918" s="46" t="str">
        <f ca="1">IFERROR(__xludf.DUMMYFUNCTION("""COMPUTED_VALUE"""),"TỪ NGỌC HÂN")</f>
        <v>TỪ NGỌC HÂN</v>
      </c>
      <c r="F918" s="46" t="str">
        <f ca="1">IFERROR(__xludf.DUMMYFUNCTION("""COMPUTED_VALUE"""),"TU NGOC HAN")</f>
        <v>TU NGOC HAN</v>
      </c>
      <c r="G918" s="45">
        <f ca="1">IFERROR(__xludf.DUMMYFUNCTION("""COMPUTED_VALUE"""),38643.5833333333)</f>
        <v>38643.583333333299</v>
      </c>
      <c r="H918" s="45" t="str">
        <f ca="1">IFERROR(__xludf.DUMMYFUNCTION("""COMPUTED_VALUE"""),"MATTE")</f>
        <v>MATTE</v>
      </c>
      <c r="I918" s="46" t="str">
        <f ca="1">IFERROR(__xludf.DUMMYFUNCTION("""COMPUTED_VALUE"""),"STORE")</f>
        <v>STORE</v>
      </c>
      <c r="J918" s="46" t="str">
        <f ca="1">IFERROR(__xludf.DUMMYFUNCTION("""COMPUTED_VALUE"""),"MATTE D3")</f>
        <v>MATTE D3</v>
      </c>
      <c r="K918" s="46" t="str">
        <f ca="1">IFERROR(__xludf.DUMMYFUNCTION("""COMPUTED_VALUE"""),"BAR")</f>
        <v>BAR</v>
      </c>
      <c r="L918" s="46" t="str">
        <f ca="1">IFERROR(__xludf.DUMMYFUNCTION("""COMPUTED_VALUE"""),"PTE")</f>
        <v>PTE</v>
      </c>
      <c r="M918" s="46" t="str">
        <f ca="1">IFERROR(__xludf.DUMMYFUNCTION("""COMPUTED_VALUE"""),"Leave")</f>
        <v>Leave</v>
      </c>
      <c r="N918" s="46" t="str">
        <f ca="1">IFERROR(__xludf.DUMMYFUNCTION("""COMPUTED_VALUE"""),"đủ")</f>
        <v>đủ</v>
      </c>
    </row>
    <row r="919" spans="1:14">
      <c r="A919" s="45">
        <f ca="1">IFERROR(__xludf.DUMMYFUNCTION("""COMPUTED_VALUE"""),45783.5833333333)</f>
        <v>45783.583333333299</v>
      </c>
      <c r="B919" s="45">
        <f ca="1">IFERROR(__xludf.DUMMYFUNCTION("""COMPUTED_VALUE"""),45958.5833333333)</f>
        <v>45958.583333333299</v>
      </c>
      <c r="C919" s="46">
        <f ca="1">IFERROR(__xludf.DUMMYFUNCTION("""COMPUTED_VALUE"""),920)</f>
        <v>920</v>
      </c>
      <c r="D919" s="47" t="str">
        <f ca="1">IFERROR(__xludf.DUMMYFUNCTION("""COMPUTED_VALUE"""),"C0692")</f>
        <v>C0692</v>
      </c>
      <c r="E919" s="46" t="str">
        <f ca="1">IFERROR(__xludf.DUMMYFUNCTION("""COMPUTED_VALUE"""),"BÙI THỊ TUYẾT NHI")</f>
        <v>BÙI THỊ TUYẾT NHI</v>
      </c>
      <c r="F919" s="46" t="str">
        <f ca="1">IFERROR(__xludf.DUMMYFUNCTION("""COMPUTED_VALUE"""),"BUI THI TUYET NHI")</f>
        <v>BUI THI TUYET NHI</v>
      </c>
      <c r="G919" s="45">
        <f ca="1">IFERROR(__xludf.DUMMYFUNCTION("""COMPUTED_VALUE"""),37329.625)</f>
        <v>37329.625</v>
      </c>
      <c r="H919" s="45" t="str">
        <f ca="1">IFERROR(__xludf.DUMMYFUNCTION("""COMPUTED_VALUE"""),"MATTE")</f>
        <v>MATTE</v>
      </c>
      <c r="I919" s="46" t="str">
        <f ca="1">IFERROR(__xludf.DUMMYFUNCTION("""COMPUTED_VALUE"""),"STORE")</f>
        <v>STORE</v>
      </c>
      <c r="J919" s="46" t="str">
        <f ca="1">IFERROR(__xludf.DUMMYFUNCTION("""COMPUTED_VALUE"""),"MATTE D3")</f>
        <v>MATTE D3</v>
      </c>
      <c r="K919" s="46" t="str">
        <f ca="1">IFERROR(__xludf.DUMMYFUNCTION("""COMPUTED_VALUE"""),"BAR")</f>
        <v>BAR</v>
      </c>
      <c r="L919" s="46" t="str">
        <f ca="1">IFERROR(__xludf.DUMMYFUNCTION("""COMPUTED_VALUE"""),"FTE")</f>
        <v>FTE</v>
      </c>
      <c r="M919" s="46" t="str">
        <f ca="1">IFERROR(__xludf.DUMMYFUNCTION("""COMPUTED_VALUE"""),"Leave")</f>
        <v>Leave</v>
      </c>
      <c r="N919" s="46" t="str">
        <f ca="1">IFERROR(__xludf.DUMMYFUNCTION("""COMPUTED_VALUE"""),"đủ")</f>
        <v>đủ</v>
      </c>
    </row>
    <row r="920" spans="1:14">
      <c r="A920" s="45">
        <f ca="1">IFERROR(__xludf.DUMMYFUNCTION("""COMPUTED_VALUE"""),45783.5833333333)</f>
        <v>45783.583333333299</v>
      </c>
      <c r="B920" s="45">
        <f ca="1">IFERROR(__xludf.DUMMYFUNCTION("""COMPUTED_VALUE"""),45873.5833333333)</f>
        <v>45873.583333333299</v>
      </c>
      <c r="C920" s="46">
        <f ca="1">IFERROR(__xludf.DUMMYFUNCTION("""COMPUTED_VALUE"""),921)</f>
        <v>921</v>
      </c>
      <c r="D920" s="47" t="str">
        <f ca="1">IFERROR(__xludf.DUMMYFUNCTION("""COMPUTED_VALUE"""),"C0693")</f>
        <v>C0693</v>
      </c>
      <c r="E920" s="46" t="str">
        <f ca="1">IFERROR(__xludf.DUMMYFUNCTION("""COMPUTED_VALUE"""),"HUỲNH LÊ XUÂN HẠNH")</f>
        <v>HUỲNH LÊ XUÂN HẠNH</v>
      </c>
      <c r="F920" s="46" t="str">
        <f ca="1">IFERROR(__xludf.DUMMYFUNCTION("""COMPUTED_VALUE"""),"HUYNH LE XUAN HANH")</f>
        <v>HUYNH LE XUAN HANH</v>
      </c>
      <c r="G920" s="45">
        <f ca="1">IFERROR(__xludf.DUMMYFUNCTION("""COMPUTED_VALUE"""),37281.625)</f>
        <v>37281.625</v>
      </c>
      <c r="H920" s="45" t="str">
        <f ca="1">IFERROR(__xludf.DUMMYFUNCTION("""COMPUTED_VALUE"""),"MATTE")</f>
        <v>MATTE</v>
      </c>
      <c r="I920" s="46" t="str">
        <f ca="1">IFERROR(__xludf.DUMMYFUNCTION("""COMPUTED_VALUE"""),"STORE")</f>
        <v>STORE</v>
      </c>
      <c r="J920" s="46" t="str">
        <f ca="1">IFERROR(__xludf.DUMMYFUNCTION("""COMPUTED_VALUE"""),"MATTE D3")</f>
        <v>MATTE D3</v>
      </c>
      <c r="K920" s="46" t="str">
        <f ca="1">IFERROR(__xludf.DUMMYFUNCTION("""COMPUTED_VALUE"""),"BAR")</f>
        <v>BAR</v>
      </c>
      <c r="L920" s="46" t="str">
        <f ca="1">IFERROR(__xludf.DUMMYFUNCTION("""COMPUTED_VALUE"""),"FTE")</f>
        <v>FTE</v>
      </c>
      <c r="M920" s="46" t="str">
        <f ca="1">IFERROR(__xludf.DUMMYFUNCTION("""COMPUTED_VALUE"""),"Leave")</f>
        <v>Leave</v>
      </c>
      <c r="N920" s="46" t="str">
        <f ca="1">IFERROR(__xludf.DUMMYFUNCTION("""COMPUTED_VALUE"""),"đủ")</f>
        <v>đủ</v>
      </c>
    </row>
    <row r="921" spans="1:14">
      <c r="A921" s="45">
        <f ca="1">IFERROR(__xludf.DUMMYFUNCTION("""COMPUTED_VALUE"""),45782.5833333333)</f>
        <v>45782.583333333299</v>
      </c>
      <c r="B921" s="45"/>
      <c r="C921" s="46">
        <f ca="1">IFERROR(__xludf.DUMMYFUNCTION("""COMPUTED_VALUE"""),922)</f>
        <v>922</v>
      </c>
      <c r="D921" s="47" t="str">
        <f ca="1">IFERROR(__xludf.DUMMYFUNCTION("""COMPUTED_VALUE"""),"C0694")</f>
        <v>C0694</v>
      </c>
      <c r="E921" s="46" t="str">
        <f ca="1">IFERROR(__xludf.DUMMYFUNCTION("""COMPUTED_VALUE"""),"VÕ DUY QUANG")</f>
        <v>VÕ DUY QUANG</v>
      </c>
      <c r="F921" s="46" t="str">
        <f ca="1">IFERROR(__xludf.DUMMYFUNCTION("""COMPUTED_VALUE"""),"VO DUY QUANG")</f>
        <v>VO DUY QUANG</v>
      </c>
      <c r="G921" s="45">
        <f ca="1">IFERROR(__xludf.DUMMYFUNCTION("""COMPUTED_VALUE"""),37864.5833333333)</f>
        <v>37864.583333333299</v>
      </c>
      <c r="H921" s="45" t="str">
        <f ca="1">IFERROR(__xludf.DUMMYFUNCTION("""COMPUTED_VALUE"""),"TLC")</f>
        <v>TLC</v>
      </c>
      <c r="I921" s="46" t="str">
        <f ca="1">IFERROR(__xludf.DUMMYFUNCTION("""COMPUTED_VALUE"""),"STORE")</f>
        <v>STORE</v>
      </c>
      <c r="J921" s="46" t="str">
        <f ca="1">IFERROR(__xludf.DUMMYFUNCTION("""COMPUTED_VALUE"""),"BLANK LOUNGE")</f>
        <v>BLANK LOUNGE</v>
      </c>
      <c r="K921" s="46" t="str">
        <f ca="1">IFERROR(__xludf.DUMMYFUNCTION("""COMPUTED_VALUE"""),"WAITSTAFF")</f>
        <v>WAITSTAFF</v>
      </c>
      <c r="L921" s="46" t="str">
        <f ca="1">IFERROR(__xludf.DUMMYFUNCTION("""COMPUTED_VALUE"""),"PTE")</f>
        <v>PTE</v>
      </c>
      <c r="M921" s="46" t="str">
        <f ca="1">IFERROR(__xludf.DUMMYFUNCTION("""COMPUTED_VALUE"""),"On")</f>
        <v>On</v>
      </c>
      <c r="N921" s="46" t="str">
        <f ca="1">IFERROR(__xludf.DUMMYFUNCTION("""COMPUTED_VALUE"""),"đủ")</f>
        <v>đủ</v>
      </c>
    </row>
    <row r="922" spans="1:14">
      <c r="A922" s="45">
        <f ca="1">IFERROR(__xludf.DUMMYFUNCTION("""COMPUTED_VALUE"""),45782.5833333333)</f>
        <v>45782.583333333299</v>
      </c>
      <c r="B922" s="45">
        <f ca="1">IFERROR(__xludf.DUMMYFUNCTION("""COMPUTED_VALUE"""),45816.5833333333)</f>
        <v>45816.583333333299</v>
      </c>
      <c r="C922" s="46">
        <f ca="1">IFERROR(__xludf.DUMMYFUNCTION("""COMPUTED_VALUE"""),923)</f>
        <v>923</v>
      </c>
      <c r="D922" s="47" t="str">
        <f ca="1">IFERROR(__xludf.DUMMYFUNCTION("""COMPUTED_VALUE"""),"C0695")</f>
        <v>C0695</v>
      </c>
      <c r="E922" s="46" t="str">
        <f ca="1">IFERROR(__xludf.DUMMYFUNCTION("""COMPUTED_VALUE"""),"VŨ VĂN DƯƠNG")</f>
        <v>VŨ VĂN DƯƠNG</v>
      </c>
      <c r="F922" s="46" t="str">
        <f ca="1">IFERROR(__xludf.DUMMYFUNCTION("""COMPUTED_VALUE"""),"VU VAN DUONG")</f>
        <v>VU VAN DUONG</v>
      </c>
      <c r="G922" s="45">
        <f ca="1">IFERROR(__xludf.DUMMYFUNCTION("""COMPUTED_VALUE"""),35854.625)</f>
        <v>35854.625</v>
      </c>
      <c r="H922" s="45" t="str">
        <f ca="1">IFERROR(__xludf.DUMMYFUNCTION("""COMPUTED_VALUE"""),"TLC")</f>
        <v>TLC</v>
      </c>
      <c r="I922" s="46" t="str">
        <f ca="1">IFERROR(__xludf.DUMMYFUNCTION("""COMPUTED_VALUE"""),"STORE")</f>
        <v>STORE</v>
      </c>
      <c r="J922" s="46" t="str">
        <f ca="1">IFERROR(__xludf.DUMMYFUNCTION("""COMPUTED_VALUE"""),"BAKES HCR")</f>
        <v>BAKES HCR</v>
      </c>
      <c r="K922" s="46" t="str">
        <f ca="1">IFERROR(__xludf.DUMMYFUNCTION("""COMPUTED_VALUE"""),"Management team")</f>
        <v>Management team</v>
      </c>
      <c r="L922" s="46" t="str">
        <f ca="1">IFERROR(__xludf.DUMMYFUNCTION("""COMPUTED_VALUE"""),"PRO")</f>
        <v>PRO</v>
      </c>
      <c r="M922" s="46" t="str">
        <f ca="1">IFERROR(__xludf.DUMMYFUNCTION("""COMPUTED_VALUE"""),"Leave")</f>
        <v>Leave</v>
      </c>
      <c r="N922" s="46" t="str">
        <f ca="1">IFERROR(__xludf.DUMMYFUNCTION("""COMPUTED_VALUE"""),"đủ")</f>
        <v>đủ</v>
      </c>
    </row>
    <row r="923" spans="1:14">
      <c r="A923" s="45">
        <f ca="1">IFERROR(__xludf.DUMMYFUNCTION("""COMPUTED_VALUE"""),45776.5833333333)</f>
        <v>45776.583333333299</v>
      </c>
      <c r="B923" s="45"/>
      <c r="C923" s="46">
        <f ca="1">IFERROR(__xludf.DUMMYFUNCTION("""COMPUTED_VALUE"""),924)</f>
        <v>924</v>
      </c>
      <c r="D923" s="47" t="str">
        <f ca="1">IFERROR(__xludf.DUMMYFUNCTION("""COMPUTED_VALUE"""),"C0696")</f>
        <v>C0696</v>
      </c>
      <c r="E923" s="46" t="str">
        <f ca="1">IFERROR(__xludf.DUMMYFUNCTION("""COMPUTED_VALUE"""),"TỪ KIM SÂM")</f>
        <v>TỪ KIM SÂM</v>
      </c>
      <c r="F923" s="46" t="str">
        <f ca="1">IFERROR(__xludf.DUMMYFUNCTION("""COMPUTED_VALUE"""),"TU KIM SAM")</f>
        <v>TU KIM SAM</v>
      </c>
      <c r="G923" s="45">
        <f ca="1">IFERROR(__xludf.DUMMYFUNCTION("""COMPUTED_VALUE"""),34817.5833333333)</f>
        <v>34817.583333333299</v>
      </c>
      <c r="H923" s="45" t="str">
        <f ca="1">IFERROR(__xludf.DUMMYFUNCTION("""COMPUTED_VALUE"""),"YESHI")</f>
        <v>YESHI</v>
      </c>
      <c r="I923" s="46" t="str">
        <f ca="1">IFERROR(__xludf.DUMMYFUNCTION("""COMPUTED_VALUE"""),"STORE")</f>
        <v>STORE</v>
      </c>
      <c r="J923" s="46" t="str">
        <f ca="1">IFERROR(__xludf.DUMMYFUNCTION("""COMPUTED_VALUE"""),"YESHI D3")</f>
        <v>YESHI D3</v>
      </c>
      <c r="K923" s="46" t="str">
        <f ca="1">IFERROR(__xludf.DUMMYFUNCTION("""COMPUTED_VALUE"""),"KIT")</f>
        <v>KIT</v>
      </c>
      <c r="L923" s="46" t="str">
        <f ca="1">IFERROR(__xludf.DUMMYFUNCTION("""COMPUTED_VALUE"""),"FTE")</f>
        <v>FTE</v>
      </c>
      <c r="M923" s="46" t="str">
        <f ca="1">IFERROR(__xludf.DUMMYFUNCTION("""COMPUTED_VALUE"""),"On")</f>
        <v>On</v>
      </c>
      <c r="N923" s="46" t="str">
        <f ca="1">IFERROR(__xludf.DUMMYFUNCTION("""COMPUTED_VALUE"""),"đủ")</f>
        <v>đủ</v>
      </c>
    </row>
    <row r="924" spans="1:14">
      <c r="A924" s="45">
        <f ca="1">IFERROR(__xludf.DUMMYFUNCTION("""COMPUTED_VALUE"""),45784.5833333333)</f>
        <v>45784.583333333299</v>
      </c>
      <c r="B924" s="45">
        <f ca="1">IFERROR(__xludf.DUMMYFUNCTION("""COMPUTED_VALUE"""),45814.5833333333)</f>
        <v>45814.583333333299</v>
      </c>
      <c r="C924" s="46">
        <f ca="1">IFERROR(__xludf.DUMMYFUNCTION("""COMPUTED_VALUE"""),925)</f>
        <v>925</v>
      </c>
      <c r="D924" s="47" t="str">
        <f ca="1">IFERROR(__xludf.DUMMYFUNCTION("""COMPUTED_VALUE"""),"C0697")</f>
        <v>C0697</v>
      </c>
      <c r="E924" s="46" t="str">
        <f ca="1">IFERROR(__xludf.DUMMYFUNCTION("""COMPUTED_VALUE"""),"NGUYỄN ĐÔNG DUY")</f>
        <v>NGUYỄN ĐÔNG DUY</v>
      </c>
      <c r="F924" s="46" t="str">
        <f ca="1">IFERROR(__xludf.DUMMYFUNCTION("""COMPUTED_VALUE"""),"NGUYEN DONG DUY")</f>
        <v>NGUYEN DONG DUY</v>
      </c>
      <c r="G924" s="45">
        <f ca="1">IFERROR(__xludf.DUMMYFUNCTION("""COMPUTED_VALUE"""),36892.625)</f>
        <v>36892.625</v>
      </c>
      <c r="H924" s="45" t="str">
        <f ca="1">IFERROR(__xludf.DUMMYFUNCTION("""COMPUTED_VALUE"""),"BAKES")</f>
        <v>BAKES</v>
      </c>
      <c r="I924" s="46" t="str">
        <f ca="1">IFERROR(__xludf.DUMMYFUNCTION("""COMPUTED_VALUE"""),"HO")</f>
        <v>HO</v>
      </c>
      <c r="J924" s="46" t="str">
        <f ca="1">IFERROR(__xludf.DUMMYFUNCTION("""COMPUTED_VALUE"""),"SAL")</f>
        <v>SAL</v>
      </c>
      <c r="K924" s="46" t="str">
        <f ca="1">IFERROR(__xludf.DUMMYFUNCTION("""COMPUTED_VALUE"""),"SAL")</f>
        <v>SAL</v>
      </c>
      <c r="L924" s="46" t="str">
        <f ca="1">IFERROR(__xludf.DUMMYFUNCTION("""COMPUTED_VALUE"""),"PRO")</f>
        <v>PRO</v>
      </c>
      <c r="M924" s="46" t="str">
        <f ca="1">IFERROR(__xludf.DUMMYFUNCTION("""COMPUTED_VALUE"""),"Leave")</f>
        <v>Leave</v>
      </c>
      <c r="N924" s="46" t="str">
        <f ca="1">IFERROR(__xludf.DUMMYFUNCTION("""COMPUTED_VALUE"""),"đủ")</f>
        <v>đủ</v>
      </c>
    </row>
    <row r="925" spans="1:14">
      <c r="A925" s="45">
        <f ca="1">IFERROR(__xludf.DUMMYFUNCTION("""COMPUTED_VALUE"""),45781.5833333333)</f>
        <v>45781.583333333299</v>
      </c>
      <c r="B925" s="45">
        <f ca="1">IFERROR(__xludf.DUMMYFUNCTION("""COMPUTED_VALUE"""),46097.5833333333)</f>
        <v>46097.583333333299</v>
      </c>
      <c r="C925" s="46">
        <f ca="1">IFERROR(__xludf.DUMMYFUNCTION("""COMPUTED_VALUE"""),926)</f>
        <v>926</v>
      </c>
      <c r="D925" s="47" t="str">
        <f ca="1">IFERROR(__xludf.DUMMYFUNCTION("""COMPUTED_VALUE"""),"C0698")</f>
        <v>C0698</v>
      </c>
      <c r="E925" s="46" t="str">
        <f ca="1">IFERROR(__xludf.DUMMYFUNCTION("""COMPUTED_VALUE"""),"TRẦN LAN VY")</f>
        <v>TRẦN LAN VY</v>
      </c>
      <c r="F925" s="46" t="str">
        <f ca="1">IFERROR(__xludf.DUMMYFUNCTION("""COMPUTED_VALUE"""),"TRAN LAN VY")</f>
        <v>TRAN LAN VY</v>
      </c>
      <c r="G925" s="45">
        <f ca="1">IFERROR(__xludf.DUMMYFUNCTION("""COMPUTED_VALUE"""),37219.625)</f>
        <v>37219.625</v>
      </c>
      <c r="H925" s="45" t="str">
        <f ca="1">IFERROR(__xludf.DUMMYFUNCTION("""COMPUTED_VALUE"""),"KITCHEN PASTRY")</f>
        <v>KITCHEN PASTRY</v>
      </c>
      <c r="I925" s="46" t="str">
        <f ca="1">IFERROR(__xludf.DUMMYFUNCTION("""COMPUTED_VALUE"""),"KITCHEN PASTRY")</f>
        <v>KITCHEN PASTRY</v>
      </c>
      <c r="J925" s="46" t="str">
        <f ca="1">IFERROR(__xludf.DUMMYFUNCTION("""COMPUTED_VALUE"""),"KITCHEN PASTRY")</f>
        <v>KITCHEN PASTRY</v>
      </c>
      <c r="K925" s="46" t="str">
        <f ca="1">IFERROR(__xludf.DUMMYFUNCTION("""COMPUTED_VALUE"""),"PASTRY")</f>
        <v>PASTRY</v>
      </c>
      <c r="L925" s="46" t="str">
        <f ca="1">IFERROR(__xludf.DUMMYFUNCTION("""COMPUTED_VALUE"""),"FTE")</f>
        <v>FTE</v>
      </c>
      <c r="M925" s="46" t="str">
        <f ca="1">IFERROR(__xludf.DUMMYFUNCTION("""COMPUTED_VALUE"""),"Leave")</f>
        <v>Leave</v>
      </c>
      <c r="N925" s="46" t="str">
        <f ca="1">IFERROR(__xludf.DUMMYFUNCTION("""COMPUTED_VALUE"""),"đủ")</f>
        <v>đủ</v>
      </c>
    </row>
    <row r="926" spans="1:14">
      <c r="A926" s="45">
        <f ca="1">IFERROR(__xludf.DUMMYFUNCTION("""COMPUTED_VALUE"""),45779.5833333333)</f>
        <v>45779.583333333299</v>
      </c>
      <c r="B926" s="45">
        <f ca="1">IFERROR(__xludf.DUMMYFUNCTION("""COMPUTED_VALUE"""),45840.5833333333)</f>
        <v>45840.583333333299</v>
      </c>
      <c r="C926" s="46">
        <f ca="1">IFERROR(__xludf.DUMMYFUNCTION("""COMPUTED_VALUE"""),927)</f>
        <v>927</v>
      </c>
      <c r="D926" s="47" t="str">
        <f ca="1">IFERROR(__xludf.DUMMYFUNCTION("""COMPUTED_VALUE"""),"C0699")</f>
        <v>C0699</v>
      </c>
      <c r="E926" s="46" t="str">
        <f ca="1">IFERROR(__xludf.DUMMYFUNCTION("""COMPUTED_VALUE"""),"NGUYỄN ĐÌNH ĐẠT")</f>
        <v>NGUYỄN ĐÌNH ĐẠT</v>
      </c>
      <c r="F926" s="46" t="str">
        <f ca="1">IFERROR(__xludf.DUMMYFUNCTION("""COMPUTED_VALUE"""),"NGUYEN DINH DAT")</f>
        <v>NGUYEN DINH DAT</v>
      </c>
      <c r="G926" s="45">
        <f ca="1">IFERROR(__xludf.DUMMYFUNCTION("""COMPUTED_VALUE"""),36235.625)</f>
        <v>36235.625</v>
      </c>
      <c r="H926" s="45" t="str">
        <f ca="1">IFERROR(__xludf.DUMMYFUNCTION("""COMPUTED_VALUE"""),"KITCHEN PASTRY")</f>
        <v>KITCHEN PASTRY</v>
      </c>
      <c r="I926" s="46" t="str">
        <f ca="1">IFERROR(__xludf.DUMMYFUNCTION("""COMPUTED_VALUE"""),"KITCHEN PASTRY")</f>
        <v>KITCHEN PASTRY</v>
      </c>
      <c r="J926" s="46" t="str">
        <f ca="1">IFERROR(__xludf.DUMMYFUNCTION("""COMPUTED_VALUE"""),"KITCHEN PASTRY")</f>
        <v>KITCHEN PASTRY</v>
      </c>
      <c r="K926" s="46" t="str">
        <f ca="1">IFERROR(__xludf.DUMMYFUNCTION("""COMPUTED_VALUE"""),"BAKER")</f>
        <v>BAKER</v>
      </c>
      <c r="L926" s="46" t="str">
        <f ca="1">IFERROR(__xludf.DUMMYFUNCTION("""COMPUTED_VALUE"""),"PRO")</f>
        <v>PRO</v>
      </c>
      <c r="M926" s="46" t="str">
        <f ca="1">IFERROR(__xludf.DUMMYFUNCTION("""COMPUTED_VALUE"""),"Leave")</f>
        <v>Leave</v>
      </c>
      <c r="N926" s="46" t="str">
        <f ca="1">IFERROR(__xludf.DUMMYFUNCTION("""COMPUTED_VALUE"""),"đủ")</f>
        <v>đủ</v>
      </c>
    </row>
    <row r="927" spans="1:14">
      <c r="A927" s="45">
        <f ca="1">IFERROR(__xludf.DUMMYFUNCTION("""COMPUTED_VALUE"""),45782.5833333333)</f>
        <v>45782.583333333299</v>
      </c>
      <c r="B927" s="45">
        <f ca="1">IFERROR(__xludf.DUMMYFUNCTION("""COMPUTED_VALUE"""),45783.5833333333)</f>
        <v>45783.583333333299</v>
      </c>
      <c r="C927" s="46">
        <f ca="1">IFERROR(__xludf.DUMMYFUNCTION("""COMPUTED_VALUE"""),928)</f>
        <v>928</v>
      </c>
      <c r="D927" s="47" t="str">
        <f ca="1">IFERROR(__xludf.DUMMYFUNCTION("""COMPUTED_VALUE"""),"C0700")</f>
        <v>C0700</v>
      </c>
      <c r="E927" s="46" t="str">
        <f ca="1">IFERROR(__xludf.DUMMYFUNCTION("""COMPUTED_VALUE"""),"NGUYỄN NGỌC HƯƠNG")</f>
        <v>NGUYỄN NGỌC HƯƠNG</v>
      </c>
      <c r="F927" s="46" t="str">
        <f ca="1">IFERROR(__xludf.DUMMYFUNCTION("""COMPUTED_VALUE"""),"NGUYEN NGOC HUONG")</f>
        <v>NGUYEN NGOC HUONG</v>
      </c>
      <c r="G927" s="45"/>
      <c r="H927" s="45" t="str">
        <f ca="1">IFERROR(__xludf.DUMMYFUNCTION("""COMPUTED_VALUE"""),"MATTE")</f>
        <v>MATTE</v>
      </c>
      <c r="I927" s="46" t="str">
        <f ca="1">IFERROR(__xludf.DUMMYFUNCTION("""COMPUTED_VALUE"""),"STORE")</f>
        <v>STORE</v>
      </c>
      <c r="J927" s="46" t="str">
        <f ca="1">IFERROR(__xludf.DUMMYFUNCTION("""COMPUTED_VALUE"""),"MATTE D3")</f>
        <v>MATTE D3</v>
      </c>
      <c r="K927" s="46" t="str">
        <f ca="1">IFERROR(__xludf.DUMMYFUNCTION("""COMPUTED_VALUE"""),"BAR")</f>
        <v>BAR</v>
      </c>
      <c r="L927" s="46" t="str">
        <f ca="1">IFERROR(__xludf.DUMMYFUNCTION("""COMPUTED_VALUE"""),"PTE")</f>
        <v>PTE</v>
      </c>
      <c r="M927" s="46" t="str">
        <f ca="1">IFERROR(__xludf.DUMMYFUNCTION("""COMPUTED_VALUE"""),"Leave")</f>
        <v>Leave</v>
      </c>
      <c r="N927" s="46" t="str">
        <f ca="1">IFERROR(__xludf.DUMMYFUNCTION("""COMPUTED_VALUE"""),"chua nop")</f>
        <v>chua nop</v>
      </c>
    </row>
    <row r="928" spans="1:14">
      <c r="A928" s="45">
        <f ca="1">IFERROR(__xludf.DUMMYFUNCTION("""COMPUTED_VALUE"""),45779.5833333333)</f>
        <v>45779.583333333299</v>
      </c>
      <c r="B928" s="45">
        <f ca="1">IFERROR(__xludf.DUMMYFUNCTION("""COMPUTED_VALUE"""),45780.5833333333)</f>
        <v>45780.583333333299</v>
      </c>
      <c r="C928" s="46">
        <f ca="1">IFERROR(__xludf.DUMMYFUNCTION("""COMPUTED_VALUE"""),929)</f>
        <v>929</v>
      </c>
      <c r="D928" s="47" t="str">
        <f ca="1">IFERROR(__xludf.DUMMYFUNCTION("""COMPUTED_VALUE"""),"C0701")</f>
        <v>C0701</v>
      </c>
      <c r="E928" s="46" t="str">
        <f ca="1">IFERROR(__xludf.DUMMYFUNCTION("""COMPUTED_VALUE"""),"PHAN NGỌC VI")</f>
        <v>PHAN NGỌC VI</v>
      </c>
      <c r="F928" s="46" t="str">
        <f ca="1">IFERROR(__xludf.DUMMYFUNCTION("""COMPUTED_VALUE"""),"PHAN NGOC VI")</f>
        <v>PHAN NGOC VI</v>
      </c>
      <c r="G928" s="45">
        <f ca="1">IFERROR(__xludf.DUMMYFUNCTION("""COMPUTED_VALUE"""),37329.625)</f>
        <v>37329.625</v>
      </c>
      <c r="H928" s="45" t="str">
        <f ca="1">IFERROR(__xludf.DUMMYFUNCTION("""COMPUTED_VALUE"""),"TLC")</f>
        <v>TLC</v>
      </c>
      <c r="I928" s="46" t="str">
        <f ca="1">IFERROR(__xludf.DUMMYFUNCTION("""COMPUTED_VALUE"""),"HO")</f>
        <v>HO</v>
      </c>
      <c r="J928" s="46" t="str">
        <f ca="1">IFERROR(__xludf.DUMMYFUNCTION("""COMPUTED_VALUE"""),"R&amp;D")</f>
        <v>R&amp;D</v>
      </c>
      <c r="K928" s="46" t="str">
        <f ca="1">IFERROR(__xludf.DUMMYFUNCTION("""COMPUTED_VALUE"""),"R&amp;D")</f>
        <v>R&amp;D</v>
      </c>
      <c r="L928" s="46" t="str">
        <f ca="1">IFERROR(__xludf.DUMMYFUNCTION("""COMPUTED_VALUE"""),"PRO")</f>
        <v>PRO</v>
      </c>
      <c r="M928" s="46" t="str">
        <f ca="1">IFERROR(__xludf.DUMMYFUNCTION("""COMPUTED_VALUE"""),"Leave")</f>
        <v>Leave</v>
      </c>
      <c r="N928" s="46" t="str">
        <f ca="1">IFERROR(__xludf.DUMMYFUNCTION("""COMPUTED_VALUE"""),"chua nop")</f>
        <v>chua nop</v>
      </c>
    </row>
    <row r="929" spans="1:14">
      <c r="A929" s="45">
        <f ca="1">IFERROR(__xludf.DUMMYFUNCTION("""COMPUTED_VALUE"""),45785.5833333333)</f>
        <v>45785.583333333299</v>
      </c>
      <c r="B929" s="45">
        <f ca="1">IFERROR(__xludf.DUMMYFUNCTION("""COMPUTED_VALUE"""),45786.5833333333)</f>
        <v>45786.583333333299</v>
      </c>
      <c r="C929" s="46">
        <f ca="1">IFERROR(__xludf.DUMMYFUNCTION("""COMPUTED_VALUE"""),930)</f>
        <v>930</v>
      </c>
      <c r="D929" s="47" t="str">
        <f ca="1">IFERROR(__xludf.DUMMYFUNCTION("""COMPUTED_VALUE"""),"C0702")</f>
        <v>C0702</v>
      </c>
      <c r="E929" s="46" t="str">
        <f ca="1">IFERROR(__xludf.DUMMYFUNCTION("""COMPUTED_VALUE"""),"VŨ THỊ THU TUYẾT")</f>
        <v>VŨ THỊ THU TUYẾT</v>
      </c>
      <c r="F929" s="46" t="str">
        <f ca="1">IFERROR(__xludf.DUMMYFUNCTION("""COMPUTED_VALUE"""),"VU THI THU TUYET")</f>
        <v>VU THI THU TUYET</v>
      </c>
      <c r="G929" s="45">
        <f ca="1">IFERROR(__xludf.DUMMYFUNCTION("""COMPUTED_VALUE"""),36906.625)</f>
        <v>36906.625</v>
      </c>
      <c r="H929" s="45" t="str">
        <f ca="1">IFERROR(__xludf.DUMMYFUNCTION("""COMPUTED_VALUE"""),"TLC")</f>
        <v>TLC</v>
      </c>
      <c r="I929" s="46" t="str">
        <f ca="1">IFERROR(__xludf.DUMMYFUNCTION("""COMPUTED_VALUE"""),"STORE")</f>
        <v>STORE</v>
      </c>
      <c r="J929" s="46" t="str">
        <f ca="1">IFERROR(__xludf.DUMMYFUNCTION("""COMPUTED_VALUE"""),"BAKES HCR")</f>
        <v>BAKES HCR</v>
      </c>
      <c r="K929" s="46" t="str">
        <f ca="1">IFERROR(__xludf.DUMMYFUNCTION("""COMPUTED_VALUE"""),"CASHIER")</f>
        <v>CASHIER</v>
      </c>
      <c r="L929" s="46" t="str">
        <f ca="1">IFERROR(__xludf.DUMMYFUNCTION("""COMPUTED_VALUE"""),"PTE")</f>
        <v>PTE</v>
      </c>
      <c r="M929" s="46" t="str">
        <f ca="1">IFERROR(__xludf.DUMMYFUNCTION("""COMPUTED_VALUE"""),"Leave")</f>
        <v>Leave</v>
      </c>
      <c r="N929" s="46" t="str">
        <f ca="1">IFERROR(__xludf.DUMMYFUNCTION("""COMPUTED_VALUE"""),"chua nop")</f>
        <v>chua nop</v>
      </c>
    </row>
    <row r="930" spans="1:14">
      <c r="A930" s="45">
        <f ca="1">IFERROR(__xludf.DUMMYFUNCTION("""COMPUTED_VALUE"""),45789.5833333333)</f>
        <v>45789.583333333299</v>
      </c>
      <c r="B930" s="45">
        <f ca="1">IFERROR(__xludf.DUMMYFUNCTION("""COMPUTED_VALUE"""),45931.5833333333)</f>
        <v>45931.583333333299</v>
      </c>
      <c r="C930" s="46">
        <f ca="1">IFERROR(__xludf.DUMMYFUNCTION("""COMPUTED_VALUE"""),931)</f>
        <v>931</v>
      </c>
      <c r="D930" s="47" t="str">
        <f ca="1">IFERROR(__xludf.DUMMYFUNCTION("""COMPUTED_VALUE"""),"C0703")</f>
        <v>C0703</v>
      </c>
      <c r="E930" s="46" t="str">
        <f ca="1">IFERROR(__xludf.DUMMYFUNCTION("""COMPUTED_VALUE"""),"NGUYỄN THANH PHÚC")</f>
        <v>NGUYỄN THANH PHÚC</v>
      </c>
      <c r="F930" s="46" t="str">
        <f ca="1">IFERROR(__xludf.DUMMYFUNCTION("""COMPUTED_VALUE"""),"NGUYEN THANH PHUC")</f>
        <v>NGUYEN THANH PHUC</v>
      </c>
      <c r="G930" s="45">
        <f ca="1">IFERROR(__xludf.DUMMYFUNCTION("""COMPUTED_VALUE"""),37296.625)</f>
        <v>37296.625</v>
      </c>
      <c r="H930" s="45" t="str">
        <f ca="1">IFERROR(__xludf.DUMMYFUNCTION("""COMPUTED_VALUE"""),"MATTE")</f>
        <v>MATTE</v>
      </c>
      <c r="I930" s="46" t="str">
        <f ca="1">IFERROR(__xludf.DUMMYFUNCTION("""COMPUTED_VALUE"""),"STORE")</f>
        <v>STORE</v>
      </c>
      <c r="J930" s="46" t="str">
        <f ca="1">IFERROR(__xludf.DUMMYFUNCTION("""COMPUTED_VALUE"""),"MATTE D3")</f>
        <v>MATTE D3</v>
      </c>
      <c r="K930" s="46" t="str">
        <f ca="1">IFERROR(__xludf.DUMMYFUNCTION("""COMPUTED_VALUE"""),"BAR")</f>
        <v>BAR</v>
      </c>
      <c r="L930" s="46" t="str">
        <f ca="1">IFERROR(__xludf.DUMMYFUNCTION("""COMPUTED_VALUE"""),"FTE")</f>
        <v>FTE</v>
      </c>
      <c r="M930" s="46" t="str">
        <f ca="1">IFERROR(__xludf.DUMMYFUNCTION("""COMPUTED_VALUE"""),"Leave")</f>
        <v>Leave</v>
      </c>
      <c r="N930" s="46" t="str">
        <f ca="1">IFERROR(__xludf.DUMMYFUNCTION("""COMPUTED_VALUE"""),"đủ")</f>
        <v>đủ</v>
      </c>
    </row>
    <row r="931" spans="1:14">
      <c r="A931" s="45">
        <f ca="1">IFERROR(__xludf.DUMMYFUNCTION("""COMPUTED_VALUE"""),45790.5833333333)</f>
        <v>45790.583333333299</v>
      </c>
      <c r="B931" s="45"/>
      <c r="C931" s="46">
        <f ca="1">IFERROR(__xludf.DUMMYFUNCTION("""COMPUTED_VALUE"""),932)</f>
        <v>932</v>
      </c>
      <c r="D931" s="47" t="str">
        <f ca="1">IFERROR(__xludf.DUMMYFUNCTION("""COMPUTED_VALUE"""),"C0704")</f>
        <v>C0704</v>
      </c>
      <c r="E931" s="46" t="str">
        <f ca="1">IFERROR(__xludf.DUMMYFUNCTION("""COMPUTED_VALUE"""),"NGUYỄN LÊ BẢO HÂN")</f>
        <v>NGUYỄN LÊ BẢO HÂN</v>
      </c>
      <c r="F931" s="46" t="str">
        <f ca="1">IFERROR(__xludf.DUMMYFUNCTION("""COMPUTED_VALUE"""),"NGUYEN LE BAO HAN")</f>
        <v>NGUYEN LE BAO HAN</v>
      </c>
      <c r="G931" s="45">
        <f ca="1">IFERROR(__xludf.DUMMYFUNCTION("""COMPUTED_VALUE"""),37916.5833333333)</f>
        <v>37916.583333333299</v>
      </c>
      <c r="H931" s="45" t="str">
        <f ca="1">IFERROR(__xludf.DUMMYFUNCTION("""COMPUTED_VALUE"""),"TLC")</f>
        <v>TLC</v>
      </c>
      <c r="I931" s="46" t="str">
        <f ca="1">IFERROR(__xludf.DUMMYFUNCTION("""COMPUTED_VALUE"""),"HO")</f>
        <v>HO</v>
      </c>
      <c r="J931" s="46" t="str">
        <f ca="1">IFERROR(__xludf.DUMMYFUNCTION("""COMPUTED_VALUE"""),"CE")</f>
        <v>CE</v>
      </c>
      <c r="K931" s="46" t="str">
        <f ca="1">IFERROR(__xludf.DUMMYFUNCTION("""COMPUTED_VALUE"""),"CE")</f>
        <v>CE</v>
      </c>
      <c r="L931" s="46" t="str">
        <f ca="1">IFERROR(__xludf.DUMMYFUNCTION("""COMPUTED_VALUE"""),"FTE")</f>
        <v>FTE</v>
      </c>
      <c r="M931" s="46" t="str">
        <f ca="1">IFERROR(__xludf.DUMMYFUNCTION("""COMPUTED_VALUE"""),"On")</f>
        <v>On</v>
      </c>
      <c r="N931" s="46" t="str">
        <f ca="1">IFERROR(__xludf.DUMMYFUNCTION("""COMPUTED_VALUE"""),"đủ")</f>
        <v>đủ</v>
      </c>
    </row>
    <row r="932" spans="1:14">
      <c r="A932" s="45">
        <f ca="1">IFERROR(__xludf.DUMMYFUNCTION("""COMPUTED_VALUE"""),45788.5833333333)</f>
        <v>45788.583333333299</v>
      </c>
      <c r="B932" s="45">
        <f ca="1">IFERROR(__xludf.DUMMYFUNCTION("""COMPUTED_VALUE"""),46054.625)</f>
        <v>46054.625</v>
      </c>
      <c r="C932" s="46">
        <f ca="1">IFERROR(__xludf.DUMMYFUNCTION("""COMPUTED_VALUE"""),933)</f>
        <v>933</v>
      </c>
      <c r="D932" s="47" t="str">
        <f ca="1">IFERROR(__xludf.DUMMYFUNCTION("""COMPUTED_VALUE"""),"C0705")</f>
        <v>C0705</v>
      </c>
      <c r="E932" s="46" t="str">
        <f ca="1">IFERROR(__xludf.DUMMYFUNCTION("""COMPUTED_VALUE"""),"BÙI NGUYỄN QUỐC BẢO")</f>
        <v>BÙI NGUYỄN QUỐC BẢO</v>
      </c>
      <c r="F932" s="46" t="str">
        <f ca="1">IFERROR(__xludf.DUMMYFUNCTION("""COMPUTED_VALUE"""),"BUI NGUYEN QUOC BAO")</f>
        <v>BUI NGUYEN QUOC BAO</v>
      </c>
      <c r="G932" s="45">
        <f ca="1">IFERROR(__xludf.DUMMYFUNCTION("""COMPUTED_VALUE"""),38264.5833333333)</f>
        <v>38264.583333333299</v>
      </c>
      <c r="H932" s="45" t="str">
        <f ca="1">IFERROR(__xludf.DUMMYFUNCTION("""COMPUTED_VALUE"""),"BAKES")</f>
        <v>BAKES</v>
      </c>
      <c r="I932" s="46" t="str">
        <f ca="1">IFERROR(__xludf.DUMMYFUNCTION("""COMPUTED_VALUE"""),"STORE")</f>
        <v>STORE</v>
      </c>
      <c r="J932" s="46" t="str">
        <f ca="1">IFERROR(__xludf.DUMMYFUNCTION("""COMPUTED_VALUE"""),"BAKES HCR")</f>
        <v>BAKES HCR</v>
      </c>
      <c r="K932" s="46" t="str">
        <f ca="1">IFERROR(__xludf.DUMMYFUNCTION("""COMPUTED_VALUE"""),"WAITSTAFF")</f>
        <v>WAITSTAFF</v>
      </c>
      <c r="L932" s="46" t="str">
        <f ca="1">IFERROR(__xludf.DUMMYFUNCTION("""COMPUTED_VALUE"""),"PTE")</f>
        <v>PTE</v>
      </c>
      <c r="M932" s="46" t="str">
        <f ca="1">IFERROR(__xludf.DUMMYFUNCTION("""COMPUTED_VALUE"""),"Leave")</f>
        <v>Leave</v>
      </c>
      <c r="N932" s="46" t="str">
        <f ca="1">IFERROR(__xludf.DUMMYFUNCTION("""COMPUTED_VALUE"""),"đủ")</f>
        <v>đủ</v>
      </c>
    </row>
    <row r="933" spans="1:14">
      <c r="A933" s="45">
        <f ca="1">IFERROR(__xludf.DUMMYFUNCTION("""COMPUTED_VALUE"""),45790.5833333333)</f>
        <v>45790.583333333299</v>
      </c>
      <c r="B933" s="45"/>
      <c r="C933" s="46">
        <f ca="1">IFERROR(__xludf.DUMMYFUNCTION("""COMPUTED_VALUE"""),934)</f>
        <v>934</v>
      </c>
      <c r="D933" s="47" t="str">
        <f ca="1">IFERROR(__xludf.DUMMYFUNCTION("""COMPUTED_VALUE"""),"C0706")</f>
        <v>C0706</v>
      </c>
      <c r="E933" s="46" t="str">
        <f ca="1">IFERROR(__xludf.DUMMYFUNCTION("""COMPUTED_VALUE"""),"ĐẶNG HỒ VINH HIỂN")</f>
        <v>ĐẶNG HỒ VINH HIỂN</v>
      </c>
      <c r="F933" s="46" t="str">
        <f ca="1">IFERROR(__xludf.DUMMYFUNCTION("""COMPUTED_VALUE"""),"DANG HO VINH HIEN")</f>
        <v>DANG HO VINH HIEN</v>
      </c>
      <c r="G933" s="45">
        <f ca="1">IFERROR(__xludf.DUMMYFUNCTION("""COMPUTED_VALUE"""),35989.5833333333)</f>
        <v>35989.583333333299</v>
      </c>
      <c r="H933" s="45" t="str">
        <f ca="1">IFERROR(__xludf.DUMMYFUNCTION("""COMPUTED_VALUE"""),"BAKES")</f>
        <v>BAKES</v>
      </c>
      <c r="I933" s="46" t="str">
        <f ca="1">IFERROR(__xludf.DUMMYFUNCTION("""COMPUTED_VALUE"""),"STORE")</f>
        <v>STORE</v>
      </c>
      <c r="J933" s="46" t="str">
        <f ca="1">IFERROR(__xludf.DUMMYFUNCTION("""COMPUTED_VALUE"""),"BAKES D2")</f>
        <v>BAKES D2</v>
      </c>
      <c r="K933" s="46" t="str">
        <f ca="1">IFERROR(__xludf.DUMMYFUNCTION("""COMPUTED_VALUE"""),"BAR")</f>
        <v>BAR</v>
      </c>
      <c r="L933" s="46" t="str">
        <f ca="1">IFERROR(__xludf.DUMMYFUNCTION("""COMPUTED_VALUE"""),"FTE")</f>
        <v>FTE</v>
      </c>
      <c r="M933" s="46" t="str">
        <f ca="1">IFERROR(__xludf.DUMMYFUNCTION("""COMPUTED_VALUE"""),"On")</f>
        <v>On</v>
      </c>
      <c r="N933" s="46" t="str">
        <f ca="1">IFERROR(__xludf.DUMMYFUNCTION("""COMPUTED_VALUE"""),"đủ")</f>
        <v>đủ</v>
      </c>
    </row>
    <row r="934" spans="1:14">
      <c r="A934" s="45">
        <f ca="1">IFERROR(__xludf.DUMMYFUNCTION("""COMPUTED_VALUE"""),45789.5833333333)</f>
        <v>45789.583333333299</v>
      </c>
      <c r="B934" s="45">
        <f ca="1">IFERROR(__xludf.DUMMYFUNCTION("""COMPUTED_VALUE"""),45804.5833333333)</f>
        <v>45804.583333333299</v>
      </c>
      <c r="C934" s="46">
        <f ca="1">IFERROR(__xludf.DUMMYFUNCTION("""COMPUTED_VALUE"""),935)</f>
        <v>935</v>
      </c>
      <c r="D934" s="47" t="str">
        <f ca="1">IFERROR(__xludf.DUMMYFUNCTION("""COMPUTED_VALUE"""),"C0707")</f>
        <v>C0707</v>
      </c>
      <c r="E934" s="46" t="str">
        <f ca="1">IFERROR(__xludf.DUMMYFUNCTION("""COMPUTED_VALUE"""),"PHÙNG THỊ YẾN NHI")</f>
        <v>PHÙNG THỊ YẾN NHI</v>
      </c>
      <c r="F934" s="46" t="str">
        <f ca="1">IFERROR(__xludf.DUMMYFUNCTION("""COMPUTED_VALUE"""),"PHUNG THI YEN NHI")</f>
        <v>PHUNG THI YEN NHI</v>
      </c>
      <c r="G934" s="45">
        <f ca="1">IFERROR(__xludf.DUMMYFUNCTION("""COMPUTED_VALUE"""),38698.625)</f>
        <v>38698.625</v>
      </c>
      <c r="H934" s="45" t="str">
        <f ca="1">IFERROR(__xludf.DUMMYFUNCTION("""COMPUTED_VALUE"""),"KITCHEN PASTRY")</f>
        <v>KITCHEN PASTRY</v>
      </c>
      <c r="I934" s="46" t="str">
        <f ca="1">IFERROR(__xludf.DUMMYFUNCTION("""COMPUTED_VALUE"""),"KITCHEN PASTRY")</f>
        <v>KITCHEN PASTRY</v>
      </c>
      <c r="J934" s="46" t="str">
        <f ca="1">IFERROR(__xludf.DUMMYFUNCTION("""COMPUTED_VALUE"""),"KITCHEN PASTRY")</f>
        <v>KITCHEN PASTRY</v>
      </c>
      <c r="K934" s="46" t="str">
        <f ca="1">IFERROR(__xludf.DUMMYFUNCTION("""COMPUTED_VALUE"""),"PASTRY")</f>
        <v>PASTRY</v>
      </c>
      <c r="L934" s="46" t="str">
        <f ca="1">IFERROR(__xludf.DUMMYFUNCTION("""COMPUTED_VALUE"""),"PTE")</f>
        <v>PTE</v>
      </c>
      <c r="M934" s="46" t="str">
        <f ca="1">IFERROR(__xludf.DUMMYFUNCTION("""COMPUTED_VALUE"""),"Leave")</f>
        <v>Leave</v>
      </c>
      <c r="N934" s="46" t="str">
        <f ca="1">IFERROR(__xludf.DUMMYFUNCTION("""COMPUTED_VALUE"""),"đủ")</f>
        <v>đủ</v>
      </c>
    </row>
    <row r="935" spans="1:14">
      <c r="A935" s="45">
        <f ca="1">IFERROR(__xludf.DUMMYFUNCTION("""COMPUTED_VALUE"""),45792.5833333333)</f>
        <v>45792.583333333299</v>
      </c>
      <c r="B935" s="45">
        <f ca="1">IFERROR(__xludf.DUMMYFUNCTION("""COMPUTED_VALUE"""),46089.625)</f>
        <v>46089.625</v>
      </c>
      <c r="C935" s="46">
        <f ca="1">IFERROR(__xludf.DUMMYFUNCTION("""COMPUTED_VALUE"""),936)</f>
        <v>936</v>
      </c>
      <c r="D935" s="47" t="str">
        <f ca="1">IFERROR(__xludf.DUMMYFUNCTION("""COMPUTED_VALUE"""),"C0708")</f>
        <v>C0708</v>
      </c>
      <c r="E935" s="46" t="str">
        <f ca="1">IFERROR(__xludf.DUMMYFUNCTION("""COMPUTED_VALUE"""),"ĐẶNG MINH NHẬT")</f>
        <v>ĐẶNG MINH NHẬT</v>
      </c>
      <c r="F935" s="46" t="str">
        <f ca="1">IFERROR(__xludf.DUMMYFUNCTION("""COMPUTED_VALUE"""),"DANG MINH NHAT")</f>
        <v>DANG MINH NHAT</v>
      </c>
      <c r="G935" s="45">
        <f ca="1">IFERROR(__xludf.DUMMYFUNCTION("""COMPUTED_VALUE"""),36383.5833333333)</f>
        <v>36383.583333333299</v>
      </c>
      <c r="H935" s="45" t="str">
        <f ca="1">IFERROR(__xludf.DUMMYFUNCTION("""COMPUTED_VALUE"""),"KITCHEN PASTRY")</f>
        <v>KITCHEN PASTRY</v>
      </c>
      <c r="I935" s="46" t="str">
        <f ca="1">IFERROR(__xludf.DUMMYFUNCTION("""COMPUTED_VALUE"""),"KITCHEN PASTRY")</f>
        <v>KITCHEN PASTRY</v>
      </c>
      <c r="J935" s="46" t="str">
        <f ca="1">IFERROR(__xludf.DUMMYFUNCTION("""COMPUTED_VALUE"""),"KITCHEN PASTRY")</f>
        <v>KITCHEN PASTRY</v>
      </c>
      <c r="K935" s="46" t="str">
        <f ca="1">IFERROR(__xludf.DUMMYFUNCTION("""COMPUTED_VALUE"""),"ADMIN")</f>
        <v>ADMIN</v>
      </c>
      <c r="L935" s="46" t="str">
        <f ca="1">IFERROR(__xludf.DUMMYFUNCTION("""COMPUTED_VALUE"""),"FTE")</f>
        <v>FTE</v>
      </c>
      <c r="M935" s="46" t="str">
        <f ca="1">IFERROR(__xludf.DUMMYFUNCTION("""COMPUTED_VALUE"""),"Leave")</f>
        <v>Leave</v>
      </c>
      <c r="N935" s="46" t="str">
        <f ca="1">IFERROR(__xludf.DUMMYFUNCTION("""COMPUTED_VALUE"""),"đủ")</f>
        <v>đủ</v>
      </c>
    </row>
    <row r="936" spans="1:14">
      <c r="A936" s="45">
        <f ca="1">IFERROR(__xludf.DUMMYFUNCTION("""COMPUTED_VALUE"""),45796.5833333333)</f>
        <v>45796.583333333299</v>
      </c>
      <c r="B936" s="45">
        <f ca="1">IFERROR(__xludf.DUMMYFUNCTION("""COMPUTED_VALUE"""),45898.5833333333)</f>
        <v>45898.583333333299</v>
      </c>
      <c r="C936" s="46">
        <f ca="1">IFERROR(__xludf.DUMMYFUNCTION("""COMPUTED_VALUE"""),937)</f>
        <v>937</v>
      </c>
      <c r="D936" s="47" t="str">
        <f ca="1">IFERROR(__xludf.DUMMYFUNCTION("""COMPUTED_VALUE"""),"C0709")</f>
        <v>C0709</v>
      </c>
      <c r="E936" s="46" t="str">
        <f ca="1">IFERROR(__xludf.DUMMYFUNCTION("""COMPUTED_VALUE"""),"NGUYỄN HỒNG NHUNG")</f>
        <v>NGUYỄN HỒNG NHUNG</v>
      </c>
      <c r="F936" s="46" t="str">
        <f ca="1">IFERROR(__xludf.DUMMYFUNCTION("""COMPUTED_VALUE"""),"NGUYEN HONG NHUNG")</f>
        <v>NGUYEN HONG NHUNG</v>
      </c>
      <c r="G936" s="45">
        <f ca="1">IFERROR(__xludf.DUMMYFUNCTION("""COMPUTED_VALUE"""),37243.625)</f>
        <v>37243.625</v>
      </c>
      <c r="H936" s="45" t="str">
        <f ca="1">IFERROR(__xludf.DUMMYFUNCTION("""COMPUTED_VALUE"""),"CREATIVE")</f>
        <v>CREATIVE</v>
      </c>
      <c r="I936" s="46" t="str">
        <f ca="1">IFERROR(__xludf.DUMMYFUNCTION("""COMPUTED_VALUE"""),"HO")</f>
        <v>HO</v>
      </c>
      <c r="J936" s="46" t="str">
        <f ca="1">IFERROR(__xludf.DUMMYFUNCTION("""COMPUTED_VALUE"""),"SPD")</f>
        <v>SPD</v>
      </c>
      <c r="K936" s="46" t="str">
        <f ca="1">IFERROR(__xludf.DUMMYFUNCTION("""COMPUTED_VALUE"""),"SPD")</f>
        <v>SPD</v>
      </c>
      <c r="L936" s="46" t="str">
        <f ca="1">IFERROR(__xludf.DUMMYFUNCTION("""COMPUTED_VALUE"""),"SER")</f>
        <v>SER</v>
      </c>
      <c r="M936" s="46" t="str">
        <f ca="1">IFERROR(__xludf.DUMMYFUNCTION("""COMPUTED_VALUE"""),"Leave")</f>
        <v>Leave</v>
      </c>
      <c r="N936" s="46" t="str">
        <f ca="1">IFERROR(__xludf.DUMMYFUNCTION("""COMPUTED_VALUE"""),"đủ")</f>
        <v>đủ</v>
      </c>
    </row>
    <row r="937" spans="1:14">
      <c r="A937" s="45">
        <f ca="1">IFERROR(__xludf.DUMMYFUNCTION("""COMPUTED_VALUE"""),45796.5833333333)</f>
        <v>45796.583333333299</v>
      </c>
      <c r="B937" s="45">
        <f ca="1">IFERROR(__xludf.DUMMYFUNCTION("""COMPUTED_VALUE"""),45819.5833333333)</f>
        <v>45819.583333333299</v>
      </c>
      <c r="C937" s="46">
        <f ca="1">IFERROR(__xludf.DUMMYFUNCTION("""COMPUTED_VALUE"""),938)</f>
        <v>938</v>
      </c>
      <c r="D937" s="47" t="str">
        <f ca="1">IFERROR(__xludf.DUMMYFUNCTION("""COMPUTED_VALUE"""),"C0710")</f>
        <v>C0710</v>
      </c>
      <c r="E937" s="46" t="str">
        <f ca="1">IFERROR(__xludf.DUMMYFUNCTION("""COMPUTED_VALUE"""),"LÊ PHƯƠNG ANH")</f>
        <v>LÊ PHƯƠNG ANH</v>
      </c>
      <c r="F937" s="46" t="str">
        <f ca="1">IFERROR(__xludf.DUMMYFUNCTION("""COMPUTED_VALUE"""),"LE PHUONG ANH")</f>
        <v>LE PHUONG ANH</v>
      </c>
      <c r="G937" s="45">
        <f ca="1">IFERROR(__xludf.DUMMYFUNCTION("""COMPUTED_VALUE"""),34899.5833333333)</f>
        <v>34899.583333333299</v>
      </c>
      <c r="H937" s="45" t="str">
        <f ca="1">IFERROR(__xludf.DUMMYFUNCTION("""COMPUTED_VALUE"""),"MATTE")</f>
        <v>MATTE</v>
      </c>
      <c r="I937" s="46" t="str">
        <f ca="1">IFERROR(__xludf.DUMMYFUNCTION("""COMPUTED_VALUE"""),"STORE")</f>
        <v>STORE</v>
      </c>
      <c r="J937" s="46" t="str">
        <f ca="1">IFERROR(__xludf.DUMMYFUNCTION("""COMPUTED_VALUE"""),"MATTE D3")</f>
        <v>MATTE D3</v>
      </c>
      <c r="K937" s="46" t="str">
        <f ca="1">IFERROR(__xludf.DUMMYFUNCTION("""COMPUTED_VALUE"""),"Management team")</f>
        <v>Management team</v>
      </c>
      <c r="L937" s="46" t="str">
        <f ca="1">IFERROR(__xludf.DUMMYFUNCTION("""COMPUTED_VALUE"""),"PRO")</f>
        <v>PRO</v>
      </c>
      <c r="M937" s="46" t="str">
        <f ca="1">IFERROR(__xludf.DUMMYFUNCTION("""COMPUTED_VALUE"""),"Leave")</f>
        <v>Leave</v>
      </c>
      <c r="N937" s="46" t="str">
        <f ca="1">IFERROR(__xludf.DUMMYFUNCTION("""COMPUTED_VALUE"""),"đủ")</f>
        <v>đủ</v>
      </c>
    </row>
    <row r="938" spans="1:14">
      <c r="A938" s="45">
        <f ca="1">IFERROR(__xludf.DUMMYFUNCTION("""COMPUTED_VALUE"""),45792.5833333333)</f>
        <v>45792.583333333299</v>
      </c>
      <c r="B938" s="45">
        <f ca="1">IFERROR(__xludf.DUMMYFUNCTION("""COMPUTED_VALUE"""),45976.625)</f>
        <v>45976.625</v>
      </c>
      <c r="C938" s="46">
        <f ca="1">IFERROR(__xludf.DUMMYFUNCTION("""COMPUTED_VALUE"""),939)</f>
        <v>939</v>
      </c>
      <c r="D938" s="47" t="str">
        <f ca="1">IFERROR(__xludf.DUMMYFUNCTION("""COMPUTED_VALUE"""),"C0711")</f>
        <v>C0711</v>
      </c>
      <c r="E938" s="46" t="str">
        <f ca="1">IFERROR(__xludf.DUMMYFUNCTION("""COMPUTED_VALUE"""),"TRƯƠNG HOÀNG CÔNG")</f>
        <v>TRƯƠNG HOÀNG CÔNG</v>
      </c>
      <c r="F938" s="46" t="str">
        <f ca="1">IFERROR(__xludf.DUMMYFUNCTION("""COMPUTED_VALUE"""),"TRUONG HOANG CONG")</f>
        <v>TRUONG HOANG CONG</v>
      </c>
      <c r="G938" s="45">
        <f ca="1">IFERROR(__xludf.DUMMYFUNCTION("""COMPUTED_VALUE"""),35375.625)</f>
        <v>35375.625</v>
      </c>
      <c r="H938" s="45" t="str">
        <f ca="1">IFERROR(__xludf.DUMMYFUNCTION("""COMPUTED_VALUE"""),"TLC")</f>
        <v>TLC</v>
      </c>
      <c r="I938" s="46" t="str">
        <f ca="1">IFERROR(__xludf.DUMMYFUNCTION("""COMPUTED_VALUE"""),"HO")</f>
        <v>HO</v>
      </c>
      <c r="J938" s="46" t="str">
        <f ca="1">IFERROR(__xludf.DUMMYFUNCTION("""COMPUTED_VALUE"""),"SAL")</f>
        <v>SAL</v>
      </c>
      <c r="K938" s="46" t="str">
        <f ca="1">IFERROR(__xludf.DUMMYFUNCTION("""COMPUTED_VALUE"""),"SAL")</f>
        <v>SAL</v>
      </c>
      <c r="L938" s="46" t="str">
        <f ca="1">IFERROR(__xludf.DUMMYFUNCTION("""COMPUTED_VALUE"""),"FTE")</f>
        <v>FTE</v>
      </c>
      <c r="M938" s="46" t="str">
        <f ca="1">IFERROR(__xludf.DUMMYFUNCTION("""COMPUTED_VALUE"""),"Leave")</f>
        <v>Leave</v>
      </c>
      <c r="N938" s="46" t="str">
        <f ca="1">IFERROR(__xludf.DUMMYFUNCTION("""COMPUTED_VALUE"""),"đủ")</f>
        <v>đủ</v>
      </c>
    </row>
    <row r="939" spans="1:14">
      <c r="A939" s="45">
        <f ca="1">IFERROR(__xludf.DUMMYFUNCTION("""COMPUTED_VALUE"""),45794.5833333333)</f>
        <v>45794.583333333299</v>
      </c>
      <c r="B939" s="45">
        <f ca="1">IFERROR(__xludf.DUMMYFUNCTION("""COMPUTED_VALUE"""),45862.5833333333)</f>
        <v>45862.583333333299</v>
      </c>
      <c r="C939" s="46">
        <f ca="1">IFERROR(__xludf.DUMMYFUNCTION("""COMPUTED_VALUE"""),940)</f>
        <v>940</v>
      </c>
      <c r="D939" s="47" t="str">
        <f ca="1">IFERROR(__xludf.DUMMYFUNCTION("""COMPUTED_VALUE"""),"C0712")</f>
        <v>C0712</v>
      </c>
      <c r="E939" s="46" t="str">
        <f ca="1">IFERROR(__xludf.DUMMYFUNCTION("""COMPUTED_VALUE"""),"TRẦN THỊ NGỌC HẠNH")</f>
        <v>TRẦN THỊ NGỌC HẠNH</v>
      </c>
      <c r="F939" s="46" t="str">
        <f ca="1">IFERROR(__xludf.DUMMYFUNCTION("""COMPUTED_VALUE"""),"TRAN THI NGOC HANH")</f>
        <v>TRAN THI NGOC HANH</v>
      </c>
      <c r="G939" s="45">
        <f ca="1">IFERROR(__xludf.DUMMYFUNCTION("""COMPUTED_VALUE"""),38653.5833333333)</f>
        <v>38653.583333333299</v>
      </c>
      <c r="H939" s="45" t="str">
        <f ca="1">IFERROR(__xludf.DUMMYFUNCTION("""COMPUTED_VALUE"""),"TLC")</f>
        <v>TLC</v>
      </c>
      <c r="I939" s="46" t="str">
        <f ca="1">IFERROR(__xludf.DUMMYFUNCTION("""COMPUTED_VALUE"""),"STORE")</f>
        <v>STORE</v>
      </c>
      <c r="J939" s="46" t="str">
        <f ca="1">IFERROR(__xludf.DUMMYFUNCTION("""COMPUTED_VALUE"""),"BAKES HCR")</f>
        <v>BAKES HCR</v>
      </c>
      <c r="K939" s="46" t="str">
        <f ca="1">IFERROR(__xludf.DUMMYFUNCTION("""COMPUTED_VALUE"""),"WAITSTAFF")</f>
        <v>WAITSTAFF</v>
      </c>
      <c r="L939" s="46" t="str">
        <f ca="1">IFERROR(__xludf.DUMMYFUNCTION("""COMPUTED_VALUE"""),"PTE")</f>
        <v>PTE</v>
      </c>
      <c r="M939" s="46" t="str">
        <f ca="1">IFERROR(__xludf.DUMMYFUNCTION("""COMPUTED_VALUE"""),"Leave")</f>
        <v>Leave</v>
      </c>
      <c r="N939" s="46" t="str">
        <f ca="1">IFERROR(__xludf.DUMMYFUNCTION("""COMPUTED_VALUE"""),"đủ")</f>
        <v>đủ</v>
      </c>
    </row>
    <row r="940" spans="1:14">
      <c r="A940" s="45">
        <f ca="1">IFERROR(__xludf.DUMMYFUNCTION("""COMPUTED_VALUE"""),45796.5833333333)</f>
        <v>45796.583333333299</v>
      </c>
      <c r="B940" s="45">
        <f ca="1">IFERROR(__xludf.DUMMYFUNCTION("""COMPUTED_VALUE"""),45870.5833333333)</f>
        <v>45870.583333333299</v>
      </c>
      <c r="C940" s="46">
        <f ca="1">IFERROR(__xludf.DUMMYFUNCTION("""COMPUTED_VALUE"""),941)</f>
        <v>941</v>
      </c>
      <c r="D940" s="47" t="str">
        <f ca="1">IFERROR(__xludf.DUMMYFUNCTION("""COMPUTED_VALUE"""),"C0713")</f>
        <v>C0713</v>
      </c>
      <c r="E940" s="46" t="str">
        <f ca="1">IFERROR(__xludf.DUMMYFUNCTION("""COMPUTED_VALUE"""),"INDIA MERHIB")</f>
        <v>INDIA MERHIB</v>
      </c>
      <c r="F940" s="46" t="str">
        <f ca="1">IFERROR(__xludf.DUMMYFUNCTION("""COMPUTED_VALUE"""),"INDIA MERHIB")</f>
        <v>INDIA MERHIB</v>
      </c>
      <c r="G940" s="45">
        <f ca="1">IFERROR(__xludf.DUMMYFUNCTION("""COMPUTED_VALUE"""),37894.5833333333)</f>
        <v>37894.583333333299</v>
      </c>
      <c r="H940" s="45" t="str">
        <f ca="1">IFERROR(__xludf.DUMMYFUNCTION("""COMPUTED_VALUE"""),"TLC")</f>
        <v>TLC</v>
      </c>
      <c r="I940" s="46" t="str">
        <f ca="1">IFERROR(__xludf.DUMMYFUNCTION("""COMPUTED_VALUE"""),"HO")</f>
        <v>HO</v>
      </c>
      <c r="J940" s="46" t="str">
        <f ca="1">IFERROR(__xludf.DUMMYFUNCTION("""COMPUTED_VALUE"""),"CE")</f>
        <v>CE</v>
      </c>
      <c r="K940" s="46" t="str">
        <f ca="1">IFERROR(__xludf.DUMMYFUNCTION("""COMPUTED_VALUE"""),"CE")</f>
        <v>CE</v>
      </c>
      <c r="L940" s="46" t="str">
        <f ca="1">IFERROR(__xludf.DUMMYFUNCTION("""COMPUTED_VALUE"""),"SER")</f>
        <v>SER</v>
      </c>
      <c r="M940" s="46" t="str">
        <f ca="1">IFERROR(__xludf.DUMMYFUNCTION("""COMPUTED_VALUE"""),"Leave")</f>
        <v>Leave</v>
      </c>
      <c r="N940" s="46" t="str">
        <f ca="1">IFERROR(__xludf.DUMMYFUNCTION("""COMPUTED_VALUE"""),"chua nop")</f>
        <v>chua nop</v>
      </c>
    </row>
    <row r="941" spans="1:14">
      <c r="A941" s="45">
        <f ca="1">IFERROR(__xludf.DUMMYFUNCTION("""COMPUTED_VALUE"""),45792.5833333333)</f>
        <v>45792.583333333299</v>
      </c>
      <c r="B941" s="45"/>
      <c r="C941" s="46">
        <f ca="1">IFERROR(__xludf.DUMMYFUNCTION("""COMPUTED_VALUE"""),942)</f>
        <v>942</v>
      </c>
      <c r="D941" s="47" t="str">
        <f ca="1">IFERROR(__xludf.DUMMYFUNCTION("""COMPUTED_VALUE"""),"C0714")</f>
        <v>C0714</v>
      </c>
      <c r="E941" s="46" t="str">
        <f ca="1">IFERROR(__xludf.DUMMYFUNCTION("""COMPUTED_VALUE"""),"LÊ THỊ KHÁNH HUYỀN")</f>
        <v>LÊ THỊ KHÁNH HUYỀN</v>
      </c>
      <c r="F941" s="46" t="str">
        <f ca="1">IFERROR(__xludf.DUMMYFUNCTION("""COMPUTED_VALUE"""),"LE THI KHANH HUYEN")</f>
        <v>LE THI KHANH HUYEN</v>
      </c>
      <c r="G941" s="45">
        <f ca="1">IFERROR(__xludf.DUMMYFUNCTION("""COMPUTED_VALUE"""),36436.5833333333)</f>
        <v>36436.583333333299</v>
      </c>
      <c r="H941" s="45" t="str">
        <f ca="1">IFERROR(__xludf.DUMMYFUNCTION("""COMPUTED_VALUE"""),"TLC")</f>
        <v>TLC</v>
      </c>
      <c r="I941" s="46" t="str">
        <f ca="1">IFERROR(__xludf.DUMMYFUNCTION("""COMPUTED_VALUE"""),"HO")</f>
        <v>HO</v>
      </c>
      <c r="J941" s="46" t="str">
        <f ca="1">IFERROR(__xludf.DUMMYFUNCTION("""COMPUTED_VALUE"""),"SAL")</f>
        <v>SAL</v>
      </c>
      <c r="K941" s="46" t="str">
        <f ca="1">IFERROR(__xludf.DUMMYFUNCTION("""COMPUTED_VALUE"""),"SAL")</f>
        <v>SAL</v>
      </c>
      <c r="L941" s="46" t="str">
        <f ca="1">IFERROR(__xludf.DUMMYFUNCTION("""COMPUTED_VALUE"""),"FTE")</f>
        <v>FTE</v>
      </c>
      <c r="M941" s="46" t="str">
        <f ca="1">IFERROR(__xludf.DUMMYFUNCTION("""COMPUTED_VALUE"""),"On")</f>
        <v>On</v>
      </c>
      <c r="N941" s="46" t="str">
        <f ca="1">IFERROR(__xludf.DUMMYFUNCTION("""COMPUTED_VALUE"""),"đủ")</f>
        <v>đủ</v>
      </c>
    </row>
    <row r="942" spans="1:14">
      <c r="A942" s="45">
        <f ca="1">IFERROR(__xludf.DUMMYFUNCTION("""COMPUTED_VALUE"""),45796.5833333333)</f>
        <v>45796.583333333299</v>
      </c>
      <c r="B942" s="45">
        <f ca="1">IFERROR(__xludf.DUMMYFUNCTION("""COMPUTED_VALUE"""),45800.5833333333)</f>
        <v>45800.583333333299</v>
      </c>
      <c r="C942" s="46">
        <f ca="1">IFERROR(__xludf.DUMMYFUNCTION("""COMPUTED_VALUE"""),943)</f>
        <v>943</v>
      </c>
      <c r="D942" s="47" t="str">
        <f ca="1">IFERROR(__xludf.DUMMYFUNCTION("""COMPUTED_VALUE"""),"C0715")</f>
        <v>C0715</v>
      </c>
      <c r="E942" s="46" t="str">
        <f ca="1">IFERROR(__xludf.DUMMYFUNCTION("""COMPUTED_VALUE"""),"NGUYỄN THANH HUYỀN")</f>
        <v>NGUYỄN THANH HUYỀN</v>
      </c>
      <c r="F942" s="46" t="str">
        <f ca="1">IFERROR(__xludf.DUMMYFUNCTION("""COMPUTED_VALUE"""),"NGUYEN THANH HUYEN")</f>
        <v>NGUYEN THANH HUYEN</v>
      </c>
      <c r="G942" s="45"/>
      <c r="H942" s="45" t="str">
        <f ca="1">IFERROR(__xludf.DUMMYFUNCTION("""COMPUTED_VALUE"""),"TLC")</f>
        <v>TLC</v>
      </c>
      <c r="I942" s="46" t="str">
        <f ca="1">IFERROR(__xludf.DUMMYFUNCTION("""COMPUTED_VALUE"""),"STORE")</f>
        <v>STORE</v>
      </c>
      <c r="J942" s="46" t="str">
        <f ca="1">IFERROR(__xludf.DUMMYFUNCTION("""COMPUTED_VALUE"""),"BAKES HCR")</f>
        <v>BAKES HCR</v>
      </c>
      <c r="K942" s="46" t="str">
        <f ca="1">IFERROR(__xludf.DUMMYFUNCTION("""COMPUTED_VALUE"""),"BAR")</f>
        <v>BAR</v>
      </c>
      <c r="L942" s="46" t="str">
        <f ca="1">IFERROR(__xludf.DUMMYFUNCTION("""COMPUTED_VALUE"""),"PRO")</f>
        <v>PRO</v>
      </c>
      <c r="M942" s="46" t="str">
        <f ca="1">IFERROR(__xludf.DUMMYFUNCTION("""COMPUTED_VALUE"""),"Leave")</f>
        <v>Leave</v>
      </c>
      <c r="N942" s="46" t="str">
        <f ca="1">IFERROR(__xludf.DUMMYFUNCTION("""COMPUTED_VALUE"""),"chua nop")</f>
        <v>chua nop</v>
      </c>
    </row>
    <row r="943" spans="1:14">
      <c r="A943" s="45">
        <f ca="1">IFERROR(__xludf.DUMMYFUNCTION("""COMPUTED_VALUE"""),45798.5833333333)</f>
        <v>45798.583333333299</v>
      </c>
      <c r="B943" s="45">
        <f ca="1">IFERROR(__xludf.DUMMYFUNCTION("""COMPUTED_VALUE"""),45819.5833333333)</f>
        <v>45819.583333333299</v>
      </c>
      <c r="C943" s="46">
        <f ca="1">IFERROR(__xludf.DUMMYFUNCTION("""COMPUTED_VALUE"""),944)</f>
        <v>944</v>
      </c>
      <c r="D943" s="47" t="str">
        <f ca="1">IFERROR(__xludf.DUMMYFUNCTION("""COMPUTED_VALUE"""),"C0716")</f>
        <v>C0716</v>
      </c>
      <c r="E943" s="46" t="str">
        <f ca="1">IFERROR(__xludf.DUMMYFUNCTION("""COMPUTED_VALUE"""),"TRẦN ĐẶNG BẢO KHA")</f>
        <v>TRẦN ĐẶNG BẢO KHA</v>
      </c>
      <c r="F943" s="46" t="str">
        <f ca="1">IFERROR(__xludf.DUMMYFUNCTION("""COMPUTED_VALUE"""),"TRAN DANG BAO KHA")</f>
        <v>TRAN DANG BAO KHA</v>
      </c>
      <c r="G943" s="45">
        <f ca="1">IFERROR(__xludf.DUMMYFUNCTION("""COMPUTED_VALUE"""),36588.625)</f>
        <v>36588.625</v>
      </c>
      <c r="H943" s="45" t="str">
        <f ca="1">IFERROR(__xludf.DUMMYFUNCTION("""COMPUTED_VALUE"""),"TLC")</f>
        <v>TLC</v>
      </c>
      <c r="I943" s="46" t="str">
        <f ca="1">IFERROR(__xludf.DUMMYFUNCTION("""COMPUTED_VALUE"""),"HO")</f>
        <v>HO</v>
      </c>
      <c r="J943" s="46" t="str">
        <f ca="1">IFERROR(__xludf.DUMMYFUNCTION("""COMPUTED_VALUE"""),"R&amp;D")</f>
        <v>R&amp;D</v>
      </c>
      <c r="K943" s="46" t="str">
        <f ca="1">IFERROR(__xludf.DUMMYFUNCTION("""COMPUTED_VALUE"""),"R&amp;D")</f>
        <v>R&amp;D</v>
      </c>
      <c r="L943" s="46" t="str">
        <f ca="1">IFERROR(__xludf.DUMMYFUNCTION("""COMPUTED_VALUE"""),"PRO")</f>
        <v>PRO</v>
      </c>
      <c r="M943" s="46" t="str">
        <f ca="1">IFERROR(__xludf.DUMMYFUNCTION("""COMPUTED_VALUE"""),"Leave")</f>
        <v>Leave</v>
      </c>
      <c r="N943" s="46" t="str">
        <f ca="1">IFERROR(__xludf.DUMMYFUNCTION("""COMPUTED_VALUE"""),"đủ")</f>
        <v>đủ</v>
      </c>
    </row>
    <row r="944" spans="1:14">
      <c r="A944" s="45">
        <f ca="1">IFERROR(__xludf.DUMMYFUNCTION("""COMPUTED_VALUE"""),45798.5833333333)</f>
        <v>45798.583333333299</v>
      </c>
      <c r="B944" s="45">
        <f ca="1">IFERROR(__xludf.DUMMYFUNCTION("""COMPUTED_VALUE"""),45870.5833333333)</f>
        <v>45870.583333333299</v>
      </c>
      <c r="C944" s="46">
        <f ca="1">IFERROR(__xludf.DUMMYFUNCTION("""COMPUTED_VALUE"""),945)</f>
        <v>945</v>
      </c>
      <c r="D944" s="47" t="str">
        <f ca="1">IFERROR(__xludf.DUMMYFUNCTION("""COMPUTED_VALUE"""),"C0717")</f>
        <v>C0717</v>
      </c>
      <c r="E944" s="46" t="str">
        <f ca="1">IFERROR(__xludf.DUMMYFUNCTION("""COMPUTED_VALUE"""),"LÊ TUẤN ANH")</f>
        <v>LÊ TUẤN ANH</v>
      </c>
      <c r="F944" s="46" t="str">
        <f ca="1">IFERROR(__xludf.DUMMYFUNCTION("""COMPUTED_VALUE"""),"LE TUAN ANH")</f>
        <v>LE TUAN ANH</v>
      </c>
      <c r="G944" s="45">
        <f ca="1">IFERROR(__xludf.DUMMYFUNCTION("""COMPUTED_VALUE"""),38887.5833333333)</f>
        <v>38887.583333333299</v>
      </c>
      <c r="H944" s="45" t="str">
        <f ca="1">IFERROR(__xludf.DUMMYFUNCTION("""COMPUTED_VALUE"""),"TLC")</f>
        <v>TLC</v>
      </c>
      <c r="I944" s="46" t="str">
        <f ca="1">IFERROR(__xludf.DUMMYFUNCTION("""COMPUTED_VALUE"""),"STORE")</f>
        <v>STORE</v>
      </c>
      <c r="J944" s="46" t="str">
        <f ca="1">IFERROR(__xludf.DUMMYFUNCTION("""COMPUTED_VALUE"""),"BAKES HCR")</f>
        <v>BAKES HCR</v>
      </c>
      <c r="K944" s="46" t="str">
        <f ca="1">IFERROR(__xludf.DUMMYFUNCTION("""COMPUTED_VALUE"""),"WAITSTAFF")</f>
        <v>WAITSTAFF</v>
      </c>
      <c r="L944" s="46" t="str">
        <f ca="1">IFERROR(__xludf.DUMMYFUNCTION("""COMPUTED_VALUE"""),"PTE")</f>
        <v>PTE</v>
      </c>
      <c r="M944" s="46" t="str">
        <f ca="1">IFERROR(__xludf.DUMMYFUNCTION("""COMPUTED_VALUE"""),"Leave")</f>
        <v>Leave</v>
      </c>
      <c r="N944" s="46" t="str">
        <f ca="1">IFERROR(__xludf.DUMMYFUNCTION("""COMPUTED_VALUE"""),"đủ")</f>
        <v>đủ</v>
      </c>
    </row>
    <row r="945" spans="1:14">
      <c r="A945" s="45">
        <f ca="1">IFERROR(__xludf.DUMMYFUNCTION("""COMPUTED_VALUE"""),45796.5833333333)</f>
        <v>45796.583333333299</v>
      </c>
      <c r="B945" s="45">
        <f ca="1">IFERROR(__xludf.DUMMYFUNCTION("""COMPUTED_VALUE"""),45866.5833333333)</f>
        <v>45866.583333333299</v>
      </c>
      <c r="C945" s="46">
        <f ca="1">IFERROR(__xludf.DUMMYFUNCTION("""COMPUTED_VALUE"""),946)</f>
        <v>946</v>
      </c>
      <c r="D945" s="47" t="str">
        <f ca="1">IFERROR(__xludf.DUMMYFUNCTION("""COMPUTED_VALUE"""),"C0718")</f>
        <v>C0718</v>
      </c>
      <c r="E945" s="46" t="str">
        <f ca="1">IFERROR(__xludf.DUMMYFUNCTION("""COMPUTED_VALUE"""),"VÕ ĐÌNH TRÍ")</f>
        <v>VÕ ĐÌNH TRÍ</v>
      </c>
      <c r="F945" s="46" t="str">
        <f ca="1">IFERROR(__xludf.DUMMYFUNCTION("""COMPUTED_VALUE"""),"VO DINH TRI")</f>
        <v>VO DINH TRI</v>
      </c>
      <c r="G945" s="45">
        <f ca="1">IFERROR(__xludf.DUMMYFUNCTION("""COMPUTED_VALUE"""),38133.5833333333)</f>
        <v>38133.583333333299</v>
      </c>
      <c r="H945" s="45" t="str">
        <f ca="1">IFERROR(__xludf.DUMMYFUNCTION("""COMPUTED_VALUE"""),"BAKES")</f>
        <v>BAKES</v>
      </c>
      <c r="I945" s="46" t="str">
        <f ca="1">IFERROR(__xludf.DUMMYFUNCTION("""COMPUTED_VALUE"""),"STORE")</f>
        <v>STORE</v>
      </c>
      <c r="J945" s="46" t="str">
        <f ca="1">IFERROR(__xludf.DUMMYFUNCTION("""COMPUTED_VALUE"""),"BAKES D9")</f>
        <v>BAKES D9</v>
      </c>
      <c r="K945" s="46" t="str">
        <f ca="1">IFERROR(__xludf.DUMMYFUNCTION("""COMPUTED_VALUE"""),"CASHIER")</f>
        <v>CASHIER</v>
      </c>
      <c r="L945" s="46" t="str">
        <f ca="1">IFERROR(__xludf.DUMMYFUNCTION("""COMPUTED_VALUE"""),"PTE")</f>
        <v>PTE</v>
      </c>
      <c r="M945" s="46" t="str">
        <f ca="1">IFERROR(__xludf.DUMMYFUNCTION("""COMPUTED_VALUE"""),"Leave")</f>
        <v>Leave</v>
      </c>
      <c r="N945" s="46" t="str">
        <f ca="1">IFERROR(__xludf.DUMMYFUNCTION("""COMPUTED_VALUE"""),"đủ")</f>
        <v>đủ</v>
      </c>
    </row>
    <row r="946" spans="1:14">
      <c r="A946" s="45">
        <f ca="1">IFERROR(__xludf.DUMMYFUNCTION("""COMPUTED_VALUE"""),45810.5833333333)</f>
        <v>45810.583333333299</v>
      </c>
      <c r="B946" s="45"/>
      <c r="C946" s="46">
        <f ca="1">IFERROR(__xludf.DUMMYFUNCTION("""COMPUTED_VALUE"""),947)</f>
        <v>947</v>
      </c>
      <c r="D946" s="47" t="str">
        <f ca="1">IFERROR(__xludf.DUMMYFUNCTION("""COMPUTED_VALUE"""),"C0719")</f>
        <v>C0719</v>
      </c>
      <c r="E946" s="46" t="str">
        <f ca="1">IFERROR(__xludf.DUMMYFUNCTION("""COMPUTED_VALUE"""),"TRẦN THỊ YẾN MY")</f>
        <v>TRẦN THỊ YẾN MY</v>
      </c>
      <c r="F946" s="46" t="str">
        <f ca="1">IFERROR(__xludf.DUMMYFUNCTION("""COMPUTED_VALUE"""),"TRAN THI YEN MY")</f>
        <v>TRAN THI YEN MY</v>
      </c>
      <c r="G946" s="45">
        <f ca="1">IFERROR(__xludf.DUMMYFUNCTION("""COMPUTED_VALUE"""),38609.5833333333)</f>
        <v>38609.583333333299</v>
      </c>
      <c r="H946" s="45" t="str">
        <f ca="1">IFERROR(__xludf.DUMMYFUNCTION("""COMPUTED_VALUE"""),"BAKES")</f>
        <v>BAKES</v>
      </c>
      <c r="I946" s="46" t="str">
        <f ca="1">IFERROR(__xludf.DUMMYFUNCTION("""COMPUTED_VALUE"""),"STORE")</f>
        <v>STORE</v>
      </c>
      <c r="J946" s="46" t="str">
        <f ca="1">IFERROR(__xludf.DUMMYFUNCTION("""COMPUTED_VALUE"""),"BAKES D7")</f>
        <v>BAKES D7</v>
      </c>
      <c r="K946" s="46" t="str">
        <f ca="1">IFERROR(__xludf.DUMMYFUNCTION("""COMPUTED_VALUE"""),"WAITSTAFF")</f>
        <v>WAITSTAFF</v>
      </c>
      <c r="L946" s="46" t="str">
        <f ca="1">IFERROR(__xludf.DUMMYFUNCTION("""COMPUTED_VALUE"""),"PTE")</f>
        <v>PTE</v>
      </c>
      <c r="M946" s="46" t="str">
        <f ca="1">IFERROR(__xludf.DUMMYFUNCTION("""COMPUTED_VALUE"""),"On")</f>
        <v>On</v>
      </c>
      <c r="N946" s="46" t="str">
        <f ca="1">IFERROR(__xludf.DUMMYFUNCTION("""COMPUTED_VALUE"""),"đủ")</f>
        <v>đủ</v>
      </c>
    </row>
    <row r="947" spans="1:14">
      <c r="A947" s="45">
        <f ca="1">IFERROR(__xludf.DUMMYFUNCTION("""COMPUTED_VALUE"""),45796.5833333333)</f>
        <v>45796.583333333299</v>
      </c>
      <c r="B947" s="45"/>
      <c r="C947" s="46">
        <f ca="1">IFERROR(__xludf.DUMMYFUNCTION("""COMPUTED_VALUE"""),948)</f>
        <v>948</v>
      </c>
      <c r="D947" s="47" t="str">
        <f ca="1">IFERROR(__xludf.DUMMYFUNCTION("""COMPUTED_VALUE"""),"C0720")</f>
        <v>C0720</v>
      </c>
      <c r="E947" s="46" t="str">
        <f ca="1">IFERROR(__xludf.DUMMYFUNCTION("""COMPUTED_VALUE"""),"ĐOÀN THỊ THU VÂN")</f>
        <v>ĐOÀN THỊ THU VÂN</v>
      </c>
      <c r="F947" s="46" t="str">
        <f ca="1">IFERROR(__xludf.DUMMYFUNCTION("""COMPUTED_VALUE"""),"DOAN THI THU VAN")</f>
        <v>DOAN THI THU VAN</v>
      </c>
      <c r="G947" s="45">
        <f ca="1">IFERROR(__xludf.DUMMYFUNCTION("""COMPUTED_VALUE"""),36486.625)</f>
        <v>36486.625</v>
      </c>
      <c r="H947" s="45" t="str">
        <f ca="1">IFERROR(__xludf.DUMMYFUNCTION("""COMPUTED_VALUE"""),"TLC")</f>
        <v>TLC</v>
      </c>
      <c r="I947" s="46" t="str">
        <f ca="1">IFERROR(__xludf.DUMMYFUNCTION("""COMPUTED_VALUE"""),"STORE")</f>
        <v>STORE</v>
      </c>
      <c r="J947" s="46" t="str">
        <f ca="1">IFERROR(__xludf.DUMMYFUNCTION("""COMPUTED_VALUE"""),"BLANK LOUNGE")</f>
        <v>BLANK LOUNGE</v>
      </c>
      <c r="K947" s="46" t="str">
        <f ca="1">IFERROR(__xludf.DUMMYFUNCTION("""COMPUTED_VALUE"""),"WAITSTAFF")</f>
        <v>WAITSTAFF</v>
      </c>
      <c r="L947" s="46" t="str">
        <f ca="1">IFERROR(__xludf.DUMMYFUNCTION("""COMPUTED_VALUE"""),"PTE")</f>
        <v>PTE</v>
      </c>
      <c r="M947" s="46" t="str">
        <f ca="1">IFERROR(__xludf.DUMMYFUNCTION("""COMPUTED_VALUE"""),"On")</f>
        <v>On</v>
      </c>
      <c r="N947" s="46" t="str">
        <f ca="1">IFERROR(__xludf.DUMMYFUNCTION("""COMPUTED_VALUE"""),"đủ")</f>
        <v>đủ</v>
      </c>
    </row>
    <row r="948" spans="1:14">
      <c r="A948" s="45">
        <f ca="1">IFERROR(__xludf.DUMMYFUNCTION("""COMPUTED_VALUE"""),45804.5833333333)</f>
        <v>45804.583333333299</v>
      </c>
      <c r="B948" s="45">
        <f ca="1">IFERROR(__xludf.DUMMYFUNCTION("""COMPUTED_VALUE"""),45891.5833333333)</f>
        <v>45891.583333333299</v>
      </c>
      <c r="C948" s="46">
        <f ca="1">IFERROR(__xludf.DUMMYFUNCTION("""COMPUTED_VALUE"""),949)</f>
        <v>949</v>
      </c>
      <c r="D948" s="47" t="str">
        <f ca="1">IFERROR(__xludf.DUMMYFUNCTION("""COMPUTED_VALUE"""),"C0721")</f>
        <v>C0721</v>
      </c>
      <c r="E948" s="46" t="str">
        <f ca="1">IFERROR(__xludf.DUMMYFUNCTION("""COMPUTED_VALUE"""),"PHÍ TẤN DU")</f>
        <v>PHÍ TẤN DU</v>
      </c>
      <c r="F948" s="46" t="str">
        <f ca="1">IFERROR(__xludf.DUMMYFUNCTION("""COMPUTED_VALUE"""),"PHI TAN DU")</f>
        <v>PHI TAN DU</v>
      </c>
      <c r="G948" s="45">
        <f ca="1">IFERROR(__xludf.DUMMYFUNCTION("""COMPUTED_VALUE"""),37047.5833333333)</f>
        <v>37047.583333333299</v>
      </c>
      <c r="H948" s="45" t="str">
        <f ca="1">IFERROR(__xludf.DUMMYFUNCTION("""COMPUTED_VALUE"""),"CREATIVE")</f>
        <v>CREATIVE</v>
      </c>
      <c r="I948" s="46" t="str">
        <f ca="1">IFERROR(__xludf.DUMMYFUNCTION("""COMPUTED_VALUE"""),"HO")</f>
        <v>HO</v>
      </c>
      <c r="J948" s="46" t="str">
        <f ca="1">IFERROR(__xludf.DUMMYFUNCTION("""COMPUTED_VALUE"""),"IAT")</f>
        <v>IAT</v>
      </c>
      <c r="K948" s="46" t="str">
        <f ca="1">IFERROR(__xludf.DUMMYFUNCTION("""COMPUTED_VALUE"""),"IAT")</f>
        <v>IAT</v>
      </c>
      <c r="L948" s="46" t="str">
        <f ca="1">IFERROR(__xludf.DUMMYFUNCTION("""COMPUTED_VALUE"""),"SER")</f>
        <v>SER</v>
      </c>
      <c r="M948" s="46" t="str">
        <f ca="1">IFERROR(__xludf.DUMMYFUNCTION("""COMPUTED_VALUE"""),"Leave")</f>
        <v>Leave</v>
      </c>
      <c r="N948" s="46" t="str">
        <f ca="1">IFERROR(__xludf.DUMMYFUNCTION("""COMPUTED_VALUE"""),"đủ")</f>
        <v>đủ</v>
      </c>
    </row>
    <row r="949" spans="1:14">
      <c r="A949" s="45">
        <f ca="1">IFERROR(__xludf.DUMMYFUNCTION("""COMPUTED_VALUE"""),45804.5833333333)</f>
        <v>45804.583333333299</v>
      </c>
      <c r="B949" s="45">
        <f ca="1">IFERROR(__xludf.DUMMYFUNCTION("""COMPUTED_VALUE"""),45990.625)</f>
        <v>45990.625</v>
      </c>
      <c r="C949" s="46">
        <f ca="1">IFERROR(__xludf.DUMMYFUNCTION("""COMPUTED_VALUE"""),950)</f>
        <v>950</v>
      </c>
      <c r="D949" s="47" t="str">
        <f ca="1">IFERROR(__xludf.DUMMYFUNCTION("""COMPUTED_VALUE"""),"C0722")</f>
        <v>C0722</v>
      </c>
      <c r="E949" s="46" t="str">
        <f ca="1">IFERROR(__xludf.DUMMYFUNCTION("""COMPUTED_VALUE"""),"TÔ BỬU TRỌNG")</f>
        <v>TÔ BỬU TRỌNG</v>
      </c>
      <c r="F949" s="46" t="str">
        <f ca="1">IFERROR(__xludf.DUMMYFUNCTION("""COMPUTED_VALUE"""),"TO BUU TRONG")</f>
        <v>TO BUU TRONG</v>
      </c>
      <c r="G949" s="45">
        <f ca="1">IFERROR(__xludf.DUMMYFUNCTION("""COMPUTED_VALUE"""),37160.5833333333)</f>
        <v>37160.583333333299</v>
      </c>
      <c r="H949" s="45" t="str">
        <f ca="1">IFERROR(__xludf.DUMMYFUNCTION("""COMPUTED_VALUE"""),"TLC")</f>
        <v>TLC</v>
      </c>
      <c r="I949" s="46" t="str">
        <f ca="1">IFERROR(__xludf.DUMMYFUNCTION("""COMPUTED_VALUE"""),"HO")</f>
        <v>HO</v>
      </c>
      <c r="J949" s="46" t="str">
        <f ca="1">IFERROR(__xludf.DUMMYFUNCTION("""COMPUTED_VALUE"""),"SAL")</f>
        <v>SAL</v>
      </c>
      <c r="K949" s="46" t="str">
        <f ca="1">IFERROR(__xludf.DUMMYFUNCTION("""COMPUTED_VALUE"""),"SAL")</f>
        <v>SAL</v>
      </c>
      <c r="L949" s="46" t="str">
        <f ca="1">IFERROR(__xludf.DUMMYFUNCTION("""COMPUTED_VALUE"""),"SER")</f>
        <v>SER</v>
      </c>
      <c r="M949" s="46" t="str">
        <f ca="1">IFERROR(__xludf.DUMMYFUNCTION("""COMPUTED_VALUE"""),"Leave")</f>
        <v>Leave</v>
      </c>
      <c r="N949" s="46" t="str">
        <f ca="1">IFERROR(__xludf.DUMMYFUNCTION("""COMPUTED_VALUE"""),"đủ")</f>
        <v>đủ</v>
      </c>
    </row>
    <row r="950" spans="1:14">
      <c r="A950" s="45">
        <f ca="1">IFERROR(__xludf.DUMMYFUNCTION("""COMPUTED_VALUE"""),45775.5833333333)</f>
        <v>45775.583333333299</v>
      </c>
      <c r="B950" s="45">
        <f ca="1">IFERROR(__xludf.DUMMYFUNCTION("""COMPUTED_VALUE"""),45776.5833333333)</f>
        <v>45776.583333333299</v>
      </c>
      <c r="C950" s="46">
        <f ca="1">IFERROR(__xludf.DUMMYFUNCTION("""COMPUTED_VALUE"""),951)</f>
        <v>951</v>
      </c>
      <c r="D950" s="47" t="str">
        <f ca="1">IFERROR(__xludf.DUMMYFUNCTION("""COMPUTED_VALUE"""),"C0723")</f>
        <v>C0723</v>
      </c>
      <c r="E950" s="46" t="str">
        <f ca="1">IFERROR(__xludf.DUMMYFUNCTION("""COMPUTED_VALUE"""),"MẠNH HÀO TƯỜNG")</f>
        <v>MẠNH HÀO TƯỜNG</v>
      </c>
      <c r="F950" s="46" t="str">
        <f ca="1">IFERROR(__xludf.DUMMYFUNCTION("""COMPUTED_VALUE"""),"MANH HAO TUONG")</f>
        <v>MANH HAO TUONG</v>
      </c>
      <c r="G950" s="45"/>
      <c r="H950" s="45" t="str">
        <f ca="1">IFERROR(__xludf.DUMMYFUNCTION("""COMPUTED_VALUE"""),"MATTE")</f>
        <v>MATTE</v>
      </c>
      <c r="I950" s="46" t="str">
        <f ca="1">IFERROR(__xludf.DUMMYFUNCTION("""COMPUTED_VALUE"""),"STORE")</f>
        <v>STORE</v>
      </c>
      <c r="J950" s="46" t="str">
        <f ca="1">IFERROR(__xludf.DUMMYFUNCTION("""COMPUTED_VALUE"""),"MATTE D3")</f>
        <v>MATTE D3</v>
      </c>
      <c r="K950" s="46" t="str">
        <f ca="1">IFERROR(__xludf.DUMMYFUNCTION("""COMPUTED_VALUE"""),"BAR")</f>
        <v>BAR</v>
      </c>
      <c r="L950" s="46" t="str">
        <f ca="1">IFERROR(__xludf.DUMMYFUNCTION("""COMPUTED_VALUE"""),"PRO")</f>
        <v>PRO</v>
      </c>
      <c r="M950" s="46" t="str">
        <f ca="1">IFERROR(__xludf.DUMMYFUNCTION("""COMPUTED_VALUE"""),"Leave")</f>
        <v>Leave</v>
      </c>
      <c r="N950" s="46" t="str">
        <f ca="1">IFERROR(__xludf.DUMMYFUNCTION("""COMPUTED_VALUE"""),"chua nop")</f>
        <v>chua nop</v>
      </c>
    </row>
    <row r="951" spans="1:14">
      <c r="A951" s="45">
        <f ca="1">IFERROR(__xludf.DUMMYFUNCTION("""COMPUTED_VALUE"""),45800.5833333333)</f>
        <v>45800.583333333299</v>
      </c>
      <c r="B951" s="45">
        <f ca="1">IFERROR(__xludf.DUMMYFUNCTION("""COMPUTED_VALUE"""),45801.5833333333)</f>
        <v>45801.583333333299</v>
      </c>
      <c r="C951" s="46">
        <f ca="1">IFERROR(__xludf.DUMMYFUNCTION("""COMPUTED_VALUE"""),952)</f>
        <v>952</v>
      </c>
      <c r="D951" s="47" t="str">
        <f ca="1">IFERROR(__xludf.DUMMYFUNCTION("""COMPUTED_VALUE"""),"C0724")</f>
        <v>C0724</v>
      </c>
      <c r="E951" s="46" t="str">
        <f ca="1">IFERROR(__xludf.DUMMYFUNCTION("""COMPUTED_VALUE"""),"PHẠM QUỐC ANH")</f>
        <v>PHẠM QUỐC ANH</v>
      </c>
      <c r="F951" s="46" t="str">
        <f ca="1">IFERROR(__xludf.DUMMYFUNCTION("""COMPUTED_VALUE"""),"PHAM QUOC ANH")</f>
        <v>PHAM QUOC ANH</v>
      </c>
      <c r="G951" s="45">
        <f ca="1">IFERROR(__xludf.DUMMYFUNCTION("""COMPUTED_VALUE"""),37502.5833333333)</f>
        <v>37502.583333333299</v>
      </c>
      <c r="H951" s="45" t="str">
        <f ca="1">IFERROR(__xludf.DUMMYFUNCTION("""COMPUTED_VALUE"""),"KITCHEN PASTRY")</f>
        <v>KITCHEN PASTRY</v>
      </c>
      <c r="I951" s="46" t="str">
        <f ca="1">IFERROR(__xludf.DUMMYFUNCTION("""COMPUTED_VALUE"""),"KITCHEN PASTRY")</f>
        <v>KITCHEN PASTRY</v>
      </c>
      <c r="J951" s="46" t="str">
        <f ca="1">IFERROR(__xludf.DUMMYFUNCTION("""COMPUTED_VALUE"""),"KITCHEN PASTRY")</f>
        <v>KITCHEN PASTRY</v>
      </c>
      <c r="K951" s="46" t="str">
        <f ca="1">IFERROR(__xludf.DUMMYFUNCTION("""COMPUTED_VALUE"""),"PASTRY")</f>
        <v>PASTRY</v>
      </c>
      <c r="L951" s="46" t="str">
        <f ca="1">IFERROR(__xludf.DUMMYFUNCTION("""COMPUTED_VALUE"""),"PRO")</f>
        <v>PRO</v>
      </c>
      <c r="M951" s="46" t="str">
        <f ca="1">IFERROR(__xludf.DUMMYFUNCTION("""COMPUTED_VALUE"""),"Leave")</f>
        <v>Leave</v>
      </c>
      <c r="N951" s="46" t="str">
        <f ca="1">IFERROR(__xludf.DUMMYFUNCTION("""COMPUTED_VALUE"""),"chua nop")</f>
        <v>chua nop</v>
      </c>
    </row>
    <row r="952" spans="1:14">
      <c r="A952" s="45">
        <f ca="1">IFERROR(__xludf.DUMMYFUNCTION("""COMPUTED_VALUE"""),45803.5833333333)</f>
        <v>45803.583333333299</v>
      </c>
      <c r="B952" s="45"/>
      <c r="C952" s="46">
        <f ca="1">IFERROR(__xludf.DUMMYFUNCTION("""COMPUTED_VALUE"""),953)</f>
        <v>953</v>
      </c>
      <c r="D952" s="47" t="str">
        <f ca="1">IFERROR(__xludf.DUMMYFUNCTION("""COMPUTED_VALUE"""),"C0725")</f>
        <v>C0725</v>
      </c>
      <c r="E952" s="46" t="str">
        <f ca="1">IFERROR(__xludf.DUMMYFUNCTION("""COMPUTED_VALUE"""),"NGUYỄN NGỌC HIẾU")</f>
        <v>NGUYỄN NGỌC HIẾU</v>
      </c>
      <c r="F952" s="46" t="str">
        <f ca="1">IFERROR(__xludf.DUMMYFUNCTION("""COMPUTED_VALUE"""),"NGUYEN NGOC HIEU")</f>
        <v>NGUYEN NGOC HIEU</v>
      </c>
      <c r="G952" s="45">
        <f ca="1">IFERROR(__xludf.DUMMYFUNCTION("""COMPUTED_VALUE"""),39269.5833333333)</f>
        <v>39269.583333333299</v>
      </c>
      <c r="H952" s="45" t="str">
        <f ca="1">IFERROR(__xludf.DUMMYFUNCTION("""COMPUTED_VALUE"""),"KITCHEN PASTRY")</f>
        <v>KITCHEN PASTRY</v>
      </c>
      <c r="I952" s="46" t="str">
        <f ca="1">IFERROR(__xludf.DUMMYFUNCTION("""COMPUTED_VALUE"""),"KITCHEN PASTRY")</f>
        <v>KITCHEN PASTRY</v>
      </c>
      <c r="J952" s="46" t="str">
        <f ca="1">IFERROR(__xludf.DUMMYFUNCTION("""COMPUTED_VALUE"""),"KITCHEN PASTRY")</f>
        <v>KITCHEN PASTRY</v>
      </c>
      <c r="K952" s="46" t="str">
        <f ca="1">IFERROR(__xludf.DUMMYFUNCTION("""COMPUTED_VALUE"""),"BAKER")</f>
        <v>BAKER</v>
      </c>
      <c r="L952" s="46" t="str">
        <f ca="1">IFERROR(__xludf.DUMMYFUNCTION("""COMPUTED_VALUE"""),"FTE")</f>
        <v>FTE</v>
      </c>
      <c r="M952" s="46" t="str">
        <f ca="1">IFERROR(__xludf.DUMMYFUNCTION("""COMPUTED_VALUE"""),"On")</f>
        <v>On</v>
      </c>
      <c r="N952" s="46" t="str">
        <f ca="1">IFERROR(__xludf.DUMMYFUNCTION("""COMPUTED_VALUE"""),"đủ")</f>
        <v>đủ</v>
      </c>
    </row>
    <row r="953" spans="1:14">
      <c r="A953" s="45">
        <f ca="1">IFERROR(__xludf.DUMMYFUNCTION("""COMPUTED_VALUE"""),45803.5833333333)</f>
        <v>45803.583333333299</v>
      </c>
      <c r="B953" s="45">
        <f ca="1">IFERROR(__xludf.DUMMYFUNCTION("""COMPUTED_VALUE"""),45936.5833333333)</f>
        <v>45936.583333333299</v>
      </c>
      <c r="C953" s="46">
        <f ca="1">IFERROR(__xludf.DUMMYFUNCTION("""COMPUTED_VALUE"""),954)</f>
        <v>954</v>
      </c>
      <c r="D953" s="47" t="str">
        <f ca="1">IFERROR(__xludf.DUMMYFUNCTION("""COMPUTED_VALUE"""),"C0726")</f>
        <v>C0726</v>
      </c>
      <c r="E953" s="46" t="str">
        <f ca="1">IFERROR(__xludf.DUMMYFUNCTION("""COMPUTED_VALUE"""),"TRẦN ANH DŨNG")</f>
        <v>TRẦN ANH DŨNG</v>
      </c>
      <c r="F953" s="46" t="str">
        <f ca="1">IFERROR(__xludf.DUMMYFUNCTION("""COMPUTED_VALUE"""),"TRAN ANH DUNG")</f>
        <v>TRAN ANH DUNG</v>
      </c>
      <c r="G953" s="45">
        <f ca="1">IFERROR(__xludf.DUMMYFUNCTION("""COMPUTED_VALUE"""),37840.5833333333)</f>
        <v>37840.583333333299</v>
      </c>
      <c r="H953" s="45" t="str">
        <f ca="1">IFERROR(__xludf.DUMMYFUNCTION("""COMPUTED_VALUE"""),"KITCHEN PASTRY")</f>
        <v>KITCHEN PASTRY</v>
      </c>
      <c r="I953" s="46" t="str">
        <f ca="1">IFERROR(__xludf.DUMMYFUNCTION("""COMPUTED_VALUE"""),"KITCHEN PASTRY")</f>
        <v>KITCHEN PASTRY</v>
      </c>
      <c r="J953" s="46" t="str">
        <f ca="1">IFERROR(__xludf.DUMMYFUNCTION("""COMPUTED_VALUE"""),"KITCHEN PASTRY")</f>
        <v>KITCHEN PASTRY</v>
      </c>
      <c r="K953" s="46" t="str">
        <f ca="1">IFERROR(__xludf.DUMMYFUNCTION("""COMPUTED_VALUE"""),"BAKER")</f>
        <v>BAKER</v>
      </c>
      <c r="L953" s="46" t="str">
        <f ca="1">IFERROR(__xludf.DUMMYFUNCTION("""COMPUTED_VALUE"""),"PTE")</f>
        <v>PTE</v>
      </c>
      <c r="M953" s="46" t="str">
        <f ca="1">IFERROR(__xludf.DUMMYFUNCTION("""COMPUTED_VALUE"""),"Leave")</f>
        <v>Leave</v>
      </c>
      <c r="N953" s="46" t="str">
        <f ca="1">IFERROR(__xludf.DUMMYFUNCTION("""COMPUTED_VALUE"""),"đủ")</f>
        <v>đủ</v>
      </c>
    </row>
    <row r="954" spans="1:14">
      <c r="A954" s="45">
        <f ca="1">IFERROR(__xludf.DUMMYFUNCTION("""COMPUTED_VALUE"""),45803.5833333333)</f>
        <v>45803.583333333299</v>
      </c>
      <c r="B954" s="45">
        <f ca="1">IFERROR(__xludf.DUMMYFUNCTION("""COMPUTED_VALUE"""),45859.5833333333)</f>
        <v>45859.583333333299</v>
      </c>
      <c r="C954" s="46">
        <f ca="1">IFERROR(__xludf.DUMMYFUNCTION("""COMPUTED_VALUE"""),955)</f>
        <v>955</v>
      </c>
      <c r="D954" s="47" t="str">
        <f ca="1">IFERROR(__xludf.DUMMYFUNCTION("""COMPUTED_VALUE"""),"C0727")</f>
        <v>C0727</v>
      </c>
      <c r="E954" s="46" t="str">
        <f ca="1">IFERROR(__xludf.DUMMYFUNCTION("""COMPUTED_VALUE"""),"NGUYỄN THỊ Ý NHƯ")</f>
        <v>NGUYỄN THỊ Ý NHƯ</v>
      </c>
      <c r="F954" s="46" t="str">
        <f ca="1">IFERROR(__xludf.DUMMYFUNCTION("""COMPUTED_VALUE"""),"NGUYEN THI Y NHU")</f>
        <v>NGUYEN THI Y NHU</v>
      </c>
      <c r="G954" s="45">
        <f ca="1">IFERROR(__xludf.DUMMYFUNCTION("""COMPUTED_VALUE"""),38320.625)</f>
        <v>38320.625</v>
      </c>
      <c r="H954" s="45" t="str">
        <f ca="1">IFERROR(__xludf.DUMMYFUNCTION("""COMPUTED_VALUE"""),"BAKES")</f>
        <v>BAKES</v>
      </c>
      <c r="I954" s="46" t="str">
        <f ca="1">IFERROR(__xludf.DUMMYFUNCTION("""COMPUTED_VALUE"""),"STORE")</f>
        <v>STORE</v>
      </c>
      <c r="J954" s="46" t="str">
        <f ca="1">IFERROR(__xludf.DUMMYFUNCTION("""COMPUTED_VALUE"""),"BAKES D9")</f>
        <v>BAKES D9</v>
      </c>
      <c r="K954" s="46" t="str">
        <f ca="1">IFERROR(__xludf.DUMMYFUNCTION("""COMPUTED_VALUE"""),"WAITSTAFF")</f>
        <v>WAITSTAFF</v>
      </c>
      <c r="L954" s="46" t="str">
        <f ca="1">IFERROR(__xludf.DUMMYFUNCTION("""COMPUTED_VALUE"""),"PTE")</f>
        <v>PTE</v>
      </c>
      <c r="M954" s="46" t="str">
        <f ca="1">IFERROR(__xludf.DUMMYFUNCTION("""COMPUTED_VALUE"""),"Leave")</f>
        <v>Leave</v>
      </c>
      <c r="N954" s="46" t="str">
        <f ca="1">IFERROR(__xludf.DUMMYFUNCTION("""COMPUTED_VALUE"""),"đủ")</f>
        <v>đủ</v>
      </c>
    </row>
    <row r="955" spans="1:14">
      <c r="A955" s="45">
        <f ca="1">IFERROR(__xludf.DUMMYFUNCTION("""COMPUTED_VALUE"""),45800.5833333333)</f>
        <v>45800.583333333299</v>
      </c>
      <c r="B955" s="45"/>
      <c r="C955" s="46">
        <f ca="1">IFERROR(__xludf.DUMMYFUNCTION("""COMPUTED_VALUE"""),956)</f>
        <v>956</v>
      </c>
      <c r="D955" s="47" t="str">
        <f ca="1">IFERROR(__xludf.DUMMYFUNCTION("""COMPUTED_VALUE"""),"C0728")</f>
        <v>C0728</v>
      </c>
      <c r="E955" s="46" t="str">
        <f ca="1">IFERROR(__xludf.DUMMYFUNCTION("""COMPUTED_VALUE"""),"NGUYỄN THANH NGÂN")</f>
        <v>NGUYỄN THANH NGÂN</v>
      </c>
      <c r="F955" s="46" t="str">
        <f ca="1">IFERROR(__xludf.DUMMYFUNCTION("""COMPUTED_VALUE"""),"NGUYEN THANH NGAN")</f>
        <v>NGUYEN THANH NGAN</v>
      </c>
      <c r="G955" s="45">
        <f ca="1">IFERROR(__xludf.DUMMYFUNCTION("""COMPUTED_VALUE"""),36776.5833333333)</f>
        <v>36776.583333333299</v>
      </c>
      <c r="H955" s="45" t="str">
        <f ca="1">IFERROR(__xludf.DUMMYFUNCTION("""COMPUTED_VALUE"""),"YESHI")</f>
        <v>YESHI</v>
      </c>
      <c r="I955" s="46" t="str">
        <f ca="1">IFERROR(__xludf.DUMMYFUNCTION("""COMPUTED_VALUE"""),"STORE")</f>
        <v>STORE</v>
      </c>
      <c r="J955" s="46" t="str">
        <f ca="1">IFERROR(__xludf.DUMMYFUNCTION("""COMPUTED_VALUE"""),"YESHI D3")</f>
        <v>YESHI D3</v>
      </c>
      <c r="K955" s="46" t="str">
        <f ca="1">IFERROR(__xludf.DUMMYFUNCTION("""COMPUTED_VALUE"""),"Management team")</f>
        <v>Management team</v>
      </c>
      <c r="L955" s="46" t="str">
        <f ca="1">IFERROR(__xludf.DUMMYFUNCTION("""COMPUTED_VALUE"""),"FTE")</f>
        <v>FTE</v>
      </c>
      <c r="M955" s="46" t="str">
        <f ca="1">IFERROR(__xludf.DUMMYFUNCTION("""COMPUTED_VALUE"""),"On")</f>
        <v>On</v>
      </c>
      <c r="N955" s="46" t="str">
        <f ca="1">IFERROR(__xludf.DUMMYFUNCTION("""COMPUTED_VALUE"""),"đủ")</f>
        <v>đủ</v>
      </c>
    </row>
    <row r="956" spans="1:14">
      <c r="A956" s="45">
        <f ca="1">IFERROR(__xludf.DUMMYFUNCTION("""COMPUTED_VALUE"""),45803.5833333333)</f>
        <v>45803.583333333299</v>
      </c>
      <c r="B956" s="45">
        <f ca="1">IFERROR(__xludf.DUMMYFUNCTION("""COMPUTED_VALUE"""),45962.5833333333)</f>
        <v>45962.583333333299</v>
      </c>
      <c r="C956" s="46">
        <f ca="1">IFERROR(__xludf.DUMMYFUNCTION("""COMPUTED_VALUE"""),957)</f>
        <v>957</v>
      </c>
      <c r="D956" s="47" t="str">
        <f ca="1">IFERROR(__xludf.DUMMYFUNCTION("""COMPUTED_VALUE"""),"C0729")</f>
        <v>C0729</v>
      </c>
      <c r="E956" s="46" t="str">
        <f ca="1">IFERROR(__xludf.DUMMYFUNCTION("""COMPUTED_VALUE"""),"PHẠM NGỌC NHI")</f>
        <v>PHẠM NGỌC NHI</v>
      </c>
      <c r="F956" s="46" t="str">
        <f ca="1">IFERROR(__xludf.DUMMYFUNCTION("""COMPUTED_VALUE"""),"PHAM NGOC NHI")</f>
        <v>PHAM NGOC NHI</v>
      </c>
      <c r="G956" s="45">
        <f ca="1">IFERROR(__xludf.DUMMYFUNCTION("""COMPUTED_VALUE"""),37954.625)</f>
        <v>37954.625</v>
      </c>
      <c r="H956" s="45" t="str">
        <f ca="1">IFERROR(__xludf.DUMMYFUNCTION("""COMPUTED_VALUE"""),"BAKES")</f>
        <v>BAKES</v>
      </c>
      <c r="I956" s="46" t="str">
        <f ca="1">IFERROR(__xludf.DUMMYFUNCTION("""COMPUTED_VALUE"""),"STORE")</f>
        <v>STORE</v>
      </c>
      <c r="J956" s="46" t="str">
        <f ca="1">IFERROR(__xludf.DUMMYFUNCTION("""COMPUTED_VALUE"""),"BAKES HCR")</f>
        <v>BAKES HCR</v>
      </c>
      <c r="K956" s="46" t="str">
        <f ca="1">IFERROR(__xludf.DUMMYFUNCTION("""COMPUTED_VALUE"""),"CASHIER")</f>
        <v>CASHIER</v>
      </c>
      <c r="L956" s="46" t="str">
        <f ca="1">IFERROR(__xludf.DUMMYFUNCTION("""COMPUTED_VALUE"""),"PTE")</f>
        <v>PTE</v>
      </c>
      <c r="M956" s="46" t="str">
        <f ca="1">IFERROR(__xludf.DUMMYFUNCTION("""COMPUTED_VALUE"""),"Leave")</f>
        <v>Leave</v>
      </c>
      <c r="N956" s="46" t="str">
        <f ca="1">IFERROR(__xludf.DUMMYFUNCTION("""COMPUTED_VALUE"""),"đủ")</f>
        <v>đủ</v>
      </c>
    </row>
    <row r="957" spans="1:14">
      <c r="A957" s="45">
        <f ca="1">IFERROR(__xludf.DUMMYFUNCTION("""COMPUTED_VALUE"""),45804.5833333333)</f>
        <v>45804.583333333299</v>
      </c>
      <c r="B957" s="45">
        <f ca="1">IFERROR(__xludf.DUMMYFUNCTION("""COMPUTED_VALUE"""),45898.5833333333)</f>
        <v>45898.583333333299</v>
      </c>
      <c r="C957" s="46">
        <f ca="1">IFERROR(__xludf.DUMMYFUNCTION("""COMPUTED_VALUE"""),958)</f>
        <v>958</v>
      </c>
      <c r="D957" s="47" t="str">
        <f ca="1">IFERROR(__xludf.DUMMYFUNCTION("""COMPUTED_VALUE"""),"C0730")</f>
        <v>C0730</v>
      </c>
      <c r="E957" s="46" t="str">
        <f ca="1">IFERROR(__xludf.DUMMYFUNCTION("""COMPUTED_VALUE"""),"MAI NHẬT ĐOAN TRANG")</f>
        <v>MAI NHẬT ĐOAN TRANG</v>
      </c>
      <c r="F957" s="46" t="str">
        <f ca="1">IFERROR(__xludf.DUMMYFUNCTION("""COMPUTED_VALUE"""),"MAI NHAT DOAN TRANG")</f>
        <v>MAI NHAT DOAN TRANG</v>
      </c>
      <c r="G957" s="45">
        <f ca="1">IFERROR(__xludf.DUMMYFUNCTION("""COMPUTED_VALUE"""),37249.625)</f>
        <v>37249.625</v>
      </c>
      <c r="H957" s="45" t="str">
        <f ca="1">IFERROR(__xludf.DUMMYFUNCTION("""COMPUTED_VALUE"""),"CREATIVE")</f>
        <v>CREATIVE</v>
      </c>
      <c r="I957" s="46" t="str">
        <f ca="1">IFERROR(__xludf.DUMMYFUNCTION("""COMPUTED_VALUE"""),"HO")</f>
        <v>HO</v>
      </c>
      <c r="J957" s="46" t="str">
        <f ca="1">IFERROR(__xludf.DUMMYFUNCTION("""COMPUTED_VALUE"""),"IAT")</f>
        <v>IAT</v>
      </c>
      <c r="K957" s="46" t="str">
        <f ca="1">IFERROR(__xludf.DUMMYFUNCTION("""COMPUTED_VALUE"""),"IAT")</f>
        <v>IAT</v>
      </c>
      <c r="L957" s="46" t="str">
        <f ca="1">IFERROR(__xludf.DUMMYFUNCTION("""COMPUTED_VALUE"""),"SER")</f>
        <v>SER</v>
      </c>
      <c r="M957" s="46" t="str">
        <f ca="1">IFERROR(__xludf.DUMMYFUNCTION("""COMPUTED_VALUE"""),"Leave")</f>
        <v>Leave</v>
      </c>
      <c r="N957" s="46" t="str">
        <f ca="1">IFERROR(__xludf.DUMMYFUNCTION("""COMPUTED_VALUE"""),"đủ")</f>
        <v>đủ</v>
      </c>
    </row>
    <row r="958" spans="1:14">
      <c r="A958" s="45">
        <f ca="1">IFERROR(__xludf.DUMMYFUNCTION("""COMPUTED_VALUE"""),45816.5833333333)</f>
        <v>45816.583333333299</v>
      </c>
      <c r="B958" s="45">
        <f ca="1">IFERROR(__xludf.DUMMYFUNCTION("""COMPUTED_VALUE"""),46110.5833333333)</f>
        <v>46110.583333333299</v>
      </c>
      <c r="C958" s="46">
        <f ca="1">IFERROR(__xludf.DUMMYFUNCTION("""COMPUTED_VALUE"""),959)</f>
        <v>959</v>
      </c>
      <c r="D958" s="47" t="str">
        <f ca="1">IFERROR(__xludf.DUMMYFUNCTION("""COMPUTED_VALUE"""),"C0731")</f>
        <v>C0731</v>
      </c>
      <c r="E958" s="46" t="str">
        <f ca="1">IFERROR(__xludf.DUMMYFUNCTION("""COMPUTED_VALUE"""),"PHẠM NGUYỄN HOÀNG THY")</f>
        <v>PHẠM NGUYỄN HOÀNG THY</v>
      </c>
      <c r="F958" s="46" t="str">
        <f ca="1">IFERROR(__xludf.DUMMYFUNCTION("""COMPUTED_VALUE"""),"PHAM NGUYEN HOANG THY")</f>
        <v>PHAM NGUYEN HOANG THY</v>
      </c>
      <c r="G958" s="45">
        <f ca="1">IFERROR(__xludf.DUMMYFUNCTION("""COMPUTED_VALUE"""),35740.625)</f>
        <v>35740.625</v>
      </c>
      <c r="H958" s="45" t="str">
        <f ca="1">IFERROR(__xludf.DUMMYFUNCTION("""COMPUTED_VALUE"""),"KITCHEN PASTRY")</f>
        <v>KITCHEN PASTRY</v>
      </c>
      <c r="I958" s="46" t="str">
        <f ca="1">IFERROR(__xludf.DUMMYFUNCTION("""COMPUTED_VALUE"""),"KITCHEN PASTRY")</f>
        <v>KITCHEN PASTRY</v>
      </c>
      <c r="J958" s="46" t="str">
        <f ca="1">IFERROR(__xludf.DUMMYFUNCTION("""COMPUTED_VALUE"""),"KITCHEN PASTRY")</f>
        <v>KITCHEN PASTRY</v>
      </c>
      <c r="K958" s="46" t="str">
        <f ca="1">IFERROR(__xludf.DUMMYFUNCTION("""COMPUTED_VALUE"""),"PASTRY")</f>
        <v>PASTRY</v>
      </c>
      <c r="L958" s="46" t="str">
        <f ca="1">IFERROR(__xludf.DUMMYFUNCTION("""COMPUTED_VALUE"""),"FTE")</f>
        <v>FTE</v>
      </c>
      <c r="M958" s="46" t="str">
        <f ca="1">IFERROR(__xludf.DUMMYFUNCTION("""COMPUTED_VALUE"""),"Leave")</f>
        <v>Leave</v>
      </c>
      <c r="N958" s="46" t="str">
        <f ca="1">IFERROR(__xludf.DUMMYFUNCTION("""COMPUTED_VALUE"""),"đủ")</f>
        <v>đủ</v>
      </c>
    </row>
    <row r="959" spans="1:14">
      <c r="A959" s="45">
        <f ca="1">IFERROR(__xludf.DUMMYFUNCTION("""COMPUTED_VALUE"""),45812.5833333333)</f>
        <v>45812.583333333299</v>
      </c>
      <c r="B959" s="45"/>
      <c r="C959" s="46">
        <f ca="1">IFERROR(__xludf.DUMMYFUNCTION("""COMPUTED_VALUE"""),960)</f>
        <v>960</v>
      </c>
      <c r="D959" s="47" t="str">
        <f ca="1">IFERROR(__xludf.DUMMYFUNCTION("""COMPUTED_VALUE"""),"C0732")</f>
        <v>C0732</v>
      </c>
      <c r="E959" s="46" t="str">
        <f ca="1">IFERROR(__xludf.DUMMYFUNCTION("""COMPUTED_VALUE"""),"TRẦN NGUYỄN XUÂN LỘC")</f>
        <v>TRẦN NGUYỄN XUÂN LỘC</v>
      </c>
      <c r="F959" s="46" t="str">
        <f ca="1">IFERROR(__xludf.DUMMYFUNCTION("""COMPUTED_VALUE"""),"TRAN NGUYEN XUAN LOC")</f>
        <v>TRAN NGUYEN XUAN LOC</v>
      </c>
      <c r="G959" s="45">
        <f ca="1">IFERROR(__xludf.DUMMYFUNCTION("""COMPUTED_VALUE"""),36454.5833333333)</f>
        <v>36454.583333333299</v>
      </c>
      <c r="H959" s="45" t="str">
        <f ca="1">IFERROR(__xludf.DUMMYFUNCTION("""COMPUTED_VALUE"""),"BAKES")</f>
        <v>BAKES</v>
      </c>
      <c r="I959" s="46" t="str">
        <f ca="1">IFERROR(__xludf.DUMMYFUNCTION("""COMPUTED_VALUE"""),"STORE")</f>
        <v>STORE</v>
      </c>
      <c r="J959" s="46" t="str">
        <f ca="1">IFERROR(__xludf.DUMMYFUNCTION("""COMPUTED_VALUE"""),"BAKES D7")</f>
        <v>BAKES D7</v>
      </c>
      <c r="K959" s="46" t="str">
        <f ca="1">IFERROR(__xludf.DUMMYFUNCTION("""COMPUTED_VALUE"""),"CASHIER")</f>
        <v>CASHIER</v>
      </c>
      <c r="L959" s="46" t="str">
        <f ca="1">IFERROR(__xludf.DUMMYFUNCTION("""COMPUTED_VALUE"""),"FTE")</f>
        <v>FTE</v>
      </c>
      <c r="M959" s="46" t="str">
        <f ca="1">IFERROR(__xludf.DUMMYFUNCTION("""COMPUTED_VALUE"""),"On")</f>
        <v>On</v>
      </c>
      <c r="N959" s="46" t="str">
        <f ca="1">IFERROR(__xludf.DUMMYFUNCTION("""COMPUTED_VALUE"""),"đủ")</f>
        <v>đủ</v>
      </c>
    </row>
    <row r="960" spans="1:14">
      <c r="A960" s="45">
        <f ca="1">IFERROR(__xludf.DUMMYFUNCTION("""COMPUTED_VALUE"""),45810.5833333333)</f>
        <v>45810.583333333299</v>
      </c>
      <c r="B960" s="45">
        <f ca="1">IFERROR(__xludf.DUMMYFUNCTION("""COMPUTED_VALUE"""),45833.5833333333)</f>
        <v>45833.583333333299</v>
      </c>
      <c r="C960" s="46">
        <f ca="1">IFERROR(__xludf.DUMMYFUNCTION("""COMPUTED_VALUE"""),961)</f>
        <v>961</v>
      </c>
      <c r="D960" s="47" t="str">
        <f ca="1">IFERROR(__xludf.DUMMYFUNCTION("""COMPUTED_VALUE"""),"C0733")</f>
        <v>C0733</v>
      </c>
      <c r="E960" s="46" t="str">
        <f ca="1">IFERROR(__xludf.DUMMYFUNCTION("""COMPUTED_VALUE"""),"NGUYỄN MINH TÚ")</f>
        <v>NGUYỄN MINH TÚ</v>
      </c>
      <c r="F960" s="46" t="str">
        <f ca="1">IFERROR(__xludf.DUMMYFUNCTION("""COMPUTED_VALUE"""),"NGUYEN MINH TU")</f>
        <v>NGUYEN MINH TU</v>
      </c>
      <c r="G960" s="45">
        <f ca="1">IFERROR(__xludf.DUMMYFUNCTION("""COMPUTED_VALUE"""),36240.625)</f>
        <v>36240.625</v>
      </c>
      <c r="H960" s="45" t="str">
        <f ca="1">IFERROR(__xludf.DUMMYFUNCTION("""COMPUTED_VALUE"""),"KITCHEN PASTRY")</f>
        <v>KITCHEN PASTRY</v>
      </c>
      <c r="I960" s="46" t="str">
        <f ca="1">IFERROR(__xludf.DUMMYFUNCTION("""COMPUTED_VALUE"""),"KITCHEN PASTRY")</f>
        <v>KITCHEN PASTRY</v>
      </c>
      <c r="J960" s="46" t="str">
        <f ca="1">IFERROR(__xludf.DUMMYFUNCTION("""COMPUTED_VALUE"""),"KITCHEN PASTRY")</f>
        <v>KITCHEN PASTRY</v>
      </c>
      <c r="K960" s="46" t="str">
        <f ca="1">IFERROR(__xludf.DUMMYFUNCTION("""COMPUTED_VALUE"""),"PASTRY")</f>
        <v>PASTRY</v>
      </c>
      <c r="L960" s="46" t="str">
        <f ca="1">IFERROR(__xludf.DUMMYFUNCTION("""COMPUTED_VALUE"""),"PTE")</f>
        <v>PTE</v>
      </c>
      <c r="M960" s="46" t="str">
        <f ca="1">IFERROR(__xludf.DUMMYFUNCTION("""COMPUTED_VALUE"""),"Leave")</f>
        <v>Leave</v>
      </c>
      <c r="N960" s="46" t="str">
        <f ca="1">IFERROR(__xludf.DUMMYFUNCTION("""COMPUTED_VALUE"""),"đủ")</f>
        <v>đủ</v>
      </c>
    </row>
    <row r="961" spans="1:14">
      <c r="A961" s="45">
        <f ca="1">IFERROR(__xludf.DUMMYFUNCTION("""COMPUTED_VALUE"""),45817.5833333333)</f>
        <v>45817.583333333299</v>
      </c>
      <c r="B961" s="45">
        <f ca="1">IFERROR(__xludf.DUMMYFUNCTION("""COMPUTED_VALUE"""),45901.5833333333)</f>
        <v>45901.583333333299</v>
      </c>
      <c r="C961" s="46">
        <f ca="1">IFERROR(__xludf.DUMMYFUNCTION("""COMPUTED_VALUE"""),962)</f>
        <v>962</v>
      </c>
      <c r="D961" s="47" t="str">
        <f ca="1">IFERROR(__xludf.DUMMYFUNCTION("""COMPUTED_VALUE"""),"C0734")</f>
        <v>C0734</v>
      </c>
      <c r="E961" s="46" t="str">
        <f ca="1">IFERROR(__xludf.DUMMYFUNCTION("""COMPUTED_VALUE"""),"NGUYỄN ANH HÒA")</f>
        <v>NGUYỄN ANH HÒA</v>
      </c>
      <c r="F961" s="46" t="str">
        <f ca="1">IFERROR(__xludf.DUMMYFUNCTION("""COMPUTED_VALUE"""),"NGUYEN ANH HOA")</f>
        <v>NGUYEN ANH HOA</v>
      </c>
      <c r="G961" s="45">
        <f ca="1">IFERROR(__xludf.DUMMYFUNCTION("""COMPUTED_VALUE"""),36448.5833333333)</f>
        <v>36448.583333333299</v>
      </c>
      <c r="H961" s="45" t="str">
        <f ca="1">IFERROR(__xludf.DUMMYFUNCTION("""COMPUTED_VALUE"""),"MATTE")</f>
        <v>MATTE</v>
      </c>
      <c r="I961" s="46" t="str">
        <f ca="1">IFERROR(__xludf.DUMMYFUNCTION("""COMPUTED_VALUE"""),"STORE")</f>
        <v>STORE</v>
      </c>
      <c r="J961" s="46" t="str">
        <f ca="1">IFERROR(__xludf.DUMMYFUNCTION("""COMPUTED_VALUE"""),"MATTE D3")</f>
        <v>MATTE D3</v>
      </c>
      <c r="K961" s="46" t="str">
        <f ca="1">IFERROR(__xludf.DUMMYFUNCTION("""COMPUTED_VALUE"""),"Management team")</f>
        <v>Management team</v>
      </c>
      <c r="L961" s="46" t="str">
        <f ca="1">IFERROR(__xludf.DUMMYFUNCTION("""COMPUTED_VALUE"""),"FTE")</f>
        <v>FTE</v>
      </c>
      <c r="M961" s="46" t="str">
        <f ca="1">IFERROR(__xludf.DUMMYFUNCTION("""COMPUTED_VALUE"""),"Leave")</f>
        <v>Leave</v>
      </c>
      <c r="N961" s="46" t="str">
        <f ca="1">IFERROR(__xludf.DUMMYFUNCTION("""COMPUTED_VALUE"""),"đủ")</f>
        <v>đủ</v>
      </c>
    </row>
    <row r="962" spans="1:14">
      <c r="A962" s="45">
        <f ca="1">IFERROR(__xludf.DUMMYFUNCTION("""COMPUTED_VALUE"""),45817.5833333333)</f>
        <v>45817.583333333299</v>
      </c>
      <c r="B962" s="45">
        <f ca="1">IFERROR(__xludf.DUMMYFUNCTION("""COMPUTED_VALUE"""),46133.5833333333)</f>
        <v>46133.583333333299</v>
      </c>
      <c r="C962" s="46">
        <f ca="1">IFERROR(__xludf.DUMMYFUNCTION("""COMPUTED_VALUE"""),963)</f>
        <v>963</v>
      </c>
      <c r="D962" s="47" t="str">
        <f ca="1">IFERROR(__xludf.DUMMYFUNCTION("""COMPUTED_VALUE"""),"C0735")</f>
        <v>C0735</v>
      </c>
      <c r="E962" s="46" t="str">
        <f ca="1">IFERROR(__xludf.DUMMYFUNCTION("""COMPUTED_VALUE"""),"LÊ NGUYỄN KHÁNH VY")</f>
        <v>LÊ NGUYỄN KHÁNH VY</v>
      </c>
      <c r="F962" s="46" t="str">
        <f ca="1">IFERROR(__xludf.DUMMYFUNCTION("""COMPUTED_VALUE"""),"LE NGUYEN KHANH VY")</f>
        <v>LE NGUYEN KHANH VY</v>
      </c>
      <c r="G962" s="45">
        <f ca="1">IFERROR(__xludf.DUMMYFUNCTION("""COMPUTED_VALUE"""),36511.625)</f>
        <v>36511.625</v>
      </c>
      <c r="H962" s="45" t="str">
        <f ca="1">IFERROR(__xludf.DUMMYFUNCTION("""COMPUTED_VALUE"""),"KITCHEN PASTRY")</f>
        <v>KITCHEN PASTRY</v>
      </c>
      <c r="I962" s="46" t="str">
        <f ca="1">IFERROR(__xludf.DUMMYFUNCTION("""COMPUTED_VALUE"""),"KITCHEN PASTRY")</f>
        <v>KITCHEN PASTRY</v>
      </c>
      <c r="J962" s="46" t="str">
        <f ca="1">IFERROR(__xludf.DUMMYFUNCTION("""COMPUTED_VALUE"""),"KITCHEN PASTRY")</f>
        <v>KITCHEN PASTRY</v>
      </c>
      <c r="K962" s="46" t="str">
        <f ca="1">IFERROR(__xludf.DUMMYFUNCTION("""COMPUTED_VALUE"""),"PASTRY")</f>
        <v>PASTRY</v>
      </c>
      <c r="L962" s="46" t="str">
        <f ca="1">IFERROR(__xludf.DUMMYFUNCTION("""COMPUTED_VALUE"""),"FTE")</f>
        <v>FTE</v>
      </c>
      <c r="M962" s="46" t="str">
        <f ca="1">IFERROR(__xludf.DUMMYFUNCTION("""COMPUTED_VALUE"""),"Leave")</f>
        <v>Leave</v>
      </c>
      <c r="N962" s="46" t="str">
        <f ca="1">IFERROR(__xludf.DUMMYFUNCTION("""COMPUTED_VALUE"""),"đủ")</f>
        <v>đủ</v>
      </c>
    </row>
    <row r="963" spans="1:14">
      <c r="A963" s="45">
        <f ca="1">IFERROR(__xludf.DUMMYFUNCTION("""COMPUTED_VALUE"""),45817.5833333333)</f>
        <v>45817.583333333299</v>
      </c>
      <c r="B963" s="45">
        <f ca="1">IFERROR(__xludf.DUMMYFUNCTION("""COMPUTED_VALUE"""),45963.5833333333)</f>
        <v>45963.583333333299</v>
      </c>
      <c r="C963" s="46">
        <f ca="1">IFERROR(__xludf.DUMMYFUNCTION("""COMPUTED_VALUE"""),964)</f>
        <v>964</v>
      </c>
      <c r="D963" s="47" t="str">
        <f ca="1">IFERROR(__xludf.DUMMYFUNCTION("""COMPUTED_VALUE"""),"C0736")</f>
        <v>C0736</v>
      </c>
      <c r="E963" s="46" t="str">
        <f ca="1">IFERROR(__xludf.DUMMYFUNCTION("""COMPUTED_VALUE"""),"LÊ NGUYỄN MỸ UYÊN")</f>
        <v>LÊ NGUYỄN MỸ UYÊN</v>
      </c>
      <c r="F963" s="46" t="str">
        <f ca="1">IFERROR(__xludf.DUMMYFUNCTION("""COMPUTED_VALUE"""),"LE NGUYEN MY UYEN")</f>
        <v>LE NGUYEN MY UYEN</v>
      </c>
      <c r="G963" s="45">
        <f ca="1">IFERROR(__xludf.DUMMYFUNCTION("""COMPUTED_VALUE"""),37639.625)</f>
        <v>37639.625</v>
      </c>
      <c r="H963" s="45" t="str">
        <f ca="1">IFERROR(__xludf.DUMMYFUNCTION("""COMPUTED_VALUE"""),"BAKES")</f>
        <v>BAKES</v>
      </c>
      <c r="I963" s="46" t="str">
        <f ca="1">IFERROR(__xludf.DUMMYFUNCTION("""COMPUTED_VALUE"""),"STORE")</f>
        <v>STORE</v>
      </c>
      <c r="J963" s="46" t="str">
        <f ca="1">IFERROR(__xludf.DUMMYFUNCTION("""COMPUTED_VALUE"""),"BAKES D2")</f>
        <v>BAKES D2</v>
      </c>
      <c r="K963" s="46" t="str">
        <f ca="1">IFERROR(__xludf.DUMMYFUNCTION("""COMPUTED_VALUE"""),"WAITSTAFF")</f>
        <v>WAITSTAFF</v>
      </c>
      <c r="L963" s="46" t="str">
        <f ca="1">IFERROR(__xludf.DUMMYFUNCTION("""COMPUTED_VALUE"""),"PTE")</f>
        <v>PTE</v>
      </c>
      <c r="M963" s="46" t="str">
        <f ca="1">IFERROR(__xludf.DUMMYFUNCTION("""COMPUTED_VALUE"""),"Leave")</f>
        <v>Leave</v>
      </c>
      <c r="N963" s="46" t="str">
        <f ca="1">IFERROR(__xludf.DUMMYFUNCTION("""COMPUTED_VALUE"""),"đủ")</f>
        <v>đủ</v>
      </c>
    </row>
    <row r="964" spans="1:14">
      <c r="A964" s="45">
        <f ca="1">IFERROR(__xludf.DUMMYFUNCTION("""COMPUTED_VALUE"""),45811.5833333333)</f>
        <v>45811.583333333299</v>
      </c>
      <c r="B964" s="45">
        <f ca="1">IFERROR(__xludf.DUMMYFUNCTION("""COMPUTED_VALUE"""),45824.5833333333)</f>
        <v>45824.583333333299</v>
      </c>
      <c r="C964" s="46">
        <f ca="1">IFERROR(__xludf.DUMMYFUNCTION("""COMPUTED_VALUE"""),965)</f>
        <v>965</v>
      </c>
      <c r="D964" s="47" t="str">
        <f ca="1">IFERROR(__xludf.DUMMYFUNCTION("""COMPUTED_VALUE"""),"C0737")</f>
        <v>C0737</v>
      </c>
      <c r="E964" s="46" t="str">
        <f ca="1">IFERROR(__xludf.DUMMYFUNCTION("""COMPUTED_VALUE"""),"BÙI NGỌC QUỐC ANH")</f>
        <v>BÙI NGỌC QUỐC ANH</v>
      </c>
      <c r="F964" s="46" t="str">
        <f ca="1">IFERROR(__xludf.DUMMYFUNCTION("""COMPUTED_VALUE"""),"BUI NGOC QUOC ANH")</f>
        <v>BUI NGOC QUOC ANH</v>
      </c>
      <c r="G964" s="45">
        <f ca="1">IFERROR(__xludf.DUMMYFUNCTION("""COMPUTED_VALUE"""),37844.5833333333)</f>
        <v>37844.583333333299</v>
      </c>
      <c r="H964" s="45" t="str">
        <f ca="1">IFERROR(__xludf.DUMMYFUNCTION("""COMPUTED_VALUE"""),"MATTE")</f>
        <v>MATTE</v>
      </c>
      <c r="I964" s="46" t="str">
        <f ca="1">IFERROR(__xludf.DUMMYFUNCTION("""COMPUTED_VALUE"""),"STORE")</f>
        <v>STORE</v>
      </c>
      <c r="J964" s="46" t="str">
        <f ca="1">IFERROR(__xludf.DUMMYFUNCTION("""COMPUTED_VALUE"""),"MATTE D3")</f>
        <v>MATTE D3</v>
      </c>
      <c r="K964" s="46" t="str">
        <f ca="1">IFERROR(__xludf.DUMMYFUNCTION("""COMPUTED_VALUE"""),"BAR")</f>
        <v>BAR</v>
      </c>
      <c r="L964" s="46" t="str">
        <f ca="1">IFERROR(__xludf.DUMMYFUNCTION("""COMPUTED_VALUE"""),"PTE")</f>
        <v>PTE</v>
      </c>
      <c r="M964" s="46" t="str">
        <f ca="1">IFERROR(__xludf.DUMMYFUNCTION("""COMPUTED_VALUE"""),"Leave")</f>
        <v>Leave</v>
      </c>
      <c r="N964" s="46" t="str">
        <f ca="1">IFERROR(__xludf.DUMMYFUNCTION("""COMPUTED_VALUE"""),"chua nop")</f>
        <v>chua nop</v>
      </c>
    </row>
    <row r="965" spans="1:14">
      <c r="A965" s="45">
        <f ca="1">IFERROR(__xludf.DUMMYFUNCTION("""COMPUTED_VALUE"""),45840.5833333333)</f>
        <v>45840.583333333299</v>
      </c>
      <c r="B965" s="45"/>
      <c r="C965" s="46">
        <f ca="1">IFERROR(__xludf.DUMMYFUNCTION("""COMPUTED_VALUE"""),966)</f>
        <v>966</v>
      </c>
      <c r="D965" s="47" t="str">
        <f ca="1">IFERROR(__xludf.DUMMYFUNCTION("""COMPUTED_VALUE"""),"C0738")</f>
        <v>C0738</v>
      </c>
      <c r="E965" s="46" t="str">
        <f ca="1">IFERROR(__xludf.DUMMYFUNCTION("""COMPUTED_VALUE"""),"LÊ VĂN VINH")</f>
        <v>LÊ VĂN VINH</v>
      </c>
      <c r="F965" s="46" t="str">
        <f ca="1">IFERROR(__xludf.DUMMYFUNCTION("""COMPUTED_VALUE"""),"LE VAN VINH")</f>
        <v>LE VAN VINH</v>
      </c>
      <c r="G965" s="45">
        <f ca="1">IFERROR(__xludf.DUMMYFUNCTION("""COMPUTED_VALUE"""),36769.5833333333)</f>
        <v>36769.583333333299</v>
      </c>
      <c r="H965" s="45" t="str">
        <f ca="1">IFERROR(__xludf.DUMMYFUNCTION("""COMPUTED_VALUE"""),"YESHI")</f>
        <v>YESHI</v>
      </c>
      <c r="I965" s="46" t="str">
        <f ca="1">IFERROR(__xludf.DUMMYFUNCTION("""COMPUTED_VALUE"""),"STORE")</f>
        <v>STORE</v>
      </c>
      <c r="J965" s="46" t="str">
        <f ca="1">IFERROR(__xludf.DUMMYFUNCTION("""COMPUTED_VALUE"""),"YESHI D3")</f>
        <v>YESHI D3</v>
      </c>
      <c r="K965" s="46" t="str">
        <f ca="1">IFERROR(__xludf.DUMMYFUNCTION("""COMPUTED_VALUE"""),"KIT")</f>
        <v>KIT</v>
      </c>
      <c r="L965" s="46" t="str">
        <f ca="1">IFERROR(__xludf.DUMMYFUNCTION("""COMPUTED_VALUE"""),"FTE")</f>
        <v>FTE</v>
      </c>
      <c r="M965" s="46" t="str">
        <f ca="1">IFERROR(__xludf.DUMMYFUNCTION("""COMPUTED_VALUE"""),"On")</f>
        <v>On</v>
      </c>
      <c r="N965" s="46" t="str">
        <f ca="1">IFERROR(__xludf.DUMMYFUNCTION("""COMPUTED_VALUE"""),"đủ")</f>
        <v>đủ</v>
      </c>
    </row>
    <row r="966" spans="1:14">
      <c r="A966" s="45">
        <f ca="1">IFERROR(__xludf.DUMMYFUNCTION("""COMPUTED_VALUE"""),45813.5833333333)</f>
        <v>45813.583333333299</v>
      </c>
      <c r="B966" s="45" t="str">
        <f ca="1">IFERROR(__xludf.DUMMYFUNCTION("""COMPUTED_VALUE"""),"Đã nghỉ")</f>
        <v>Đã nghỉ</v>
      </c>
      <c r="C966" s="46">
        <f ca="1">IFERROR(__xludf.DUMMYFUNCTION("""COMPUTED_VALUE"""),967)</f>
        <v>967</v>
      </c>
      <c r="D966" s="47" t="str">
        <f ca="1">IFERROR(__xludf.DUMMYFUNCTION("""COMPUTED_VALUE"""),"C0739")</f>
        <v>C0739</v>
      </c>
      <c r="E966" s="46" t="str">
        <f ca="1">IFERROR(__xludf.DUMMYFUNCTION("""COMPUTED_VALUE"""),"NGUYỄN NGỌC PHƯƠNG TRÂM")</f>
        <v>NGUYỄN NGỌC PHƯƠNG TRÂM</v>
      </c>
      <c r="F966" s="46" t="str">
        <f ca="1">IFERROR(__xludf.DUMMYFUNCTION("""COMPUTED_VALUE"""),"NGUYEN NGOC PHUONG TRAM")</f>
        <v>NGUYEN NGOC PHUONG TRAM</v>
      </c>
      <c r="G966" s="45">
        <f ca="1">IFERROR(__xludf.DUMMYFUNCTION("""COMPUTED_VALUE"""),37791.5833333333)</f>
        <v>37791.583333333299</v>
      </c>
      <c r="H966" s="45" t="str">
        <f ca="1">IFERROR(__xludf.DUMMYFUNCTION("""COMPUTED_VALUE"""),"TLC")</f>
        <v>TLC</v>
      </c>
      <c r="I966" s="46" t="str">
        <f ca="1">IFERROR(__xludf.DUMMYFUNCTION("""COMPUTED_VALUE"""),"STORE")</f>
        <v>STORE</v>
      </c>
      <c r="J966" s="46" t="str">
        <f ca="1">IFERROR(__xludf.DUMMYFUNCTION("""COMPUTED_VALUE"""),"BAKES HCR")</f>
        <v>BAKES HCR</v>
      </c>
      <c r="K966" s="46" t="str">
        <f ca="1">IFERROR(__xludf.DUMMYFUNCTION("""COMPUTED_VALUE"""),"CASHIER")</f>
        <v>CASHIER</v>
      </c>
      <c r="L966" s="46" t="str">
        <f ca="1">IFERROR(__xludf.DUMMYFUNCTION("""COMPUTED_VALUE"""),"PTE")</f>
        <v>PTE</v>
      </c>
      <c r="M966" s="46" t="str">
        <f ca="1">IFERROR(__xludf.DUMMYFUNCTION("""COMPUTED_VALUE"""),"Leave")</f>
        <v>Leave</v>
      </c>
      <c r="N966" s="46" t="str">
        <f ca="1">IFERROR(__xludf.DUMMYFUNCTION("""COMPUTED_VALUE"""),"đủ")</f>
        <v>đủ</v>
      </c>
    </row>
    <row r="967" spans="1:14">
      <c r="A967" s="45">
        <f ca="1">IFERROR(__xludf.DUMMYFUNCTION("""COMPUTED_VALUE"""),45814.5833333333)</f>
        <v>45814.583333333299</v>
      </c>
      <c r="B967" s="45">
        <f ca="1">IFERROR(__xludf.DUMMYFUNCTION("""COMPUTED_VALUE"""),45816.5833333333)</f>
        <v>45816.583333333299</v>
      </c>
      <c r="C967" s="46">
        <f ca="1">IFERROR(__xludf.DUMMYFUNCTION("""COMPUTED_VALUE"""),968)</f>
        <v>968</v>
      </c>
      <c r="D967" s="47" t="str">
        <f ca="1">IFERROR(__xludf.DUMMYFUNCTION("""COMPUTED_VALUE"""),"C0740")</f>
        <v>C0740</v>
      </c>
      <c r="E967" s="46" t="str">
        <f ca="1">IFERROR(__xludf.DUMMYFUNCTION("""COMPUTED_VALUE"""),"TRƯƠNG PHI TẤN TÀI")</f>
        <v>TRƯƠNG PHI TẤN TÀI</v>
      </c>
      <c r="F967" s="46" t="str">
        <f ca="1">IFERROR(__xludf.DUMMYFUNCTION("""COMPUTED_VALUE"""),"TRUONG PHI TAN TAI")</f>
        <v>TRUONG PHI TAN TAI</v>
      </c>
      <c r="G967" s="45">
        <f ca="1">IFERROR(__xludf.DUMMYFUNCTION("""COMPUTED_VALUE"""),38670.625)</f>
        <v>38670.625</v>
      </c>
      <c r="H967" s="45" t="str">
        <f ca="1">IFERROR(__xludf.DUMMYFUNCTION("""COMPUTED_VALUE"""),"BAKES")</f>
        <v>BAKES</v>
      </c>
      <c r="I967" s="46" t="str">
        <f ca="1">IFERROR(__xludf.DUMMYFUNCTION("""COMPUTED_VALUE"""),"STORE")</f>
        <v>STORE</v>
      </c>
      <c r="J967" s="46" t="str">
        <f ca="1">IFERROR(__xludf.DUMMYFUNCTION("""COMPUTED_VALUE"""),"BAKES D2")</f>
        <v>BAKES D2</v>
      </c>
      <c r="K967" s="46" t="str">
        <f ca="1">IFERROR(__xludf.DUMMYFUNCTION("""COMPUTED_VALUE"""),"WAITSTAFF")</f>
        <v>WAITSTAFF</v>
      </c>
      <c r="L967" s="46" t="str">
        <f ca="1">IFERROR(__xludf.DUMMYFUNCTION("""COMPUTED_VALUE"""),"PTE")</f>
        <v>PTE</v>
      </c>
      <c r="M967" s="46" t="str">
        <f ca="1">IFERROR(__xludf.DUMMYFUNCTION("""COMPUTED_VALUE"""),"Leave")</f>
        <v>Leave</v>
      </c>
      <c r="N967" s="46" t="str">
        <f ca="1">IFERROR(__xludf.DUMMYFUNCTION("""COMPUTED_VALUE"""),"chua nop")</f>
        <v>chua nop</v>
      </c>
    </row>
    <row r="968" spans="1:14">
      <c r="A968" s="45">
        <f ca="1">IFERROR(__xludf.DUMMYFUNCTION("""COMPUTED_VALUE"""),45814.5833333333)</f>
        <v>45814.583333333299</v>
      </c>
      <c r="B968" s="45">
        <f ca="1">IFERROR(__xludf.DUMMYFUNCTION("""COMPUTED_VALUE"""),45815.5833333333)</f>
        <v>45815.583333333299</v>
      </c>
      <c r="C968" s="46">
        <f ca="1">IFERROR(__xludf.DUMMYFUNCTION("""COMPUTED_VALUE"""),969)</f>
        <v>969</v>
      </c>
      <c r="D968" s="47" t="str">
        <f ca="1">IFERROR(__xludf.DUMMYFUNCTION("""COMPUTED_VALUE"""),"C0741")</f>
        <v>C0741</v>
      </c>
      <c r="E968" s="46" t="str">
        <f ca="1">IFERROR(__xludf.DUMMYFUNCTION("""COMPUTED_VALUE"""),"PHÍ HẢI LINH")</f>
        <v>PHÍ HẢI LINH</v>
      </c>
      <c r="F968" s="46" t="str">
        <f ca="1">IFERROR(__xludf.DUMMYFUNCTION("""COMPUTED_VALUE"""),"PHI HAI LINH")</f>
        <v>PHI HAI LINH</v>
      </c>
      <c r="G968" s="45"/>
      <c r="H968" s="45" t="str">
        <f ca="1">IFERROR(__xludf.DUMMYFUNCTION("""COMPUTED_VALUE"""),"YESHI")</f>
        <v>YESHI</v>
      </c>
      <c r="I968" s="46" t="str">
        <f ca="1">IFERROR(__xludf.DUMMYFUNCTION("""COMPUTED_VALUE"""),"STORE")</f>
        <v>STORE</v>
      </c>
      <c r="J968" s="46" t="str">
        <f ca="1">IFERROR(__xludf.DUMMYFUNCTION("""COMPUTED_VALUE"""),"YESHI D3")</f>
        <v>YESHI D3</v>
      </c>
      <c r="K968" s="46" t="str">
        <f ca="1">IFERROR(__xludf.DUMMYFUNCTION("""COMPUTED_VALUE"""),"KIT")</f>
        <v>KIT</v>
      </c>
      <c r="L968" s="46" t="str">
        <f ca="1">IFERROR(__xludf.DUMMYFUNCTION("""COMPUTED_VALUE"""),"PRO")</f>
        <v>PRO</v>
      </c>
      <c r="M968" s="46" t="str">
        <f ca="1">IFERROR(__xludf.DUMMYFUNCTION("""COMPUTED_VALUE"""),"Leave")</f>
        <v>Leave</v>
      </c>
      <c r="N968" s="46" t="str">
        <f ca="1">IFERROR(__xludf.DUMMYFUNCTION("""COMPUTED_VALUE"""),"chua nop")</f>
        <v>chua nop</v>
      </c>
    </row>
    <row r="969" spans="1:14">
      <c r="A969" s="45">
        <f ca="1">IFERROR(__xludf.DUMMYFUNCTION("""COMPUTED_VALUE"""),45814.5833333333)</f>
        <v>45814.583333333299</v>
      </c>
      <c r="B969" s="45">
        <f ca="1">IFERROR(__xludf.DUMMYFUNCTION("""COMPUTED_VALUE"""),45866.5833333333)</f>
        <v>45866.583333333299</v>
      </c>
      <c r="C969" s="46">
        <f ca="1">IFERROR(__xludf.DUMMYFUNCTION("""COMPUTED_VALUE"""),970)</f>
        <v>970</v>
      </c>
      <c r="D969" s="47" t="str">
        <f ca="1">IFERROR(__xludf.DUMMYFUNCTION("""COMPUTED_VALUE"""),"C0742")</f>
        <v>C0742</v>
      </c>
      <c r="E969" s="46" t="str">
        <f ca="1">IFERROR(__xludf.DUMMYFUNCTION("""COMPUTED_VALUE"""),"NGUYỄN NGỌC TÂN")</f>
        <v>NGUYỄN NGỌC TÂN</v>
      </c>
      <c r="F969" s="46" t="str">
        <f ca="1">IFERROR(__xludf.DUMMYFUNCTION("""COMPUTED_VALUE"""),"NGUYEN NGOC TAN")</f>
        <v>NGUYEN NGOC TAN</v>
      </c>
      <c r="G969" s="45">
        <f ca="1">IFERROR(__xludf.DUMMYFUNCTION("""COMPUTED_VALUE"""),37462.5833333333)</f>
        <v>37462.583333333299</v>
      </c>
      <c r="H969" s="45" t="str">
        <f ca="1">IFERROR(__xludf.DUMMYFUNCTION("""COMPUTED_VALUE"""),"YESHI")</f>
        <v>YESHI</v>
      </c>
      <c r="I969" s="46" t="str">
        <f ca="1">IFERROR(__xludf.DUMMYFUNCTION("""COMPUTED_VALUE"""),"STORE")</f>
        <v>STORE</v>
      </c>
      <c r="J969" s="46" t="str">
        <f ca="1">IFERROR(__xludf.DUMMYFUNCTION("""COMPUTED_VALUE"""),"YESHI D3")</f>
        <v>YESHI D3</v>
      </c>
      <c r="K969" s="46" t="str">
        <f ca="1">IFERROR(__xludf.DUMMYFUNCTION("""COMPUTED_VALUE"""),"BAR")</f>
        <v>BAR</v>
      </c>
      <c r="L969" s="46" t="str">
        <f ca="1">IFERROR(__xludf.DUMMYFUNCTION("""COMPUTED_VALUE"""),"PRO")</f>
        <v>PRO</v>
      </c>
      <c r="M969" s="46" t="str">
        <f ca="1">IFERROR(__xludf.DUMMYFUNCTION("""COMPUTED_VALUE"""),"Leave")</f>
        <v>Leave</v>
      </c>
      <c r="N969" s="46" t="str">
        <f ca="1">IFERROR(__xludf.DUMMYFUNCTION("""COMPUTED_VALUE"""),"đủ")</f>
        <v>đủ</v>
      </c>
    </row>
    <row r="970" spans="1:14">
      <c r="A970" s="45">
        <f ca="1">IFERROR(__xludf.DUMMYFUNCTION("""COMPUTED_VALUE"""),45818.5833333333)</f>
        <v>45818.583333333299</v>
      </c>
      <c r="B970" s="45">
        <f ca="1">IFERROR(__xludf.DUMMYFUNCTION("""COMPUTED_VALUE"""),45839.5833333333)</f>
        <v>45839.583333333299</v>
      </c>
      <c r="C970" s="46">
        <f ca="1">IFERROR(__xludf.DUMMYFUNCTION("""COMPUTED_VALUE"""),971)</f>
        <v>971</v>
      </c>
      <c r="D970" s="47" t="str">
        <f ca="1">IFERROR(__xludf.DUMMYFUNCTION("""COMPUTED_VALUE"""),"C0743")</f>
        <v>C0743</v>
      </c>
      <c r="E970" s="46" t="str">
        <f ca="1">IFERROR(__xludf.DUMMYFUNCTION("""COMPUTED_VALUE"""),"NGUYỄN LÊ CẨM LY")</f>
        <v>NGUYỄN LÊ CẨM LY</v>
      </c>
      <c r="F970" s="46" t="str">
        <f ca="1">IFERROR(__xludf.DUMMYFUNCTION("""COMPUTED_VALUE"""),"NGUYEN LE CAM LY")</f>
        <v>NGUYEN LE CAM LY</v>
      </c>
      <c r="G970" s="45">
        <f ca="1">IFERROR(__xludf.DUMMYFUNCTION("""COMPUTED_VALUE"""),37765.5833333333)</f>
        <v>37765.583333333299</v>
      </c>
      <c r="H970" s="45" t="str">
        <f ca="1">IFERROR(__xludf.DUMMYFUNCTION("""COMPUTED_VALUE"""),"YESHI")</f>
        <v>YESHI</v>
      </c>
      <c r="I970" s="46" t="str">
        <f ca="1">IFERROR(__xludf.DUMMYFUNCTION("""COMPUTED_VALUE"""),"STORE")</f>
        <v>STORE</v>
      </c>
      <c r="J970" s="46" t="str">
        <f ca="1">IFERROR(__xludf.DUMMYFUNCTION("""COMPUTED_VALUE"""),"YESHI D2")</f>
        <v>YESHI D2</v>
      </c>
      <c r="K970" s="46" t="str">
        <f ca="1">IFERROR(__xludf.DUMMYFUNCTION("""COMPUTED_VALUE"""),"BAR")</f>
        <v>BAR</v>
      </c>
      <c r="L970" s="46" t="str">
        <f ca="1">IFERROR(__xludf.DUMMYFUNCTION("""COMPUTED_VALUE"""),"PRO")</f>
        <v>PRO</v>
      </c>
      <c r="M970" s="46" t="str">
        <f ca="1">IFERROR(__xludf.DUMMYFUNCTION("""COMPUTED_VALUE"""),"Leave")</f>
        <v>Leave</v>
      </c>
      <c r="N970" s="46" t="str">
        <f ca="1">IFERROR(__xludf.DUMMYFUNCTION("""COMPUTED_VALUE"""),"đủ")</f>
        <v>đủ</v>
      </c>
    </row>
    <row r="971" spans="1:14">
      <c r="A971" s="45">
        <f ca="1">IFERROR(__xludf.DUMMYFUNCTION("""COMPUTED_VALUE"""),45818.5833333333)</f>
        <v>45818.583333333299</v>
      </c>
      <c r="B971" s="45">
        <f ca="1">IFERROR(__xludf.DUMMYFUNCTION("""COMPUTED_VALUE"""),46131.5833333333)</f>
        <v>46131.583333333299</v>
      </c>
      <c r="C971" s="46">
        <f ca="1">IFERROR(__xludf.DUMMYFUNCTION("""COMPUTED_VALUE"""),972)</f>
        <v>972</v>
      </c>
      <c r="D971" s="47" t="str">
        <f ca="1">IFERROR(__xludf.DUMMYFUNCTION("""COMPUTED_VALUE"""),"C0744")</f>
        <v>C0744</v>
      </c>
      <c r="E971" s="46" t="str">
        <f ca="1">IFERROR(__xludf.DUMMYFUNCTION("""COMPUTED_VALUE"""),"NGUYỄN THỊ MINH CHÂU")</f>
        <v>NGUYỄN THỊ MINH CHÂU</v>
      </c>
      <c r="F971" s="46" t="str">
        <f ca="1">IFERROR(__xludf.DUMMYFUNCTION("""COMPUTED_VALUE"""),"NGUYEN THI MINH CHAU")</f>
        <v>NGUYEN THI MINH CHAU</v>
      </c>
      <c r="G971" s="45">
        <f ca="1">IFERROR(__xludf.DUMMYFUNCTION("""COMPUTED_VALUE"""),38992.5833333333)</f>
        <v>38992.583333333299</v>
      </c>
      <c r="H971" s="45" t="str">
        <f ca="1">IFERROR(__xludf.DUMMYFUNCTION("""COMPUTED_VALUE"""),"YESHI")</f>
        <v>YESHI</v>
      </c>
      <c r="I971" s="46" t="str">
        <f ca="1">IFERROR(__xludf.DUMMYFUNCTION("""COMPUTED_VALUE"""),"STORE")</f>
        <v>STORE</v>
      </c>
      <c r="J971" s="46" t="str">
        <f ca="1">IFERROR(__xludf.DUMMYFUNCTION("""COMPUTED_VALUE"""),"YESHI D3")</f>
        <v>YESHI D3</v>
      </c>
      <c r="K971" s="46" t="str">
        <f ca="1">IFERROR(__xludf.DUMMYFUNCTION("""COMPUTED_VALUE"""),"KIT")</f>
        <v>KIT</v>
      </c>
      <c r="L971" s="46" t="str">
        <f ca="1">IFERROR(__xludf.DUMMYFUNCTION("""COMPUTED_VALUE"""),"PTE")</f>
        <v>PTE</v>
      </c>
      <c r="M971" s="46" t="str">
        <f ca="1">IFERROR(__xludf.DUMMYFUNCTION("""COMPUTED_VALUE"""),"Leave")</f>
        <v>Leave</v>
      </c>
      <c r="N971" s="46" t="str">
        <f ca="1">IFERROR(__xludf.DUMMYFUNCTION("""COMPUTED_VALUE"""),"đủ")</f>
        <v>đủ</v>
      </c>
    </row>
    <row r="972" spans="1:14">
      <c r="A972" s="45">
        <f ca="1">IFERROR(__xludf.DUMMYFUNCTION("""COMPUTED_VALUE"""),45819.5833333333)</f>
        <v>45819.583333333299</v>
      </c>
      <c r="B972" s="45">
        <f ca="1">IFERROR(__xludf.DUMMYFUNCTION("""COMPUTED_VALUE"""),46113.5833333333)</f>
        <v>46113.583333333299</v>
      </c>
      <c r="C972" s="46">
        <f ca="1">IFERROR(__xludf.DUMMYFUNCTION("""COMPUTED_VALUE"""),973)</f>
        <v>973</v>
      </c>
      <c r="D972" s="47" t="str">
        <f ca="1">IFERROR(__xludf.DUMMYFUNCTION("""COMPUTED_VALUE"""),"C0745")</f>
        <v>C0745</v>
      </c>
      <c r="E972" s="46" t="str">
        <f ca="1">IFERROR(__xludf.DUMMYFUNCTION("""COMPUTED_VALUE"""),"TRẦN THỊ THU THẢO")</f>
        <v>TRẦN THỊ THU THẢO</v>
      </c>
      <c r="F972" s="46" t="str">
        <f ca="1">IFERROR(__xludf.DUMMYFUNCTION("""COMPUTED_VALUE"""),"TRAN THI THU THAO")</f>
        <v>TRAN THI THU THAO</v>
      </c>
      <c r="G972" s="45">
        <f ca="1">IFERROR(__xludf.DUMMYFUNCTION("""COMPUTED_VALUE"""),37398.5833333333)</f>
        <v>37398.583333333299</v>
      </c>
      <c r="H972" s="45" t="str">
        <f ca="1">IFERROR(__xludf.DUMMYFUNCTION("""COMPUTED_VALUE"""),"KITCHEN PASTRY")</f>
        <v>KITCHEN PASTRY</v>
      </c>
      <c r="I972" s="46" t="str">
        <f ca="1">IFERROR(__xludf.DUMMYFUNCTION("""COMPUTED_VALUE"""),"KITCHEN PASTRY")</f>
        <v>KITCHEN PASTRY</v>
      </c>
      <c r="J972" s="46" t="str">
        <f ca="1">IFERROR(__xludf.DUMMYFUNCTION("""COMPUTED_VALUE"""),"KITCHEN PASTRY")</f>
        <v>KITCHEN PASTRY</v>
      </c>
      <c r="K972" s="46" t="str">
        <f ca="1">IFERROR(__xludf.DUMMYFUNCTION("""COMPUTED_VALUE"""),"PASTRY")</f>
        <v>PASTRY</v>
      </c>
      <c r="L972" s="46" t="str">
        <f ca="1">IFERROR(__xludf.DUMMYFUNCTION("""COMPUTED_VALUE"""),"FTE")</f>
        <v>FTE</v>
      </c>
      <c r="M972" s="46" t="str">
        <f ca="1">IFERROR(__xludf.DUMMYFUNCTION("""COMPUTED_VALUE"""),"Leave")</f>
        <v>Leave</v>
      </c>
      <c r="N972" s="46" t="str">
        <f ca="1">IFERROR(__xludf.DUMMYFUNCTION("""COMPUTED_VALUE"""),"đủ")</f>
        <v>đủ</v>
      </c>
    </row>
    <row r="973" spans="1:14">
      <c r="A973" s="45">
        <f ca="1">IFERROR(__xludf.DUMMYFUNCTION("""COMPUTED_VALUE"""),45819.5833333333)</f>
        <v>45819.583333333299</v>
      </c>
      <c r="B973" s="45"/>
      <c r="C973" s="46">
        <f ca="1">IFERROR(__xludf.DUMMYFUNCTION("""COMPUTED_VALUE"""),974)</f>
        <v>974</v>
      </c>
      <c r="D973" s="47" t="str">
        <f ca="1">IFERROR(__xludf.DUMMYFUNCTION("""COMPUTED_VALUE"""),"C0746")</f>
        <v>C0746</v>
      </c>
      <c r="E973" s="46" t="str">
        <f ca="1">IFERROR(__xludf.DUMMYFUNCTION("""COMPUTED_VALUE"""),"TỪ THỊ MỸ TIÊN")</f>
        <v>TỪ THỊ MỸ TIÊN</v>
      </c>
      <c r="F973" s="46" t="str">
        <f ca="1">IFERROR(__xludf.DUMMYFUNCTION("""COMPUTED_VALUE"""),"TU THI MY TIEN")</f>
        <v>TU THI MY TIEN</v>
      </c>
      <c r="G973" s="45">
        <f ca="1">IFERROR(__xludf.DUMMYFUNCTION("""COMPUTED_VALUE"""),37294.625)</f>
        <v>37294.625</v>
      </c>
      <c r="H973" s="45" t="str">
        <f ca="1">IFERROR(__xludf.DUMMYFUNCTION("""COMPUTED_VALUE"""),"BAKES")</f>
        <v>BAKES</v>
      </c>
      <c r="I973" s="46" t="str">
        <f ca="1">IFERROR(__xludf.DUMMYFUNCTION("""COMPUTED_VALUE"""),"HO")</f>
        <v>HO</v>
      </c>
      <c r="J973" s="46" t="str">
        <f ca="1">IFERROR(__xludf.DUMMYFUNCTION("""COMPUTED_VALUE"""),"CUS")</f>
        <v>CUS</v>
      </c>
      <c r="K973" s="46" t="str">
        <f ca="1">IFERROR(__xludf.DUMMYFUNCTION("""COMPUTED_VALUE"""),"CUS")</f>
        <v>CUS</v>
      </c>
      <c r="L973" s="46" t="str">
        <f ca="1">IFERROR(__xludf.DUMMYFUNCTION("""COMPUTED_VALUE"""),"FTE")</f>
        <v>FTE</v>
      </c>
      <c r="M973" s="46" t="str">
        <f ca="1">IFERROR(__xludf.DUMMYFUNCTION("""COMPUTED_VALUE"""),"On")</f>
        <v>On</v>
      </c>
      <c r="N973" s="46" t="str">
        <f ca="1">IFERROR(__xludf.DUMMYFUNCTION("""COMPUTED_VALUE"""),"đủ")</f>
        <v>đủ</v>
      </c>
    </row>
    <row r="974" spans="1:14">
      <c r="A974" s="45">
        <f ca="1">IFERROR(__xludf.DUMMYFUNCTION("""COMPUTED_VALUE"""),45818.5833333333)</f>
        <v>45818.583333333299</v>
      </c>
      <c r="B974" s="45">
        <f ca="1">IFERROR(__xludf.DUMMYFUNCTION("""COMPUTED_VALUE"""),45941.5833333333)</f>
        <v>45941.583333333299</v>
      </c>
      <c r="C974" s="46">
        <f ca="1">IFERROR(__xludf.DUMMYFUNCTION("""COMPUTED_VALUE"""),975)</f>
        <v>975</v>
      </c>
      <c r="D974" s="47" t="str">
        <f ca="1">IFERROR(__xludf.DUMMYFUNCTION("""COMPUTED_VALUE"""),"C0747")</f>
        <v>C0747</v>
      </c>
      <c r="E974" s="46" t="str">
        <f ca="1">IFERROR(__xludf.DUMMYFUNCTION("""COMPUTED_VALUE"""),"NGUYỄN HỒ THẢO LINH")</f>
        <v>NGUYỄN HỒ THẢO LINH</v>
      </c>
      <c r="F974" s="46" t="str">
        <f ca="1">IFERROR(__xludf.DUMMYFUNCTION("""COMPUTED_VALUE"""),"NGUYEN HO THAO LINH")</f>
        <v>NGUYEN HO THAO LINH</v>
      </c>
      <c r="G974" s="45">
        <f ca="1">IFERROR(__xludf.DUMMYFUNCTION("""COMPUTED_VALUE"""),38267.5833333333)</f>
        <v>38267.583333333299</v>
      </c>
      <c r="H974" s="45" t="str">
        <f ca="1">IFERROR(__xludf.DUMMYFUNCTION("""COMPUTED_VALUE"""),"MATTE")</f>
        <v>MATTE</v>
      </c>
      <c r="I974" s="46" t="str">
        <f ca="1">IFERROR(__xludf.DUMMYFUNCTION("""COMPUTED_VALUE"""),"HO")</f>
        <v>HO</v>
      </c>
      <c r="J974" s="46" t="str">
        <f ca="1">IFERROR(__xludf.DUMMYFUNCTION("""COMPUTED_VALUE"""),"BE")</f>
        <v>BE</v>
      </c>
      <c r="K974" s="46" t="str">
        <f ca="1">IFERROR(__xludf.DUMMYFUNCTION("""COMPUTED_VALUE"""),"BE")</f>
        <v>BE</v>
      </c>
      <c r="L974" s="46" t="str">
        <f ca="1">IFERROR(__xludf.DUMMYFUNCTION("""COMPUTED_VALUE"""),"SER")</f>
        <v>SER</v>
      </c>
      <c r="M974" s="46" t="str">
        <f ca="1">IFERROR(__xludf.DUMMYFUNCTION("""COMPUTED_VALUE"""),"Leave")</f>
        <v>Leave</v>
      </c>
      <c r="N974" s="46" t="str">
        <f ca="1">IFERROR(__xludf.DUMMYFUNCTION("""COMPUTED_VALUE"""),"đủ")</f>
        <v>đủ</v>
      </c>
    </row>
    <row r="975" spans="1:14">
      <c r="A975" s="45">
        <f ca="1">IFERROR(__xludf.DUMMYFUNCTION("""COMPUTED_VALUE"""),45818.5833333333)</f>
        <v>45818.583333333299</v>
      </c>
      <c r="B975" s="45">
        <f ca="1">IFERROR(__xludf.DUMMYFUNCTION("""COMPUTED_VALUE"""),45960.5833333333)</f>
        <v>45960.583333333299</v>
      </c>
      <c r="C975" s="46">
        <f ca="1">IFERROR(__xludf.DUMMYFUNCTION("""COMPUTED_VALUE"""),976)</f>
        <v>976</v>
      </c>
      <c r="D975" s="47" t="str">
        <f ca="1">IFERROR(__xludf.DUMMYFUNCTION("""COMPUTED_VALUE"""),"C0748")</f>
        <v>C0748</v>
      </c>
      <c r="E975" s="46" t="str">
        <f ca="1">IFERROR(__xludf.DUMMYFUNCTION("""COMPUTED_VALUE"""),"NGUYỄN HUỲNH ÁI TIÊN")</f>
        <v>NGUYỄN HUỲNH ÁI TIÊN</v>
      </c>
      <c r="F975" s="46" t="str">
        <f ca="1">IFERROR(__xludf.DUMMYFUNCTION("""COMPUTED_VALUE"""),"NGUYEN HUYNH AI TIEN")</f>
        <v>NGUYEN HUYNH AI TIEN</v>
      </c>
      <c r="G975" s="45">
        <f ca="1">IFERROR(__xludf.DUMMYFUNCTION("""COMPUTED_VALUE"""),33294.625)</f>
        <v>33294.625</v>
      </c>
      <c r="H975" s="45" t="str">
        <f ca="1">IFERROR(__xludf.DUMMYFUNCTION("""COMPUTED_VALUE"""),"BAKES")</f>
        <v>BAKES</v>
      </c>
      <c r="I975" s="46" t="str">
        <f ca="1">IFERROR(__xludf.DUMMYFUNCTION("""COMPUTED_VALUE"""),"HO")</f>
        <v>HO</v>
      </c>
      <c r="J975" s="46" t="str">
        <f ca="1">IFERROR(__xludf.DUMMYFUNCTION("""COMPUTED_VALUE"""),"CUS")</f>
        <v>CUS</v>
      </c>
      <c r="K975" s="46" t="str">
        <f ca="1">IFERROR(__xludf.DUMMYFUNCTION("""COMPUTED_VALUE"""),"CUS")</f>
        <v>CUS</v>
      </c>
      <c r="L975" s="46" t="str">
        <f ca="1">IFERROR(__xludf.DUMMYFUNCTION("""COMPUTED_VALUE"""),"FTE")</f>
        <v>FTE</v>
      </c>
      <c r="M975" s="46" t="str">
        <f ca="1">IFERROR(__xludf.DUMMYFUNCTION("""COMPUTED_VALUE"""),"Leave")</f>
        <v>Leave</v>
      </c>
      <c r="N975" s="46" t="str">
        <f ca="1">IFERROR(__xludf.DUMMYFUNCTION("""COMPUTED_VALUE"""),"đủ")</f>
        <v>đủ</v>
      </c>
    </row>
    <row r="976" spans="1:14">
      <c r="A976" s="45">
        <f ca="1">IFERROR(__xludf.DUMMYFUNCTION("""COMPUTED_VALUE"""),45813.5833333333)</f>
        <v>45813.583333333299</v>
      </c>
      <c r="B976" s="45">
        <f ca="1">IFERROR(__xludf.DUMMYFUNCTION("""COMPUTED_VALUE"""),45845.5833333333)</f>
        <v>45845.583333333299</v>
      </c>
      <c r="C976" s="46">
        <f ca="1">IFERROR(__xludf.DUMMYFUNCTION("""COMPUTED_VALUE"""),977)</f>
        <v>977</v>
      </c>
      <c r="D976" s="47" t="str">
        <f ca="1">IFERROR(__xludf.DUMMYFUNCTION("""COMPUTED_VALUE"""),"C0749")</f>
        <v>C0749</v>
      </c>
      <c r="E976" s="46" t="str">
        <f ca="1">IFERROR(__xludf.DUMMYFUNCTION("""COMPUTED_VALUE"""),"LÊ VÕ MINH HUY")</f>
        <v>LÊ VÕ MINH HUY</v>
      </c>
      <c r="F976" s="46" t="str">
        <f ca="1">IFERROR(__xludf.DUMMYFUNCTION("""COMPUTED_VALUE"""),"LE VO MINH HUY")</f>
        <v>LE VO MINH HUY</v>
      </c>
      <c r="G976" s="45">
        <f ca="1">IFERROR(__xludf.DUMMYFUNCTION("""COMPUTED_VALUE"""),36502.625)</f>
        <v>36502.625</v>
      </c>
      <c r="H976" s="45" t="str">
        <f ca="1">IFERROR(__xludf.DUMMYFUNCTION("""COMPUTED_VALUE"""),"MATTE")</f>
        <v>MATTE</v>
      </c>
      <c r="I976" s="46" t="str">
        <f ca="1">IFERROR(__xludf.DUMMYFUNCTION("""COMPUTED_VALUE"""),"STORE")</f>
        <v>STORE</v>
      </c>
      <c r="J976" s="46" t="str">
        <f ca="1">IFERROR(__xludf.DUMMYFUNCTION("""COMPUTED_VALUE"""),"MATTE D3")</f>
        <v>MATTE D3</v>
      </c>
      <c r="K976" s="46" t="str">
        <f ca="1">IFERROR(__xludf.DUMMYFUNCTION("""COMPUTED_VALUE"""),"BAR")</f>
        <v>BAR</v>
      </c>
      <c r="L976" s="46" t="str">
        <f ca="1">IFERROR(__xludf.DUMMYFUNCTION("""COMPUTED_VALUE"""),"PRO")</f>
        <v>PRO</v>
      </c>
      <c r="M976" s="46" t="str">
        <f ca="1">IFERROR(__xludf.DUMMYFUNCTION("""COMPUTED_VALUE"""),"Leave")</f>
        <v>Leave</v>
      </c>
      <c r="N976" s="46" t="str">
        <f ca="1">IFERROR(__xludf.DUMMYFUNCTION("""COMPUTED_VALUE"""),"đủ")</f>
        <v>đủ</v>
      </c>
    </row>
    <row r="977" spans="1:14">
      <c r="A977" s="45">
        <f ca="1">IFERROR(__xludf.DUMMYFUNCTION("""COMPUTED_VALUE"""),45818.5833333333)</f>
        <v>45818.583333333299</v>
      </c>
      <c r="B977" s="45"/>
      <c r="C977" s="46">
        <f ca="1">IFERROR(__xludf.DUMMYFUNCTION("""COMPUTED_VALUE"""),978)</f>
        <v>978</v>
      </c>
      <c r="D977" s="47" t="str">
        <f ca="1">IFERROR(__xludf.DUMMYFUNCTION("""COMPUTED_VALUE"""),"C0750")</f>
        <v>C0750</v>
      </c>
      <c r="E977" s="46" t="str">
        <f ca="1">IFERROR(__xludf.DUMMYFUNCTION("""COMPUTED_VALUE"""),"HỒ KIM XUYẾN")</f>
        <v>HỒ KIM XUYẾN</v>
      </c>
      <c r="F977" s="46" t="str">
        <f ca="1">IFERROR(__xludf.DUMMYFUNCTION("""COMPUTED_VALUE"""),"HO KIM XUYEN")</f>
        <v>HO KIM XUYEN</v>
      </c>
      <c r="G977" s="45">
        <f ca="1">IFERROR(__xludf.DUMMYFUNCTION("""COMPUTED_VALUE"""),36763.5833333333)</f>
        <v>36763.583333333299</v>
      </c>
      <c r="H977" s="45" t="str">
        <f ca="1">IFERROR(__xludf.DUMMYFUNCTION("""COMPUTED_VALUE"""),"YESHI")</f>
        <v>YESHI</v>
      </c>
      <c r="I977" s="46" t="str">
        <f ca="1">IFERROR(__xludf.DUMMYFUNCTION("""COMPUTED_VALUE"""),"STORE")</f>
        <v>STORE</v>
      </c>
      <c r="J977" s="46" t="str">
        <f ca="1">IFERROR(__xludf.DUMMYFUNCTION("""COMPUTED_VALUE"""),"YESHI D3")</f>
        <v>YESHI D3</v>
      </c>
      <c r="K977" s="46" t="str">
        <f ca="1">IFERROR(__xludf.DUMMYFUNCTION("""COMPUTED_VALUE"""),"CASHIER")</f>
        <v>CASHIER</v>
      </c>
      <c r="L977" s="46" t="str">
        <f ca="1">IFERROR(__xludf.DUMMYFUNCTION("""COMPUTED_VALUE"""),"FTE")</f>
        <v>FTE</v>
      </c>
      <c r="M977" s="46" t="str">
        <f ca="1">IFERROR(__xludf.DUMMYFUNCTION("""COMPUTED_VALUE"""),"On")</f>
        <v>On</v>
      </c>
      <c r="N977" s="46" t="str">
        <f ca="1">IFERROR(__xludf.DUMMYFUNCTION("""COMPUTED_VALUE"""),"đủ")</f>
        <v>đủ</v>
      </c>
    </row>
    <row r="978" spans="1:14">
      <c r="A978" s="45">
        <f ca="1">IFERROR(__xludf.DUMMYFUNCTION("""COMPUTED_VALUE"""),45813.5833333333)</f>
        <v>45813.583333333299</v>
      </c>
      <c r="B978" s="45">
        <f ca="1">IFERROR(__xludf.DUMMYFUNCTION("""COMPUTED_VALUE"""),45890.5833333333)</f>
        <v>45890.583333333299</v>
      </c>
      <c r="C978" s="46">
        <f ca="1">IFERROR(__xludf.DUMMYFUNCTION("""COMPUTED_VALUE"""),979)</f>
        <v>979</v>
      </c>
      <c r="D978" s="47" t="str">
        <f ca="1">IFERROR(__xludf.DUMMYFUNCTION("""COMPUTED_VALUE"""),"C0751")</f>
        <v>C0751</v>
      </c>
      <c r="E978" s="46" t="str">
        <f ca="1">IFERROR(__xludf.DUMMYFUNCTION("""COMPUTED_VALUE"""),"LÊ ĐĂNG KHOA")</f>
        <v>LÊ ĐĂNG KHOA</v>
      </c>
      <c r="F978" s="46" t="str">
        <f ca="1">IFERROR(__xludf.DUMMYFUNCTION("""COMPUTED_VALUE"""),"LE DANG KHOA")</f>
        <v>LE DANG KHOA</v>
      </c>
      <c r="G978" s="45">
        <f ca="1">IFERROR(__xludf.DUMMYFUNCTION("""COMPUTED_VALUE"""),38163.5833333333)</f>
        <v>38163.583333333299</v>
      </c>
      <c r="H978" s="45" t="str">
        <f ca="1">IFERROR(__xludf.DUMMYFUNCTION("""COMPUTED_VALUE"""),"MATTE")</f>
        <v>MATTE</v>
      </c>
      <c r="I978" s="46" t="str">
        <f ca="1">IFERROR(__xludf.DUMMYFUNCTION("""COMPUTED_VALUE"""),"STORE")</f>
        <v>STORE</v>
      </c>
      <c r="J978" s="46" t="str">
        <f ca="1">IFERROR(__xludf.DUMMYFUNCTION("""COMPUTED_VALUE"""),"MATTE D3")</f>
        <v>MATTE D3</v>
      </c>
      <c r="K978" s="46" t="str">
        <f ca="1">IFERROR(__xludf.DUMMYFUNCTION("""COMPUTED_VALUE"""),"BAR")</f>
        <v>BAR</v>
      </c>
      <c r="L978" s="46" t="str">
        <f ca="1">IFERROR(__xludf.DUMMYFUNCTION("""COMPUTED_VALUE"""),"PTE")</f>
        <v>PTE</v>
      </c>
      <c r="M978" s="46" t="str">
        <f ca="1">IFERROR(__xludf.DUMMYFUNCTION("""COMPUTED_VALUE"""),"Leave")</f>
        <v>Leave</v>
      </c>
      <c r="N978" s="46" t="str">
        <f ca="1">IFERROR(__xludf.DUMMYFUNCTION("""COMPUTED_VALUE"""),"đủ")</f>
        <v>đủ</v>
      </c>
    </row>
    <row r="979" spans="1:14">
      <c r="A979" s="45">
        <f ca="1">IFERROR(__xludf.DUMMYFUNCTION("""COMPUTED_VALUE"""),45818.5833333333)</f>
        <v>45818.583333333299</v>
      </c>
      <c r="B979" s="45">
        <f ca="1">IFERROR(__xludf.DUMMYFUNCTION("""COMPUTED_VALUE"""),45870.5833333333)</f>
        <v>45870.583333333299</v>
      </c>
      <c r="C979" s="46">
        <f ca="1">IFERROR(__xludf.DUMMYFUNCTION("""COMPUTED_VALUE"""),980)</f>
        <v>980</v>
      </c>
      <c r="D979" s="47" t="str">
        <f ca="1">IFERROR(__xludf.DUMMYFUNCTION("""COMPUTED_VALUE"""),"C0752")</f>
        <v>C0752</v>
      </c>
      <c r="E979" s="46" t="str">
        <f ca="1">IFERROR(__xludf.DUMMYFUNCTION("""COMPUTED_VALUE"""),"TÔ ĐINH TUYẾT ANH")</f>
        <v>TÔ ĐINH TUYẾT ANH</v>
      </c>
      <c r="F979" s="46" t="str">
        <f ca="1">IFERROR(__xludf.DUMMYFUNCTION("""COMPUTED_VALUE"""),"TO DINH TUYET ANH")</f>
        <v>TO DINH TUYET ANH</v>
      </c>
      <c r="G979" s="45">
        <f ca="1">IFERROR(__xludf.DUMMYFUNCTION("""COMPUTED_VALUE"""),35587.5833333333)</f>
        <v>35587.583333333299</v>
      </c>
      <c r="H979" s="45" t="str">
        <f ca="1">IFERROR(__xludf.DUMMYFUNCTION("""COMPUTED_VALUE"""),"YESHI")</f>
        <v>YESHI</v>
      </c>
      <c r="I979" s="46" t="str">
        <f ca="1">IFERROR(__xludf.DUMMYFUNCTION("""COMPUTED_VALUE"""),"STORE")</f>
        <v>STORE</v>
      </c>
      <c r="J979" s="46" t="str">
        <f ca="1">IFERROR(__xludf.DUMMYFUNCTION("""COMPUTED_VALUE"""),"YESHI D3")</f>
        <v>YESHI D3</v>
      </c>
      <c r="K979" s="46" t="str">
        <f ca="1">IFERROR(__xludf.DUMMYFUNCTION("""COMPUTED_VALUE"""),"BAR")</f>
        <v>BAR</v>
      </c>
      <c r="L979" s="46" t="str">
        <f ca="1">IFERROR(__xludf.DUMMYFUNCTION("""COMPUTED_VALUE"""),"PRO")</f>
        <v>PRO</v>
      </c>
      <c r="M979" s="46" t="str">
        <f ca="1">IFERROR(__xludf.DUMMYFUNCTION("""COMPUTED_VALUE"""),"Leave")</f>
        <v>Leave</v>
      </c>
      <c r="N979" s="46" t="str">
        <f ca="1">IFERROR(__xludf.DUMMYFUNCTION("""COMPUTED_VALUE"""),"đủ")</f>
        <v>đủ</v>
      </c>
    </row>
    <row r="980" spans="1:14">
      <c r="A980" s="45">
        <f ca="1">IFERROR(__xludf.DUMMYFUNCTION("""COMPUTED_VALUE"""),45818.5833333333)</f>
        <v>45818.583333333299</v>
      </c>
      <c r="B980" s="45">
        <f ca="1">IFERROR(__xludf.DUMMYFUNCTION("""COMPUTED_VALUE"""),45834.5833333333)</f>
        <v>45834.583333333299</v>
      </c>
      <c r="C980" s="46">
        <f ca="1">IFERROR(__xludf.DUMMYFUNCTION("""COMPUTED_VALUE"""),981)</f>
        <v>981</v>
      </c>
      <c r="D980" s="47" t="str">
        <f ca="1">IFERROR(__xludf.DUMMYFUNCTION("""COMPUTED_VALUE"""),"C0753")</f>
        <v>C0753</v>
      </c>
      <c r="E980" s="46" t="str">
        <f ca="1">IFERROR(__xludf.DUMMYFUNCTION("""COMPUTED_VALUE"""),"LÊ DUY TÙNG")</f>
        <v>LÊ DUY TÙNG</v>
      </c>
      <c r="F980" s="46" t="str">
        <f ca="1">IFERROR(__xludf.DUMMYFUNCTION("""COMPUTED_VALUE"""),"LE DUY TUNG")</f>
        <v>LE DUY TUNG</v>
      </c>
      <c r="G980" s="45">
        <f ca="1">IFERROR(__xludf.DUMMYFUNCTION("""COMPUTED_VALUE"""),37209.625)</f>
        <v>37209.625</v>
      </c>
      <c r="H980" s="45" t="str">
        <f ca="1">IFERROR(__xludf.DUMMYFUNCTION("""COMPUTED_VALUE"""),"YESHI")</f>
        <v>YESHI</v>
      </c>
      <c r="I980" s="46" t="str">
        <f ca="1">IFERROR(__xludf.DUMMYFUNCTION("""COMPUTED_VALUE"""),"STORE")</f>
        <v>STORE</v>
      </c>
      <c r="J980" s="46" t="str">
        <f ca="1">IFERROR(__xludf.DUMMYFUNCTION("""COMPUTED_VALUE"""),"YESHI D3")</f>
        <v>YESHI D3</v>
      </c>
      <c r="K980" s="46" t="str">
        <f ca="1">IFERROR(__xludf.DUMMYFUNCTION("""COMPUTED_VALUE"""),"BAR")</f>
        <v>BAR</v>
      </c>
      <c r="L980" s="46" t="str">
        <f ca="1">IFERROR(__xludf.DUMMYFUNCTION("""COMPUTED_VALUE"""),"PRO")</f>
        <v>PRO</v>
      </c>
      <c r="M980" s="46" t="str">
        <f ca="1">IFERROR(__xludf.DUMMYFUNCTION("""COMPUTED_VALUE"""),"Leave")</f>
        <v>Leave</v>
      </c>
      <c r="N980" s="46" t="str">
        <f ca="1">IFERROR(__xludf.DUMMYFUNCTION("""COMPUTED_VALUE"""),"chua nop")</f>
        <v>chua nop</v>
      </c>
    </row>
    <row r="981" spans="1:14">
      <c r="A981" s="45">
        <f ca="1">IFERROR(__xludf.DUMMYFUNCTION("""COMPUTED_VALUE"""),45818.5833333333)</f>
        <v>45818.583333333299</v>
      </c>
      <c r="B981" s="45"/>
      <c r="C981" s="46">
        <f ca="1">IFERROR(__xludf.DUMMYFUNCTION("""COMPUTED_VALUE"""),982)</f>
        <v>982</v>
      </c>
      <c r="D981" s="47" t="str">
        <f ca="1">IFERROR(__xludf.DUMMYFUNCTION("""COMPUTED_VALUE"""),"C0754")</f>
        <v>C0754</v>
      </c>
      <c r="E981" s="46" t="str">
        <f ca="1">IFERROR(__xludf.DUMMYFUNCTION("""COMPUTED_VALUE"""),"NGUYỄN THỊ NGỌC BÍCH")</f>
        <v>NGUYỄN THỊ NGỌC BÍCH</v>
      </c>
      <c r="F981" s="46" t="str">
        <f ca="1">IFERROR(__xludf.DUMMYFUNCTION("""COMPUTED_VALUE"""),"NGUYEN THI NGOC BICH")</f>
        <v>NGUYEN THI NGOC BICH</v>
      </c>
      <c r="G981" s="45">
        <f ca="1">IFERROR(__xludf.DUMMYFUNCTION("""COMPUTED_VALUE"""),36873.625)</f>
        <v>36873.625</v>
      </c>
      <c r="H981" s="45" t="str">
        <f ca="1">IFERROR(__xludf.DUMMYFUNCTION("""COMPUTED_VALUE"""),"YESHI")</f>
        <v>YESHI</v>
      </c>
      <c r="I981" s="46" t="str">
        <f ca="1">IFERROR(__xludf.DUMMYFUNCTION("""COMPUTED_VALUE"""),"STORE")</f>
        <v>STORE</v>
      </c>
      <c r="J981" s="46" t="str">
        <f ca="1">IFERROR(__xludf.DUMMYFUNCTION("""COMPUTED_VALUE"""),"YESHI D3")</f>
        <v>YESHI D3</v>
      </c>
      <c r="K981" s="46" t="str">
        <f ca="1">IFERROR(__xludf.DUMMYFUNCTION("""COMPUTED_VALUE"""),"WAITSTAFF")</f>
        <v>WAITSTAFF</v>
      </c>
      <c r="L981" s="46" t="str">
        <f ca="1">IFERROR(__xludf.DUMMYFUNCTION("""COMPUTED_VALUE"""),"FTE")</f>
        <v>FTE</v>
      </c>
      <c r="M981" s="46" t="str">
        <f ca="1">IFERROR(__xludf.DUMMYFUNCTION("""COMPUTED_VALUE"""),"On")</f>
        <v>On</v>
      </c>
      <c r="N981" s="46" t="str">
        <f ca="1">IFERROR(__xludf.DUMMYFUNCTION("""COMPUTED_VALUE"""),"đủ")</f>
        <v>đủ</v>
      </c>
    </row>
    <row r="982" spans="1:14">
      <c r="A982" s="45">
        <f ca="1">IFERROR(__xludf.DUMMYFUNCTION("""COMPUTED_VALUE"""),45822.5833333333)</f>
        <v>45822.583333333299</v>
      </c>
      <c r="B982" s="45">
        <f ca="1">IFERROR(__xludf.DUMMYFUNCTION("""COMPUTED_VALUE"""),45978.625)</f>
        <v>45978.625</v>
      </c>
      <c r="C982" s="46">
        <f ca="1">IFERROR(__xludf.DUMMYFUNCTION("""COMPUTED_VALUE"""),983)</f>
        <v>983</v>
      </c>
      <c r="D982" s="47" t="str">
        <f ca="1">IFERROR(__xludf.DUMMYFUNCTION("""COMPUTED_VALUE"""),"C0755")</f>
        <v>C0755</v>
      </c>
      <c r="E982" s="46" t="str">
        <f ca="1">IFERROR(__xludf.DUMMYFUNCTION("""COMPUTED_VALUE"""),"NGUYỄN THỊ NGỌC UYÊN")</f>
        <v>NGUYỄN THỊ NGỌC UYÊN</v>
      </c>
      <c r="F982" s="46" t="str">
        <f ca="1">IFERROR(__xludf.DUMMYFUNCTION("""COMPUTED_VALUE"""),"NGUYEN THI NGOC UYEN")</f>
        <v>NGUYEN THI NGOC UYEN</v>
      </c>
      <c r="G982" s="45">
        <f ca="1">IFERROR(__xludf.DUMMYFUNCTION("""COMPUTED_VALUE"""),36658.5833333333)</f>
        <v>36658.583333333299</v>
      </c>
      <c r="H982" s="45" t="str">
        <f ca="1">IFERROR(__xludf.DUMMYFUNCTION("""COMPUTED_VALUE"""),"BAKES")</f>
        <v>BAKES</v>
      </c>
      <c r="I982" s="46" t="str">
        <f ca="1">IFERROR(__xludf.DUMMYFUNCTION("""COMPUTED_VALUE"""),"STORE")</f>
        <v>STORE</v>
      </c>
      <c r="J982" s="46" t="str">
        <f ca="1">IFERROR(__xludf.DUMMYFUNCTION("""COMPUTED_VALUE"""),"BAKES D2")</f>
        <v>BAKES D2</v>
      </c>
      <c r="K982" s="46" t="str">
        <f ca="1">IFERROR(__xludf.DUMMYFUNCTION("""COMPUTED_VALUE"""),"BAR")</f>
        <v>BAR</v>
      </c>
      <c r="L982" s="46" t="str">
        <f ca="1">IFERROR(__xludf.DUMMYFUNCTION("""COMPUTED_VALUE"""),"FTE")</f>
        <v>FTE</v>
      </c>
      <c r="M982" s="46" t="str">
        <f ca="1">IFERROR(__xludf.DUMMYFUNCTION("""COMPUTED_VALUE"""),"Leave")</f>
        <v>Leave</v>
      </c>
      <c r="N982" s="46" t="str">
        <f ca="1">IFERROR(__xludf.DUMMYFUNCTION("""COMPUTED_VALUE"""),"đủ")</f>
        <v>đủ</v>
      </c>
    </row>
    <row r="983" spans="1:14">
      <c r="A983" s="45">
        <f ca="1">IFERROR(__xludf.DUMMYFUNCTION("""COMPUTED_VALUE"""),45811.5833333333)</f>
        <v>45811.583333333299</v>
      </c>
      <c r="B983" s="45"/>
      <c r="C983" s="46">
        <f ca="1">IFERROR(__xludf.DUMMYFUNCTION("""COMPUTED_VALUE"""),984)</f>
        <v>984</v>
      </c>
      <c r="D983" s="47" t="str">
        <f ca="1">IFERROR(__xludf.DUMMYFUNCTION("""COMPUTED_VALUE"""),"C0756")</f>
        <v>C0756</v>
      </c>
      <c r="E983" s="46" t="str">
        <f ca="1">IFERROR(__xludf.DUMMYFUNCTION("""COMPUTED_VALUE"""),"TĂNG HOÀI MỸ TIÊN")</f>
        <v>TĂNG HOÀI MỸ TIÊN</v>
      </c>
      <c r="F983" s="46" t="str">
        <f ca="1">IFERROR(__xludf.DUMMYFUNCTION("""COMPUTED_VALUE"""),"TANG HOAI MY TIEN")</f>
        <v>TANG HOAI MY TIEN</v>
      </c>
      <c r="G983" s="45">
        <f ca="1">IFERROR(__xludf.DUMMYFUNCTION("""COMPUTED_VALUE"""),37813.5833333333)</f>
        <v>37813.583333333299</v>
      </c>
      <c r="H983" s="45" t="str">
        <f ca="1">IFERROR(__xludf.DUMMYFUNCTION("""COMPUTED_VALUE"""),"YESHI")</f>
        <v>YESHI</v>
      </c>
      <c r="I983" s="46" t="str">
        <f ca="1">IFERROR(__xludf.DUMMYFUNCTION("""COMPUTED_VALUE"""),"STORE")</f>
        <v>STORE</v>
      </c>
      <c r="J983" s="46" t="str">
        <f ca="1">IFERROR(__xludf.DUMMYFUNCTION("""COMPUTED_VALUE"""),"YESHI D2")</f>
        <v>YESHI D2</v>
      </c>
      <c r="K983" s="46" t="str">
        <f ca="1">IFERROR(__xludf.DUMMYFUNCTION("""COMPUTED_VALUE"""),"WAITSTAFF")</f>
        <v>WAITSTAFF</v>
      </c>
      <c r="L983" s="46" t="str">
        <f ca="1">IFERROR(__xludf.DUMMYFUNCTION("""COMPUTED_VALUE"""),"FTE")</f>
        <v>FTE</v>
      </c>
      <c r="M983" s="46" t="str">
        <f ca="1">IFERROR(__xludf.DUMMYFUNCTION("""COMPUTED_VALUE"""),"On")</f>
        <v>On</v>
      </c>
      <c r="N983" s="46" t="str">
        <f ca="1">IFERROR(__xludf.DUMMYFUNCTION("""COMPUTED_VALUE"""),"đủ")</f>
        <v>đủ</v>
      </c>
    </row>
    <row r="984" spans="1:14">
      <c r="A984" s="45">
        <f ca="1">IFERROR(__xludf.DUMMYFUNCTION("""COMPUTED_VALUE"""),45821.5833333333)</f>
        <v>45821.583333333299</v>
      </c>
      <c r="B984" s="45">
        <f ca="1">IFERROR(__xludf.DUMMYFUNCTION("""COMPUTED_VALUE"""),45870.5833333333)</f>
        <v>45870.583333333299</v>
      </c>
      <c r="C984" s="46">
        <f ca="1">IFERROR(__xludf.DUMMYFUNCTION("""COMPUTED_VALUE"""),985)</f>
        <v>985</v>
      </c>
      <c r="D984" s="47" t="str">
        <f ca="1">IFERROR(__xludf.DUMMYFUNCTION("""COMPUTED_VALUE"""),"C0757")</f>
        <v>C0757</v>
      </c>
      <c r="E984" s="46" t="str">
        <f ca="1">IFERROR(__xludf.DUMMYFUNCTION("""COMPUTED_VALUE"""),"PHAN HOÀNG LINH")</f>
        <v>PHAN HOÀNG LINH</v>
      </c>
      <c r="F984" s="46" t="str">
        <f ca="1">IFERROR(__xludf.DUMMYFUNCTION("""COMPUTED_VALUE"""),"PHAN HOANG LINH")</f>
        <v>PHAN HOANG LINH</v>
      </c>
      <c r="G984" s="45">
        <f ca="1">IFERROR(__xludf.DUMMYFUNCTION("""COMPUTED_VALUE"""),37730.5833333333)</f>
        <v>37730.583333333299</v>
      </c>
      <c r="H984" s="45" t="str">
        <f ca="1">IFERROR(__xludf.DUMMYFUNCTION("""COMPUTED_VALUE"""),"BAKES")</f>
        <v>BAKES</v>
      </c>
      <c r="I984" s="46" t="str">
        <f ca="1">IFERROR(__xludf.DUMMYFUNCTION("""COMPUTED_VALUE"""),"STORE")</f>
        <v>STORE</v>
      </c>
      <c r="J984" s="46" t="str">
        <f ca="1">IFERROR(__xludf.DUMMYFUNCTION("""COMPUTED_VALUE"""),"BAKES D2")</f>
        <v>BAKES D2</v>
      </c>
      <c r="K984" s="46" t="str">
        <f ca="1">IFERROR(__xludf.DUMMYFUNCTION("""COMPUTED_VALUE"""),"WAITSTAFF")</f>
        <v>WAITSTAFF</v>
      </c>
      <c r="L984" s="46" t="str">
        <f ca="1">IFERROR(__xludf.DUMMYFUNCTION("""COMPUTED_VALUE"""),"PTE")</f>
        <v>PTE</v>
      </c>
      <c r="M984" s="46" t="str">
        <f ca="1">IFERROR(__xludf.DUMMYFUNCTION("""COMPUTED_VALUE"""),"Leave")</f>
        <v>Leave</v>
      </c>
      <c r="N984" s="46" t="str">
        <f ca="1">IFERROR(__xludf.DUMMYFUNCTION("""COMPUTED_VALUE"""),"đủ")</f>
        <v>đủ</v>
      </c>
    </row>
    <row r="985" spans="1:14">
      <c r="A985" s="45">
        <f ca="1">IFERROR(__xludf.DUMMYFUNCTION("""COMPUTED_VALUE"""),45825.5833333333)</f>
        <v>45825.583333333299</v>
      </c>
      <c r="B985" s="45">
        <f ca="1">IFERROR(__xludf.DUMMYFUNCTION("""COMPUTED_VALUE"""),45885.5833333333)</f>
        <v>45885.583333333299</v>
      </c>
      <c r="C985" s="46">
        <f ca="1">IFERROR(__xludf.DUMMYFUNCTION("""COMPUTED_VALUE"""),986)</f>
        <v>986</v>
      </c>
      <c r="D985" s="47" t="str">
        <f ca="1">IFERROR(__xludf.DUMMYFUNCTION("""COMPUTED_VALUE"""),"C0758")</f>
        <v>C0758</v>
      </c>
      <c r="E985" s="46" t="str">
        <f ca="1">IFERROR(__xludf.DUMMYFUNCTION("""COMPUTED_VALUE"""),"TRẦN SANG")</f>
        <v>TRẦN SANG</v>
      </c>
      <c r="F985" s="46" t="str">
        <f ca="1">IFERROR(__xludf.DUMMYFUNCTION("""COMPUTED_VALUE"""),"TRAN SANG")</f>
        <v>TRAN SANG</v>
      </c>
      <c r="G985" s="45">
        <f ca="1">IFERROR(__xludf.DUMMYFUNCTION("""COMPUTED_VALUE"""),36637.5833333333)</f>
        <v>36637.583333333299</v>
      </c>
      <c r="H985" s="45" t="str">
        <f ca="1">IFERROR(__xludf.DUMMYFUNCTION("""COMPUTED_VALUE"""),"TLC")</f>
        <v>TLC</v>
      </c>
      <c r="I985" s="46" t="str">
        <f ca="1">IFERROR(__xludf.DUMMYFUNCTION("""COMPUTED_VALUE"""),"HO")</f>
        <v>HO</v>
      </c>
      <c r="J985" s="46" t="str">
        <f ca="1">IFERROR(__xludf.DUMMYFUNCTION("""COMPUTED_VALUE"""),"FIN")</f>
        <v>FIN</v>
      </c>
      <c r="K985" s="46" t="str">
        <f ca="1">IFERROR(__xludf.DUMMYFUNCTION("""COMPUTED_VALUE"""),"FIN")</f>
        <v>FIN</v>
      </c>
      <c r="L985" s="46" t="str">
        <f ca="1">IFERROR(__xludf.DUMMYFUNCTION("""COMPUTED_VALUE"""),"PRO")</f>
        <v>PRO</v>
      </c>
      <c r="M985" s="46" t="str">
        <f ca="1">IFERROR(__xludf.DUMMYFUNCTION("""COMPUTED_VALUE"""),"Leave")</f>
        <v>Leave</v>
      </c>
      <c r="N985" s="46" t="str">
        <f ca="1">IFERROR(__xludf.DUMMYFUNCTION("""COMPUTED_VALUE"""),"đủ")</f>
        <v>đủ</v>
      </c>
    </row>
    <row r="986" spans="1:14">
      <c r="A986" s="45">
        <f ca="1">IFERROR(__xludf.DUMMYFUNCTION("""COMPUTED_VALUE"""),45825.5833333333)</f>
        <v>45825.583333333299</v>
      </c>
      <c r="B986" s="45">
        <f ca="1">IFERROR(__xludf.DUMMYFUNCTION("""COMPUTED_VALUE"""),45880.5833333333)</f>
        <v>45880.583333333299</v>
      </c>
      <c r="C986" s="46">
        <f ca="1">IFERROR(__xludf.DUMMYFUNCTION("""COMPUTED_VALUE"""),987)</f>
        <v>987</v>
      </c>
      <c r="D986" s="47" t="str">
        <f ca="1">IFERROR(__xludf.DUMMYFUNCTION("""COMPUTED_VALUE"""),"C0759")</f>
        <v>C0759</v>
      </c>
      <c r="E986" s="46" t="str">
        <f ca="1">IFERROR(__xludf.DUMMYFUNCTION("""COMPUTED_VALUE"""),"NGUYỄN DƯƠNG THANH NHÀN")</f>
        <v>NGUYỄN DƯƠNG THANH NHÀN</v>
      </c>
      <c r="F986" s="46" t="str">
        <f ca="1">IFERROR(__xludf.DUMMYFUNCTION("""COMPUTED_VALUE"""),"NGUYEN DUONG THANH NHAN")</f>
        <v>NGUYEN DUONG THANH NHAN</v>
      </c>
      <c r="G986" s="45">
        <f ca="1">IFERROR(__xludf.DUMMYFUNCTION("""COMPUTED_VALUE"""),36858.625)</f>
        <v>36858.625</v>
      </c>
      <c r="H986" s="45" t="str">
        <f ca="1">IFERROR(__xludf.DUMMYFUNCTION("""COMPUTED_VALUE"""),"YESHI")</f>
        <v>YESHI</v>
      </c>
      <c r="I986" s="46" t="str">
        <f ca="1">IFERROR(__xludf.DUMMYFUNCTION("""COMPUTED_VALUE"""),"STORE")</f>
        <v>STORE</v>
      </c>
      <c r="J986" s="46" t="str">
        <f ca="1">IFERROR(__xludf.DUMMYFUNCTION("""COMPUTED_VALUE"""),"YESHI D3")</f>
        <v>YESHI D3</v>
      </c>
      <c r="K986" s="46" t="str">
        <f ca="1">IFERROR(__xludf.DUMMYFUNCTION("""COMPUTED_VALUE"""),"WAITSTAFF")</f>
        <v>WAITSTAFF</v>
      </c>
      <c r="L986" s="46" t="str">
        <f ca="1">IFERROR(__xludf.DUMMYFUNCTION("""COMPUTED_VALUE"""),"PRO")</f>
        <v>PRO</v>
      </c>
      <c r="M986" s="46" t="str">
        <f ca="1">IFERROR(__xludf.DUMMYFUNCTION("""COMPUTED_VALUE"""),"Leave")</f>
        <v>Leave</v>
      </c>
      <c r="N986" s="46" t="str">
        <f ca="1">IFERROR(__xludf.DUMMYFUNCTION("""COMPUTED_VALUE"""),"đủ")</f>
        <v>đủ</v>
      </c>
    </row>
    <row r="987" spans="1:14">
      <c r="A987" s="45">
        <f ca="1">IFERROR(__xludf.DUMMYFUNCTION("""COMPUTED_VALUE"""),45821.5833333333)</f>
        <v>45821.583333333299</v>
      </c>
      <c r="B987" s="45"/>
      <c r="C987" s="46">
        <f ca="1">IFERROR(__xludf.DUMMYFUNCTION("""COMPUTED_VALUE"""),988)</f>
        <v>988</v>
      </c>
      <c r="D987" s="47" t="str">
        <f ca="1">IFERROR(__xludf.DUMMYFUNCTION("""COMPUTED_VALUE"""),"C0760")</f>
        <v>C0760</v>
      </c>
      <c r="E987" s="46" t="str">
        <f ca="1">IFERROR(__xludf.DUMMYFUNCTION("""COMPUTED_VALUE"""),"VŨ GIA KHANG")</f>
        <v>VŨ GIA KHANG</v>
      </c>
      <c r="F987" s="46" t="str">
        <f ca="1">IFERROR(__xludf.DUMMYFUNCTION("""COMPUTED_VALUE"""),"VU GIA KHANG")</f>
        <v>VU GIA KHANG</v>
      </c>
      <c r="G987" s="45">
        <f ca="1">IFERROR(__xludf.DUMMYFUNCTION("""COMPUTED_VALUE"""),34956.5833333333)</f>
        <v>34956.583333333299</v>
      </c>
      <c r="H987" s="45" t="str">
        <f ca="1">IFERROR(__xludf.DUMMYFUNCTION("""COMPUTED_VALUE"""),"YESHI")</f>
        <v>YESHI</v>
      </c>
      <c r="I987" s="46" t="str">
        <f ca="1">IFERROR(__xludf.DUMMYFUNCTION("""COMPUTED_VALUE"""),"STORE")</f>
        <v>STORE</v>
      </c>
      <c r="J987" s="46" t="str">
        <f ca="1">IFERROR(__xludf.DUMMYFUNCTION("""COMPUTED_VALUE"""),"YESHI D3")</f>
        <v>YESHI D3</v>
      </c>
      <c r="K987" s="46" t="str">
        <f ca="1">IFERROR(__xludf.DUMMYFUNCTION("""COMPUTED_VALUE"""),"KIT")</f>
        <v>KIT</v>
      </c>
      <c r="L987" s="46" t="str">
        <f ca="1">IFERROR(__xludf.DUMMYFUNCTION("""COMPUTED_VALUE"""),"FTE")</f>
        <v>FTE</v>
      </c>
      <c r="M987" s="46" t="str">
        <f ca="1">IFERROR(__xludf.DUMMYFUNCTION("""COMPUTED_VALUE"""),"On")</f>
        <v>On</v>
      </c>
      <c r="N987" s="46" t="str">
        <f ca="1">IFERROR(__xludf.DUMMYFUNCTION("""COMPUTED_VALUE"""),"đủ")</f>
        <v>đủ</v>
      </c>
    </row>
    <row r="988" spans="1:14">
      <c r="A988" s="45">
        <f ca="1">IFERROR(__xludf.DUMMYFUNCTION("""COMPUTED_VALUE"""),45820.5833333333)</f>
        <v>45820.583333333299</v>
      </c>
      <c r="B988" s="45">
        <f ca="1">IFERROR(__xludf.DUMMYFUNCTION("""COMPUTED_VALUE"""),46054.625)</f>
        <v>46054.625</v>
      </c>
      <c r="C988" s="46">
        <f ca="1">IFERROR(__xludf.DUMMYFUNCTION("""COMPUTED_VALUE"""),989)</f>
        <v>989</v>
      </c>
      <c r="D988" s="47" t="str">
        <f ca="1">IFERROR(__xludf.DUMMYFUNCTION("""COMPUTED_VALUE"""),"C0761")</f>
        <v>C0761</v>
      </c>
      <c r="E988" s="46" t="str">
        <f ca="1">IFERROR(__xludf.DUMMYFUNCTION("""COMPUTED_VALUE"""),"VÕ THANH TÙNG")</f>
        <v>VÕ THANH TÙNG</v>
      </c>
      <c r="F988" s="46" t="str">
        <f ca="1">IFERROR(__xludf.DUMMYFUNCTION("""COMPUTED_VALUE"""),"VO THANH TUNG")</f>
        <v>VO THANH TUNG</v>
      </c>
      <c r="G988" s="45">
        <f ca="1">IFERROR(__xludf.DUMMYFUNCTION("""COMPUTED_VALUE"""),38114.5833333333)</f>
        <v>38114.583333333299</v>
      </c>
      <c r="H988" s="45" t="str">
        <f ca="1">IFERROR(__xludf.DUMMYFUNCTION("""COMPUTED_VALUE"""),"YESHI")</f>
        <v>YESHI</v>
      </c>
      <c r="I988" s="46" t="str">
        <f ca="1">IFERROR(__xludf.DUMMYFUNCTION("""COMPUTED_VALUE"""),"STORE")</f>
        <v>STORE</v>
      </c>
      <c r="J988" s="46" t="str">
        <f ca="1">IFERROR(__xludf.DUMMYFUNCTION("""COMPUTED_VALUE"""),"YESHI D2")</f>
        <v>YESHI D2</v>
      </c>
      <c r="K988" s="46" t="str">
        <f ca="1">IFERROR(__xludf.DUMMYFUNCTION("""COMPUTED_VALUE"""),"KIT")</f>
        <v>KIT</v>
      </c>
      <c r="L988" s="46" t="str">
        <f ca="1">IFERROR(__xludf.DUMMYFUNCTION("""COMPUTED_VALUE"""),"PTE")</f>
        <v>PTE</v>
      </c>
      <c r="M988" s="46" t="str">
        <f ca="1">IFERROR(__xludf.DUMMYFUNCTION("""COMPUTED_VALUE"""),"Leave")</f>
        <v>Leave</v>
      </c>
      <c r="N988" s="46" t="str">
        <f ca="1">IFERROR(__xludf.DUMMYFUNCTION("""COMPUTED_VALUE"""),"đủ")</f>
        <v>đủ</v>
      </c>
    </row>
    <row r="989" spans="1:14">
      <c r="A989" s="45">
        <f ca="1">IFERROR(__xludf.DUMMYFUNCTION("""COMPUTED_VALUE"""),45825.5833333333)</f>
        <v>45825.583333333299</v>
      </c>
      <c r="B989" s="45">
        <f ca="1">IFERROR(__xludf.DUMMYFUNCTION("""COMPUTED_VALUE"""),46148.5833333333)</f>
        <v>46148.583333333299</v>
      </c>
      <c r="C989" s="46">
        <f ca="1">IFERROR(__xludf.DUMMYFUNCTION("""COMPUTED_VALUE"""),990)</f>
        <v>990</v>
      </c>
      <c r="D989" s="47" t="str">
        <f ca="1">IFERROR(__xludf.DUMMYFUNCTION("""COMPUTED_VALUE"""),"C0762")</f>
        <v>C0762</v>
      </c>
      <c r="E989" s="46" t="str">
        <f ca="1">IFERROR(__xludf.DUMMYFUNCTION("""COMPUTED_VALUE"""),"HUỲNH VŨ HUY")</f>
        <v>HUỲNH VŨ HUY</v>
      </c>
      <c r="F989" s="46" t="str">
        <f ca="1">IFERROR(__xludf.DUMMYFUNCTION("""COMPUTED_VALUE"""),"HUYNH VU HUY")</f>
        <v>HUYNH VU HUY</v>
      </c>
      <c r="G989" s="45">
        <f ca="1">IFERROR(__xludf.DUMMYFUNCTION("""COMPUTED_VALUE"""),38151.5833333333)</f>
        <v>38151.583333333299</v>
      </c>
      <c r="H989" s="45" t="str">
        <f ca="1">IFERROR(__xludf.DUMMYFUNCTION("""COMPUTED_VALUE"""),"YESHI")</f>
        <v>YESHI</v>
      </c>
      <c r="I989" s="46" t="str">
        <f ca="1">IFERROR(__xludf.DUMMYFUNCTION("""COMPUTED_VALUE"""),"STORE")</f>
        <v>STORE</v>
      </c>
      <c r="J989" s="46" t="str">
        <f ca="1">IFERROR(__xludf.DUMMYFUNCTION("""COMPUTED_VALUE"""),"YESHI D2")</f>
        <v>YESHI D2</v>
      </c>
      <c r="K989" s="46" t="str">
        <f ca="1">IFERROR(__xludf.DUMMYFUNCTION("""COMPUTED_VALUE"""),"KIT")</f>
        <v>KIT</v>
      </c>
      <c r="L989" s="46" t="str">
        <f ca="1">IFERROR(__xludf.DUMMYFUNCTION("""COMPUTED_VALUE"""),"PTE")</f>
        <v>PTE</v>
      </c>
      <c r="M989" s="46" t="str">
        <f ca="1">IFERROR(__xludf.DUMMYFUNCTION("""COMPUTED_VALUE"""),"Leave")</f>
        <v>Leave</v>
      </c>
      <c r="N989" s="46" t="str">
        <f ca="1">IFERROR(__xludf.DUMMYFUNCTION("""COMPUTED_VALUE"""),"đủ")</f>
        <v>đủ</v>
      </c>
    </row>
    <row r="990" spans="1:14">
      <c r="A990" s="45">
        <f ca="1">IFERROR(__xludf.DUMMYFUNCTION("""COMPUTED_VALUE"""),45826.5833333333)</f>
        <v>45826.583333333299</v>
      </c>
      <c r="B990" s="45">
        <f ca="1">IFERROR(__xludf.DUMMYFUNCTION("""COMPUTED_VALUE"""),46013.625)</f>
        <v>46013.625</v>
      </c>
      <c r="C990" s="46">
        <f ca="1">IFERROR(__xludf.DUMMYFUNCTION("""COMPUTED_VALUE"""),991)</f>
        <v>991</v>
      </c>
      <c r="D990" s="47" t="str">
        <f ca="1">IFERROR(__xludf.DUMMYFUNCTION("""COMPUTED_VALUE"""),"C0763")</f>
        <v>C0763</v>
      </c>
      <c r="E990" s="46" t="str">
        <f ca="1">IFERROR(__xludf.DUMMYFUNCTION("""COMPUTED_VALUE"""),"NGUYỄN HOÀNG QUỐC THIÊN")</f>
        <v>NGUYỄN HOÀNG QUỐC THIÊN</v>
      </c>
      <c r="F990" s="46" t="str">
        <f ca="1">IFERROR(__xludf.DUMMYFUNCTION("""COMPUTED_VALUE"""),"NGUYEN HOANG QUOC THIEN")</f>
        <v>NGUYEN HOANG QUOC THIEN</v>
      </c>
      <c r="G990" s="45">
        <f ca="1">IFERROR(__xludf.DUMMYFUNCTION("""COMPUTED_VALUE"""),34913.5833333333)</f>
        <v>34913.583333333299</v>
      </c>
      <c r="H990" s="45" t="str">
        <f ca="1">IFERROR(__xludf.DUMMYFUNCTION("""COMPUTED_VALUE"""),"YESHI")</f>
        <v>YESHI</v>
      </c>
      <c r="I990" s="46" t="str">
        <f ca="1">IFERROR(__xludf.DUMMYFUNCTION("""COMPUTED_VALUE"""),"STORE")</f>
        <v>STORE</v>
      </c>
      <c r="J990" s="46" t="str">
        <f ca="1">IFERROR(__xludf.DUMMYFUNCTION("""COMPUTED_VALUE"""),"YESHI D2")</f>
        <v>YESHI D2</v>
      </c>
      <c r="K990" s="46" t="str">
        <f ca="1">IFERROR(__xludf.DUMMYFUNCTION("""COMPUTED_VALUE"""),"WAITSTAFF")</f>
        <v>WAITSTAFF</v>
      </c>
      <c r="L990" s="46" t="str">
        <f ca="1">IFERROR(__xludf.DUMMYFUNCTION("""COMPUTED_VALUE"""),"PTE")</f>
        <v>PTE</v>
      </c>
      <c r="M990" s="46" t="str">
        <f ca="1">IFERROR(__xludf.DUMMYFUNCTION("""COMPUTED_VALUE"""),"Leave")</f>
        <v>Leave</v>
      </c>
      <c r="N990" s="46" t="str">
        <f ca="1">IFERROR(__xludf.DUMMYFUNCTION("""COMPUTED_VALUE"""),"đủ")</f>
        <v>đủ</v>
      </c>
    </row>
    <row r="991" spans="1:14">
      <c r="A991" s="45">
        <f ca="1">IFERROR(__xludf.DUMMYFUNCTION("""COMPUTED_VALUE"""),45824.5833333333)</f>
        <v>45824.583333333299</v>
      </c>
      <c r="B991" s="45"/>
      <c r="C991" s="46">
        <f ca="1">IFERROR(__xludf.DUMMYFUNCTION("""COMPUTED_VALUE"""),992)</f>
        <v>992</v>
      </c>
      <c r="D991" s="47" t="str">
        <f ca="1">IFERROR(__xludf.DUMMYFUNCTION("""COMPUTED_VALUE"""),"C0764")</f>
        <v>C0764</v>
      </c>
      <c r="E991" s="46" t="str">
        <f ca="1">IFERROR(__xludf.DUMMYFUNCTION("""COMPUTED_VALUE"""),"LÊ HOÀNG KIM NGÂN")</f>
        <v>LÊ HOÀNG KIM NGÂN</v>
      </c>
      <c r="F991" s="46" t="str">
        <f ca="1">IFERROR(__xludf.DUMMYFUNCTION("""COMPUTED_VALUE"""),"LE HOANG KIM NGAN")</f>
        <v>LE HOANG KIM NGAN</v>
      </c>
      <c r="G991" s="45">
        <f ca="1">IFERROR(__xludf.DUMMYFUNCTION("""COMPUTED_VALUE"""),36352.5833333333)</f>
        <v>36352.583333333299</v>
      </c>
      <c r="H991" s="45" t="str">
        <f ca="1">IFERROR(__xludf.DUMMYFUNCTION("""COMPUTED_VALUE"""),"BAKES")</f>
        <v>BAKES</v>
      </c>
      <c r="I991" s="46" t="str">
        <f ca="1">IFERROR(__xludf.DUMMYFUNCTION("""COMPUTED_VALUE"""),"HO")</f>
        <v>HO</v>
      </c>
      <c r="J991" s="46" t="str">
        <f ca="1">IFERROR(__xludf.DUMMYFUNCTION("""COMPUTED_VALUE"""),"PET")</f>
        <v>PET</v>
      </c>
      <c r="K991" s="46" t="str">
        <f ca="1">IFERROR(__xludf.DUMMYFUNCTION("""COMPUTED_VALUE"""),"PET")</f>
        <v>PET</v>
      </c>
      <c r="L991" s="46" t="str">
        <f ca="1">IFERROR(__xludf.DUMMYFUNCTION("""COMPUTED_VALUE"""),"FTE")</f>
        <v>FTE</v>
      </c>
      <c r="M991" s="46" t="str">
        <f ca="1">IFERROR(__xludf.DUMMYFUNCTION("""COMPUTED_VALUE"""),"On")</f>
        <v>On</v>
      </c>
      <c r="N991" s="46" t="str">
        <f ca="1">IFERROR(__xludf.DUMMYFUNCTION("""COMPUTED_VALUE"""),"đủ")</f>
        <v>đủ</v>
      </c>
    </row>
    <row r="992" spans="1:14">
      <c r="A992" s="45">
        <f ca="1">IFERROR(__xludf.DUMMYFUNCTION("""COMPUTED_VALUE"""),45824.5833333333)</f>
        <v>45824.583333333299</v>
      </c>
      <c r="B992" s="45">
        <f ca="1">IFERROR(__xludf.DUMMYFUNCTION("""COMPUTED_VALUE"""),46143.5833333333)</f>
        <v>46143.583333333299</v>
      </c>
      <c r="C992" s="46">
        <f ca="1">IFERROR(__xludf.DUMMYFUNCTION("""COMPUTED_VALUE"""),993)</f>
        <v>993</v>
      </c>
      <c r="D992" s="47" t="str">
        <f ca="1">IFERROR(__xludf.DUMMYFUNCTION("""COMPUTED_VALUE"""),"C0765")</f>
        <v>C0765</v>
      </c>
      <c r="E992" s="46" t="str">
        <f ca="1">IFERROR(__xludf.DUMMYFUNCTION("""COMPUTED_VALUE"""),"TRẦN KIM CƯƠNG")</f>
        <v>TRẦN KIM CƯƠNG</v>
      </c>
      <c r="F992" s="46" t="str">
        <f ca="1">IFERROR(__xludf.DUMMYFUNCTION("""COMPUTED_VALUE"""),"TRAN KIM CUONG")</f>
        <v>TRAN KIM CUONG</v>
      </c>
      <c r="G992" s="45">
        <f ca="1">IFERROR(__xludf.DUMMYFUNCTION("""COMPUTED_VALUE"""),37195.625)</f>
        <v>37195.625</v>
      </c>
      <c r="H992" s="45" t="str">
        <f ca="1">IFERROR(__xludf.DUMMYFUNCTION("""COMPUTED_VALUE"""),"MATTE")</f>
        <v>MATTE</v>
      </c>
      <c r="I992" s="46" t="str">
        <f ca="1">IFERROR(__xludf.DUMMYFUNCTION("""COMPUTED_VALUE"""),"STORE")</f>
        <v>STORE</v>
      </c>
      <c r="J992" s="46" t="str">
        <f ca="1">IFERROR(__xludf.DUMMYFUNCTION("""COMPUTED_VALUE"""),"MATTE D3")</f>
        <v>MATTE D3</v>
      </c>
      <c r="K992" s="46" t="str">
        <f ca="1">IFERROR(__xludf.DUMMYFUNCTION("""COMPUTED_VALUE"""),"Management team")</f>
        <v>Management team</v>
      </c>
      <c r="L992" s="46" t="str">
        <f ca="1">IFERROR(__xludf.DUMMYFUNCTION("""COMPUTED_VALUE"""),"FTE")</f>
        <v>FTE</v>
      </c>
      <c r="M992" s="46" t="str">
        <f ca="1">IFERROR(__xludf.DUMMYFUNCTION("""COMPUTED_VALUE"""),"Leave")</f>
        <v>Leave</v>
      </c>
      <c r="N992" s="46" t="str">
        <f ca="1">IFERROR(__xludf.DUMMYFUNCTION("""COMPUTED_VALUE"""),"đủ")</f>
        <v>đủ</v>
      </c>
    </row>
    <row r="993" spans="1:14">
      <c r="A993" s="45">
        <f ca="1">IFERROR(__xludf.DUMMYFUNCTION("""COMPUTED_VALUE"""),45823.5833333333)</f>
        <v>45823.583333333299</v>
      </c>
      <c r="B993" s="45">
        <f ca="1">IFERROR(__xludf.DUMMYFUNCTION("""COMPUTED_VALUE"""),45911.5833333333)</f>
        <v>45911.583333333299</v>
      </c>
      <c r="C993" s="46">
        <f ca="1">IFERROR(__xludf.DUMMYFUNCTION("""COMPUTED_VALUE"""),994)</f>
        <v>994</v>
      </c>
      <c r="D993" s="47" t="str">
        <f ca="1">IFERROR(__xludf.DUMMYFUNCTION("""COMPUTED_VALUE"""),"C0766")</f>
        <v>C0766</v>
      </c>
      <c r="E993" s="46" t="str">
        <f ca="1">IFERROR(__xludf.DUMMYFUNCTION("""COMPUTED_VALUE"""),"LÊ NGỌC MINH CHÂU")</f>
        <v>LÊ NGỌC MINH CHÂU</v>
      </c>
      <c r="F993" s="46" t="str">
        <f ca="1">IFERROR(__xludf.DUMMYFUNCTION("""COMPUTED_VALUE"""),"LE NGOC MINH CHAU")</f>
        <v>LE NGOC MINH CHAU</v>
      </c>
      <c r="G993" s="45">
        <f ca="1">IFERROR(__xludf.DUMMYFUNCTION("""COMPUTED_VALUE"""),36477.625)</f>
        <v>36477.625</v>
      </c>
      <c r="H993" s="45" t="str">
        <f ca="1">IFERROR(__xludf.DUMMYFUNCTION("""COMPUTED_VALUE"""),"KITCHEN PASTRY")</f>
        <v>KITCHEN PASTRY</v>
      </c>
      <c r="I993" s="46" t="str">
        <f ca="1">IFERROR(__xludf.DUMMYFUNCTION("""COMPUTED_VALUE"""),"KITCHEN PASTRY")</f>
        <v>KITCHEN PASTRY</v>
      </c>
      <c r="J993" s="46" t="str">
        <f ca="1">IFERROR(__xludf.DUMMYFUNCTION("""COMPUTED_VALUE"""),"KITCHEN PASTRY")</f>
        <v>KITCHEN PASTRY</v>
      </c>
      <c r="K993" s="46" t="str">
        <f ca="1">IFERROR(__xludf.DUMMYFUNCTION("""COMPUTED_VALUE"""),"PASTRY")</f>
        <v>PASTRY</v>
      </c>
      <c r="L993" s="46" t="str">
        <f ca="1">IFERROR(__xludf.DUMMYFUNCTION("""COMPUTED_VALUE"""),"FTE")</f>
        <v>FTE</v>
      </c>
      <c r="M993" s="46" t="str">
        <f ca="1">IFERROR(__xludf.DUMMYFUNCTION("""COMPUTED_VALUE"""),"Leave")</f>
        <v>Leave</v>
      </c>
      <c r="N993" s="46" t="str">
        <f ca="1">IFERROR(__xludf.DUMMYFUNCTION("""COMPUTED_VALUE"""),"đủ")</f>
        <v>đủ</v>
      </c>
    </row>
    <row r="994" spans="1:14">
      <c r="A994" s="45">
        <f ca="1">IFERROR(__xludf.DUMMYFUNCTION("""COMPUTED_VALUE"""),45824.5833333333)</f>
        <v>45824.583333333299</v>
      </c>
      <c r="B994" s="45">
        <f ca="1">IFERROR(__xludf.DUMMYFUNCTION("""COMPUTED_VALUE"""),45962.5833333333)</f>
        <v>45962.583333333299</v>
      </c>
      <c r="C994" s="46">
        <f ca="1">IFERROR(__xludf.DUMMYFUNCTION("""COMPUTED_VALUE"""),995)</f>
        <v>995</v>
      </c>
      <c r="D994" s="47" t="str">
        <f ca="1">IFERROR(__xludf.DUMMYFUNCTION("""COMPUTED_VALUE"""),"C0767")</f>
        <v>C0767</v>
      </c>
      <c r="E994" s="46" t="str">
        <f ca="1">IFERROR(__xludf.DUMMYFUNCTION("""COMPUTED_VALUE"""),"NGUYỄN HỒ MAI ANH")</f>
        <v>NGUYỄN HỒ MAI ANH</v>
      </c>
      <c r="F994" s="46" t="str">
        <f ca="1">IFERROR(__xludf.DUMMYFUNCTION("""COMPUTED_VALUE"""),"NGUYEN HO MAI ANH")</f>
        <v>NGUYEN HO MAI ANH</v>
      </c>
      <c r="G994" s="45">
        <f ca="1">IFERROR(__xludf.DUMMYFUNCTION("""COMPUTED_VALUE"""),38388.625)</f>
        <v>38388.625</v>
      </c>
      <c r="H994" s="45" t="str">
        <f ca="1">IFERROR(__xludf.DUMMYFUNCTION("""COMPUTED_VALUE"""),"MATTE")</f>
        <v>MATTE</v>
      </c>
      <c r="I994" s="46" t="str">
        <f ca="1">IFERROR(__xludf.DUMMYFUNCTION("""COMPUTED_VALUE"""),"STORE")</f>
        <v>STORE</v>
      </c>
      <c r="J994" s="46" t="str">
        <f ca="1">IFERROR(__xludf.DUMMYFUNCTION("""COMPUTED_VALUE"""),"MATTE D1")</f>
        <v>MATTE D1</v>
      </c>
      <c r="K994" s="46" t="str">
        <f ca="1">IFERROR(__xludf.DUMMYFUNCTION("""COMPUTED_VALUE"""),"BAR")</f>
        <v>BAR</v>
      </c>
      <c r="L994" s="46" t="str">
        <f ca="1">IFERROR(__xludf.DUMMYFUNCTION("""COMPUTED_VALUE"""),"PTE")</f>
        <v>PTE</v>
      </c>
      <c r="M994" s="46" t="str">
        <f ca="1">IFERROR(__xludf.DUMMYFUNCTION("""COMPUTED_VALUE"""),"Leave")</f>
        <v>Leave</v>
      </c>
      <c r="N994" s="46" t="str">
        <f ca="1">IFERROR(__xludf.DUMMYFUNCTION("""COMPUTED_VALUE"""),"đủ")</f>
        <v>đủ</v>
      </c>
    </row>
    <row r="995" spans="1:14">
      <c r="A995" s="45">
        <f ca="1">IFERROR(__xludf.DUMMYFUNCTION("""COMPUTED_VALUE"""),45824.5833333333)</f>
        <v>45824.583333333299</v>
      </c>
      <c r="B995" s="45">
        <f ca="1">IFERROR(__xludf.DUMMYFUNCTION("""COMPUTED_VALUE"""),46126.5833333333)</f>
        <v>46126.583333333299</v>
      </c>
      <c r="C995" s="46">
        <f ca="1">IFERROR(__xludf.DUMMYFUNCTION("""COMPUTED_VALUE"""),996)</f>
        <v>996</v>
      </c>
      <c r="D995" s="47" t="str">
        <f ca="1">IFERROR(__xludf.DUMMYFUNCTION("""COMPUTED_VALUE"""),"C0768")</f>
        <v>C0768</v>
      </c>
      <c r="E995" s="46" t="str">
        <f ca="1">IFERROR(__xludf.DUMMYFUNCTION("""COMPUTED_VALUE"""),"NGUYỄN HOÀNG THỦY TIÊN")</f>
        <v>NGUYỄN HOÀNG THỦY TIÊN</v>
      </c>
      <c r="F995" s="46" t="str">
        <f ca="1">IFERROR(__xludf.DUMMYFUNCTION("""COMPUTED_VALUE"""),"NGUYEN HOANG THUY TIEN")</f>
        <v>NGUYEN HOANG THUY TIEN</v>
      </c>
      <c r="G995" s="45">
        <f ca="1">IFERROR(__xludf.DUMMYFUNCTION("""COMPUTED_VALUE"""),37570.625)</f>
        <v>37570.625</v>
      </c>
      <c r="H995" s="45" t="str">
        <f ca="1">IFERROR(__xludf.DUMMYFUNCTION("""COMPUTED_VALUE"""),"BAKES")</f>
        <v>BAKES</v>
      </c>
      <c r="I995" s="46" t="str">
        <f ca="1">IFERROR(__xludf.DUMMYFUNCTION("""COMPUTED_VALUE"""),"STORE")</f>
        <v>STORE</v>
      </c>
      <c r="J995" s="46" t="str">
        <f ca="1">IFERROR(__xludf.DUMMYFUNCTION("""COMPUTED_VALUE"""),"BAKES HCR")</f>
        <v>BAKES HCR</v>
      </c>
      <c r="K995" s="46" t="str">
        <f ca="1">IFERROR(__xludf.DUMMYFUNCTION("""COMPUTED_VALUE"""),"BAR")</f>
        <v>BAR</v>
      </c>
      <c r="L995" s="46" t="str">
        <f ca="1">IFERROR(__xludf.DUMMYFUNCTION("""COMPUTED_VALUE"""),"FTE")</f>
        <v>FTE</v>
      </c>
      <c r="M995" s="46" t="str">
        <f ca="1">IFERROR(__xludf.DUMMYFUNCTION("""COMPUTED_VALUE"""),"Leave")</f>
        <v>Leave</v>
      </c>
      <c r="N995" s="46" t="str">
        <f ca="1">IFERROR(__xludf.DUMMYFUNCTION("""COMPUTED_VALUE"""),"đủ")</f>
        <v>đủ</v>
      </c>
    </row>
    <row r="996" spans="1:14">
      <c r="A996" s="45">
        <f ca="1">IFERROR(__xludf.DUMMYFUNCTION("""COMPUTED_VALUE"""),45821.5833333333)</f>
        <v>45821.583333333299</v>
      </c>
      <c r="B996" s="45">
        <f ca="1">IFERROR(__xludf.DUMMYFUNCTION("""COMPUTED_VALUE"""),45867.5833333333)</f>
        <v>45867.583333333299</v>
      </c>
      <c r="C996" s="46">
        <f ca="1">IFERROR(__xludf.DUMMYFUNCTION("""COMPUTED_VALUE"""),997)</f>
        <v>997</v>
      </c>
      <c r="D996" s="47" t="str">
        <f ca="1">IFERROR(__xludf.DUMMYFUNCTION("""COMPUTED_VALUE"""),"C0769")</f>
        <v>C0769</v>
      </c>
      <c r="E996" s="46" t="str">
        <f ca="1">IFERROR(__xludf.DUMMYFUNCTION("""COMPUTED_VALUE"""),"THỊ KIÊM")</f>
        <v>THỊ KIÊM</v>
      </c>
      <c r="F996" s="46" t="str">
        <f ca="1">IFERROR(__xludf.DUMMYFUNCTION("""COMPUTED_VALUE"""),"THI KIEM")</f>
        <v>THI KIEM</v>
      </c>
      <c r="G996" s="45">
        <f ca="1">IFERROR(__xludf.DUMMYFUNCTION("""COMPUTED_VALUE"""),38278.5833333333)</f>
        <v>38278.583333333299</v>
      </c>
      <c r="H996" s="45" t="str">
        <f ca="1">IFERROR(__xludf.DUMMYFUNCTION("""COMPUTED_VALUE"""),"KITCHEN PASTRY")</f>
        <v>KITCHEN PASTRY</v>
      </c>
      <c r="I996" s="46" t="str">
        <f ca="1">IFERROR(__xludf.DUMMYFUNCTION("""COMPUTED_VALUE"""),"KITCHEN PASTRY")</f>
        <v>KITCHEN PASTRY</v>
      </c>
      <c r="J996" s="46" t="str">
        <f ca="1">IFERROR(__xludf.DUMMYFUNCTION("""COMPUTED_VALUE"""),"KITCHEN PASTRY")</f>
        <v>KITCHEN PASTRY</v>
      </c>
      <c r="K996" s="46" t="str">
        <f ca="1">IFERROR(__xludf.DUMMYFUNCTION("""COMPUTED_VALUE"""),"PASTRY")</f>
        <v>PASTRY</v>
      </c>
      <c r="L996" s="46" t="str">
        <f ca="1">IFERROR(__xludf.DUMMYFUNCTION("""COMPUTED_VALUE"""),"PRO")</f>
        <v>PRO</v>
      </c>
      <c r="M996" s="46" t="str">
        <f ca="1">IFERROR(__xludf.DUMMYFUNCTION("""COMPUTED_VALUE"""),"Leave")</f>
        <v>Leave</v>
      </c>
      <c r="N996" s="46" t="str">
        <f ca="1">IFERROR(__xludf.DUMMYFUNCTION("""COMPUTED_VALUE"""),"đủ")</f>
        <v>đủ</v>
      </c>
    </row>
    <row r="997" spans="1:14">
      <c r="A997" s="45">
        <f ca="1">IFERROR(__xludf.DUMMYFUNCTION("""COMPUTED_VALUE"""),45821.5833333333)</f>
        <v>45821.583333333299</v>
      </c>
      <c r="B997" s="45">
        <f ca="1">IFERROR(__xludf.DUMMYFUNCTION("""COMPUTED_VALUE"""),45856.5833333333)</f>
        <v>45856.583333333299</v>
      </c>
      <c r="C997" s="46">
        <f ca="1">IFERROR(__xludf.DUMMYFUNCTION("""COMPUTED_VALUE"""),998)</f>
        <v>998</v>
      </c>
      <c r="D997" s="47" t="str">
        <f ca="1">IFERROR(__xludf.DUMMYFUNCTION("""COMPUTED_VALUE"""),"C0770")</f>
        <v>C0770</v>
      </c>
      <c r="E997" s="46" t="str">
        <f ca="1">IFERROR(__xludf.DUMMYFUNCTION("""COMPUTED_VALUE"""),"BÙI TRẦN TRINH NỮ")</f>
        <v>BÙI TRẦN TRINH NỮ</v>
      </c>
      <c r="F997" s="46" t="str">
        <f ca="1">IFERROR(__xludf.DUMMYFUNCTION("""COMPUTED_VALUE"""),"BUI TRAN TRINH NU")</f>
        <v>BUI TRAN TRINH NU</v>
      </c>
      <c r="G997" s="45">
        <f ca="1">IFERROR(__xludf.DUMMYFUNCTION("""COMPUTED_VALUE"""),38451.5833333333)</f>
        <v>38451.583333333299</v>
      </c>
      <c r="H997" s="45" t="str">
        <f ca="1">IFERROR(__xludf.DUMMYFUNCTION("""COMPUTED_VALUE"""),"KITCHEN PASTRY")</f>
        <v>KITCHEN PASTRY</v>
      </c>
      <c r="I997" s="46" t="str">
        <f ca="1">IFERROR(__xludf.DUMMYFUNCTION("""COMPUTED_VALUE"""),"KITCHEN PASTRY")</f>
        <v>KITCHEN PASTRY</v>
      </c>
      <c r="J997" s="46" t="str">
        <f ca="1">IFERROR(__xludf.DUMMYFUNCTION("""COMPUTED_VALUE"""),"KITCHEN PASTRY")</f>
        <v>KITCHEN PASTRY</v>
      </c>
      <c r="K997" s="46" t="str">
        <f ca="1">IFERROR(__xludf.DUMMYFUNCTION("""COMPUTED_VALUE"""),"PASTRY")</f>
        <v>PASTRY</v>
      </c>
      <c r="L997" s="46" t="str">
        <f ca="1">IFERROR(__xludf.DUMMYFUNCTION("""COMPUTED_VALUE"""),"PTE")</f>
        <v>PTE</v>
      </c>
      <c r="M997" s="46" t="str">
        <f ca="1">IFERROR(__xludf.DUMMYFUNCTION("""COMPUTED_VALUE"""),"Leave")</f>
        <v>Leave</v>
      </c>
      <c r="N997" s="46" t="str">
        <f ca="1">IFERROR(__xludf.DUMMYFUNCTION("""COMPUTED_VALUE"""),"đủ")</f>
        <v>đủ</v>
      </c>
    </row>
    <row r="998" spans="1:14">
      <c r="A998" s="45">
        <f ca="1">IFERROR(__xludf.DUMMYFUNCTION("""COMPUTED_VALUE"""),45821.5833333333)</f>
        <v>45821.583333333299</v>
      </c>
      <c r="B998" s="45">
        <f ca="1">IFERROR(__xludf.DUMMYFUNCTION("""COMPUTED_VALUE"""),45851.5833333333)</f>
        <v>45851.583333333299</v>
      </c>
      <c r="C998" s="46">
        <f ca="1">IFERROR(__xludf.DUMMYFUNCTION("""COMPUTED_VALUE"""),999)</f>
        <v>999</v>
      </c>
      <c r="D998" s="47" t="str">
        <f ca="1">IFERROR(__xludf.DUMMYFUNCTION("""COMPUTED_VALUE"""),"C0771")</f>
        <v>C0771</v>
      </c>
      <c r="E998" s="46" t="str">
        <f ca="1">IFERROR(__xludf.DUMMYFUNCTION("""COMPUTED_VALUE"""),"PHAN THỊ HỒNG HUỆ")</f>
        <v>PHAN THỊ HỒNG HUỆ</v>
      </c>
      <c r="F998" s="46" t="str">
        <f ca="1">IFERROR(__xludf.DUMMYFUNCTION("""COMPUTED_VALUE"""),"PHAN THI HONG HUE")</f>
        <v>PHAN THI HONG HUE</v>
      </c>
      <c r="G998" s="45">
        <f ca="1">IFERROR(__xludf.DUMMYFUNCTION("""COMPUTED_VALUE"""),39724.5833333333)</f>
        <v>39724.583333333299</v>
      </c>
      <c r="H998" s="45" t="str">
        <f ca="1">IFERROR(__xludf.DUMMYFUNCTION("""COMPUTED_VALUE"""),"KITCHEN PASTRY")</f>
        <v>KITCHEN PASTRY</v>
      </c>
      <c r="I998" s="46" t="str">
        <f ca="1">IFERROR(__xludf.DUMMYFUNCTION("""COMPUTED_VALUE"""),"KITCHEN PASTRY")</f>
        <v>KITCHEN PASTRY</v>
      </c>
      <c r="J998" s="46" t="str">
        <f ca="1">IFERROR(__xludf.DUMMYFUNCTION("""COMPUTED_VALUE"""),"KITCHEN PASTRY")</f>
        <v>KITCHEN PASTRY</v>
      </c>
      <c r="K998" s="46" t="str">
        <f ca="1">IFERROR(__xludf.DUMMYFUNCTION("""COMPUTED_VALUE"""),"PASTRY")</f>
        <v>PASTRY</v>
      </c>
      <c r="L998" s="46" t="str">
        <f ca="1">IFERROR(__xludf.DUMMYFUNCTION("""COMPUTED_VALUE"""),"PTE")</f>
        <v>PTE</v>
      </c>
      <c r="M998" s="46" t="str">
        <f ca="1">IFERROR(__xludf.DUMMYFUNCTION("""COMPUTED_VALUE"""),"Leave")</f>
        <v>Leave</v>
      </c>
      <c r="N998" s="46" t="str">
        <f ca="1">IFERROR(__xludf.DUMMYFUNCTION("""COMPUTED_VALUE"""),"đủ")</f>
        <v>đủ</v>
      </c>
    </row>
    <row r="999" spans="1:14">
      <c r="A999" s="45">
        <f ca="1">IFERROR(__xludf.DUMMYFUNCTION("""COMPUTED_VALUE"""),45824.5833333333)</f>
        <v>45824.583333333299</v>
      </c>
      <c r="B999" s="45">
        <f ca="1">IFERROR(__xludf.DUMMYFUNCTION("""COMPUTED_VALUE"""),45931.5833333333)</f>
        <v>45931.583333333299</v>
      </c>
      <c r="C999" s="46">
        <f ca="1">IFERROR(__xludf.DUMMYFUNCTION("""COMPUTED_VALUE"""),1000)</f>
        <v>1000</v>
      </c>
      <c r="D999" s="47" t="str">
        <f ca="1">IFERROR(__xludf.DUMMYFUNCTION("""COMPUTED_VALUE"""),"C0772")</f>
        <v>C0772</v>
      </c>
      <c r="E999" s="46" t="str">
        <f ca="1">IFERROR(__xludf.DUMMYFUNCTION("""COMPUTED_VALUE"""),"ĐỖ QUANG TRUYỀN")</f>
        <v>ĐỖ QUANG TRUYỀN</v>
      </c>
      <c r="F999" s="46" t="str">
        <f ca="1">IFERROR(__xludf.DUMMYFUNCTION("""COMPUTED_VALUE"""),"DO QUANG TRUYEN")</f>
        <v>DO QUANG TRUYEN</v>
      </c>
      <c r="G999" s="45">
        <f ca="1">IFERROR(__xludf.DUMMYFUNCTION("""COMPUTED_VALUE"""),38178.5833333333)</f>
        <v>38178.583333333299</v>
      </c>
      <c r="H999" s="45" t="str">
        <f ca="1">IFERROR(__xludf.DUMMYFUNCTION("""COMPUTED_VALUE"""),"TLC")</f>
        <v>TLC</v>
      </c>
      <c r="I999" s="46" t="str">
        <f ca="1">IFERROR(__xludf.DUMMYFUNCTION("""COMPUTED_VALUE"""),"STORE")</f>
        <v>STORE</v>
      </c>
      <c r="J999" s="46" t="str">
        <f ca="1">IFERROR(__xludf.DUMMYFUNCTION("""COMPUTED_VALUE"""),"BLANK LOUNGE")</f>
        <v>BLANK LOUNGE</v>
      </c>
      <c r="K999" s="46" t="str">
        <f ca="1">IFERROR(__xludf.DUMMYFUNCTION("""COMPUTED_VALUE"""),"WAITSTAFF")</f>
        <v>WAITSTAFF</v>
      </c>
      <c r="L999" s="46" t="str">
        <f ca="1">IFERROR(__xludf.DUMMYFUNCTION("""COMPUTED_VALUE"""),"PTE")</f>
        <v>PTE</v>
      </c>
      <c r="M999" s="46" t="str">
        <f ca="1">IFERROR(__xludf.DUMMYFUNCTION("""COMPUTED_VALUE"""),"Leave")</f>
        <v>Leave</v>
      </c>
      <c r="N999" s="46" t="str">
        <f ca="1">IFERROR(__xludf.DUMMYFUNCTION("""COMPUTED_VALUE"""),"đủ")</f>
        <v>đủ</v>
      </c>
    </row>
    <row r="1000" spans="1:14">
      <c r="A1000" s="45">
        <f ca="1">IFERROR(__xludf.DUMMYFUNCTION("""COMPUTED_VALUE"""),45822.5833333333)</f>
        <v>45822.583333333299</v>
      </c>
      <c r="B1000" s="45"/>
      <c r="C1000" s="46">
        <f ca="1">IFERROR(__xludf.DUMMYFUNCTION("""COMPUTED_VALUE"""),1001)</f>
        <v>1001</v>
      </c>
      <c r="D1000" s="47" t="str">
        <f ca="1">IFERROR(__xludf.DUMMYFUNCTION("""COMPUTED_VALUE"""),"C0773")</f>
        <v>C0773</v>
      </c>
      <c r="E1000" s="46" t="str">
        <f ca="1">IFERROR(__xludf.DUMMYFUNCTION("""COMPUTED_VALUE"""),"NGUYỄN TRƯỜNG HUY")</f>
        <v>NGUYỄN TRƯỜNG HUY</v>
      </c>
      <c r="F1000" s="46" t="str">
        <f ca="1">IFERROR(__xludf.DUMMYFUNCTION("""COMPUTED_VALUE"""),"NGUYEN TRUONG HUY")</f>
        <v>NGUYEN TRUONG HUY</v>
      </c>
      <c r="G1000" s="45">
        <f ca="1">IFERROR(__xludf.DUMMYFUNCTION("""COMPUTED_VALUE"""),39052.625)</f>
        <v>39052.625</v>
      </c>
      <c r="H1000" s="45" t="str">
        <f ca="1">IFERROR(__xludf.DUMMYFUNCTION("""COMPUTED_VALUE"""),"YESHI")</f>
        <v>YESHI</v>
      </c>
      <c r="I1000" s="46" t="str">
        <f ca="1">IFERROR(__xludf.DUMMYFUNCTION("""COMPUTED_VALUE"""),"STORE")</f>
        <v>STORE</v>
      </c>
      <c r="J1000" s="46" t="str">
        <f ca="1">IFERROR(__xludf.DUMMYFUNCTION("""COMPUTED_VALUE"""),"YESHI D3")</f>
        <v>YESHI D3</v>
      </c>
      <c r="K1000" s="46" t="str">
        <f ca="1">IFERROR(__xludf.DUMMYFUNCTION("""COMPUTED_VALUE"""),"BAR")</f>
        <v>BAR</v>
      </c>
      <c r="L1000" s="46" t="str">
        <f ca="1">IFERROR(__xludf.DUMMYFUNCTION("""COMPUTED_VALUE"""),"FTE")</f>
        <v>FTE</v>
      </c>
      <c r="M1000" s="46" t="str">
        <f ca="1">IFERROR(__xludf.DUMMYFUNCTION("""COMPUTED_VALUE"""),"On")</f>
        <v>On</v>
      </c>
      <c r="N1000" s="46" t="str">
        <f ca="1">IFERROR(__xludf.DUMMYFUNCTION("""COMPUTED_VALUE"""),"đủ")</f>
        <v>đủ</v>
      </c>
    </row>
    <row r="1001" spans="1:14">
      <c r="A1001" s="45">
        <f ca="1">IFERROR(__xludf.DUMMYFUNCTION("""COMPUTED_VALUE"""),45823.5833333333)</f>
        <v>45823.583333333299</v>
      </c>
      <c r="B1001" s="45">
        <f ca="1">IFERROR(__xludf.DUMMYFUNCTION("""COMPUTED_VALUE"""),45846.5833333333)</f>
        <v>45846.583333333299</v>
      </c>
      <c r="C1001" s="46">
        <f ca="1">IFERROR(__xludf.DUMMYFUNCTION("""COMPUTED_VALUE"""),1002)</f>
        <v>1002</v>
      </c>
      <c r="D1001" s="47" t="str">
        <f ca="1">IFERROR(__xludf.DUMMYFUNCTION("""COMPUTED_VALUE"""),"C0774")</f>
        <v>C0774</v>
      </c>
      <c r="E1001" s="46" t="str">
        <f ca="1">IFERROR(__xludf.DUMMYFUNCTION("""COMPUTED_VALUE"""),"TRẦN PHÚ TRIỆU")</f>
        <v>TRẦN PHÚ TRIỆU</v>
      </c>
      <c r="F1001" s="46" t="str">
        <f ca="1">IFERROR(__xludf.DUMMYFUNCTION("""COMPUTED_VALUE"""),"TRAN PHU TRIEU")</f>
        <v>TRAN PHU TRIEU</v>
      </c>
      <c r="G1001" s="45"/>
      <c r="H1001" s="45" t="str">
        <f ca="1">IFERROR(__xludf.DUMMYFUNCTION("""COMPUTED_VALUE"""),"BAKES")</f>
        <v>BAKES</v>
      </c>
      <c r="I1001" s="46" t="str">
        <f ca="1">IFERROR(__xludf.DUMMYFUNCTION("""COMPUTED_VALUE"""),"STORE")</f>
        <v>STORE</v>
      </c>
      <c r="J1001" s="46" t="str">
        <f ca="1">IFERROR(__xludf.DUMMYFUNCTION("""COMPUTED_VALUE"""),"BAKES D2")</f>
        <v>BAKES D2</v>
      </c>
      <c r="K1001" s="46" t="str">
        <f ca="1">IFERROR(__xludf.DUMMYFUNCTION("""COMPUTED_VALUE"""),"WAITSTAFF")</f>
        <v>WAITSTAFF</v>
      </c>
      <c r="L1001" s="46" t="str">
        <f ca="1">IFERROR(__xludf.DUMMYFUNCTION("""COMPUTED_VALUE"""),"PTE")</f>
        <v>PTE</v>
      </c>
      <c r="M1001" s="46" t="str">
        <f ca="1">IFERROR(__xludf.DUMMYFUNCTION("""COMPUTED_VALUE"""),"Leave")</f>
        <v>Leave</v>
      </c>
      <c r="N1001" s="46" t="str">
        <f ca="1">IFERROR(__xludf.DUMMYFUNCTION("""COMPUTED_VALUE"""),"đủ")</f>
        <v>đủ</v>
      </c>
    </row>
    <row r="1002" spans="1:14">
      <c r="A1002" s="45">
        <f ca="1">IFERROR(__xludf.DUMMYFUNCTION("""COMPUTED_VALUE"""),45825.5833333333)</f>
        <v>45825.583333333299</v>
      </c>
      <c r="B1002" s="45">
        <f ca="1">IFERROR(__xludf.DUMMYFUNCTION("""COMPUTED_VALUE"""),45884.5833333333)</f>
        <v>45884.583333333299</v>
      </c>
      <c r="C1002" s="46">
        <f ca="1">IFERROR(__xludf.DUMMYFUNCTION("""COMPUTED_VALUE"""),1003)</f>
        <v>1003</v>
      </c>
      <c r="D1002" s="47" t="str">
        <f ca="1">IFERROR(__xludf.DUMMYFUNCTION("""COMPUTED_VALUE"""),"C0775")</f>
        <v>C0775</v>
      </c>
      <c r="E1002" s="46" t="str">
        <f ca="1">IFERROR(__xludf.DUMMYFUNCTION("""COMPUTED_VALUE"""),"NGUYỄN NGỌC XUÂN AN")</f>
        <v>NGUYỄN NGỌC XUÂN AN</v>
      </c>
      <c r="F1002" s="46" t="str">
        <f ca="1">IFERROR(__xludf.DUMMYFUNCTION("""COMPUTED_VALUE"""),"NGUYEN NGOC XUAN AN")</f>
        <v>NGUYEN NGOC XUAN AN</v>
      </c>
      <c r="G1002" s="45">
        <f ca="1">IFERROR(__xludf.DUMMYFUNCTION("""COMPUTED_VALUE"""),36114.625)</f>
        <v>36114.625</v>
      </c>
      <c r="H1002" s="45" t="str">
        <f ca="1">IFERROR(__xludf.DUMMYFUNCTION("""COMPUTED_VALUE"""),"BAKES")</f>
        <v>BAKES</v>
      </c>
      <c r="I1002" s="46" t="str">
        <f ca="1">IFERROR(__xludf.DUMMYFUNCTION("""COMPUTED_VALUE"""),"HO")</f>
        <v>HO</v>
      </c>
      <c r="J1002" s="46" t="str">
        <f ca="1">IFERROR(__xludf.DUMMYFUNCTION("""COMPUTED_VALUE"""),"R&amp;D")</f>
        <v>R&amp;D</v>
      </c>
      <c r="K1002" s="46" t="str">
        <f ca="1">IFERROR(__xludf.DUMMYFUNCTION("""COMPUTED_VALUE"""),"BAR")</f>
        <v>BAR</v>
      </c>
      <c r="L1002" s="46" t="str">
        <f ca="1">IFERROR(__xludf.DUMMYFUNCTION("""COMPUTED_VALUE"""),"PRO")</f>
        <v>PRO</v>
      </c>
      <c r="M1002" s="46" t="str">
        <f ca="1">IFERROR(__xludf.DUMMYFUNCTION("""COMPUTED_VALUE"""),"Leave")</f>
        <v>Leave</v>
      </c>
      <c r="N1002" s="46" t="str">
        <f ca="1">IFERROR(__xludf.DUMMYFUNCTION("""COMPUTED_VALUE"""),"đủ")</f>
        <v>đủ</v>
      </c>
    </row>
    <row r="1003" spans="1:14">
      <c r="A1003" s="45">
        <f ca="1">IFERROR(__xludf.DUMMYFUNCTION("""COMPUTED_VALUE"""),45831.5833333333)</f>
        <v>45831.583333333299</v>
      </c>
      <c r="B1003" s="45">
        <f ca="1">IFERROR(__xludf.DUMMYFUNCTION("""COMPUTED_VALUE"""),45885.5833333333)</f>
        <v>45885.583333333299</v>
      </c>
      <c r="C1003" s="46">
        <f ca="1">IFERROR(__xludf.DUMMYFUNCTION("""COMPUTED_VALUE"""),1004)</f>
        <v>1004</v>
      </c>
      <c r="D1003" s="47" t="str">
        <f ca="1">IFERROR(__xludf.DUMMYFUNCTION("""COMPUTED_VALUE"""),"C0776")</f>
        <v>C0776</v>
      </c>
      <c r="E1003" s="46" t="str">
        <f ca="1">IFERROR(__xludf.DUMMYFUNCTION("""COMPUTED_VALUE"""),"PHẠM TRẦN THANH TUẤN")</f>
        <v>PHẠM TRẦN THANH TUẤN</v>
      </c>
      <c r="F1003" s="46" t="str">
        <f ca="1">IFERROR(__xludf.DUMMYFUNCTION("""COMPUTED_VALUE"""),"PHAM TRAN THANH TUAN")</f>
        <v>PHAM TRAN THANH TUAN</v>
      </c>
      <c r="G1003" s="45">
        <f ca="1">IFERROR(__xludf.DUMMYFUNCTION("""COMPUTED_VALUE"""),36428.5833333333)</f>
        <v>36428.583333333299</v>
      </c>
      <c r="H1003" s="45" t="str">
        <f ca="1">IFERROR(__xludf.DUMMYFUNCTION("""COMPUTED_VALUE"""),"MATTE")</f>
        <v>MATTE</v>
      </c>
      <c r="I1003" s="46" t="str">
        <f ca="1">IFERROR(__xludf.DUMMYFUNCTION("""COMPUTED_VALUE"""),"STORE")</f>
        <v>STORE</v>
      </c>
      <c r="J1003" s="46" t="str">
        <f ca="1">IFERROR(__xludf.DUMMYFUNCTION("""COMPUTED_VALUE"""),"MATTE D3")</f>
        <v>MATTE D3</v>
      </c>
      <c r="K1003" s="46" t="str">
        <f ca="1">IFERROR(__xludf.DUMMYFUNCTION("""COMPUTED_VALUE"""),"BAR")</f>
        <v>BAR</v>
      </c>
      <c r="L1003" s="46" t="str">
        <f ca="1">IFERROR(__xludf.DUMMYFUNCTION("""COMPUTED_VALUE"""),"PTE")</f>
        <v>PTE</v>
      </c>
      <c r="M1003" s="46" t="str">
        <f ca="1">IFERROR(__xludf.DUMMYFUNCTION("""COMPUTED_VALUE"""),"Leave")</f>
        <v>Leave</v>
      </c>
      <c r="N1003" s="46" t="str">
        <f ca="1">IFERROR(__xludf.DUMMYFUNCTION("""COMPUTED_VALUE"""),"đủ")</f>
        <v>đủ</v>
      </c>
    </row>
    <row r="1004" spans="1:14">
      <c r="A1004" s="45">
        <f ca="1">IFERROR(__xludf.DUMMYFUNCTION("""COMPUTED_VALUE"""),45831.5833333333)</f>
        <v>45831.583333333299</v>
      </c>
      <c r="B1004" s="45">
        <f ca="1">IFERROR(__xludf.DUMMYFUNCTION("""COMPUTED_VALUE"""),45851.5833333333)</f>
        <v>45851.583333333299</v>
      </c>
      <c r="C1004" s="46">
        <f ca="1">IFERROR(__xludf.DUMMYFUNCTION("""COMPUTED_VALUE"""),1005)</f>
        <v>1005</v>
      </c>
      <c r="D1004" s="47" t="str">
        <f ca="1">IFERROR(__xludf.DUMMYFUNCTION("""COMPUTED_VALUE"""),"C0777")</f>
        <v>C0777</v>
      </c>
      <c r="E1004" s="46" t="str">
        <f ca="1">IFERROR(__xludf.DUMMYFUNCTION("""COMPUTED_VALUE"""),"ĐẶNG NGUYỄN MỘNG HẰNG")</f>
        <v>ĐẶNG NGUYỄN MỘNG HẰNG</v>
      </c>
      <c r="F1004" s="46" t="str">
        <f ca="1">IFERROR(__xludf.DUMMYFUNCTION("""COMPUTED_VALUE"""),"DANG NGUYEN MONG HANG")</f>
        <v>DANG NGUYEN MONG HANG</v>
      </c>
      <c r="G1004" s="45">
        <f ca="1">IFERROR(__xludf.DUMMYFUNCTION("""COMPUTED_VALUE"""),36291.5833333333)</f>
        <v>36291.583333333299</v>
      </c>
      <c r="H1004" s="45" t="str">
        <f ca="1">IFERROR(__xludf.DUMMYFUNCTION("""COMPUTED_VALUE"""),"KITCHEN PASTRY")</f>
        <v>KITCHEN PASTRY</v>
      </c>
      <c r="I1004" s="46" t="str">
        <f ca="1">IFERROR(__xludf.DUMMYFUNCTION("""COMPUTED_VALUE"""),"KITCHEN PASTRY")</f>
        <v>KITCHEN PASTRY</v>
      </c>
      <c r="J1004" s="46" t="str">
        <f ca="1">IFERROR(__xludf.DUMMYFUNCTION("""COMPUTED_VALUE"""),"KITCHEN PASTRY")</f>
        <v>KITCHEN PASTRY</v>
      </c>
      <c r="K1004" s="46" t="str">
        <f ca="1">IFERROR(__xludf.DUMMYFUNCTION("""COMPUTED_VALUE"""),"PASTRY")</f>
        <v>PASTRY</v>
      </c>
      <c r="L1004" s="46" t="str">
        <f ca="1">IFERROR(__xludf.DUMMYFUNCTION("""COMPUTED_VALUE"""),"PRO")</f>
        <v>PRO</v>
      </c>
      <c r="M1004" s="46" t="str">
        <f ca="1">IFERROR(__xludf.DUMMYFUNCTION("""COMPUTED_VALUE"""),"Leave")</f>
        <v>Leave</v>
      </c>
      <c r="N1004" s="46" t="str">
        <f ca="1">IFERROR(__xludf.DUMMYFUNCTION("""COMPUTED_VALUE"""),"đủ")</f>
        <v>đủ</v>
      </c>
    </row>
    <row r="1005" spans="1:14">
      <c r="A1005" s="45">
        <f ca="1">IFERROR(__xludf.DUMMYFUNCTION("""COMPUTED_VALUE"""),45831.5833333333)</f>
        <v>45831.583333333299</v>
      </c>
      <c r="B1005" s="45">
        <f ca="1">IFERROR(__xludf.DUMMYFUNCTION("""COMPUTED_VALUE"""),45832.5833333333)</f>
        <v>45832.583333333299</v>
      </c>
      <c r="C1005" s="46">
        <f ca="1">IFERROR(__xludf.DUMMYFUNCTION("""COMPUTED_VALUE"""),1006)</f>
        <v>1006</v>
      </c>
      <c r="D1005" s="47" t="str">
        <f ca="1">IFERROR(__xludf.DUMMYFUNCTION("""COMPUTED_VALUE"""),"C0779")</f>
        <v>C0779</v>
      </c>
      <c r="E1005" s="46" t="str">
        <f ca="1">IFERROR(__xludf.DUMMYFUNCTION("""COMPUTED_VALUE"""),"TRẦN THỊ BẢO TRÂN")</f>
        <v>TRẦN THỊ BẢO TRÂN</v>
      </c>
      <c r="F1005" s="46" t="str">
        <f ca="1">IFERROR(__xludf.DUMMYFUNCTION("""COMPUTED_VALUE"""),"TRAN THI BAO TRAN")</f>
        <v>TRAN THI BAO TRAN</v>
      </c>
      <c r="G1005" s="45">
        <f ca="1">IFERROR(__xludf.DUMMYFUNCTION("""COMPUTED_VALUE"""),37323.625)</f>
        <v>37323.625</v>
      </c>
      <c r="H1005" s="45" t="str">
        <f ca="1">IFERROR(__xludf.DUMMYFUNCTION("""COMPUTED_VALUE"""),"MOONCAKE")</f>
        <v>MOONCAKE</v>
      </c>
      <c r="I1005" s="46" t="str">
        <f ca="1">IFERROR(__xludf.DUMMYFUNCTION("""COMPUTED_VALUE"""),"KITCHEN PASTRY")</f>
        <v>KITCHEN PASTRY</v>
      </c>
      <c r="J1005" s="46" t="str">
        <f ca="1">IFERROR(__xludf.DUMMYFUNCTION("""COMPUTED_VALUE"""),"KITCHEN PASTRY")</f>
        <v>KITCHEN PASTRY</v>
      </c>
      <c r="K1005" s="46" t="str">
        <f ca="1">IFERROR(__xludf.DUMMYFUNCTION("""COMPUTED_VALUE"""),"PASTRY")</f>
        <v>PASTRY</v>
      </c>
      <c r="L1005" s="46" t="str">
        <f ca="1">IFERROR(__xludf.DUMMYFUNCTION("""COMPUTED_VALUE"""),"PTE")</f>
        <v>PTE</v>
      </c>
      <c r="M1005" s="46" t="str">
        <f ca="1">IFERROR(__xludf.DUMMYFUNCTION("""COMPUTED_VALUE"""),"Leave")</f>
        <v>Leave</v>
      </c>
      <c r="N1005" s="46" t="str">
        <f ca="1">IFERROR(__xludf.DUMMYFUNCTION("""COMPUTED_VALUE"""),"đủ")</f>
        <v>đủ</v>
      </c>
    </row>
    <row r="1006" spans="1:14">
      <c r="A1006" s="45">
        <f ca="1">IFERROR(__xludf.DUMMYFUNCTION("""COMPUTED_VALUE"""),45833.5833333333)</f>
        <v>45833.583333333299</v>
      </c>
      <c r="B1006" s="45"/>
      <c r="C1006" s="46">
        <f ca="1">IFERROR(__xludf.DUMMYFUNCTION("""COMPUTED_VALUE"""),1007)</f>
        <v>1007</v>
      </c>
      <c r="D1006" s="47" t="str">
        <f ca="1">IFERROR(__xludf.DUMMYFUNCTION("""COMPUTED_VALUE"""),"C0780")</f>
        <v>C0780</v>
      </c>
      <c r="E1006" s="46" t="str">
        <f ca="1">IFERROR(__xludf.DUMMYFUNCTION("""COMPUTED_VALUE"""),"NGUYỄN THỊ THẢO HIỆP")</f>
        <v>NGUYỄN THỊ THẢO HIỆP</v>
      </c>
      <c r="F1006" s="46" t="str">
        <f ca="1">IFERROR(__xludf.DUMMYFUNCTION("""COMPUTED_VALUE"""),"NGUYEN THI THAO HIEP")</f>
        <v>NGUYEN THI THAO HIEP</v>
      </c>
      <c r="G1006" s="45">
        <f ca="1">IFERROR(__xludf.DUMMYFUNCTION("""COMPUTED_VALUE"""),33524.5833333333)</f>
        <v>33524.583333333299</v>
      </c>
      <c r="H1006" s="45" t="str">
        <f ca="1">IFERROR(__xludf.DUMMYFUNCTION("""COMPUTED_VALUE"""),"KITCHEN PASTRY")</f>
        <v>KITCHEN PASTRY</v>
      </c>
      <c r="I1006" s="46" t="str">
        <f ca="1">IFERROR(__xludf.DUMMYFUNCTION("""COMPUTED_VALUE"""),"KITCHEN PASTRY")</f>
        <v>KITCHEN PASTRY</v>
      </c>
      <c r="J1006" s="46" t="str">
        <f ca="1">IFERROR(__xludf.DUMMYFUNCTION("""COMPUTED_VALUE"""),"KITCHEN PASTRY")</f>
        <v>KITCHEN PASTRY</v>
      </c>
      <c r="K1006" s="46" t="str">
        <f ca="1">IFERROR(__xludf.DUMMYFUNCTION("""COMPUTED_VALUE"""),"PASTRY")</f>
        <v>PASTRY</v>
      </c>
      <c r="L1006" s="46" t="str">
        <f ca="1">IFERROR(__xludf.DUMMYFUNCTION("""COMPUTED_VALUE"""),"FTE")</f>
        <v>FTE</v>
      </c>
      <c r="M1006" s="46" t="str">
        <f ca="1">IFERROR(__xludf.DUMMYFUNCTION("""COMPUTED_VALUE"""),"On")</f>
        <v>On</v>
      </c>
      <c r="N1006" s="46" t="str">
        <f ca="1">IFERROR(__xludf.DUMMYFUNCTION("""COMPUTED_VALUE"""),"đủ")</f>
        <v>đủ</v>
      </c>
    </row>
    <row r="1007" spans="1:14">
      <c r="A1007" s="45">
        <f ca="1">IFERROR(__xludf.DUMMYFUNCTION("""COMPUTED_VALUE"""),45831.5833333333)</f>
        <v>45831.583333333299</v>
      </c>
      <c r="B1007" s="45">
        <f ca="1">IFERROR(__xludf.DUMMYFUNCTION("""COMPUTED_VALUE"""),45834.5833333333)</f>
        <v>45834.583333333299</v>
      </c>
      <c r="C1007" s="46">
        <f ca="1">IFERROR(__xludf.DUMMYFUNCTION("""COMPUTED_VALUE"""),1008)</f>
        <v>1008</v>
      </c>
      <c r="D1007" s="47" t="str">
        <f ca="1">IFERROR(__xludf.DUMMYFUNCTION("""COMPUTED_VALUE"""),"C0781")</f>
        <v>C0781</v>
      </c>
      <c r="E1007" s="46" t="str">
        <f ca="1">IFERROR(__xludf.DUMMYFUNCTION("""COMPUTED_VALUE"""),"NGUYỄN THANH PHÚ")</f>
        <v>NGUYỄN THANH PHÚ</v>
      </c>
      <c r="F1007" s="46" t="str">
        <f ca="1">IFERROR(__xludf.DUMMYFUNCTION("""COMPUTED_VALUE"""),"NGUYEN THANH PHU")</f>
        <v>NGUYEN THANH PHU</v>
      </c>
      <c r="G1007" s="45"/>
      <c r="H1007" s="45" t="str">
        <f ca="1">IFERROR(__xludf.DUMMYFUNCTION("""COMPUTED_VALUE"""),"TLC")</f>
        <v>TLC</v>
      </c>
      <c r="I1007" s="46" t="str">
        <f ca="1">IFERROR(__xludf.DUMMYFUNCTION("""COMPUTED_VALUE"""),"STORE")</f>
        <v>STORE</v>
      </c>
      <c r="J1007" s="46" t="str">
        <f ca="1">IFERROR(__xludf.DUMMYFUNCTION("""COMPUTED_VALUE"""),"BAKES HCR")</f>
        <v>BAKES HCR</v>
      </c>
      <c r="K1007" s="46" t="str">
        <f ca="1">IFERROR(__xludf.DUMMYFUNCTION("""COMPUTED_VALUE"""),"BAR")</f>
        <v>BAR</v>
      </c>
      <c r="L1007" s="46" t="str">
        <f ca="1">IFERROR(__xludf.DUMMYFUNCTION("""COMPUTED_VALUE"""),"PTE")</f>
        <v>PTE</v>
      </c>
      <c r="M1007" s="46" t="str">
        <f ca="1">IFERROR(__xludf.DUMMYFUNCTION("""COMPUTED_VALUE"""),"Leave")</f>
        <v>Leave</v>
      </c>
      <c r="N1007" s="46" t="str">
        <f ca="1">IFERROR(__xludf.DUMMYFUNCTION("""COMPUTED_VALUE"""),"chua nop")</f>
        <v>chua nop</v>
      </c>
    </row>
    <row r="1008" spans="1:14">
      <c r="A1008" s="45">
        <f ca="1">IFERROR(__xludf.DUMMYFUNCTION("""COMPUTED_VALUE"""),45834.5833333333)</f>
        <v>45834.583333333299</v>
      </c>
      <c r="B1008" s="45"/>
      <c r="C1008" s="46">
        <f ca="1">IFERROR(__xludf.DUMMYFUNCTION("""COMPUTED_VALUE"""),1009)</f>
        <v>1009</v>
      </c>
      <c r="D1008" s="47" t="str">
        <f ca="1">IFERROR(__xludf.DUMMYFUNCTION("""COMPUTED_VALUE"""),"C0782")</f>
        <v>C0782</v>
      </c>
      <c r="E1008" s="46" t="str">
        <f ca="1">IFERROR(__xludf.DUMMYFUNCTION("""COMPUTED_VALUE"""),"HUỲNH MAI NGUYỆT")</f>
        <v>HUỲNH MAI NGUYỆT</v>
      </c>
      <c r="F1008" s="46" t="str">
        <f ca="1">IFERROR(__xludf.DUMMYFUNCTION("""COMPUTED_VALUE"""),"HUYNH MAI NGUYET")</f>
        <v>HUYNH MAI NGUYET</v>
      </c>
      <c r="G1008" s="45">
        <f ca="1">IFERROR(__xludf.DUMMYFUNCTION("""COMPUTED_VALUE"""),37683.625)</f>
        <v>37683.625</v>
      </c>
      <c r="H1008" s="45" t="str">
        <f ca="1">IFERROR(__xludf.DUMMYFUNCTION("""COMPUTED_VALUE"""),"KITCHEN PASTRY")</f>
        <v>KITCHEN PASTRY</v>
      </c>
      <c r="I1008" s="46" t="str">
        <f ca="1">IFERROR(__xludf.DUMMYFUNCTION("""COMPUTED_VALUE"""),"KITCHEN PASTRY")</f>
        <v>KITCHEN PASTRY</v>
      </c>
      <c r="J1008" s="46" t="str">
        <f ca="1">IFERROR(__xludf.DUMMYFUNCTION("""COMPUTED_VALUE"""),"KITCHEN PASTRY")</f>
        <v>KITCHEN PASTRY</v>
      </c>
      <c r="K1008" s="46" t="str">
        <f ca="1">IFERROR(__xludf.DUMMYFUNCTION("""COMPUTED_VALUE"""),"PASTRY")</f>
        <v>PASTRY</v>
      </c>
      <c r="L1008" s="46" t="str">
        <f ca="1">IFERROR(__xludf.DUMMYFUNCTION("""COMPUTED_VALUE"""),"FTE")</f>
        <v>FTE</v>
      </c>
      <c r="M1008" s="46" t="str">
        <f ca="1">IFERROR(__xludf.DUMMYFUNCTION("""COMPUTED_VALUE"""),"On")</f>
        <v>On</v>
      </c>
      <c r="N1008" s="46" t="str">
        <f ca="1">IFERROR(__xludf.DUMMYFUNCTION("""COMPUTED_VALUE"""),"đủ")</f>
        <v>đủ</v>
      </c>
    </row>
    <row r="1009" spans="1:14">
      <c r="A1009" s="45">
        <f ca="1">IFERROR(__xludf.DUMMYFUNCTION("""COMPUTED_VALUE"""),45828.5833333333)</f>
        <v>45828.583333333299</v>
      </c>
      <c r="B1009" s="45">
        <f ca="1">IFERROR(__xludf.DUMMYFUNCTION("""COMPUTED_VALUE"""),45830.5833333333)</f>
        <v>45830.583333333299</v>
      </c>
      <c r="C1009" s="46">
        <f ca="1">IFERROR(__xludf.DUMMYFUNCTION("""COMPUTED_VALUE"""),1010)</f>
        <v>1010</v>
      </c>
      <c r="D1009" s="47" t="str">
        <f ca="1">IFERROR(__xludf.DUMMYFUNCTION("""COMPUTED_VALUE"""),"C0783")</f>
        <v>C0783</v>
      </c>
      <c r="E1009" s="46" t="str">
        <f ca="1">IFERROR(__xludf.DUMMYFUNCTION("""COMPUTED_VALUE"""),"HỒ MINH NHẬT")</f>
        <v>HỒ MINH NHẬT</v>
      </c>
      <c r="F1009" s="46" t="str">
        <f ca="1">IFERROR(__xludf.DUMMYFUNCTION("""COMPUTED_VALUE"""),"HO MINH NHAT")</f>
        <v>HO MINH NHAT</v>
      </c>
      <c r="G1009" s="45"/>
      <c r="H1009" s="45" t="str">
        <f ca="1">IFERROR(__xludf.DUMMYFUNCTION("""COMPUTED_VALUE"""),"YESHI")</f>
        <v>YESHI</v>
      </c>
      <c r="I1009" s="46" t="str">
        <f ca="1">IFERROR(__xludf.DUMMYFUNCTION("""COMPUTED_VALUE"""),"STORE")</f>
        <v>STORE</v>
      </c>
      <c r="J1009" s="46" t="str">
        <f ca="1">IFERROR(__xludf.DUMMYFUNCTION("""COMPUTED_VALUE"""),"YESHI D2")</f>
        <v>YESHI D2</v>
      </c>
      <c r="K1009" s="46" t="str">
        <f ca="1">IFERROR(__xludf.DUMMYFUNCTION("""COMPUTED_VALUE"""),"KIT")</f>
        <v>KIT</v>
      </c>
      <c r="L1009" s="46" t="str">
        <f ca="1">IFERROR(__xludf.DUMMYFUNCTION("""COMPUTED_VALUE"""),"PTE")</f>
        <v>PTE</v>
      </c>
      <c r="M1009" s="46" t="str">
        <f ca="1">IFERROR(__xludf.DUMMYFUNCTION("""COMPUTED_VALUE"""),"Leave")</f>
        <v>Leave</v>
      </c>
      <c r="N1009" s="46" t="str">
        <f ca="1">IFERROR(__xludf.DUMMYFUNCTION("""COMPUTED_VALUE"""),"chua nop")</f>
        <v>chua nop</v>
      </c>
    </row>
    <row r="1010" spans="1:14">
      <c r="A1010" s="45">
        <f ca="1">IFERROR(__xludf.DUMMYFUNCTION("""COMPUTED_VALUE"""),45831.5833333333)</f>
        <v>45831.583333333299</v>
      </c>
      <c r="B1010" s="45">
        <f ca="1">IFERROR(__xludf.DUMMYFUNCTION("""COMPUTED_VALUE"""),45870.5833333333)</f>
        <v>45870.583333333299</v>
      </c>
      <c r="C1010" s="46">
        <f ca="1">IFERROR(__xludf.DUMMYFUNCTION("""COMPUTED_VALUE"""),1011)</f>
        <v>1011</v>
      </c>
      <c r="D1010" s="47" t="str">
        <f ca="1">IFERROR(__xludf.DUMMYFUNCTION("""COMPUTED_VALUE"""),"C0784")</f>
        <v>C0784</v>
      </c>
      <c r="E1010" s="46" t="str">
        <f ca="1">IFERROR(__xludf.DUMMYFUNCTION("""COMPUTED_VALUE"""),"NGUYỄN THỊ DIỄM MY")</f>
        <v>NGUYỄN THỊ DIỄM MY</v>
      </c>
      <c r="F1010" s="46" t="str">
        <f ca="1">IFERROR(__xludf.DUMMYFUNCTION("""COMPUTED_VALUE"""),"NGUYEN THI DIEM MY")</f>
        <v>NGUYEN THI DIEM MY</v>
      </c>
      <c r="G1010" s="45">
        <f ca="1">IFERROR(__xludf.DUMMYFUNCTION("""COMPUTED_VALUE"""),36552.625)</f>
        <v>36552.625</v>
      </c>
      <c r="H1010" s="45" t="str">
        <f ca="1">IFERROR(__xludf.DUMMYFUNCTION("""COMPUTED_VALUE"""),"MATTE")</f>
        <v>MATTE</v>
      </c>
      <c r="I1010" s="46" t="str">
        <f ca="1">IFERROR(__xludf.DUMMYFUNCTION("""COMPUTED_VALUE"""),"STORE")</f>
        <v>STORE</v>
      </c>
      <c r="J1010" s="46" t="str">
        <f ca="1">IFERROR(__xludf.DUMMYFUNCTION("""COMPUTED_VALUE"""),"MATTE D3")</f>
        <v>MATTE D3</v>
      </c>
      <c r="K1010" s="46" t="str">
        <f ca="1">IFERROR(__xludf.DUMMYFUNCTION("""COMPUTED_VALUE"""),"BAR")</f>
        <v>BAR</v>
      </c>
      <c r="L1010" s="46" t="str">
        <f ca="1">IFERROR(__xludf.DUMMYFUNCTION("""COMPUTED_VALUE"""),"PTE")</f>
        <v>PTE</v>
      </c>
      <c r="M1010" s="46" t="str">
        <f ca="1">IFERROR(__xludf.DUMMYFUNCTION("""COMPUTED_VALUE"""),"Leave")</f>
        <v>Leave</v>
      </c>
      <c r="N1010" s="46" t="str">
        <f ca="1">IFERROR(__xludf.DUMMYFUNCTION("""COMPUTED_VALUE"""),"đủ")</f>
        <v>đủ</v>
      </c>
    </row>
    <row r="1011" spans="1:14">
      <c r="A1011" s="45">
        <f ca="1">IFERROR(__xludf.DUMMYFUNCTION("""COMPUTED_VALUE"""),45828.5833333333)</f>
        <v>45828.583333333299</v>
      </c>
      <c r="B1011" s="45"/>
      <c r="C1011" s="46">
        <f ca="1">IFERROR(__xludf.DUMMYFUNCTION("""COMPUTED_VALUE"""),1012)</f>
        <v>1012</v>
      </c>
      <c r="D1011" s="47" t="str">
        <f ca="1">IFERROR(__xludf.DUMMYFUNCTION("""COMPUTED_VALUE"""),"C0785")</f>
        <v>C0785</v>
      </c>
      <c r="E1011" s="46" t="str">
        <f ca="1">IFERROR(__xludf.DUMMYFUNCTION("""COMPUTED_VALUE"""),"NGUYỄN HOÀNG ANH VŨ")</f>
        <v>NGUYỄN HOÀNG ANH VŨ</v>
      </c>
      <c r="F1011" s="46" t="str">
        <f ca="1">IFERROR(__xludf.DUMMYFUNCTION("""COMPUTED_VALUE"""),"NGUYEN HOANG ANH VU")</f>
        <v>NGUYEN HOANG ANH VU</v>
      </c>
      <c r="G1011" s="45">
        <f ca="1">IFERROR(__xludf.DUMMYFUNCTION("""COMPUTED_VALUE"""),36716.5833333333)</f>
        <v>36716.583333333299</v>
      </c>
      <c r="H1011" s="45" t="str">
        <f ca="1">IFERROR(__xludf.DUMMYFUNCTION("""COMPUTED_VALUE"""),"MATTE")</f>
        <v>MATTE</v>
      </c>
      <c r="I1011" s="46" t="str">
        <f ca="1">IFERROR(__xludf.DUMMYFUNCTION("""COMPUTED_VALUE"""),"STORE")</f>
        <v>STORE</v>
      </c>
      <c r="J1011" s="46" t="str">
        <f ca="1">IFERROR(__xludf.DUMMYFUNCTION("""COMPUTED_VALUE"""),"MATTE D2")</f>
        <v>MATTE D2</v>
      </c>
      <c r="K1011" s="46" t="str">
        <f ca="1">IFERROR(__xludf.DUMMYFUNCTION("""COMPUTED_VALUE"""),"BAR")</f>
        <v>BAR</v>
      </c>
      <c r="L1011" s="46" t="str">
        <f ca="1">IFERROR(__xludf.DUMMYFUNCTION("""COMPUTED_VALUE"""),"FTE")</f>
        <v>FTE</v>
      </c>
      <c r="M1011" s="46" t="str">
        <f ca="1">IFERROR(__xludf.DUMMYFUNCTION("""COMPUTED_VALUE"""),"On")</f>
        <v>On</v>
      </c>
      <c r="N1011" s="46" t="str">
        <f ca="1">IFERROR(__xludf.DUMMYFUNCTION("""COMPUTED_VALUE"""),"đủ")</f>
        <v>đủ</v>
      </c>
    </row>
    <row r="1012" spans="1:14">
      <c r="A1012" s="45">
        <f ca="1">IFERROR(__xludf.DUMMYFUNCTION("""COMPUTED_VALUE"""),45829.5833333333)</f>
        <v>45829.583333333299</v>
      </c>
      <c r="B1012" s="45">
        <f ca="1">IFERROR(__xludf.DUMMYFUNCTION("""COMPUTED_VALUE"""),46090.5833333333)</f>
        <v>46090.583333333299</v>
      </c>
      <c r="C1012" s="46">
        <f ca="1">IFERROR(__xludf.DUMMYFUNCTION("""COMPUTED_VALUE"""),1013)</f>
        <v>1013</v>
      </c>
      <c r="D1012" s="47" t="str">
        <f ca="1">IFERROR(__xludf.DUMMYFUNCTION("""COMPUTED_VALUE"""),"C0786")</f>
        <v>C0786</v>
      </c>
      <c r="E1012" s="46" t="str">
        <f ca="1">IFERROR(__xludf.DUMMYFUNCTION("""COMPUTED_VALUE"""),"NGUYỄN LƯU DIỄM XUÂN")</f>
        <v>NGUYỄN LƯU DIỄM XUÂN</v>
      </c>
      <c r="F1012" s="46" t="str">
        <f ca="1">IFERROR(__xludf.DUMMYFUNCTION("""COMPUTED_VALUE"""),"NGUYEN LUU DIEM XUAN")</f>
        <v>NGUYEN LUU DIEM XUAN</v>
      </c>
      <c r="G1012" s="45">
        <f ca="1">IFERROR(__xludf.DUMMYFUNCTION("""COMPUTED_VALUE"""),36556.625)</f>
        <v>36556.625</v>
      </c>
      <c r="H1012" s="45" t="str">
        <f ca="1">IFERROR(__xludf.DUMMYFUNCTION("""COMPUTED_VALUE"""),"MATTE")</f>
        <v>MATTE</v>
      </c>
      <c r="I1012" s="46" t="str">
        <f ca="1">IFERROR(__xludf.DUMMYFUNCTION("""COMPUTED_VALUE"""),"STORE")</f>
        <v>STORE</v>
      </c>
      <c r="J1012" s="46" t="str">
        <f ca="1">IFERROR(__xludf.DUMMYFUNCTION("""COMPUTED_VALUE"""),"MATTE D7")</f>
        <v>MATTE D7</v>
      </c>
      <c r="K1012" s="46" t="str">
        <f ca="1">IFERROR(__xludf.DUMMYFUNCTION("""COMPUTED_VALUE"""),"BAR")</f>
        <v>BAR</v>
      </c>
      <c r="L1012" s="46" t="str">
        <f ca="1">IFERROR(__xludf.DUMMYFUNCTION("""COMPUTED_VALUE"""),"FTE")</f>
        <v>FTE</v>
      </c>
      <c r="M1012" s="46" t="str">
        <f ca="1">IFERROR(__xludf.DUMMYFUNCTION("""COMPUTED_VALUE"""),"Leave")</f>
        <v>Leave</v>
      </c>
      <c r="N1012" s="46" t="str">
        <f ca="1">IFERROR(__xludf.DUMMYFUNCTION("""COMPUTED_VALUE"""),"đủ")</f>
        <v>đủ</v>
      </c>
    </row>
    <row r="1013" spans="1:14">
      <c r="A1013" s="45">
        <f ca="1">IFERROR(__xludf.DUMMYFUNCTION("""COMPUTED_VALUE"""),45829.5833333333)</f>
        <v>45829.583333333299</v>
      </c>
      <c r="B1013" s="45"/>
      <c r="C1013" s="46">
        <f ca="1">IFERROR(__xludf.DUMMYFUNCTION("""COMPUTED_VALUE"""),1014)</f>
        <v>1014</v>
      </c>
      <c r="D1013" s="47" t="str">
        <f ca="1">IFERROR(__xludf.DUMMYFUNCTION("""COMPUTED_VALUE"""),"C0787")</f>
        <v>C0787</v>
      </c>
      <c r="E1013" s="46" t="str">
        <f ca="1">IFERROR(__xludf.DUMMYFUNCTION("""COMPUTED_VALUE"""),"TRẦN NGỌC HOÀNG TRINH")</f>
        <v>TRẦN NGỌC HOÀNG TRINH</v>
      </c>
      <c r="F1013" s="46" t="str">
        <f ca="1">IFERROR(__xludf.DUMMYFUNCTION("""COMPUTED_VALUE"""),"TRAN NGOC HOANG TRINH")</f>
        <v>TRAN NGOC HOANG TRINH</v>
      </c>
      <c r="G1013" s="45">
        <f ca="1">IFERROR(__xludf.DUMMYFUNCTION("""COMPUTED_VALUE"""),36583.625)</f>
        <v>36583.625</v>
      </c>
      <c r="H1013" s="45" t="str">
        <f ca="1">IFERROR(__xludf.DUMMYFUNCTION("""COMPUTED_VALUE"""),"YESHI")</f>
        <v>YESHI</v>
      </c>
      <c r="I1013" s="46" t="str">
        <f ca="1">IFERROR(__xludf.DUMMYFUNCTION("""COMPUTED_VALUE"""),"STORE")</f>
        <v>STORE</v>
      </c>
      <c r="J1013" s="46" t="str">
        <f ca="1">IFERROR(__xludf.DUMMYFUNCTION("""COMPUTED_VALUE"""),"YESHI D2")</f>
        <v>YESHI D2</v>
      </c>
      <c r="K1013" s="46" t="str">
        <f ca="1">IFERROR(__xludf.DUMMYFUNCTION("""COMPUTED_VALUE"""),"CASHIER")</f>
        <v>CASHIER</v>
      </c>
      <c r="L1013" s="46" t="str">
        <f ca="1">IFERROR(__xludf.DUMMYFUNCTION("""COMPUTED_VALUE"""),"FTE")</f>
        <v>FTE</v>
      </c>
      <c r="M1013" s="46" t="str">
        <f ca="1">IFERROR(__xludf.DUMMYFUNCTION("""COMPUTED_VALUE"""),"On")</f>
        <v>On</v>
      </c>
      <c r="N1013" s="46" t="str">
        <f ca="1">IFERROR(__xludf.DUMMYFUNCTION("""COMPUTED_VALUE"""),"đủ")</f>
        <v>đủ</v>
      </c>
    </row>
    <row r="1014" spans="1:14">
      <c r="A1014" s="45">
        <f ca="1">IFERROR(__xludf.DUMMYFUNCTION("""COMPUTED_VALUE"""),45831.5833333333)</f>
        <v>45831.583333333299</v>
      </c>
      <c r="B1014" s="45">
        <f ca="1">IFERROR(__xludf.DUMMYFUNCTION("""COMPUTED_VALUE"""),45864.5833333333)</f>
        <v>45864.583333333299</v>
      </c>
      <c r="C1014" s="46">
        <f ca="1">IFERROR(__xludf.DUMMYFUNCTION("""COMPUTED_VALUE"""),1015)</f>
        <v>1015</v>
      </c>
      <c r="D1014" s="47" t="str">
        <f ca="1">IFERROR(__xludf.DUMMYFUNCTION("""COMPUTED_VALUE"""),"C0789")</f>
        <v>C0789</v>
      </c>
      <c r="E1014" s="46" t="str">
        <f ca="1">IFERROR(__xludf.DUMMYFUNCTION("""COMPUTED_VALUE"""),"LƯ THÚY ANH")</f>
        <v>LƯ THÚY ANH</v>
      </c>
      <c r="F1014" s="46" t="str">
        <f ca="1">IFERROR(__xludf.DUMMYFUNCTION("""COMPUTED_VALUE"""),"LU THUY ANH")</f>
        <v>LU THUY ANH</v>
      </c>
      <c r="G1014" s="45">
        <f ca="1">IFERROR(__xludf.DUMMYFUNCTION("""COMPUTED_VALUE"""),35764.625)</f>
        <v>35764.625</v>
      </c>
      <c r="H1014" s="45" t="str">
        <f ca="1">IFERROR(__xludf.DUMMYFUNCTION("""COMPUTED_VALUE"""),"BAKES")</f>
        <v>BAKES</v>
      </c>
      <c r="I1014" s="46" t="str">
        <f ca="1">IFERROR(__xludf.DUMMYFUNCTION("""COMPUTED_VALUE"""),"STORE")</f>
        <v>STORE</v>
      </c>
      <c r="J1014" s="46" t="str">
        <f ca="1">IFERROR(__xludf.DUMMYFUNCTION("""COMPUTED_VALUE"""),"BAKES D7")</f>
        <v>BAKES D7</v>
      </c>
      <c r="K1014" s="46" t="str">
        <f ca="1">IFERROR(__xludf.DUMMYFUNCTION("""COMPUTED_VALUE"""),"BAR")</f>
        <v>BAR</v>
      </c>
      <c r="L1014" s="46" t="str">
        <f ca="1">IFERROR(__xludf.DUMMYFUNCTION("""COMPUTED_VALUE"""),"PTE")</f>
        <v>PTE</v>
      </c>
      <c r="M1014" s="46" t="str">
        <f ca="1">IFERROR(__xludf.DUMMYFUNCTION("""COMPUTED_VALUE"""),"Leave")</f>
        <v>Leave</v>
      </c>
      <c r="N1014" s="46" t="str">
        <f ca="1">IFERROR(__xludf.DUMMYFUNCTION("""COMPUTED_VALUE"""),"đủ")</f>
        <v>đủ</v>
      </c>
    </row>
    <row r="1015" spans="1:14">
      <c r="A1015" s="45">
        <f ca="1">IFERROR(__xludf.DUMMYFUNCTION("""COMPUTED_VALUE"""),45829.5833333333)</f>
        <v>45829.583333333299</v>
      </c>
      <c r="B1015" s="45">
        <f ca="1">IFERROR(__xludf.DUMMYFUNCTION("""COMPUTED_VALUE"""),45830.5833333333)</f>
        <v>45830.583333333299</v>
      </c>
      <c r="C1015" s="46">
        <f ca="1">IFERROR(__xludf.DUMMYFUNCTION("""COMPUTED_VALUE"""),1016)</f>
        <v>1016</v>
      </c>
      <c r="D1015" s="47" t="str">
        <f ca="1">IFERROR(__xludf.DUMMYFUNCTION("""COMPUTED_VALUE"""),"C0790")</f>
        <v>C0790</v>
      </c>
      <c r="E1015" s="46" t="str">
        <f ca="1">IFERROR(__xludf.DUMMYFUNCTION("""COMPUTED_VALUE"""),"NGUYỄN THUẬN TÀI")</f>
        <v>NGUYỄN THUẬN TÀI</v>
      </c>
      <c r="F1015" s="46" t="str">
        <f ca="1">IFERROR(__xludf.DUMMYFUNCTION("""COMPUTED_VALUE"""),"NGUYEN THUAN TAI")</f>
        <v>NGUYEN THUAN TAI</v>
      </c>
      <c r="G1015" s="45">
        <f ca="1">IFERROR(__xludf.DUMMYFUNCTION("""COMPUTED_VALUE"""),33747.5833333333)</f>
        <v>33747.583333333299</v>
      </c>
      <c r="H1015" s="45" t="str">
        <f ca="1">IFERROR(__xludf.DUMMYFUNCTION("""COMPUTED_VALUE"""),"MOONCAKE")</f>
        <v>MOONCAKE</v>
      </c>
      <c r="I1015" s="46" t="str">
        <f ca="1">IFERROR(__xludf.DUMMYFUNCTION("""COMPUTED_VALUE"""),"KITCHEN PASTRY")</f>
        <v>KITCHEN PASTRY</v>
      </c>
      <c r="J1015" s="46" t="str">
        <f ca="1">IFERROR(__xludf.DUMMYFUNCTION("""COMPUTED_VALUE"""),"KITCHEN PASTRY")</f>
        <v>KITCHEN PASTRY</v>
      </c>
      <c r="K1015" s="46" t="str">
        <f ca="1">IFERROR(__xludf.DUMMYFUNCTION("""COMPUTED_VALUE"""),"PASTRY")</f>
        <v>PASTRY</v>
      </c>
      <c r="L1015" s="46" t="str">
        <f ca="1">IFERROR(__xludf.DUMMYFUNCTION("""COMPUTED_VALUE"""),"PTE")</f>
        <v>PTE</v>
      </c>
      <c r="M1015" s="46" t="str">
        <f ca="1">IFERROR(__xludf.DUMMYFUNCTION("""COMPUTED_VALUE"""),"Leave")</f>
        <v>Leave</v>
      </c>
      <c r="N1015" s="46" t="str">
        <f ca="1">IFERROR(__xludf.DUMMYFUNCTION("""COMPUTED_VALUE"""),"đủ")</f>
        <v>đủ</v>
      </c>
    </row>
    <row r="1016" spans="1:14">
      <c r="A1016" s="45">
        <f ca="1">IFERROR(__xludf.DUMMYFUNCTION("""COMPUTED_VALUE"""),45831.5833333333)</f>
        <v>45831.583333333299</v>
      </c>
      <c r="B1016" s="45">
        <f ca="1">IFERROR(__xludf.DUMMYFUNCTION("""COMPUTED_VALUE"""),45832.5833333333)</f>
        <v>45832.583333333299</v>
      </c>
      <c r="C1016" s="46">
        <f ca="1">IFERROR(__xludf.DUMMYFUNCTION("""COMPUTED_VALUE"""),1017)</f>
        <v>1017</v>
      </c>
      <c r="D1016" s="47" t="str">
        <f ca="1">IFERROR(__xludf.DUMMYFUNCTION("""COMPUTED_VALUE"""),"C0791")</f>
        <v>C0791</v>
      </c>
      <c r="E1016" s="46" t="str">
        <f ca="1">IFERROR(__xludf.DUMMYFUNCTION("""COMPUTED_VALUE"""),"NGÔ NGUYỄN MINH HIỀN")</f>
        <v>NGÔ NGUYỄN MINH HIỀN</v>
      </c>
      <c r="F1016" s="46" t="str">
        <f ca="1">IFERROR(__xludf.DUMMYFUNCTION("""COMPUTED_VALUE"""),"NGO NGUYEN MINH HIEN")</f>
        <v>NGO NGUYEN MINH HIEN</v>
      </c>
      <c r="G1016" s="45">
        <f ca="1">IFERROR(__xludf.DUMMYFUNCTION("""COMPUTED_VALUE"""),38206.5833333333)</f>
        <v>38206.583333333299</v>
      </c>
      <c r="H1016" s="45" t="str">
        <f ca="1">IFERROR(__xludf.DUMMYFUNCTION("""COMPUTED_VALUE"""),"KITCHEN PASTRY")</f>
        <v>KITCHEN PASTRY</v>
      </c>
      <c r="I1016" s="46" t="str">
        <f ca="1">IFERROR(__xludf.DUMMYFUNCTION("""COMPUTED_VALUE"""),"KITCHEN PASTRY")</f>
        <v>KITCHEN PASTRY</v>
      </c>
      <c r="J1016" s="46" t="str">
        <f ca="1">IFERROR(__xludf.DUMMYFUNCTION("""COMPUTED_VALUE"""),"KITCHEN PASTRY")</f>
        <v>KITCHEN PASTRY</v>
      </c>
      <c r="K1016" s="46" t="str">
        <f ca="1">IFERROR(__xludf.DUMMYFUNCTION("""COMPUTED_VALUE"""),"PASTRY")</f>
        <v>PASTRY</v>
      </c>
      <c r="L1016" s="46" t="str">
        <f ca="1">IFERROR(__xludf.DUMMYFUNCTION("""COMPUTED_VALUE"""),"PRO")</f>
        <v>PRO</v>
      </c>
      <c r="M1016" s="46" t="str">
        <f ca="1">IFERROR(__xludf.DUMMYFUNCTION("""COMPUTED_VALUE"""),"Leave")</f>
        <v>Leave</v>
      </c>
      <c r="N1016" s="46" t="str">
        <f ca="1">IFERROR(__xludf.DUMMYFUNCTION("""COMPUTED_VALUE"""),"chua nop")</f>
        <v>chua nop</v>
      </c>
    </row>
    <row r="1017" spans="1:14">
      <c r="A1017" s="45">
        <f ca="1">IFERROR(__xludf.DUMMYFUNCTION("""COMPUTED_VALUE"""),45833.5833333333)</f>
        <v>45833.583333333299</v>
      </c>
      <c r="B1017" s="45">
        <f ca="1">IFERROR(__xludf.DUMMYFUNCTION("""COMPUTED_VALUE"""),45870.5833333333)</f>
        <v>45870.583333333299</v>
      </c>
      <c r="C1017" s="46">
        <f ca="1">IFERROR(__xludf.DUMMYFUNCTION("""COMPUTED_VALUE"""),1018)</f>
        <v>1018</v>
      </c>
      <c r="D1017" s="47" t="str">
        <f ca="1">IFERROR(__xludf.DUMMYFUNCTION("""COMPUTED_VALUE"""),"C0792")</f>
        <v>C0792</v>
      </c>
      <c r="E1017" s="46" t="str">
        <f ca="1">IFERROR(__xludf.DUMMYFUNCTION("""COMPUTED_VALUE"""),"TRẦN THỊ Ý NHI")</f>
        <v>TRẦN THỊ Ý NHI</v>
      </c>
      <c r="F1017" s="46" t="str">
        <f ca="1">IFERROR(__xludf.DUMMYFUNCTION("""COMPUTED_VALUE"""),"TRAN THI Y NHI")</f>
        <v>TRAN THI Y NHI</v>
      </c>
      <c r="G1017" s="45">
        <f ca="1">IFERROR(__xludf.DUMMYFUNCTION("""COMPUTED_VALUE"""),36948.625)</f>
        <v>36948.625</v>
      </c>
      <c r="H1017" s="45" t="str">
        <f ca="1">IFERROR(__xludf.DUMMYFUNCTION("""COMPUTED_VALUE"""),"TLC")</f>
        <v>TLC</v>
      </c>
      <c r="I1017" s="46" t="str">
        <f ca="1">IFERROR(__xludf.DUMMYFUNCTION("""COMPUTED_VALUE"""),"STORE")</f>
        <v>STORE</v>
      </c>
      <c r="J1017" s="46" t="str">
        <f ca="1">IFERROR(__xludf.DUMMYFUNCTION("""COMPUTED_VALUE"""),"BAKES HCR")</f>
        <v>BAKES HCR</v>
      </c>
      <c r="K1017" s="46" t="str">
        <f ca="1">IFERROR(__xludf.DUMMYFUNCTION("""COMPUTED_VALUE"""),"BAR")</f>
        <v>BAR</v>
      </c>
      <c r="L1017" s="46" t="str">
        <f ca="1">IFERROR(__xludf.DUMMYFUNCTION("""COMPUTED_VALUE"""),"PRO")</f>
        <v>PRO</v>
      </c>
      <c r="M1017" s="46" t="str">
        <f ca="1">IFERROR(__xludf.DUMMYFUNCTION("""COMPUTED_VALUE"""),"Leave")</f>
        <v>Leave</v>
      </c>
      <c r="N1017" s="46" t="str">
        <f ca="1">IFERROR(__xludf.DUMMYFUNCTION("""COMPUTED_VALUE"""),"đủ")</f>
        <v>đủ</v>
      </c>
    </row>
    <row r="1018" spans="1:14">
      <c r="A1018" s="45">
        <f ca="1">IFERROR(__xludf.DUMMYFUNCTION("""COMPUTED_VALUE"""),45833.5833333333)</f>
        <v>45833.583333333299</v>
      </c>
      <c r="B1018" s="45"/>
      <c r="C1018" s="46">
        <f ca="1">IFERROR(__xludf.DUMMYFUNCTION("""COMPUTED_VALUE"""),1019)</f>
        <v>1019</v>
      </c>
      <c r="D1018" s="47" t="str">
        <f ca="1">IFERROR(__xludf.DUMMYFUNCTION("""COMPUTED_VALUE"""),"C0793")</f>
        <v>C0793</v>
      </c>
      <c r="E1018" s="46" t="str">
        <f ca="1">IFERROR(__xludf.DUMMYFUNCTION("""COMPUTED_VALUE"""),"NGUYỄN ĐỨC HOÀNG")</f>
        <v>NGUYỄN ĐỨC HOÀNG</v>
      </c>
      <c r="F1018" s="46" t="str">
        <f ca="1">IFERROR(__xludf.DUMMYFUNCTION("""COMPUTED_VALUE"""),"NGUYEN DUC HOANG")</f>
        <v>NGUYEN DUC HOANG</v>
      </c>
      <c r="G1018" s="45">
        <f ca="1">IFERROR(__xludf.DUMMYFUNCTION("""COMPUTED_VALUE"""),34095.5833333333)</f>
        <v>34095.583333333299</v>
      </c>
      <c r="H1018" s="45" t="str">
        <f ca="1">IFERROR(__xludf.DUMMYFUNCTION("""COMPUTED_VALUE"""),"YESHI")</f>
        <v>YESHI</v>
      </c>
      <c r="I1018" s="46" t="str">
        <f ca="1">IFERROR(__xludf.DUMMYFUNCTION("""COMPUTED_VALUE"""),"STORE")</f>
        <v>STORE</v>
      </c>
      <c r="J1018" s="46" t="str">
        <f ca="1">IFERROR(__xludf.DUMMYFUNCTION("""COMPUTED_VALUE"""),"YESHI D3")</f>
        <v>YESHI D3</v>
      </c>
      <c r="K1018" s="46" t="str">
        <f ca="1">IFERROR(__xludf.DUMMYFUNCTION("""COMPUTED_VALUE"""),"KIT")</f>
        <v>KIT</v>
      </c>
      <c r="L1018" s="46" t="str">
        <f ca="1">IFERROR(__xludf.DUMMYFUNCTION("""COMPUTED_VALUE"""),"PTE")</f>
        <v>PTE</v>
      </c>
      <c r="M1018" s="46" t="str">
        <f ca="1">IFERROR(__xludf.DUMMYFUNCTION("""COMPUTED_VALUE"""),"On")</f>
        <v>On</v>
      </c>
      <c r="N1018" s="46" t="str">
        <f ca="1">IFERROR(__xludf.DUMMYFUNCTION("""COMPUTED_VALUE"""),"đủ")</f>
        <v>đủ</v>
      </c>
    </row>
    <row r="1019" spans="1:14">
      <c r="A1019" s="45">
        <f ca="1">IFERROR(__xludf.DUMMYFUNCTION("""COMPUTED_VALUE"""),45833.5833333333)</f>
        <v>45833.583333333299</v>
      </c>
      <c r="B1019" s="45"/>
      <c r="C1019" s="46">
        <f ca="1">IFERROR(__xludf.DUMMYFUNCTION("""COMPUTED_VALUE"""),1020)</f>
        <v>1020</v>
      </c>
      <c r="D1019" s="47" t="str">
        <f ca="1">IFERROR(__xludf.DUMMYFUNCTION("""COMPUTED_VALUE"""),"C0794")</f>
        <v>C0794</v>
      </c>
      <c r="E1019" s="46" t="str">
        <f ca="1">IFERROR(__xludf.DUMMYFUNCTION("""COMPUTED_VALUE"""),"VŨ DUY THUẦN")</f>
        <v>VŨ DUY THUẦN</v>
      </c>
      <c r="F1019" s="46" t="str">
        <f ca="1">IFERROR(__xludf.DUMMYFUNCTION("""COMPUTED_VALUE"""),"VU DUY THUAN")</f>
        <v>VU DUY THUAN</v>
      </c>
      <c r="G1019" s="45">
        <f ca="1">IFERROR(__xludf.DUMMYFUNCTION("""COMPUTED_VALUE"""),38058.625)</f>
        <v>38058.625</v>
      </c>
      <c r="H1019" s="45" t="str">
        <f ca="1">IFERROR(__xludf.DUMMYFUNCTION("""COMPUTED_VALUE"""),"YESHI")</f>
        <v>YESHI</v>
      </c>
      <c r="I1019" s="46" t="str">
        <f ca="1">IFERROR(__xludf.DUMMYFUNCTION("""COMPUTED_VALUE"""),"STORE")</f>
        <v>STORE</v>
      </c>
      <c r="J1019" s="46" t="str">
        <f ca="1">IFERROR(__xludf.DUMMYFUNCTION("""COMPUTED_VALUE"""),"YESHI D3")</f>
        <v>YESHI D3</v>
      </c>
      <c r="K1019" s="46" t="str">
        <f ca="1">IFERROR(__xludf.DUMMYFUNCTION("""COMPUTED_VALUE"""),"KIT")</f>
        <v>KIT</v>
      </c>
      <c r="L1019" s="46" t="str">
        <f ca="1">IFERROR(__xludf.DUMMYFUNCTION("""COMPUTED_VALUE"""),"FTE")</f>
        <v>FTE</v>
      </c>
      <c r="M1019" s="46" t="str">
        <f ca="1">IFERROR(__xludf.DUMMYFUNCTION("""COMPUTED_VALUE"""),"On")</f>
        <v>On</v>
      </c>
      <c r="N1019" s="46" t="str">
        <f ca="1">IFERROR(__xludf.DUMMYFUNCTION("""COMPUTED_VALUE"""),"đủ")</f>
        <v>đủ</v>
      </c>
    </row>
    <row r="1020" spans="1:14">
      <c r="A1020" s="45">
        <f ca="1">IFERROR(__xludf.DUMMYFUNCTION("""COMPUTED_VALUE"""),45832.5833333333)</f>
        <v>45832.583333333299</v>
      </c>
      <c r="B1020" s="45">
        <f ca="1">IFERROR(__xludf.DUMMYFUNCTION("""COMPUTED_VALUE"""),45911.5833333333)</f>
        <v>45911.583333333299</v>
      </c>
      <c r="C1020" s="46">
        <f ca="1">IFERROR(__xludf.DUMMYFUNCTION("""COMPUTED_VALUE"""),1021)</f>
        <v>1021</v>
      </c>
      <c r="D1020" s="47" t="str">
        <f ca="1">IFERROR(__xludf.DUMMYFUNCTION("""COMPUTED_VALUE"""),"C0795")</f>
        <v>C0795</v>
      </c>
      <c r="E1020" s="46" t="str">
        <f ca="1">IFERROR(__xludf.DUMMYFUNCTION("""COMPUTED_VALUE"""),"LÊ TUẤN ANH")</f>
        <v>LÊ TUẤN ANH</v>
      </c>
      <c r="F1020" s="46" t="str">
        <f ca="1">IFERROR(__xludf.DUMMYFUNCTION("""COMPUTED_VALUE"""),"LE TUAN ANH")</f>
        <v>LE TUAN ANH</v>
      </c>
      <c r="G1020" s="45">
        <f ca="1">IFERROR(__xludf.DUMMYFUNCTION("""COMPUTED_VALUE"""),37977.625)</f>
        <v>37977.625</v>
      </c>
      <c r="H1020" s="45" t="str">
        <f ca="1">IFERROR(__xludf.DUMMYFUNCTION("""COMPUTED_VALUE"""),"YESHI")</f>
        <v>YESHI</v>
      </c>
      <c r="I1020" s="46" t="str">
        <f ca="1">IFERROR(__xludf.DUMMYFUNCTION("""COMPUTED_VALUE"""),"STORE")</f>
        <v>STORE</v>
      </c>
      <c r="J1020" s="46" t="str">
        <f ca="1">IFERROR(__xludf.DUMMYFUNCTION("""COMPUTED_VALUE"""),"YESHI D3")</f>
        <v>YESHI D3</v>
      </c>
      <c r="K1020" s="46" t="str">
        <f ca="1">IFERROR(__xludf.DUMMYFUNCTION("""COMPUTED_VALUE"""),"WAITSTAFF")</f>
        <v>WAITSTAFF</v>
      </c>
      <c r="L1020" s="46" t="str">
        <f ca="1">IFERROR(__xludf.DUMMYFUNCTION("""COMPUTED_VALUE"""),"FTE")</f>
        <v>FTE</v>
      </c>
      <c r="M1020" s="46" t="str">
        <f ca="1">IFERROR(__xludf.DUMMYFUNCTION("""COMPUTED_VALUE"""),"Leave")</f>
        <v>Leave</v>
      </c>
      <c r="N1020" s="46" t="str">
        <f ca="1">IFERROR(__xludf.DUMMYFUNCTION("""COMPUTED_VALUE"""),"đủ")</f>
        <v>đủ</v>
      </c>
    </row>
    <row r="1021" spans="1:14">
      <c r="A1021" s="45">
        <f ca="1">IFERROR(__xludf.DUMMYFUNCTION("""COMPUTED_VALUE"""),45835.5833333333)</f>
        <v>45835.583333333299</v>
      </c>
      <c r="B1021" s="45">
        <f ca="1">IFERROR(__xludf.DUMMYFUNCTION("""COMPUTED_VALUE"""),45884.5833333333)</f>
        <v>45884.583333333299</v>
      </c>
      <c r="C1021" s="46">
        <f ca="1">IFERROR(__xludf.DUMMYFUNCTION("""COMPUTED_VALUE"""),1022)</f>
        <v>1022</v>
      </c>
      <c r="D1021" s="47" t="str">
        <f ca="1">IFERROR(__xludf.DUMMYFUNCTION("""COMPUTED_VALUE"""),"C0796")</f>
        <v>C0796</v>
      </c>
      <c r="E1021" s="46" t="str">
        <f ca="1">IFERROR(__xludf.DUMMYFUNCTION("""COMPUTED_VALUE"""),"TRẦN THỊ THANH TRÚC")</f>
        <v>TRẦN THỊ THANH TRÚC</v>
      </c>
      <c r="F1021" s="46" t="str">
        <f ca="1">IFERROR(__xludf.DUMMYFUNCTION("""COMPUTED_VALUE"""),"TRAN THI THANH TRUC")</f>
        <v>TRAN THI THANH TRUC</v>
      </c>
      <c r="G1021" s="45">
        <f ca="1">IFERROR(__xludf.DUMMYFUNCTION("""COMPUTED_VALUE"""),38277.5833333333)</f>
        <v>38277.583333333299</v>
      </c>
      <c r="H1021" s="45" t="str">
        <f ca="1">IFERROR(__xludf.DUMMYFUNCTION("""COMPUTED_VALUE"""),"YESHI")</f>
        <v>YESHI</v>
      </c>
      <c r="I1021" s="46" t="str">
        <f ca="1">IFERROR(__xludf.DUMMYFUNCTION("""COMPUTED_VALUE"""),"STORE")</f>
        <v>STORE</v>
      </c>
      <c r="J1021" s="46" t="str">
        <f ca="1">IFERROR(__xludf.DUMMYFUNCTION("""COMPUTED_VALUE"""),"YESHI D3")</f>
        <v>YESHI D3</v>
      </c>
      <c r="K1021" s="46" t="str">
        <f ca="1">IFERROR(__xludf.DUMMYFUNCTION("""COMPUTED_VALUE"""),"WAITSTAFF")</f>
        <v>WAITSTAFF</v>
      </c>
      <c r="L1021" s="46" t="str">
        <f ca="1">IFERROR(__xludf.DUMMYFUNCTION("""COMPUTED_VALUE"""),"PTE")</f>
        <v>PTE</v>
      </c>
      <c r="M1021" s="46" t="str">
        <f ca="1">IFERROR(__xludf.DUMMYFUNCTION("""COMPUTED_VALUE"""),"Leave")</f>
        <v>Leave</v>
      </c>
      <c r="N1021" s="46" t="str">
        <f ca="1">IFERROR(__xludf.DUMMYFUNCTION("""COMPUTED_VALUE"""),"đủ")</f>
        <v>đủ</v>
      </c>
    </row>
    <row r="1022" spans="1:14">
      <c r="A1022" s="45">
        <f ca="1">IFERROR(__xludf.DUMMYFUNCTION("""COMPUTED_VALUE"""),45835.5833333333)</f>
        <v>45835.583333333299</v>
      </c>
      <c r="B1022" s="45"/>
      <c r="C1022" s="46">
        <f ca="1">IFERROR(__xludf.DUMMYFUNCTION("""COMPUTED_VALUE"""),1023)</f>
        <v>1023</v>
      </c>
      <c r="D1022" s="47" t="str">
        <f ca="1">IFERROR(__xludf.DUMMYFUNCTION("""COMPUTED_VALUE"""),"C0797")</f>
        <v>C0797</v>
      </c>
      <c r="E1022" s="46" t="str">
        <f ca="1">IFERROR(__xludf.DUMMYFUNCTION("""COMPUTED_VALUE"""),"NGÔ ĐỨC HƯNG")</f>
        <v>NGÔ ĐỨC HƯNG</v>
      </c>
      <c r="F1022" s="46" t="str">
        <f ca="1">IFERROR(__xludf.DUMMYFUNCTION("""COMPUTED_VALUE"""),"NGO DUC HUNG")</f>
        <v>NGO DUC HUNG</v>
      </c>
      <c r="G1022" s="45">
        <f ca="1">IFERROR(__xludf.DUMMYFUNCTION("""COMPUTED_VALUE"""),37711.625)</f>
        <v>37711.625</v>
      </c>
      <c r="H1022" s="45" t="str">
        <f ca="1">IFERROR(__xludf.DUMMYFUNCTION("""COMPUTED_VALUE"""),"YESHI")</f>
        <v>YESHI</v>
      </c>
      <c r="I1022" s="46" t="str">
        <f ca="1">IFERROR(__xludf.DUMMYFUNCTION("""COMPUTED_VALUE"""),"STORE")</f>
        <v>STORE</v>
      </c>
      <c r="J1022" s="46" t="str">
        <f ca="1">IFERROR(__xludf.DUMMYFUNCTION("""COMPUTED_VALUE"""),"YESHI D3")</f>
        <v>YESHI D3</v>
      </c>
      <c r="K1022" s="46" t="str">
        <f ca="1">IFERROR(__xludf.DUMMYFUNCTION("""COMPUTED_VALUE"""),"CASHIER")</f>
        <v>CASHIER</v>
      </c>
      <c r="L1022" s="46" t="str">
        <f ca="1">IFERROR(__xludf.DUMMYFUNCTION("""COMPUTED_VALUE"""),"FTE")</f>
        <v>FTE</v>
      </c>
      <c r="M1022" s="46" t="str">
        <f ca="1">IFERROR(__xludf.DUMMYFUNCTION("""COMPUTED_VALUE"""),"On")</f>
        <v>On</v>
      </c>
      <c r="N1022" s="46" t="str">
        <f ca="1">IFERROR(__xludf.DUMMYFUNCTION("""COMPUTED_VALUE"""),"đủ")</f>
        <v>đủ</v>
      </c>
    </row>
    <row r="1023" spans="1:14">
      <c r="A1023" s="45">
        <f ca="1">IFERROR(__xludf.DUMMYFUNCTION("""COMPUTED_VALUE"""),45827.5833333333)</f>
        <v>45827.583333333299</v>
      </c>
      <c r="B1023" s="45">
        <f ca="1">IFERROR(__xludf.DUMMYFUNCTION("""COMPUTED_VALUE"""),46017.625)</f>
        <v>46017.625</v>
      </c>
      <c r="C1023" s="46">
        <f ca="1">IFERROR(__xludf.DUMMYFUNCTION("""COMPUTED_VALUE"""),1024)</f>
        <v>1024</v>
      </c>
      <c r="D1023" s="47" t="str">
        <f ca="1">IFERROR(__xludf.DUMMYFUNCTION("""COMPUTED_VALUE"""),"C0798")</f>
        <v>C0798</v>
      </c>
      <c r="E1023" s="46" t="str">
        <f ca="1">IFERROR(__xludf.DUMMYFUNCTION("""COMPUTED_VALUE"""),"NGUYỄN PHẠM NGỌC TRÂN")</f>
        <v>NGUYỄN PHẠM NGỌC TRÂN</v>
      </c>
      <c r="F1023" s="46" t="str">
        <f ca="1">IFERROR(__xludf.DUMMYFUNCTION("""COMPUTED_VALUE"""),"NGUYEN PHAM NGOC TRAN")</f>
        <v>NGUYEN PHAM NGOC TRAN</v>
      </c>
      <c r="G1023" s="45">
        <f ca="1">IFERROR(__xludf.DUMMYFUNCTION("""COMPUTED_VALUE"""),38903.5833333333)</f>
        <v>38903.583333333299</v>
      </c>
      <c r="H1023" s="45" t="str">
        <f ca="1">IFERROR(__xludf.DUMMYFUNCTION("""COMPUTED_VALUE"""),"BAKES")</f>
        <v>BAKES</v>
      </c>
      <c r="I1023" s="46" t="str">
        <f ca="1">IFERROR(__xludf.DUMMYFUNCTION("""COMPUTED_VALUE"""),"STORE")</f>
        <v>STORE</v>
      </c>
      <c r="J1023" s="46" t="str">
        <f ca="1">IFERROR(__xludf.DUMMYFUNCTION("""COMPUTED_VALUE"""),"BAKES HCR")</f>
        <v>BAKES HCR</v>
      </c>
      <c r="K1023" s="46" t="str">
        <f ca="1">IFERROR(__xludf.DUMMYFUNCTION("""COMPUTED_VALUE"""),"WAITSTAFF")</f>
        <v>WAITSTAFF</v>
      </c>
      <c r="L1023" s="46" t="str">
        <f ca="1">IFERROR(__xludf.DUMMYFUNCTION("""COMPUTED_VALUE"""),"PTE")</f>
        <v>PTE</v>
      </c>
      <c r="M1023" s="46" t="str">
        <f ca="1">IFERROR(__xludf.DUMMYFUNCTION("""COMPUTED_VALUE"""),"Leave")</f>
        <v>Leave</v>
      </c>
      <c r="N1023" s="46" t="str">
        <f ca="1">IFERROR(__xludf.DUMMYFUNCTION("""COMPUTED_VALUE"""),"đủ")</f>
        <v>đủ</v>
      </c>
    </row>
    <row r="1024" spans="1:14">
      <c r="A1024" s="45">
        <f ca="1">IFERROR(__xludf.DUMMYFUNCTION("""COMPUTED_VALUE"""),45827.5833333333)</f>
        <v>45827.583333333299</v>
      </c>
      <c r="B1024" s="45"/>
      <c r="C1024" s="46">
        <f ca="1">IFERROR(__xludf.DUMMYFUNCTION("""COMPUTED_VALUE"""),1025)</f>
        <v>1025</v>
      </c>
      <c r="D1024" s="47" t="str">
        <f ca="1">IFERROR(__xludf.DUMMYFUNCTION("""COMPUTED_VALUE"""),"C0799")</f>
        <v>C0799</v>
      </c>
      <c r="E1024" s="46" t="str">
        <f ca="1">IFERROR(__xludf.DUMMYFUNCTION("""COMPUTED_VALUE"""),"LÊ THỊ HỒNG NHUNG")</f>
        <v>LÊ THỊ HỒNG NHUNG</v>
      </c>
      <c r="F1024" s="46" t="str">
        <f ca="1">IFERROR(__xludf.DUMMYFUNCTION("""COMPUTED_VALUE"""),"LE THI HONG NHUNG")</f>
        <v>LE THI HONG NHUNG</v>
      </c>
      <c r="G1024" s="45">
        <f ca="1">IFERROR(__xludf.DUMMYFUNCTION("""COMPUTED_VALUE"""),38858.5833333333)</f>
        <v>38858.583333333299</v>
      </c>
      <c r="H1024" s="45" t="str">
        <f ca="1">IFERROR(__xludf.DUMMYFUNCTION("""COMPUTED_VALUE"""),"YESHI")</f>
        <v>YESHI</v>
      </c>
      <c r="I1024" s="46" t="str">
        <f ca="1">IFERROR(__xludf.DUMMYFUNCTION("""COMPUTED_VALUE"""),"STORE")</f>
        <v>STORE</v>
      </c>
      <c r="J1024" s="46" t="str">
        <f ca="1">IFERROR(__xludf.DUMMYFUNCTION("""COMPUTED_VALUE"""),"YESHI D3")</f>
        <v>YESHI D3</v>
      </c>
      <c r="K1024" s="46" t="str">
        <f ca="1">IFERROR(__xludf.DUMMYFUNCTION("""COMPUTED_VALUE"""),"KIT")</f>
        <v>KIT</v>
      </c>
      <c r="L1024" s="46" t="str">
        <f ca="1">IFERROR(__xludf.DUMMYFUNCTION("""COMPUTED_VALUE"""),"PTE")</f>
        <v>PTE</v>
      </c>
      <c r="M1024" s="46" t="str">
        <f ca="1">IFERROR(__xludf.DUMMYFUNCTION("""COMPUTED_VALUE"""),"On")</f>
        <v>On</v>
      </c>
      <c r="N1024" s="46" t="str">
        <f ca="1">IFERROR(__xludf.DUMMYFUNCTION("""COMPUTED_VALUE"""),"đủ")</f>
        <v>đủ</v>
      </c>
    </row>
    <row r="1025" spans="1:14">
      <c r="A1025" s="45">
        <f ca="1">IFERROR(__xludf.DUMMYFUNCTION("""COMPUTED_VALUE"""),45827.5833333333)</f>
        <v>45827.583333333299</v>
      </c>
      <c r="B1025" s="45">
        <f ca="1">IFERROR(__xludf.DUMMYFUNCTION("""COMPUTED_VALUE"""),45829.5833333333)</f>
        <v>45829.583333333299</v>
      </c>
      <c r="C1025" s="46">
        <f ca="1">IFERROR(__xludf.DUMMYFUNCTION("""COMPUTED_VALUE"""),1026)</f>
        <v>1026</v>
      </c>
      <c r="D1025" s="47" t="str">
        <f ca="1">IFERROR(__xludf.DUMMYFUNCTION("""COMPUTED_VALUE"""),"C0800")</f>
        <v>C0800</v>
      </c>
      <c r="E1025" s="46" t="str">
        <f ca="1">IFERROR(__xludf.DUMMYFUNCTION("""COMPUTED_VALUE"""),"NGUYỄN TRẦN HOÀNG NHÂN")</f>
        <v>NGUYỄN TRẦN HOÀNG NHÂN</v>
      </c>
      <c r="F1025" s="46" t="str">
        <f ca="1">IFERROR(__xludf.DUMMYFUNCTION("""COMPUTED_VALUE"""),"NGUYEN TRAN HOANG NHAN")</f>
        <v>NGUYEN TRAN HOANG NHAN</v>
      </c>
      <c r="G1025" s="45"/>
      <c r="H1025" s="45" t="str">
        <f ca="1">IFERROR(__xludf.DUMMYFUNCTION("""COMPUTED_VALUE"""),"YESHI")</f>
        <v>YESHI</v>
      </c>
      <c r="I1025" s="46" t="str">
        <f ca="1">IFERROR(__xludf.DUMMYFUNCTION("""COMPUTED_VALUE"""),"STORE")</f>
        <v>STORE</v>
      </c>
      <c r="J1025" s="46" t="str">
        <f ca="1">IFERROR(__xludf.DUMMYFUNCTION("""COMPUTED_VALUE"""),"YESHI D2")</f>
        <v>YESHI D2</v>
      </c>
      <c r="K1025" s="46" t="str">
        <f ca="1">IFERROR(__xludf.DUMMYFUNCTION("""COMPUTED_VALUE"""),"KIT")</f>
        <v>KIT</v>
      </c>
      <c r="L1025" s="46" t="str">
        <f ca="1">IFERROR(__xludf.DUMMYFUNCTION("""COMPUTED_VALUE"""),"PTE")</f>
        <v>PTE</v>
      </c>
      <c r="M1025" s="46" t="str">
        <f ca="1">IFERROR(__xludf.DUMMYFUNCTION("""COMPUTED_VALUE"""),"Leave")</f>
        <v>Leave</v>
      </c>
      <c r="N1025" s="46" t="str">
        <f ca="1">IFERROR(__xludf.DUMMYFUNCTION("""COMPUTED_VALUE"""),"chua nop")</f>
        <v>chua nop</v>
      </c>
    </row>
    <row r="1026" spans="1:14">
      <c r="A1026" s="45">
        <f ca="1">IFERROR(__xludf.DUMMYFUNCTION("""COMPUTED_VALUE"""),45839.5833333333)</f>
        <v>45839.583333333299</v>
      </c>
      <c r="B1026" s="45">
        <f ca="1">IFERROR(__xludf.DUMMYFUNCTION("""COMPUTED_VALUE"""),46082.625)</f>
        <v>46082.625</v>
      </c>
      <c r="C1026" s="46">
        <f ca="1">IFERROR(__xludf.DUMMYFUNCTION("""COMPUTED_VALUE"""),1027)</f>
        <v>1027</v>
      </c>
      <c r="D1026" s="47" t="str">
        <f ca="1">IFERROR(__xludf.DUMMYFUNCTION("""COMPUTED_VALUE"""),"C0801")</f>
        <v>C0801</v>
      </c>
      <c r="E1026" s="46" t="str">
        <f ca="1">IFERROR(__xludf.DUMMYFUNCTION("""COMPUTED_VALUE"""),"PHẠM PHÚC THỊNH")</f>
        <v>PHẠM PHÚC THỊNH</v>
      </c>
      <c r="F1026" s="46" t="str">
        <f ca="1">IFERROR(__xludf.DUMMYFUNCTION("""COMPUTED_VALUE"""),"PHAM PHUC THINH")</f>
        <v>PHAM PHUC THINH</v>
      </c>
      <c r="G1026" s="45">
        <f ca="1">IFERROR(__xludf.DUMMYFUNCTION("""COMPUTED_VALUE"""),35165.5833333333)</f>
        <v>35165.583333333299</v>
      </c>
      <c r="H1026" s="45" t="str">
        <f ca="1">IFERROR(__xludf.DUMMYFUNCTION("""COMPUTED_VALUE"""),"TLC")</f>
        <v>TLC</v>
      </c>
      <c r="I1026" s="46" t="str">
        <f ca="1">IFERROR(__xludf.DUMMYFUNCTION("""COMPUTED_VALUE"""),"HO")</f>
        <v>HO</v>
      </c>
      <c r="J1026" s="46" t="str">
        <f ca="1">IFERROR(__xludf.DUMMYFUNCTION("""COMPUTED_VALUE"""),"PET")</f>
        <v>PET</v>
      </c>
      <c r="K1026" s="46" t="str">
        <f ca="1">IFERROR(__xludf.DUMMYFUNCTION("""COMPUTED_VALUE"""),"PET")</f>
        <v>PET</v>
      </c>
      <c r="L1026" s="46" t="str">
        <f ca="1">IFERROR(__xludf.DUMMYFUNCTION("""COMPUTED_VALUE"""),"FTE")</f>
        <v>FTE</v>
      </c>
      <c r="M1026" s="46" t="str">
        <f ca="1">IFERROR(__xludf.DUMMYFUNCTION("""COMPUTED_VALUE"""),"Leave")</f>
        <v>Leave</v>
      </c>
      <c r="N1026" s="46" t="str">
        <f ca="1">IFERROR(__xludf.DUMMYFUNCTION("""COMPUTED_VALUE"""),"đủ")</f>
        <v>đủ</v>
      </c>
    </row>
    <row r="1027" spans="1:14">
      <c r="A1027" s="45">
        <f ca="1">IFERROR(__xludf.DUMMYFUNCTION("""COMPUTED_VALUE"""),45835.5833333333)</f>
        <v>45835.583333333299</v>
      </c>
      <c r="B1027" s="45">
        <f ca="1">IFERROR(__xludf.DUMMYFUNCTION("""COMPUTED_VALUE"""),45851.5833333333)</f>
        <v>45851.583333333299</v>
      </c>
      <c r="C1027" s="46">
        <f ca="1">IFERROR(__xludf.DUMMYFUNCTION("""COMPUTED_VALUE"""),1028)</f>
        <v>1028</v>
      </c>
      <c r="D1027" s="47" t="str">
        <f ca="1">IFERROR(__xludf.DUMMYFUNCTION("""COMPUTED_VALUE"""),"C0802")</f>
        <v>C0802</v>
      </c>
      <c r="E1027" s="46" t="str">
        <f ca="1">IFERROR(__xludf.DUMMYFUNCTION("""COMPUTED_VALUE"""),"LÊ ĐẶNG MINH VY")</f>
        <v>LÊ ĐẶNG MINH VY</v>
      </c>
      <c r="F1027" s="46" t="str">
        <f ca="1">IFERROR(__xludf.DUMMYFUNCTION("""COMPUTED_VALUE"""),"LE DANG MINH VY")</f>
        <v>LE DANG MINH VY</v>
      </c>
      <c r="G1027" s="45">
        <f ca="1">IFERROR(__xludf.DUMMYFUNCTION("""COMPUTED_VALUE"""),37859.5833333333)</f>
        <v>37859.583333333299</v>
      </c>
      <c r="H1027" s="45" t="str">
        <f ca="1">IFERROR(__xludf.DUMMYFUNCTION("""COMPUTED_VALUE"""),"YESHI")</f>
        <v>YESHI</v>
      </c>
      <c r="I1027" s="46" t="str">
        <f ca="1">IFERROR(__xludf.DUMMYFUNCTION("""COMPUTED_VALUE"""),"STORE")</f>
        <v>STORE</v>
      </c>
      <c r="J1027" s="46" t="str">
        <f ca="1">IFERROR(__xludf.DUMMYFUNCTION("""COMPUTED_VALUE"""),"YESHI D3")</f>
        <v>YESHI D3</v>
      </c>
      <c r="K1027" s="46" t="str">
        <f ca="1">IFERROR(__xludf.DUMMYFUNCTION("""COMPUTED_VALUE"""),"KIT")</f>
        <v>KIT</v>
      </c>
      <c r="L1027" s="46" t="str">
        <f ca="1">IFERROR(__xludf.DUMMYFUNCTION("""COMPUTED_VALUE"""),"PTE")</f>
        <v>PTE</v>
      </c>
      <c r="M1027" s="46" t="str">
        <f ca="1">IFERROR(__xludf.DUMMYFUNCTION("""COMPUTED_VALUE"""),"Leave")</f>
        <v>Leave</v>
      </c>
      <c r="N1027" s="46" t="str">
        <f ca="1">IFERROR(__xludf.DUMMYFUNCTION("""COMPUTED_VALUE"""),"đủ")</f>
        <v>đủ</v>
      </c>
    </row>
    <row r="1028" spans="1:14">
      <c r="A1028" s="45">
        <f ca="1">IFERROR(__xludf.DUMMYFUNCTION("""COMPUTED_VALUE"""),45839.5833333333)</f>
        <v>45839.583333333299</v>
      </c>
      <c r="B1028" s="45">
        <f ca="1">IFERROR(__xludf.DUMMYFUNCTION("""COMPUTED_VALUE"""),46116.5833333333)</f>
        <v>46116.583333333299</v>
      </c>
      <c r="C1028" s="46">
        <f ca="1">IFERROR(__xludf.DUMMYFUNCTION("""COMPUTED_VALUE"""),1029)</f>
        <v>1029</v>
      </c>
      <c r="D1028" s="47" t="str">
        <f ca="1">IFERROR(__xludf.DUMMYFUNCTION("""COMPUTED_VALUE"""),"C0803")</f>
        <v>C0803</v>
      </c>
      <c r="E1028" s="46" t="str">
        <f ca="1">IFERROR(__xludf.DUMMYFUNCTION("""COMPUTED_VALUE"""),"NGUYỄN KHẮC HUY")</f>
        <v>NGUYỄN KHẮC HUY</v>
      </c>
      <c r="F1028" s="46" t="str">
        <f ca="1">IFERROR(__xludf.DUMMYFUNCTION("""COMPUTED_VALUE"""),"NGUYEN KHAC HUY")</f>
        <v>NGUYEN KHAC HUY</v>
      </c>
      <c r="G1028" s="45">
        <f ca="1">IFERROR(__xludf.DUMMYFUNCTION("""COMPUTED_VALUE"""),36562.625)</f>
        <v>36562.625</v>
      </c>
      <c r="H1028" s="45" t="str">
        <f ca="1">IFERROR(__xludf.DUMMYFUNCTION("""COMPUTED_VALUE"""),"TLC")</f>
        <v>TLC</v>
      </c>
      <c r="I1028" s="46" t="str">
        <f ca="1">IFERROR(__xludf.DUMMYFUNCTION("""COMPUTED_VALUE"""),"HO")</f>
        <v>HO</v>
      </c>
      <c r="J1028" s="46" t="str">
        <f ca="1">IFERROR(__xludf.DUMMYFUNCTION("""COMPUTED_VALUE"""),"PREP")</f>
        <v>PREP</v>
      </c>
      <c r="K1028" s="46" t="str">
        <f ca="1">IFERROR(__xludf.DUMMYFUNCTION("""COMPUTED_VALUE"""),"PREP")</f>
        <v>PREP</v>
      </c>
      <c r="L1028" s="46" t="str">
        <f ca="1">IFERROR(__xludf.DUMMYFUNCTION("""COMPUTED_VALUE"""),"FTE")</f>
        <v>FTE</v>
      </c>
      <c r="M1028" s="46" t="str">
        <f ca="1">IFERROR(__xludf.DUMMYFUNCTION("""COMPUTED_VALUE"""),"Leave")</f>
        <v>Leave</v>
      </c>
      <c r="N1028" s="46" t="str">
        <f ca="1">IFERROR(__xludf.DUMMYFUNCTION("""COMPUTED_VALUE"""),"đủ")</f>
        <v>đủ</v>
      </c>
    </row>
    <row r="1029" spans="1:14">
      <c r="A1029" s="45">
        <f ca="1">IFERROR(__xludf.DUMMYFUNCTION("""COMPUTED_VALUE"""),45839.5833333333)</f>
        <v>45839.583333333299</v>
      </c>
      <c r="B1029" s="45"/>
      <c r="C1029" s="46">
        <f ca="1">IFERROR(__xludf.DUMMYFUNCTION("""COMPUTED_VALUE"""),1030)</f>
        <v>1030</v>
      </c>
      <c r="D1029" s="47" t="str">
        <f ca="1">IFERROR(__xludf.DUMMYFUNCTION("""COMPUTED_VALUE"""),"C0804")</f>
        <v>C0804</v>
      </c>
      <c r="E1029" s="46" t="str">
        <f ca="1">IFERROR(__xludf.DUMMYFUNCTION("""COMPUTED_VALUE"""),"LÊ THỊ THU THỦY")</f>
        <v>LÊ THỊ THU THỦY</v>
      </c>
      <c r="F1029" s="46" t="str">
        <f ca="1">IFERROR(__xludf.DUMMYFUNCTION("""COMPUTED_VALUE"""),"LE THI THU THUY")</f>
        <v>LE THI THU THUY</v>
      </c>
      <c r="G1029" s="45">
        <f ca="1">IFERROR(__xludf.DUMMYFUNCTION("""COMPUTED_VALUE"""),37417.5833333333)</f>
        <v>37417.583333333299</v>
      </c>
      <c r="H1029" s="45" t="str">
        <f ca="1">IFERROR(__xludf.DUMMYFUNCTION("""COMPUTED_VALUE"""),"TLC")</f>
        <v>TLC</v>
      </c>
      <c r="I1029" s="46" t="str">
        <f ca="1">IFERROR(__xludf.DUMMYFUNCTION("""COMPUTED_VALUE"""),"HO")</f>
        <v>HO</v>
      </c>
      <c r="J1029" s="46" t="str">
        <f ca="1">IFERROR(__xludf.DUMMYFUNCTION("""COMPUTED_VALUE"""),"PREP")</f>
        <v>PREP</v>
      </c>
      <c r="K1029" s="46" t="str">
        <f ca="1">IFERROR(__xludf.DUMMYFUNCTION("""COMPUTED_VALUE"""),"PREP")</f>
        <v>PREP</v>
      </c>
      <c r="L1029" s="46" t="str">
        <f ca="1">IFERROR(__xludf.DUMMYFUNCTION("""COMPUTED_VALUE"""),"FTE")</f>
        <v>FTE</v>
      </c>
      <c r="M1029" s="46" t="str">
        <f ca="1">IFERROR(__xludf.DUMMYFUNCTION("""COMPUTED_VALUE"""),"On")</f>
        <v>On</v>
      </c>
      <c r="N1029" s="46" t="str">
        <f ca="1">IFERROR(__xludf.DUMMYFUNCTION("""COMPUTED_VALUE"""),"đủ")</f>
        <v>đủ</v>
      </c>
    </row>
    <row r="1030" spans="1:14">
      <c r="A1030" s="45">
        <f ca="1">IFERROR(__xludf.DUMMYFUNCTION("""COMPUTED_VALUE"""),45839.5833333333)</f>
        <v>45839.583333333299</v>
      </c>
      <c r="B1030" s="45">
        <f ca="1">IFERROR(__xludf.DUMMYFUNCTION("""COMPUTED_VALUE"""),45896.5833333333)</f>
        <v>45896.583333333299</v>
      </c>
      <c r="C1030" s="46">
        <f ca="1">IFERROR(__xludf.DUMMYFUNCTION("""COMPUTED_VALUE"""),1031)</f>
        <v>1031</v>
      </c>
      <c r="D1030" s="47" t="str">
        <f ca="1">IFERROR(__xludf.DUMMYFUNCTION("""COMPUTED_VALUE"""),"C0805")</f>
        <v>C0805</v>
      </c>
      <c r="E1030" s="46" t="str">
        <f ca="1">IFERROR(__xludf.DUMMYFUNCTION("""COMPUTED_VALUE"""),"NGUYỄN HUY HOÀNG")</f>
        <v>NGUYỄN HUY HOÀNG</v>
      </c>
      <c r="F1030" s="46" t="str">
        <f ca="1">IFERROR(__xludf.DUMMYFUNCTION("""COMPUTED_VALUE"""),"NGUYEN HUY HOANG")</f>
        <v>NGUYEN HUY HOANG</v>
      </c>
      <c r="G1030" s="45">
        <f ca="1">IFERROR(__xludf.DUMMYFUNCTION("""COMPUTED_VALUE"""),34857.5833333333)</f>
        <v>34857.583333333299</v>
      </c>
      <c r="H1030" s="45" t="str">
        <f ca="1">IFERROR(__xludf.DUMMYFUNCTION("""COMPUTED_VALUE"""),"MOONCAKE")</f>
        <v>MOONCAKE</v>
      </c>
      <c r="I1030" s="46" t="str">
        <f ca="1">IFERROR(__xludf.DUMMYFUNCTION("""COMPUTED_VALUE"""),"KITCHEN PASTRY")</f>
        <v>KITCHEN PASTRY</v>
      </c>
      <c r="J1030" s="46" t="str">
        <f ca="1">IFERROR(__xludf.DUMMYFUNCTION("""COMPUTED_VALUE"""),"KITCHEN PASTRY")</f>
        <v>KITCHEN PASTRY</v>
      </c>
      <c r="K1030" s="46" t="str">
        <f ca="1">IFERROR(__xludf.DUMMYFUNCTION("""COMPUTED_VALUE"""),"PASTRY")</f>
        <v>PASTRY</v>
      </c>
      <c r="L1030" s="46" t="str">
        <f ca="1">IFERROR(__xludf.DUMMYFUNCTION("""COMPUTED_VALUE"""),"PTE")</f>
        <v>PTE</v>
      </c>
      <c r="M1030" s="46" t="str">
        <f ca="1">IFERROR(__xludf.DUMMYFUNCTION("""COMPUTED_VALUE"""),"Leave")</f>
        <v>Leave</v>
      </c>
      <c r="N1030" s="46" t="str">
        <f ca="1">IFERROR(__xludf.DUMMYFUNCTION("""COMPUTED_VALUE"""),"đủ")</f>
        <v>đủ</v>
      </c>
    </row>
    <row r="1031" spans="1:14">
      <c r="A1031" s="45">
        <f ca="1">IFERROR(__xludf.DUMMYFUNCTION("""COMPUTED_VALUE"""),45841.5833333333)</f>
        <v>45841.583333333299</v>
      </c>
      <c r="B1031" s="45">
        <f ca="1">IFERROR(__xludf.DUMMYFUNCTION("""COMPUTED_VALUE"""),45873.5833333333)</f>
        <v>45873.583333333299</v>
      </c>
      <c r="C1031" s="46">
        <f ca="1">IFERROR(__xludf.DUMMYFUNCTION("""COMPUTED_VALUE"""),1032)</f>
        <v>1032</v>
      </c>
      <c r="D1031" s="47" t="str">
        <f ca="1">IFERROR(__xludf.DUMMYFUNCTION("""COMPUTED_VALUE"""),"C0806")</f>
        <v>C0806</v>
      </c>
      <c r="E1031" s="46" t="str">
        <f ca="1">IFERROR(__xludf.DUMMYFUNCTION("""COMPUTED_VALUE"""),"HỒ NHỊP ĐỨC")</f>
        <v>HỒ NHỊP ĐỨC</v>
      </c>
      <c r="F1031" s="46" t="str">
        <f ca="1">IFERROR(__xludf.DUMMYFUNCTION("""COMPUTED_VALUE"""),"HO NHIP DUC")</f>
        <v>HO NHIP DUC</v>
      </c>
      <c r="G1031" s="45">
        <f ca="1">IFERROR(__xludf.DUMMYFUNCTION("""COMPUTED_VALUE"""),35736.625)</f>
        <v>35736.625</v>
      </c>
      <c r="H1031" s="45" t="str">
        <f ca="1">IFERROR(__xludf.DUMMYFUNCTION("""COMPUTED_VALUE"""),"MOONCAKE")</f>
        <v>MOONCAKE</v>
      </c>
      <c r="I1031" s="46" t="str">
        <f ca="1">IFERROR(__xludf.DUMMYFUNCTION("""COMPUTED_VALUE"""),"KITCHEN PASTRY")</f>
        <v>KITCHEN PASTRY</v>
      </c>
      <c r="J1031" s="46" t="str">
        <f ca="1">IFERROR(__xludf.DUMMYFUNCTION("""COMPUTED_VALUE"""),"KITCHEN PASTRY")</f>
        <v>KITCHEN PASTRY</v>
      </c>
      <c r="K1031" s="46" t="str">
        <f ca="1">IFERROR(__xludf.DUMMYFUNCTION("""COMPUTED_VALUE"""),"PASTRY")</f>
        <v>PASTRY</v>
      </c>
      <c r="L1031" s="46" t="str">
        <f ca="1">IFERROR(__xludf.DUMMYFUNCTION("""COMPUTED_VALUE"""),"PTE")</f>
        <v>PTE</v>
      </c>
      <c r="M1031" s="46" t="str">
        <f ca="1">IFERROR(__xludf.DUMMYFUNCTION("""COMPUTED_VALUE"""),"Leave")</f>
        <v>Leave</v>
      </c>
      <c r="N1031" s="46" t="str">
        <f ca="1">IFERROR(__xludf.DUMMYFUNCTION("""COMPUTED_VALUE"""),"đủ")</f>
        <v>đủ</v>
      </c>
    </row>
    <row r="1032" spans="1:14">
      <c r="A1032" s="45">
        <f ca="1">IFERROR(__xludf.DUMMYFUNCTION("""COMPUTED_VALUE"""),45839.5833333333)</f>
        <v>45839.583333333299</v>
      </c>
      <c r="B1032" s="45">
        <f ca="1">IFERROR(__xludf.DUMMYFUNCTION("""COMPUTED_VALUE"""),45932.5833333333)</f>
        <v>45932.583333333299</v>
      </c>
      <c r="C1032" s="46">
        <f ca="1">IFERROR(__xludf.DUMMYFUNCTION("""COMPUTED_VALUE"""),1033)</f>
        <v>1033</v>
      </c>
      <c r="D1032" s="47" t="str">
        <f ca="1">IFERROR(__xludf.DUMMYFUNCTION("""COMPUTED_VALUE"""),"C0807")</f>
        <v>C0807</v>
      </c>
      <c r="E1032" s="46" t="str">
        <f ca="1">IFERROR(__xludf.DUMMYFUNCTION("""COMPUTED_VALUE"""),"LÊ BẢO NHI")</f>
        <v>LÊ BẢO NHI</v>
      </c>
      <c r="F1032" s="46" t="str">
        <f ca="1">IFERROR(__xludf.DUMMYFUNCTION("""COMPUTED_VALUE"""),"LE BAO NHI")</f>
        <v>LE BAO NHI</v>
      </c>
      <c r="G1032" s="45">
        <f ca="1">IFERROR(__xludf.DUMMYFUNCTION("""COMPUTED_VALUE"""),35008.625)</f>
        <v>35008.625</v>
      </c>
      <c r="H1032" s="45" t="str">
        <f ca="1">IFERROR(__xludf.DUMMYFUNCTION("""COMPUTED_VALUE"""),"MOONCAKE")</f>
        <v>MOONCAKE</v>
      </c>
      <c r="I1032" s="46" t="str">
        <f ca="1">IFERROR(__xludf.DUMMYFUNCTION("""COMPUTED_VALUE"""),"KITCHEN PASTRY")</f>
        <v>KITCHEN PASTRY</v>
      </c>
      <c r="J1032" s="46" t="str">
        <f ca="1">IFERROR(__xludf.DUMMYFUNCTION("""COMPUTED_VALUE"""),"KITCHEN PASTRY")</f>
        <v>KITCHEN PASTRY</v>
      </c>
      <c r="K1032" s="46" t="str">
        <f ca="1">IFERROR(__xludf.DUMMYFUNCTION("""COMPUTED_VALUE"""),"PASTRY")</f>
        <v>PASTRY</v>
      </c>
      <c r="L1032" s="46" t="str">
        <f ca="1">IFERROR(__xludf.DUMMYFUNCTION("""COMPUTED_VALUE"""),"PTE")</f>
        <v>PTE</v>
      </c>
      <c r="M1032" s="46" t="str">
        <f ca="1">IFERROR(__xludf.DUMMYFUNCTION("""COMPUTED_VALUE"""),"Leave")</f>
        <v>Leave</v>
      </c>
      <c r="N1032" s="46" t="str">
        <f ca="1">IFERROR(__xludf.DUMMYFUNCTION("""COMPUTED_VALUE"""),"đủ")</f>
        <v>đủ</v>
      </c>
    </row>
    <row r="1033" spans="1:14">
      <c r="A1033" s="45">
        <f ca="1">IFERROR(__xludf.DUMMYFUNCTION("""COMPUTED_VALUE"""),45841.5833333333)</f>
        <v>45841.583333333299</v>
      </c>
      <c r="B1033" s="45">
        <f ca="1">IFERROR(__xludf.DUMMYFUNCTION("""COMPUTED_VALUE"""),45845.5833333333)</f>
        <v>45845.583333333299</v>
      </c>
      <c r="C1033" s="46">
        <f ca="1">IFERROR(__xludf.DUMMYFUNCTION("""COMPUTED_VALUE"""),1034)</f>
        <v>1034</v>
      </c>
      <c r="D1033" s="47" t="str">
        <f ca="1">IFERROR(__xludf.DUMMYFUNCTION("""COMPUTED_VALUE"""),"C0808")</f>
        <v>C0808</v>
      </c>
      <c r="E1033" s="46" t="str">
        <f ca="1">IFERROR(__xludf.DUMMYFUNCTION("""COMPUTED_VALUE"""),"VÕ KHÁNH VY")</f>
        <v>VÕ KHÁNH VY</v>
      </c>
      <c r="F1033" s="46" t="str">
        <f ca="1">IFERROR(__xludf.DUMMYFUNCTION("""COMPUTED_VALUE"""),"VO KHANH VY")</f>
        <v>VO KHANH VY</v>
      </c>
      <c r="G1033" s="45">
        <f ca="1">IFERROR(__xludf.DUMMYFUNCTION("""COMPUTED_VALUE"""),34915.5833333333)</f>
        <v>34915.583333333299</v>
      </c>
      <c r="H1033" s="45" t="str">
        <f ca="1">IFERROR(__xludf.DUMMYFUNCTION("""COMPUTED_VALUE"""),"MOONCAKE")</f>
        <v>MOONCAKE</v>
      </c>
      <c r="I1033" s="46" t="str">
        <f ca="1">IFERROR(__xludf.DUMMYFUNCTION("""COMPUTED_VALUE"""),"KITCHEN PASTRY")</f>
        <v>KITCHEN PASTRY</v>
      </c>
      <c r="J1033" s="46" t="str">
        <f ca="1">IFERROR(__xludf.DUMMYFUNCTION("""COMPUTED_VALUE"""),"KITCHEN PASTRY")</f>
        <v>KITCHEN PASTRY</v>
      </c>
      <c r="K1033" s="46" t="str">
        <f ca="1">IFERROR(__xludf.DUMMYFUNCTION("""COMPUTED_VALUE"""),"PASTRY")</f>
        <v>PASTRY</v>
      </c>
      <c r="L1033" s="46" t="str">
        <f ca="1">IFERROR(__xludf.DUMMYFUNCTION("""COMPUTED_VALUE"""),"PTE")</f>
        <v>PTE</v>
      </c>
      <c r="M1033" s="46" t="str">
        <f ca="1">IFERROR(__xludf.DUMMYFUNCTION("""COMPUTED_VALUE"""),"Leave")</f>
        <v>Leave</v>
      </c>
      <c r="N1033" s="46" t="str">
        <f ca="1">IFERROR(__xludf.DUMMYFUNCTION("""COMPUTED_VALUE"""),"đủ")</f>
        <v>đủ</v>
      </c>
    </row>
    <row r="1034" spans="1:14">
      <c r="A1034" s="45">
        <f ca="1">IFERROR(__xludf.DUMMYFUNCTION("""COMPUTED_VALUE"""),45841.5833333333)</f>
        <v>45841.583333333299</v>
      </c>
      <c r="B1034" s="45">
        <f ca="1">IFERROR(__xludf.DUMMYFUNCTION("""COMPUTED_VALUE"""),46033.625)</f>
        <v>46033.625</v>
      </c>
      <c r="C1034" s="46">
        <f ca="1">IFERROR(__xludf.DUMMYFUNCTION("""COMPUTED_VALUE"""),1035)</f>
        <v>1035</v>
      </c>
      <c r="D1034" s="47" t="str">
        <f ca="1">IFERROR(__xludf.DUMMYFUNCTION("""COMPUTED_VALUE"""),"C0810")</f>
        <v>C0810</v>
      </c>
      <c r="E1034" s="46" t="str">
        <f ca="1">IFERROR(__xludf.DUMMYFUNCTION("""COMPUTED_VALUE"""),"TẠ SƠN TÙNG")</f>
        <v>TẠ SƠN TÙNG</v>
      </c>
      <c r="F1034" s="46" t="str">
        <f ca="1">IFERROR(__xludf.DUMMYFUNCTION("""COMPUTED_VALUE"""),"TA SON TUNG")</f>
        <v>TA SON TUNG</v>
      </c>
      <c r="G1034" s="45">
        <f ca="1">IFERROR(__xludf.DUMMYFUNCTION("""COMPUTED_VALUE"""),33951.625)</f>
        <v>33951.625</v>
      </c>
      <c r="H1034" s="45" t="str">
        <f ca="1">IFERROR(__xludf.DUMMYFUNCTION("""COMPUTED_VALUE"""),"KITCHEN PASTRY")</f>
        <v>KITCHEN PASTRY</v>
      </c>
      <c r="I1034" s="46" t="str">
        <f ca="1">IFERROR(__xludf.DUMMYFUNCTION("""COMPUTED_VALUE"""),"KITCHEN PASTRY")</f>
        <v>KITCHEN PASTRY</v>
      </c>
      <c r="J1034" s="46" t="str">
        <f ca="1">IFERROR(__xludf.DUMMYFUNCTION("""COMPUTED_VALUE"""),"KITCHEN PASTRY")</f>
        <v>KITCHEN PASTRY</v>
      </c>
      <c r="K1034" s="46" t="str">
        <f ca="1">IFERROR(__xludf.DUMMYFUNCTION("""COMPUTED_VALUE"""),"BAKER")</f>
        <v>BAKER</v>
      </c>
      <c r="L1034" s="46" t="str">
        <f ca="1">IFERROR(__xludf.DUMMYFUNCTION("""COMPUTED_VALUE"""),"FTE")</f>
        <v>FTE</v>
      </c>
      <c r="M1034" s="46" t="str">
        <f ca="1">IFERROR(__xludf.DUMMYFUNCTION("""COMPUTED_VALUE"""),"Leave")</f>
        <v>Leave</v>
      </c>
      <c r="N1034" s="46" t="str">
        <f ca="1">IFERROR(__xludf.DUMMYFUNCTION("""COMPUTED_VALUE"""),"đủ")</f>
        <v>đủ</v>
      </c>
    </row>
    <row r="1035" spans="1:14">
      <c r="A1035" s="45">
        <f ca="1">IFERROR(__xludf.DUMMYFUNCTION("""COMPUTED_VALUE"""),45841.5833333333)</f>
        <v>45841.583333333299</v>
      </c>
      <c r="B1035" s="45">
        <f ca="1">IFERROR(__xludf.DUMMYFUNCTION("""COMPUTED_VALUE"""),45932.5833333333)</f>
        <v>45932.583333333299</v>
      </c>
      <c r="C1035" s="46">
        <f ca="1">IFERROR(__xludf.DUMMYFUNCTION("""COMPUTED_VALUE"""),1036)</f>
        <v>1036</v>
      </c>
      <c r="D1035" s="47" t="str">
        <f ca="1">IFERROR(__xludf.DUMMYFUNCTION("""COMPUTED_VALUE"""),"C0811")</f>
        <v>C0811</v>
      </c>
      <c r="E1035" s="46" t="str">
        <f ca="1">IFERROR(__xludf.DUMMYFUNCTION("""COMPUTED_VALUE"""),"CHU MINH ĐẠI")</f>
        <v>CHU MINH ĐẠI</v>
      </c>
      <c r="F1035" s="46" t="str">
        <f ca="1">IFERROR(__xludf.DUMMYFUNCTION("""COMPUTED_VALUE"""),"CHU MINH DAI")</f>
        <v>CHU MINH DAI</v>
      </c>
      <c r="G1035" s="45">
        <f ca="1">IFERROR(__xludf.DUMMYFUNCTION("""COMPUTED_VALUE"""),37304.625)</f>
        <v>37304.625</v>
      </c>
      <c r="H1035" s="45" t="str">
        <f ca="1">IFERROR(__xludf.DUMMYFUNCTION("""COMPUTED_VALUE"""),"MOONCAKE")</f>
        <v>MOONCAKE</v>
      </c>
      <c r="I1035" s="46" t="str">
        <f ca="1">IFERROR(__xludf.DUMMYFUNCTION("""COMPUTED_VALUE"""),"KITCHEN PASTRY")</f>
        <v>KITCHEN PASTRY</v>
      </c>
      <c r="J1035" s="46" t="str">
        <f ca="1">IFERROR(__xludf.DUMMYFUNCTION("""COMPUTED_VALUE"""),"KITCHEN PASTRY")</f>
        <v>KITCHEN PASTRY</v>
      </c>
      <c r="K1035" s="46" t="str">
        <f ca="1">IFERROR(__xludf.DUMMYFUNCTION("""COMPUTED_VALUE"""),"PASTRY")</f>
        <v>PASTRY</v>
      </c>
      <c r="L1035" s="46" t="str">
        <f ca="1">IFERROR(__xludf.DUMMYFUNCTION("""COMPUTED_VALUE"""),"PTE")</f>
        <v>PTE</v>
      </c>
      <c r="M1035" s="46" t="str">
        <f ca="1">IFERROR(__xludf.DUMMYFUNCTION("""COMPUTED_VALUE"""),"Leave")</f>
        <v>Leave</v>
      </c>
      <c r="N1035" s="46" t="str">
        <f ca="1">IFERROR(__xludf.DUMMYFUNCTION("""COMPUTED_VALUE"""),"đủ")</f>
        <v>đủ</v>
      </c>
    </row>
    <row r="1036" spans="1:14">
      <c r="A1036" s="45">
        <f ca="1">IFERROR(__xludf.DUMMYFUNCTION("""COMPUTED_VALUE"""),45839.5833333333)</f>
        <v>45839.583333333299</v>
      </c>
      <c r="B1036" s="45">
        <f ca="1">IFERROR(__xludf.DUMMYFUNCTION("""COMPUTED_VALUE"""),45843.5833333333)</f>
        <v>45843.583333333299</v>
      </c>
      <c r="C1036" s="46">
        <f ca="1">IFERROR(__xludf.DUMMYFUNCTION("""COMPUTED_VALUE"""),1037)</f>
        <v>1037</v>
      </c>
      <c r="D1036" s="47" t="str">
        <f ca="1">IFERROR(__xludf.DUMMYFUNCTION("""COMPUTED_VALUE"""),"C0813")</f>
        <v>C0813</v>
      </c>
      <c r="E1036" s="46" t="str">
        <f ca="1">IFERROR(__xludf.DUMMYFUNCTION("""COMPUTED_VALUE"""),"NGUYỄN THỊ HOÀI PHƯƠNG")</f>
        <v>NGUYỄN THỊ HOÀI PHƯƠNG</v>
      </c>
      <c r="F1036" s="46" t="str">
        <f ca="1">IFERROR(__xludf.DUMMYFUNCTION("""COMPUTED_VALUE"""),"NGUYEN THI HOAI PHUONG")</f>
        <v>NGUYEN THI HOAI PHUONG</v>
      </c>
      <c r="G1036" s="45">
        <f ca="1">IFERROR(__xludf.DUMMYFUNCTION("""COMPUTED_VALUE"""),37242.625)</f>
        <v>37242.625</v>
      </c>
      <c r="H1036" s="45" t="str">
        <f ca="1">IFERROR(__xludf.DUMMYFUNCTION("""COMPUTED_VALUE"""),"MOONCAKE")</f>
        <v>MOONCAKE</v>
      </c>
      <c r="I1036" s="46" t="str">
        <f ca="1">IFERROR(__xludf.DUMMYFUNCTION("""COMPUTED_VALUE"""),"KITCHEN PASTRY")</f>
        <v>KITCHEN PASTRY</v>
      </c>
      <c r="J1036" s="46" t="str">
        <f ca="1">IFERROR(__xludf.DUMMYFUNCTION("""COMPUTED_VALUE"""),"KITCHEN PASTRY")</f>
        <v>KITCHEN PASTRY</v>
      </c>
      <c r="K1036" s="46" t="str">
        <f ca="1">IFERROR(__xludf.DUMMYFUNCTION("""COMPUTED_VALUE"""),"PASTRY")</f>
        <v>PASTRY</v>
      </c>
      <c r="L1036" s="46" t="str">
        <f ca="1">IFERROR(__xludf.DUMMYFUNCTION("""COMPUTED_VALUE"""),"PTE")</f>
        <v>PTE</v>
      </c>
      <c r="M1036" s="46" t="str">
        <f ca="1">IFERROR(__xludf.DUMMYFUNCTION("""COMPUTED_VALUE"""),"Leave")</f>
        <v>Leave</v>
      </c>
      <c r="N1036" s="46" t="str">
        <f ca="1">IFERROR(__xludf.DUMMYFUNCTION("""COMPUTED_VALUE"""),"Đủ")</f>
        <v>Đủ</v>
      </c>
    </row>
    <row r="1037" spans="1:14">
      <c r="A1037" s="45">
        <f ca="1">IFERROR(__xludf.DUMMYFUNCTION("""COMPUTED_VALUE"""),45855.5833333333)</f>
        <v>45855.583333333299</v>
      </c>
      <c r="B1037" s="45"/>
      <c r="C1037" s="46">
        <f ca="1">IFERROR(__xludf.DUMMYFUNCTION("""COMPUTED_VALUE"""),1038)</f>
        <v>1038</v>
      </c>
      <c r="D1037" s="47" t="str">
        <f ca="1">IFERROR(__xludf.DUMMYFUNCTION("""COMPUTED_VALUE"""),"C0815")</f>
        <v>C0815</v>
      </c>
      <c r="E1037" s="46" t="str">
        <f ca="1">IFERROR(__xludf.DUMMYFUNCTION("""COMPUTED_VALUE"""),"NGUYỄN HUỆ NGHI")</f>
        <v>NGUYỄN HUỆ NGHI</v>
      </c>
      <c r="F1037" s="46" t="str">
        <f ca="1">IFERROR(__xludf.DUMMYFUNCTION("""COMPUTED_VALUE"""),"NGUYEN HUE NGHI")</f>
        <v>NGUYEN HUE NGHI</v>
      </c>
      <c r="G1037" s="45">
        <f ca="1">IFERROR(__xludf.DUMMYFUNCTION("""COMPUTED_VALUE"""),37565.625)</f>
        <v>37565.625</v>
      </c>
      <c r="H1037" s="45" t="str">
        <f ca="1">IFERROR(__xludf.DUMMYFUNCTION("""COMPUTED_VALUE"""),"BAKES")</f>
        <v>BAKES</v>
      </c>
      <c r="I1037" s="46" t="str">
        <f ca="1">IFERROR(__xludf.DUMMYFUNCTION("""COMPUTED_VALUE"""),"HO")</f>
        <v>HO</v>
      </c>
      <c r="J1037" s="46" t="str">
        <f ca="1">IFERROR(__xludf.DUMMYFUNCTION("""COMPUTED_VALUE"""),"CUS")</f>
        <v>CUS</v>
      </c>
      <c r="K1037" s="46" t="str">
        <f ca="1">IFERROR(__xludf.DUMMYFUNCTION("""COMPUTED_VALUE"""),"CUS")</f>
        <v>CUS</v>
      </c>
      <c r="L1037" s="46" t="str">
        <f ca="1">IFERROR(__xludf.DUMMYFUNCTION("""COMPUTED_VALUE"""),"FTE")</f>
        <v>FTE</v>
      </c>
      <c r="M1037" s="46" t="str">
        <f ca="1">IFERROR(__xludf.DUMMYFUNCTION("""COMPUTED_VALUE"""),"On")</f>
        <v>On</v>
      </c>
      <c r="N1037" s="46" t="str">
        <f ca="1">IFERROR(__xludf.DUMMYFUNCTION("""COMPUTED_VALUE"""),"đủ")</f>
        <v>đủ</v>
      </c>
    </row>
    <row r="1038" spans="1:14">
      <c r="A1038" s="45">
        <f ca="1">IFERROR(__xludf.DUMMYFUNCTION("""COMPUTED_VALUE"""),45843.5833333333)</f>
        <v>45843.583333333299</v>
      </c>
      <c r="B1038" s="45"/>
      <c r="C1038" s="46">
        <f ca="1">IFERROR(__xludf.DUMMYFUNCTION("""COMPUTED_VALUE"""),1039)</f>
        <v>1039</v>
      </c>
      <c r="D1038" s="47" t="str">
        <f ca="1">IFERROR(__xludf.DUMMYFUNCTION("""COMPUTED_VALUE"""),"C0816")</f>
        <v>C0816</v>
      </c>
      <c r="E1038" s="46" t="str">
        <f ca="1">IFERROR(__xludf.DUMMYFUNCTION("""COMPUTED_VALUE"""),"TRỊNH PHƯƠNG UYÊN")</f>
        <v>TRỊNH PHƯƠNG UYÊN</v>
      </c>
      <c r="F1038" s="46" t="str">
        <f ca="1">IFERROR(__xludf.DUMMYFUNCTION("""COMPUTED_VALUE"""),"TRINH PHUONG UYEN")</f>
        <v>TRINH PHUONG UYEN</v>
      </c>
      <c r="G1038" s="45">
        <f ca="1">IFERROR(__xludf.DUMMYFUNCTION("""COMPUTED_VALUE"""),39209.5833333333)</f>
        <v>39209.583333333299</v>
      </c>
      <c r="H1038" s="45" t="str">
        <f ca="1">IFERROR(__xludf.DUMMYFUNCTION("""COMPUTED_VALUE"""),"BAKES")</f>
        <v>BAKES</v>
      </c>
      <c r="I1038" s="46" t="str">
        <f ca="1">IFERROR(__xludf.DUMMYFUNCTION("""COMPUTED_VALUE"""),"STORE")</f>
        <v>STORE</v>
      </c>
      <c r="J1038" s="46" t="str">
        <f ca="1">IFERROR(__xludf.DUMMYFUNCTION("""COMPUTED_VALUE"""),"BAKES D2")</f>
        <v>BAKES D2</v>
      </c>
      <c r="K1038" s="46" t="str">
        <f ca="1">IFERROR(__xludf.DUMMYFUNCTION("""COMPUTED_VALUE"""),"WAITSTAFF")</f>
        <v>WAITSTAFF</v>
      </c>
      <c r="L1038" s="46" t="str">
        <f ca="1">IFERROR(__xludf.DUMMYFUNCTION("""COMPUTED_VALUE"""),"PTE")</f>
        <v>PTE</v>
      </c>
      <c r="M1038" s="46" t="str">
        <f ca="1">IFERROR(__xludf.DUMMYFUNCTION("""COMPUTED_VALUE"""),"On")</f>
        <v>On</v>
      </c>
      <c r="N1038" s="46" t="str">
        <f ca="1">IFERROR(__xludf.DUMMYFUNCTION("""COMPUTED_VALUE"""),"đủ")</f>
        <v>đủ</v>
      </c>
    </row>
    <row r="1039" spans="1:14">
      <c r="A1039" s="45">
        <f ca="1">IFERROR(__xludf.DUMMYFUNCTION("""COMPUTED_VALUE"""),45846.5833333333)</f>
        <v>45846.583333333299</v>
      </c>
      <c r="B1039" s="45">
        <f ca="1">IFERROR(__xludf.DUMMYFUNCTION("""COMPUTED_VALUE"""),45876.5833333333)</f>
        <v>45876.583333333299</v>
      </c>
      <c r="C1039" s="46">
        <f ca="1">IFERROR(__xludf.DUMMYFUNCTION("""COMPUTED_VALUE"""),1040)</f>
        <v>1040</v>
      </c>
      <c r="D1039" s="47" t="str">
        <f ca="1">IFERROR(__xludf.DUMMYFUNCTION("""COMPUTED_VALUE"""),"C0817")</f>
        <v>C0817</v>
      </c>
      <c r="E1039" s="46" t="str">
        <f ca="1">IFERROR(__xludf.DUMMYFUNCTION("""COMPUTED_VALUE"""),"NGUYỄN THÙY DUNG")</f>
        <v>NGUYỄN THÙY DUNG</v>
      </c>
      <c r="F1039" s="46" t="str">
        <f ca="1">IFERROR(__xludf.DUMMYFUNCTION("""COMPUTED_VALUE"""),"NGUYEN THUY DUNG")</f>
        <v>NGUYEN THUY DUNG</v>
      </c>
      <c r="G1039" s="45">
        <f ca="1">IFERROR(__xludf.DUMMYFUNCTION("""COMPUTED_VALUE"""),34926.5833333333)</f>
        <v>34926.583333333299</v>
      </c>
      <c r="H1039" s="45" t="str">
        <f ca="1">IFERROR(__xludf.DUMMYFUNCTION("""COMPUTED_VALUE"""),"TLC")</f>
        <v>TLC</v>
      </c>
      <c r="I1039" s="46" t="str">
        <f ca="1">IFERROR(__xludf.DUMMYFUNCTION("""COMPUTED_VALUE"""),"HO")</f>
        <v>HO</v>
      </c>
      <c r="J1039" s="46" t="str">
        <f ca="1">IFERROR(__xludf.DUMMYFUNCTION("""COMPUTED_VALUE"""),"HRD")</f>
        <v>HRD</v>
      </c>
      <c r="K1039" s="46" t="str">
        <f ca="1">IFERROR(__xludf.DUMMYFUNCTION("""COMPUTED_VALUE"""),"HRD")</f>
        <v>HRD</v>
      </c>
      <c r="L1039" s="46" t="str">
        <f ca="1">IFERROR(__xludf.DUMMYFUNCTION("""COMPUTED_VALUE"""),"PRO")</f>
        <v>PRO</v>
      </c>
      <c r="M1039" s="46" t="str">
        <f ca="1">IFERROR(__xludf.DUMMYFUNCTION("""COMPUTED_VALUE"""),"Leave")</f>
        <v>Leave</v>
      </c>
      <c r="N1039" s="46" t="str">
        <f ca="1">IFERROR(__xludf.DUMMYFUNCTION("""COMPUTED_VALUE"""),"đủ")</f>
        <v>đủ</v>
      </c>
    </row>
    <row r="1040" spans="1:14">
      <c r="A1040" s="45">
        <f ca="1">IFERROR(__xludf.DUMMYFUNCTION("""COMPUTED_VALUE"""),45845.5833333333)</f>
        <v>45845.583333333299</v>
      </c>
      <c r="B1040" s="45">
        <f ca="1">IFERROR(__xludf.DUMMYFUNCTION("""COMPUTED_VALUE"""),45850.5833333333)</f>
        <v>45850.583333333299</v>
      </c>
      <c r="C1040" s="46">
        <f ca="1">IFERROR(__xludf.DUMMYFUNCTION("""COMPUTED_VALUE"""),1041)</f>
        <v>1041</v>
      </c>
      <c r="D1040" s="47" t="str">
        <f ca="1">IFERROR(__xludf.DUMMYFUNCTION("""COMPUTED_VALUE"""),"C0818")</f>
        <v>C0818</v>
      </c>
      <c r="E1040" s="46" t="str">
        <f ca="1">IFERROR(__xludf.DUMMYFUNCTION("""COMPUTED_VALUE"""),"NGUYỄN CẢNH TOÀN")</f>
        <v>NGUYỄN CẢNH TOÀN</v>
      </c>
      <c r="F1040" s="46" t="str">
        <f ca="1">IFERROR(__xludf.DUMMYFUNCTION("""COMPUTED_VALUE"""),"NGUYEN CANH TOAN")</f>
        <v>NGUYEN CANH TOAN</v>
      </c>
      <c r="G1040" s="45"/>
      <c r="H1040" s="45" t="str">
        <f ca="1">IFERROR(__xludf.DUMMYFUNCTION("""COMPUTED_VALUE"""),"MOONCAKE")</f>
        <v>MOONCAKE</v>
      </c>
      <c r="I1040" s="46" t="str">
        <f ca="1">IFERROR(__xludf.DUMMYFUNCTION("""COMPUTED_VALUE"""),"KITCHEN PASTRY")</f>
        <v>KITCHEN PASTRY</v>
      </c>
      <c r="J1040" s="46" t="str">
        <f ca="1">IFERROR(__xludf.DUMMYFUNCTION("""COMPUTED_VALUE"""),"KITCHEN PASTRY")</f>
        <v>KITCHEN PASTRY</v>
      </c>
      <c r="K1040" s="46" t="str">
        <f ca="1">IFERROR(__xludf.DUMMYFUNCTION("""COMPUTED_VALUE"""),"PASTRY")</f>
        <v>PASTRY</v>
      </c>
      <c r="L1040" s="46" t="str">
        <f ca="1">IFERROR(__xludf.DUMMYFUNCTION("""COMPUTED_VALUE"""),"SER")</f>
        <v>SER</v>
      </c>
      <c r="M1040" s="46" t="str">
        <f ca="1">IFERROR(__xludf.DUMMYFUNCTION("""COMPUTED_VALUE"""),"Leave")</f>
        <v>Leave</v>
      </c>
      <c r="N1040" s="46" t="str">
        <f ca="1">IFERROR(__xludf.DUMMYFUNCTION("""COMPUTED_VALUE"""),"chua nop")</f>
        <v>chua nop</v>
      </c>
    </row>
    <row r="1041" spans="1:14">
      <c r="A1041" s="45">
        <f ca="1">IFERROR(__xludf.DUMMYFUNCTION("""COMPUTED_VALUE"""),45839.5833333333)</f>
        <v>45839.583333333299</v>
      </c>
      <c r="B1041" s="45">
        <f ca="1">IFERROR(__xludf.DUMMYFUNCTION("""COMPUTED_VALUE"""),45931.5833333333)</f>
        <v>45931.583333333299</v>
      </c>
      <c r="C1041" s="46">
        <f ca="1">IFERROR(__xludf.DUMMYFUNCTION("""COMPUTED_VALUE"""),1042)</f>
        <v>1042</v>
      </c>
      <c r="D1041" s="47" t="str">
        <f ca="1">IFERROR(__xludf.DUMMYFUNCTION("""COMPUTED_VALUE"""),"C0819")</f>
        <v>C0819</v>
      </c>
      <c r="E1041" s="46" t="str">
        <f ca="1">IFERROR(__xludf.DUMMYFUNCTION("""COMPUTED_VALUE"""),"VÕ QUỐC HUY")</f>
        <v>VÕ QUỐC HUY</v>
      </c>
      <c r="F1041" s="46" t="str">
        <f ca="1">IFERROR(__xludf.DUMMYFUNCTION("""COMPUTED_VALUE"""),"VO QUOC HUY")</f>
        <v>VO QUOC HUY</v>
      </c>
      <c r="G1041" s="45">
        <f ca="1">IFERROR(__xludf.DUMMYFUNCTION("""COMPUTED_VALUE"""),38668.625)</f>
        <v>38668.625</v>
      </c>
      <c r="H1041" s="45" t="str">
        <f ca="1">IFERROR(__xludf.DUMMYFUNCTION("""COMPUTED_VALUE"""),"BAKES")</f>
        <v>BAKES</v>
      </c>
      <c r="I1041" s="46" t="str">
        <f ca="1">IFERROR(__xludf.DUMMYFUNCTION("""COMPUTED_VALUE"""),"HO")</f>
        <v>HO</v>
      </c>
      <c r="J1041" s="46" t="str">
        <f ca="1">IFERROR(__xludf.DUMMYFUNCTION("""COMPUTED_VALUE"""),"PRO")</f>
        <v>PRO</v>
      </c>
      <c r="K1041" s="46" t="str">
        <f ca="1">IFERROR(__xludf.DUMMYFUNCTION("""COMPUTED_VALUE"""),"PRO")</f>
        <v>PRO</v>
      </c>
      <c r="L1041" s="46" t="str">
        <f ca="1">IFERROR(__xludf.DUMMYFUNCTION("""COMPUTED_VALUE"""),"SER")</f>
        <v>SER</v>
      </c>
      <c r="M1041" s="46" t="str">
        <f ca="1">IFERROR(__xludf.DUMMYFUNCTION("""COMPUTED_VALUE"""),"Leave")</f>
        <v>Leave</v>
      </c>
      <c r="N1041" s="46" t="str">
        <f ca="1">IFERROR(__xludf.DUMMYFUNCTION("""COMPUTED_VALUE"""),"đủ")</f>
        <v>đủ</v>
      </c>
    </row>
    <row r="1042" spans="1:14">
      <c r="A1042" s="45">
        <f ca="1">IFERROR(__xludf.DUMMYFUNCTION("""COMPUTED_VALUE"""),45839.5833333333)</f>
        <v>45839.583333333299</v>
      </c>
      <c r="B1042" s="45">
        <f ca="1">IFERROR(__xludf.DUMMYFUNCTION("""COMPUTED_VALUE"""),45934.5833333333)</f>
        <v>45934.583333333299</v>
      </c>
      <c r="C1042" s="46">
        <f ca="1">IFERROR(__xludf.DUMMYFUNCTION("""COMPUTED_VALUE"""),1043)</f>
        <v>1043</v>
      </c>
      <c r="D1042" s="47" t="str">
        <f ca="1">IFERROR(__xludf.DUMMYFUNCTION("""COMPUTED_VALUE"""),"C0820")</f>
        <v>C0820</v>
      </c>
      <c r="E1042" s="46" t="str">
        <f ca="1">IFERROR(__xludf.DUMMYFUNCTION("""COMPUTED_VALUE"""),"DƯƠNG THÙY GIANG")</f>
        <v>DƯƠNG THÙY GIANG</v>
      </c>
      <c r="F1042" s="46" t="str">
        <f ca="1">IFERROR(__xludf.DUMMYFUNCTION("""COMPUTED_VALUE"""),"DUONG THUY GIANG")</f>
        <v>DUONG THUY GIANG</v>
      </c>
      <c r="G1042" s="45">
        <f ca="1">IFERROR(__xludf.DUMMYFUNCTION("""COMPUTED_VALUE"""),38247.5833333333)</f>
        <v>38247.583333333299</v>
      </c>
      <c r="H1042" s="45" t="str">
        <f ca="1">IFERROR(__xludf.DUMMYFUNCTION("""COMPUTED_VALUE"""),"TLC")</f>
        <v>TLC</v>
      </c>
      <c r="I1042" s="46" t="str">
        <f ca="1">IFERROR(__xludf.DUMMYFUNCTION("""COMPUTED_VALUE"""),"HO")</f>
        <v>HO</v>
      </c>
      <c r="J1042" s="46" t="str">
        <f ca="1">IFERROR(__xludf.DUMMYFUNCTION("""COMPUTED_VALUE"""),"BE")</f>
        <v>BE</v>
      </c>
      <c r="K1042" s="46" t="str">
        <f ca="1">IFERROR(__xludf.DUMMYFUNCTION("""COMPUTED_VALUE"""),"BE")</f>
        <v>BE</v>
      </c>
      <c r="L1042" s="46" t="str">
        <f ca="1">IFERROR(__xludf.DUMMYFUNCTION("""COMPUTED_VALUE"""),"SER")</f>
        <v>SER</v>
      </c>
      <c r="M1042" s="46" t="str">
        <f ca="1">IFERROR(__xludf.DUMMYFUNCTION("""COMPUTED_VALUE"""),"Leave")</f>
        <v>Leave</v>
      </c>
      <c r="N1042" s="46" t="str">
        <f ca="1">IFERROR(__xludf.DUMMYFUNCTION("""COMPUTED_VALUE"""),"đủ")</f>
        <v>đủ</v>
      </c>
    </row>
    <row r="1043" spans="1:14">
      <c r="A1043" s="45">
        <f ca="1">IFERROR(__xludf.DUMMYFUNCTION("""COMPUTED_VALUE"""),45839.5833333333)</f>
        <v>45839.583333333299</v>
      </c>
      <c r="B1043" s="45">
        <f ca="1">IFERROR(__xludf.DUMMYFUNCTION("""COMPUTED_VALUE"""),45840.5833333333)</f>
        <v>45840.583333333299</v>
      </c>
      <c r="C1043" s="46">
        <f ca="1">IFERROR(__xludf.DUMMYFUNCTION("""COMPUTED_VALUE"""),1044)</f>
        <v>1044</v>
      </c>
      <c r="D1043" s="47" t="str">
        <f ca="1">IFERROR(__xludf.DUMMYFUNCTION("""COMPUTED_VALUE"""),"C0821")</f>
        <v>C0821</v>
      </c>
      <c r="E1043" s="46" t="str">
        <f ca="1">IFERROR(__xludf.DUMMYFUNCTION("""COMPUTED_VALUE"""),"NGUYỄN MINH QUÂN")</f>
        <v>NGUYỄN MINH QUÂN</v>
      </c>
      <c r="F1043" s="46" t="str">
        <f ca="1">IFERROR(__xludf.DUMMYFUNCTION("""COMPUTED_VALUE"""),"NGUYEN MINH QUAN")</f>
        <v>NGUYEN MINH QUAN</v>
      </c>
      <c r="G1043" s="45"/>
      <c r="H1043" s="45" t="str">
        <f ca="1">IFERROR(__xludf.DUMMYFUNCTION("""COMPUTED_VALUE"""),"BAKES")</f>
        <v>BAKES</v>
      </c>
      <c r="I1043" s="46" t="str">
        <f ca="1">IFERROR(__xludf.DUMMYFUNCTION("""COMPUTED_VALUE"""),"STORE")</f>
        <v>STORE</v>
      </c>
      <c r="J1043" s="46" t="str">
        <f ca="1">IFERROR(__xludf.DUMMYFUNCTION("""COMPUTED_VALUE"""),"BAKES D2")</f>
        <v>BAKES D2</v>
      </c>
      <c r="K1043" s="46" t="str">
        <f ca="1">IFERROR(__xludf.DUMMYFUNCTION("""COMPUTED_VALUE"""),"CASHIER")</f>
        <v>CASHIER</v>
      </c>
      <c r="L1043" s="46" t="str">
        <f ca="1">IFERROR(__xludf.DUMMYFUNCTION("""COMPUTED_VALUE"""),"PRO")</f>
        <v>PRO</v>
      </c>
      <c r="M1043" s="46" t="str">
        <f ca="1">IFERROR(__xludf.DUMMYFUNCTION("""COMPUTED_VALUE"""),"Leave")</f>
        <v>Leave</v>
      </c>
      <c r="N1043" s="46" t="str">
        <f ca="1">IFERROR(__xludf.DUMMYFUNCTION("""COMPUTED_VALUE"""),"chua nop")</f>
        <v>chua nop</v>
      </c>
    </row>
    <row r="1044" spans="1:14">
      <c r="A1044" s="45">
        <f ca="1">IFERROR(__xludf.DUMMYFUNCTION("""COMPUTED_VALUE"""),45845.5833333333)</f>
        <v>45845.583333333299</v>
      </c>
      <c r="B1044" s="45">
        <f ca="1">IFERROR(__xludf.DUMMYFUNCTION("""COMPUTED_VALUE"""),45879.5833333333)</f>
        <v>45879.583333333299</v>
      </c>
      <c r="C1044" s="46">
        <f ca="1">IFERROR(__xludf.DUMMYFUNCTION("""COMPUTED_VALUE"""),1045)</f>
        <v>1045</v>
      </c>
      <c r="D1044" s="47" t="str">
        <f ca="1">IFERROR(__xludf.DUMMYFUNCTION("""COMPUTED_VALUE"""),"C0822")</f>
        <v>C0822</v>
      </c>
      <c r="E1044" s="46" t="str">
        <f ca="1">IFERROR(__xludf.DUMMYFUNCTION("""COMPUTED_VALUE"""),"TRẦN GIA HÂN")</f>
        <v>TRẦN GIA HÂN</v>
      </c>
      <c r="F1044" s="46" t="str">
        <f ca="1">IFERROR(__xludf.DUMMYFUNCTION("""COMPUTED_VALUE"""),"TRAN GIA HAN")</f>
        <v>TRAN GIA HAN</v>
      </c>
      <c r="G1044" s="45">
        <f ca="1">IFERROR(__xludf.DUMMYFUNCTION("""COMPUTED_VALUE"""),37584.625)</f>
        <v>37584.625</v>
      </c>
      <c r="H1044" s="45" t="str">
        <f ca="1">IFERROR(__xludf.DUMMYFUNCTION("""COMPUTED_VALUE"""),"MOONCAKE")</f>
        <v>MOONCAKE</v>
      </c>
      <c r="I1044" s="46" t="str">
        <f ca="1">IFERROR(__xludf.DUMMYFUNCTION("""COMPUTED_VALUE"""),"KITCHEN PASTRY")</f>
        <v>KITCHEN PASTRY</v>
      </c>
      <c r="J1044" s="46" t="str">
        <f ca="1">IFERROR(__xludf.DUMMYFUNCTION("""COMPUTED_VALUE"""),"KITCHEN PASTRY")</f>
        <v>KITCHEN PASTRY</v>
      </c>
      <c r="K1044" s="46" t="str">
        <f ca="1">IFERROR(__xludf.DUMMYFUNCTION("""COMPUTED_VALUE"""),"PASTRY")</f>
        <v>PASTRY</v>
      </c>
      <c r="L1044" s="46" t="str">
        <f ca="1">IFERROR(__xludf.DUMMYFUNCTION("""COMPUTED_VALUE"""),"PTE")</f>
        <v>PTE</v>
      </c>
      <c r="M1044" s="46" t="str">
        <f ca="1">IFERROR(__xludf.DUMMYFUNCTION("""COMPUTED_VALUE"""),"Leave")</f>
        <v>Leave</v>
      </c>
      <c r="N1044" s="46" t="str">
        <f ca="1">IFERROR(__xludf.DUMMYFUNCTION("""COMPUTED_VALUE"""),"đủ")</f>
        <v>đủ</v>
      </c>
    </row>
    <row r="1045" spans="1:14">
      <c r="A1045" s="45">
        <f ca="1">IFERROR(__xludf.DUMMYFUNCTION("""COMPUTED_VALUE"""),45849.5833333333)</f>
        <v>45849.583333333299</v>
      </c>
      <c r="B1045" s="45">
        <f ca="1">IFERROR(__xludf.DUMMYFUNCTION("""COMPUTED_VALUE"""),45931.5833333333)</f>
        <v>45931.583333333299</v>
      </c>
      <c r="C1045" s="46">
        <f ca="1">IFERROR(__xludf.DUMMYFUNCTION("""COMPUTED_VALUE"""),1046)</f>
        <v>1046</v>
      </c>
      <c r="D1045" s="47" t="str">
        <f ca="1">IFERROR(__xludf.DUMMYFUNCTION("""COMPUTED_VALUE"""),"C0825")</f>
        <v>C0825</v>
      </c>
      <c r="E1045" s="46" t="str">
        <f ca="1">IFERROR(__xludf.DUMMYFUNCTION("""COMPUTED_VALUE"""),"NGUYỄN THỊ TUYỀN PHƯƠNG")</f>
        <v>NGUYỄN THỊ TUYỀN PHƯƠNG</v>
      </c>
      <c r="F1045" s="46" t="str">
        <f ca="1">IFERROR(__xludf.DUMMYFUNCTION("""COMPUTED_VALUE"""),"NGUYEN THI TUYEN PHUONG")</f>
        <v>NGUYEN THI TUYEN PHUONG</v>
      </c>
      <c r="G1045" s="45">
        <f ca="1">IFERROR(__xludf.DUMMYFUNCTION("""COMPUTED_VALUE"""),38278.5833333333)</f>
        <v>38278.583333333299</v>
      </c>
      <c r="H1045" s="45" t="str">
        <f ca="1">IFERROR(__xludf.DUMMYFUNCTION("""COMPUTED_VALUE"""),"YESHI")</f>
        <v>YESHI</v>
      </c>
      <c r="I1045" s="46" t="str">
        <f ca="1">IFERROR(__xludf.DUMMYFUNCTION("""COMPUTED_VALUE"""),"STORE")</f>
        <v>STORE</v>
      </c>
      <c r="J1045" s="46" t="str">
        <f ca="1">IFERROR(__xludf.DUMMYFUNCTION("""COMPUTED_VALUE"""),"YESHI D3")</f>
        <v>YESHI D3</v>
      </c>
      <c r="K1045" s="46" t="str">
        <f ca="1">IFERROR(__xludf.DUMMYFUNCTION("""COMPUTED_VALUE"""),"BAR")</f>
        <v>BAR</v>
      </c>
      <c r="L1045" s="46" t="str">
        <f ca="1">IFERROR(__xludf.DUMMYFUNCTION("""COMPUTED_VALUE"""),"PRO")</f>
        <v>PRO</v>
      </c>
      <c r="M1045" s="46" t="str">
        <f ca="1">IFERROR(__xludf.DUMMYFUNCTION("""COMPUTED_VALUE"""),"Leave")</f>
        <v>Leave</v>
      </c>
      <c r="N1045" s="46" t="str">
        <f ca="1">IFERROR(__xludf.DUMMYFUNCTION("""COMPUTED_VALUE"""),"đủ")</f>
        <v>đủ</v>
      </c>
    </row>
    <row r="1046" spans="1:14">
      <c r="A1046" s="45">
        <f ca="1">IFERROR(__xludf.DUMMYFUNCTION("""COMPUTED_VALUE"""),45843.5833333333)</f>
        <v>45843.583333333299</v>
      </c>
      <c r="B1046" s="45">
        <f ca="1">IFERROR(__xludf.DUMMYFUNCTION("""COMPUTED_VALUE"""),45866.5833333333)</f>
        <v>45866.583333333299</v>
      </c>
      <c r="C1046" s="46">
        <f ca="1">IFERROR(__xludf.DUMMYFUNCTION("""COMPUTED_VALUE"""),1047)</f>
        <v>1047</v>
      </c>
      <c r="D1046" s="47" t="str">
        <f ca="1">IFERROR(__xludf.DUMMYFUNCTION("""COMPUTED_VALUE"""),"C0826")</f>
        <v>C0826</v>
      </c>
      <c r="E1046" s="46" t="str">
        <f ca="1">IFERROR(__xludf.DUMMYFUNCTION("""COMPUTED_VALUE"""),"PHẠM THANH VY")</f>
        <v>PHẠM THANH VY</v>
      </c>
      <c r="F1046" s="46" t="str">
        <f ca="1">IFERROR(__xludf.DUMMYFUNCTION("""COMPUTED_VALUE"""),"PHAM THANH VY")</f>
        <v>PHAM THANH VY</v>
      </c>
      <c r="G1046" s="45">
        <f ca="1">IFERROR(__xludf.DUMMYFUNCTION("""COMPUTED_VALUE"""),37786.5833333333)</f>
        <v>37786.583333333299</v>
      </c>
      <c r="H1046" s="45" t="str">
        <f ca="1">IFERROR(__xludf.DUMMYFUNCTION("""COMPUTED_VALUE"""),"TLC")</f>
        <v>TLC</v>
      </c>
      <c r="I1046" s="46" t="str">
        <f ca="1">IFERROR(__xludf.DUMMYFUNCTION("""COMPUTED_VALUE"""),"STORE")</f>
        <v>STORE</v>
      </c>
      <c r="J1046" s="46" t="str">
        <f ca="1">IFERROR(__xludf.DUMMYFUNCTION("""COMPUTED_VALUE"""),"BAKES HCR")</f>
        <v>BAKES HCR</v>
      </c>
      <c r="K1046" s="46" t="str">
        <f ca="1">IFERROR(__xludf.DUMMYFUNCTION("""COMPUTED_VALUE"""),"WAITSTAFF")</f>
        <v>WAITSTAFF</v>
      </c>
      <c r="L1046" s="46" t="str">
        <f ca="1">IFERROR(__xludf.DUMMYFUNCTION("""COMPUTED_VALUE"""),"PTE")</f>
        <v>PTE</v>
      </c>
      <c r="M1046" s="46" t="str">
        <f ca="1">IFERROR(__xludf.DUMMYFUNCTION("""COMPUTED_VALUE"""),"Leave")</f>
        <v>Leave</v>
      </c>
      <c r="N1046" s="46" t="str">
        <f ca="1">IFERROR(__xludf.DUMMYFUNCTION("""COMPUTED_VALUE"""),"đủ")</f>
        <v>đủ</v>
      </c>
    </row>
    <row r="1047" spans="1:14">
      <c r="A1047" s="45">
        <f ca="1">IFERROR(__xludf.DUMMYFUNCTION("""COMPUTED_VALUE"""),45839.5833333333)</f>
        <v>45839.583333333299</v>
      </c>
      <c r="B1047" s="45"/>
      <c r="C1047" s="46">
        <f ca="1">IFERROR(__xludf.DUMMYFUNCTION("""COMPUTED_VALUE"""),1048)</f>
        <v>1048</v>
      </c>
      <c r="D1047" s="47" t="str">
        <f ca="1">IFERROR(__xludf.DUMMYFUNCTION("""COMPUTED_VALUE"""),"C0827")</f>
        <v>C0827</v>
      </c>
      <c r="E1047" s="46" t="str">
        <f ca="1">IFERROR(__xludf.DUMMYFUNCTION("""COMPUTED_VALUE"""),"NGUYỄN CHÍ CƯỜNG")</f>
        <v>NGUYỄN CHÍ CƯỜNG</v>
      </c>
      <c r="F1047" s="46" t="str">
        <f ca="1">IFERROR(__xludf.DUMMYFUNCTION("""COMPUTED_VALUE"""),"NGUYEN CHI CUONG")</f>
        <v>NGUYEN CHI CUONG</v>
      </c>
      <c r="G1047" s="45">
        <f ca="1">IFERROR(__xludf.DUMMYFUNCTION("""COMPUTED_VALUE"""),38236.5833333333)</f>
        <v>38236.583333333299</v>
      </c>
      <c r="H1047" s="45" t="str">
        <f ca="1">IFERROR(__xludf.DUMMYFUNCTION("""COMPUTED_VALUE"""),"YESHI")</f>
        <v>YESHI</v>
      </c>
      <c r="I1047" s="46" t="str">
        <f ca="1">IFERROR(__xludf.DUMMYFUNCTION("""COMPUTED_VALUE"""),"STORE")</f>
        <v>STORE</v>
      </c>
      <c r="J1047" s="46" t="str">
        <f ca="1">IFERROR(__xludf.DUMMYFUNCTION("""COMPUTED_VALUE"""),"YESHI D3")</f>
        <v>YESHI D3</v>
      </c>
      <c r="K1047" s="46" t="str">
        <f ca="1">IFERROR(__xludf.DUMMYFUNCTION("""COMPUTED_VALUE"""),"KIT")</f>
        <v>KIT</v>
      </c>
      <c r="L1047" s="46" t="str">
        <f ca="1">IFERROR(__xludf.DUMMYFUNCTION("""COMPUTED_VALUE"""),"FTE")</f>
        <v>FTE</v>
      </c>
      <c r="M1047" s="46" t="str">
        <f ca="1">IFERROR(__xludf.DUMMYFUNCTION("""COMPUTED_VALUE"""),"On")</f>
        <v>On</v>
      </c>
      <c r="N1047" s="46" t="str">
        <f ca="1">IFERROR(__xludf.DUMMYFUNCTION("""COMPUTED_VALUE"""),"đủ")</f>
        <v>đủ</v>
      </c>
    </row>
    <row r="1048" spans="1:14">
      <c r="A1048" s="45">
        <f ca="1">IFERROR(__xludf.DUMMYFUNCTION("""COMPUTED_VALUE"""),45845.5833333333)</f>
        <v>45845.583333333299</v>
      </c>
      <c r="B1048" s="45"/>
      <c r="C1048" s="46">
        <f ca="1">IFERROR(__xludf.DUMMYFUNCTION("""COMPUTED_VALUE"""),1049)</f>
        <v>1049</v>
      </c>
      <c r="D1048" s="47" t="str">
        <f ca="1">IFERROR(__xludf.DUMMYFUNCTION("""COMPUTED_VALUE"""),"C0828")</f>
        <v>C0828</v>
      </c>
      <c r="E1048" s="46" t="str">
        <f ca="1">IFERROR(__xludf.DUMMYFUNCTION("""COMPUTED_VALUE"""),"TRẦN TÚ TÚ")</f>
        <v>TRẦN TÚ TÚ</v>
      </c>
      <c r="F1048" s="46" t="str">
        <f ca="1">IFERROR(__xludf.DUMMYFUNCTION("""COMPUTED_VALUE"""),"TRAN TU TU")</f>
        <v>TRAN TU TU</v>
      </c>
      <c r="G1048" s="45">
        <f ca="1">IFERROR(__xludf.DUMMYFUNCTION("""COMPUTED_VALUE"""),36181.625)</f>
        <v>36181.625</v>
      </c>
      <c r="H1048" s="45" t="str">
        <f ca="1">IFERROR(__xludf.DUMMYFUNCTION("""COMPUTED_VALUE"""),"TLC")</f>
        <v>TLC</v>
      </c>
      <c r="I1048" s="46" t="str">
        <f ca="1">IFERROR(__xludf.DUMMYFUNCTION("""COMPUTED_VALUE"""),"STORE")</f>
        <v>STORE</v>
      </c>
      <c r="J1048" s="46" t="str">
        <f ca="1">IFERROR(__xludf.DUMMYFUNCTION("""COMPUTED_VALUE"""),"BLANK LOUNGE")</f>
        <v>BLANK LOUNGE</v>
      </c>
      <c r="K1048" s="46" t="str">
        <f ca="1">IFERROR(__xludf.DUMMYFUNCTION("""COMPUTED_VALUE"""),"WAITSTAFF")</f>
        <v>WAITSTAFF</v>
      </c>
      <c r="L1048" s="46" t="str">
        <f ca="1">IFERROR(__xludf.DUMMYFUNCTION("""COMPUTED_VALUE"""),"PTE")</f>
        <v>PTE</v>
      </c>
      <c r="M1048" s="46" t="str">
        <f ca="1">IFERROR(__xludf.DUMMYFUNCTION("""COMPUTED_VALUE"""),"On")</f>
        <v>On</v>
      </c>
      <c r="N1048" s="46" t="str">
        <f ca="1">IFERROR(__xludf.DUMMYFUNCTION("""COMPUTED_VALUE"""),"đủ")</f>
        <v>đủ</v>
      </c>
    </row>
    <row r="1049" spans="1:14">
      <c r="A1049" s="45">
        <f ca="1">IFERROR(__xludf.DUMMYFUNCTION("""COMPUTED_VALUE"""),45847.5833333333)</f>
        <v>45847.583333333299</v>
      </c>
      <c r="B1049" s="45">
        <f ca="1">IFERROR(__xludf.DUMMYFUNCTION("""COMPUTED_VALUE"""),45848.5833333333)</f>
        <v>45848.583333333299</v>
      </c>
      <c r="C1049" s="46">
        <f ca="1">IFERROR(__xludf.DUMMYFUNCTION("""COMPUTED_VALUE"""),1050)</f>
        <v>1050</v>
      </c>
      <c r="D1049" s="47" t="str">
        <f ca="1">IFERROR(__xludf.DUMMYFUNCTION("""COMPUTED_VALUE"""),"C0829")</f>
        <v>C0829</v>
      </c>
      <c r="E1049" s="46" t="str">
        <f ca="1">IFERROR(__xludf.DUMMYFUNCTION("""COMPUTED_VALUE"""),"NGUYỄN THỊ THẢO NHI")</f>
        <v>NGUYỄN THỊ THẢO NHI</v>
      </c>
      <c r="F1049" s="46" t="str">
        <f ca="1">IFERROR(__xludf.DUMMYFUNCTION("""COMPUTED_VALUE"""),"NGUYEN THI THAO NHI")</f>
        <v>NGUYEN THI THAO NHI</v>
      </c>
      <c r="G1049" s="45">
        <f ca="1">IFERROR(__xludf.DUMMYFUNCTION("""COMPUTED_VALUE"""),38373.625)</f>
        <v>38373.625</v>
      </c>
      <c r="H1049" s="45" t="str">
        <f ca="1">IFERROR(__xludf.DUMMYFUNCTION("""COMPUTED_VALUE"""),"MOONCAKE")</f>
        <v>MOONCAKE</v>
      </c>
      <c r="I1049" s="46" t="str">
        <f ca="1">IFERROR(__xludf.DUMMYFUNCTION("""COMPUTED_VALUE"""),"KITCHEN PASTRY")</f>
        <v>KITCHEN PASTRY</v>
      </c>
      <c r="J1049" s="46" t="str">
        <f ca="1">IFERROR(__xludf.DUMMYFUNCTION("""COMPUTED_VALUE"""),"KITCHEN PASTRY")</f>
        <v>KITCHEN PASTRY</v>
      </c>
      <c r="K1049" s="46" t="str">
        <f ca="1">IFERROR(__xludf.DUMMYFUNCTION("""COMPUTED_VALUE"""),"PASTRY")</f>
        <v>PASTRY</v>
      </c>
      <c r="L1049" s="46" t="str">
        <f ca="1">IFERROR(__xludf.DUMMYFUNCTION("""COMPUTED_VALUE"""),"PTE")</f>
        <v>PTE</v>
      </c>
      <c r="M1049" s="46" t="str">
        <f ca="1">IFERROR(__xludf.DUMMYFUNCTION("""COMPUTED_VALUE"""),"Leave")</f>
        <v>Leave</v>
      </c>
      <c r="N1049" s="46" t="str">
        <f ca="1">IFERROR(__xludf.DUMMYFUNCTION("""COMPUTED_VALUE"""),"chua nop")</f>
        <v>chua nop</v>
      </c>
    </row>
    <row r="1050" spans="1:14">
      <c r="A1050" s="45">
        <f ca="1">IFERROR(__xludf.DUMMYFUNCTION("""COMPUTED_VALUE"""),45845.5833333333)</f>
        <v>45845.583333333299</v>
      </c>
      <c r="B1050" s="45">
        <f ca="1">IFERROR(__xludf.DUMMYFUNCTION("""COMPUTED_VALUE"""),45846.5833333333)</f>
        <v>45846.583333333299</v>
      </c>
      <c r="C1050" s="46">
        <f ca="1">IFERROR(__xludf.DUMMYFUNCTION("""COMPUTED_VALUE"""),1051)</f>
        <v>1051</v>
      </c>
      <c r="D1050" s="47" t="str">
        <f ca="1">IFERROR(__xludf.DUMMYFUNCTION("""COMPUTED_VALUE"""),"C0830")</f>
        <v>C0830</v>
      </c>
      <c r="E1050" s="46" t="str">
        <f ca="1">IFERROR(__xludf.DUMMYFUNCTION("""COMPUTED_VALUE"""),"NGUYỄN THỊ KIM LOAN")</f>
        <v>NGUYỄN THỊ KIM LOAN</v>
      </c>
      <c r="F1050" s="46" t="str">
        <f ca="1">IFERROR(__xludf.DUMMYFUNCTION("""COMPUTED_VALUE"""),"NGUYEN THI KIM LOAN")</f>
        <v>NGUYEN THI KIM LOAN</v>
      </c>
      <c r="G1050" s="45"/>
      <c r="H1050" s="45" t="str">
        <f ca="1">IFERROR(__xludf.DUMMYFUNCTION("""COMPUTED_VALUE"""),"MOONCAKE")</f>
        <v>MOONCAKE</v>
      </c>
      <c r="I1050" s="46" t="str">
        <f ca="1">IFERROR(__xludf.DUMMYFUNCTION("""COMPUTED_VALUE"""),"KITCHEN PASTRY")</f>
        <v>KITCHEN PASTRY</v>
      </c>
      <c r="J1050" s="46" t="str">
        <f ca="1">IFERROR(__xludf.DUMMYFUNCTION("""COMPUTED_VALUE"""),"KITCHEN PASTRY")</f>
        <v>KITCHEN PASTRY</v>
      </c>
      <c r="K1050" s="46" t="str">
        <f ca="1">IFERROR(__xludf.DUMMYFUNCTION("""COMPUTED_VALUE"""),"PASTRY")</f>
        <v>PASTRY</v>
      </c>
      <c r="L1050" s="46" t="str">
        <f ca="1">IFERROR(__xludf.DUMMYFUNCTION("""COMPUTED_VALUE"""),"PTE")</f>
        <v>PTE</v>
      </c>
      <c r="M1050" s="46" t="str">
        <f ca="1">IFERROR(__xludf.DUMMYFUNCTION("""COMPUTED_VALUE"""),"Leave")</f>
        <v>Leave</v>
      </c>
      <c r="N1050" s="46" t="str">
        <f ca="1">IFERROR(__xludf.DUMMYFUNCTION("""COMPUTED_VALUE"""),"đủ")</f>
        <v>đủ</v>
      </c>
    </row>
    <row r="1051" spans="1:14">
      <c r="A1051" s="45">
        <f ca="1">IFERROR(__xludf.DUMMYFUNCTION("""COMPUTED_VALUE"""),45845.5833333333)</f>
        <v>45845.583333333299</v>
      </c>
      <c r="B1051" s="45">
        <f ca="1">IFERROR(__xludf.DUMMYFUNCTION("""COMPUTED_VALUE"""),45898.5833333333)</f>
        <v>45898.583333333299</v>
      </c>
      <c r="C1051" s="46">
        <f ca="1">IFERROR(__xludf.DUMMYFUNCTION("""COMPUTED_VALUE"""),1052)</f>
        <v>1052</v>
      </c>
      <c r="D1051" s="47" t="str">
        <f ca="1">IFERROR(__xludf.DUMMYFUNCTION("""COMPUTED_VALUE"""),"C0831")</f>
        <v>C0831</v>
      </c>
      <c r="E1051" s="46" t="str">
        <f ca="1">IFERROR(__xludf.DUMMYFUNCTION("""COMPUTED_VALUE"""),"HUỲNH THẢO NGUYÊN")</f>
        <v>HUỲNH THẢO NGUYÊN</v>
      </c>
      <c r="F1051" s="46" t="str">
        <f ca="1">IFERROR(__xludf.DUMMYFUNCTION("""COMPUTED_VALUE"""),"HUYNH THAO NGUYEN")</f>
        <v>HUYNH THAO NGUYEN</v>
      </c>
      <c r="G1051" s="45">
        <f ca="1">IFERROR(__xludf.DUMMYFUNCTION("""COMPUTED_VALUE"""),38955.5833333333)</f>
        <v>38955.583333333299</v>
      </c>
      <c r="H1051" s="45" t="str">
        <f ca="1">IFERROR(__xludf.DUMMYFUNCTION("""COMPUTED_VALUE"""),"MOONCAKE")</f>
        <v>MOONCAKE</v>
      </c>
      <c r="I1051" s="46" t="str">
        <f ca="1">IFERROR(__xludf.DUMMYFUNCTION("""COMPUTED_VALUE"""),"KITCHEN PASTRY")</f>
        <v>KITCHEN PASTRY</v>
      </c>
      <c r="J1051" s="46" t="str">
        <f ca="1">IFERROR(__xludf.DUMMYFUNCTION("""COMPUTED_VALUE"""),"KITCHEN PASTRY")</f>
        <v>KITCHEN PASTRY</v>
      </c>
      <c r="K1051" s="46" t="str">
        <f ca="1">IFERROR(__xludf.DUMMYFUNCTION("""COMPUTED_VALUE"""),"PASTRY")</f>
        <v>PASTRY</v>
      </c>
      <c r="L1051" s="46" t="str">
        <f ca="1">IFERROR(__xludf.DUMMYFUNCTION("""COMPUTED_VALUE"""),"PTE")</f>
        <v>PTE</v>
      </c>
      <c r="M1051" s="46" t="str">
        <f ca="1">IFERROR(__xludf.DUMMYFUNCTION("""COMPUTED_VALUE"""),"Leave")</f>
        <v>Leave</v>
      </c>
      <c r="N1051" s="46" t="str">
        <f ca="1">IFERROR(__xludf.DUMMYFUNCTION("""COMPUTED_VALUE"""),"đủ")</f>
        <v>đủ</v>
      </c>
    </row>
    <row r="1052" spans="1:14">
      <c r="A1052" s="45">
        <f ca="1">IFERROR(__xludf.DUMMYFUNCTION("""COMPUTED_VALUE"""),45847.5833333333)</f>
        <v>45847.583333333299</v>
      </c>
      <c r="B1052" s="45">
        <f ca="1">IFERROR(__xludf.DUMMYFUNCTION("""COMPUTED_VALUE"""),45855.5833333333)</f>
        <v>45855.583333333299</v>
      </c>
      <c r="C1052" s="46">
        <f ca="1">IFERROR(__xludf.DUMMYFUNCTION("""COMPUTED_VALUE"""),1053)</f>
        <v>1053</v>
      </c>
      <c r="D1052" s="47" t="str">
        <f ca="1">IFERROR(__xludf.DUMMYFUNCTION("""COMPUTED_VALUE"""),"C0832")</f>
        <v>C0832</v>
      </c>
      <c r="E1052" s="46" t="str">
        <f ca="1">IFERROR(__xludf.DUMMYFUNCTION("""COMPUTED_VALUE"""),"NGUYỄN THỊ DIỄM MY")</f>
        <v>NGUYỄN THỊ DIỄM MY</v>
      </c>
      <c r="F1052" s="46" t="str">
        <f ca="1">IFERROR(__xludf.DUMMYFUNCTION("""COMPUTED_VALUE"""),"NGUYEN THI DIEM MY")</f>
        <v>NGUYEN THI DIEM MY</v>
      </c>
      <c r="G1052" s="45">
        <f ca="1">IFERROR(__xludf.DUMMYFUNCTION("""COMPUTED_VALUE"""),36552.625)</f>
        <v>36552.625</v>
      </c>
      <c r="H1052" s="45" t="str">
        <f ca="1">IFERROR(__xludf.DUMMYFUNCTION("""COMPUTED_VALUE"""),"TLC")</f>
        <v>TLC</v>
      </c>
      <c r="I1052" s="46" t="str">
        <f ca="1">IFERROR(__xludf.DUMMYFUNCTION("""COMPUTED_VALUE"""),"STORE")</f>
        <v>STORE</v>
      </c>
      <c r="J1052" s="46" t="str">
        <f ca="1">IFERROR(__xludf.DUMMYFUNCTION("""COMPUTED_VALUE"""),"BLANK LOUNGE")</f>
        <v>BLANK LOUNGE</v>
      </c>
      <c r="K1052" s="46" t="str">
        <f ca="1">IFERROR(__xludf.DUMMYFUNCTION("""COMPUTED_VALUE"""),"WAITSTAFF")</f>
        <v>WAITSTAFF</v>
      </c>
      <c r="L1052" s="46" t="str">
        <f ca="1">IFERROR(__xludf.DUMMYFUNCTION("""COMPUTED_VALUE"""),"PTE")</f>
        <v>PTE</v>
      </c>
      <c r="M1052" s="46" t="str">
        <f ca="1">IFERROR(__xludf.DUMMYFUNCTION("""COMPUTED_VALUE"""),"Leave")</f>
        <v>Leave</v>
      </c>
      <c r="N1052" s="46" t="str">
        <f ca="1">IFERROR(__xludf.DUMMYFUNCTION("""COMPUTED_VALUE"""),"đủ")</f>
        <v>đủ</v>
      </c>
    </row>
    <row r="1053" spans="1:14">
      <c r="A1053" s="45">
        <f ca="1">IFERROR(__xludf.DUMMYFUNCTION("""COMPUTED_VALUE"""),45848.5833333333)</f>
        <v>45848.583333333299</v>
      </c>
      <c r="B1053" s="45"/>
      <c r="C1053" s="46">
        <f ca="1">IFERROR(__xludf.DUMMYFUNCTION("""COMPUTED_VALUE"""),1054)</f>
        <v>1054</v>
      </c>
      <c r="D1053" s="47" t="str">
        <f ca="1">IFERROR(__xludf.DUMMYFUNCTION("""COMPUTED_VALUE"""),"C0833")</f>
        <v>C0833</v>
      </c>
      <c r="E1053" s="46" t="str">
        <f ca="1">IFERROR(__xludf.DUMMYFUNCTION("""COMPUTED_VALUE"""),"PHẠM MINH NGỌC")</f>
        <v>PHẠM MINH NGỌC</v>
      </c>
      <c r="F1053" s="46" t="str">
        <f ca="1">IFERROR(__xludf.DUMMYFUNCTION("""COMPUTED_VALUE"""),"PHAM MINH NGOC")</f>
        <v>PHAM MINH NGOC</v>
      </c>
      <c r="G1053" s="45">
        <f ca="1">IFERROR(__xludf.DUMMYFUNCTION("""COMPUTED_VALUE"""),35188.5833333333)</f>
        <v>35188.583333333299</v>
      </c>
      <c r="H1053" s="45" t="str">
        <f ca="1">IFERROR(__xludf.DUMMYFUNCTION("""COMPUTED_VALUE"""),"YESHI")</f>
        <v>YESHI</v>
      </c>
      <c r="I1053" s="46" t="str">
        <f ca="1">IFERROR(__xludf.DUMMYFUNCTION("""COMPUTED_VALUE"""),"STORE")</f>
        <v>STORE</v>
      </c>
      <c r="J1053" s="46" t="str">
        <f ca="1">IFERROR(__xludf.DUMMYFUNCTION("""COMPUTED_VALUE"""),"YESHI D3")</f>
        <v>YESHI D3</v>
      </c>
      <c r="K1053" s="46" t="str">
        <f ca="1">IFERROR(__xludf.DUMMYFUNCTION("""COMPUTED_VALUE"""),"KIT")</f>
        <v>KIT</v>
      </c>
      <c r="L1053" s="46" t="str">
        <f ca="1">IFERROR(__xludf.DUMMYFUNCTION("""COMPUTED_VALUE"""),"FTE")</f>
        <v>FTE</v>
      </c>
      <c r="M1053" s="46" t="str">
        <f ca="1">IFERROR(__xludf.DUMMYFUNCTION("""COMPUTED_VALUE"""),"On")</f>
        <v>On</v>
      </c>
      <c r="N1053" s="46" t="str">
        <f ca="1">IFERROR(__xludf.DUMMYFUNCTION("""COMPUTED_VALUE"""),"đủ")</f>
        <v>đủ</v>
      </c>
    </row>
    <row r="1054" spans="1:14">
      <c r="A1054" s="45">
        <f ca="1">IFERROR(__xludf.DUMMYFUNCTION("""COMPUTED_VALUE"""),45848.5833333333)</f>
        <v>45848.583333333299</v>
      </c>
      <c r="B1054" s="45"/>
      <c r="C1054" s="46">
        <f ca="1">IFERROR(__xludf.DUMMYFUNCTION("""COMPUTED_VALUE"""),1055)</f>
        <v>1055</v>
      </c>
      <c r="D1054" s="47" t="str">
        <f ca="1">IFERROR(__xludf.DUMMYFUNCTION("""COMPUTED_VALUE"""),"C0834")</f>
        <v>C0834</v>
      </c>
      <c r="E1054" s="46" t="str">
        <f ca="1">IFERROR(__xludf.DUMMYFUNCTION("""COMPUTED_VALUE"""),"TRẦN QUỐC VINH")</f>
        <v>TRẦN QUỐC VINH</v>
      </c>
      <c r="F1054" s="46" t="str">
        <f ca="1">IFERROR(__xludf.DUMMYFUNCTION("""COMPUTED_VALUE"""),"TRAN QUOC VINH")</f>
        <v>TRAN QUOC VINH</v>
      </c>
      <c r="G1054" s="45">
        <f ca="1">IFERROR(__xludf.DUMMYFUNCTION("""COMPUTED_VALUE"""),36772.5833333333)</f>
        <v>36772.583333333299</v>
      </c>
      <c r="H1054" s="45" t="str">
        <f ca="1">IFERROR(__xludf.DUMMYFUNCTION("""COMPUTED_VALUE"""),"YESHI")</f>
        <v>YESHI</v>
      </c>
      <c r="I1054" s="46" t="str">
        <f ca="1">IFERROR(__xludf.DUMMYFUNCTION("""COMPUTED_VALUE"""),"STORE")</f>
        <v>STORE</v>
      </c>
      <c r="J1054" s="46" t="str">
        <f ca="1">IFERROR(__xludf.DUMMYFUNCTION("""COMPUTED_VALUE"""),"YESHI D3")</f>
        <v>YESHI D3</v>
      </c>
      <c r="K1054" s="46" t="str">
        <f ca="1">IFERROR(__xludf.DUMMYFUNCTION("""COMPUTED_VALUE"""),"KIT")</f>
        <v>KIT</v>
      </c>
      <c r="L1054" s="46" t="str">
        <f ca="1">IFERROR(__xludf.DUMMYFUNCTION("""COMPUTED_VALUE"""),"FTE")</f>
        <v>FTE</v>
      </c>
      <c r="M1054" s="46" t="str">
        <f ca="1">IFERROR(__xludf.DUMMYFUNCTION("""COMPUTED_VALUE"""),"On")</f>
        <v>On</v>
      </c>
      <c r="N1054" s="46" t="str">
        <f ca="1">IFERROR(__xludf.DUMMYFUNCTION("""COMPUTED_VALUE"""),"đủ")</f>
        <v>đủ</v>
      </c>
    </row>
    <row r="1055" spans="1:14">
      <c r="A1055" s="45">
        <f ca="1">IFERROR(__xludf.DUMMYFUNCTION("""COMPUTED_VALUE"""),45848.5833333333)</f>
        <v>45848.583333333299</v>
      </c>
      <c r="B1055" s="45"/>
      <c r="C1055" s="46">
        <f ca="1">IFERROR(__xludf.DUMMYFUNCTION("""COMPUTED_VALUE"""),1056)</f>
        <v>1056</v>
      </c>
      <c r="D1055" s="47" t="str">
        <f ca="1">IFERROR(__xludf.DUMMYFUNCTION("""COMPUTED_VALUE"""),"C0835")</f>
        <v>C0835</v>
      </c>
      <c r="E1055" s="46" t="str">
        <f ca="1">IFERROR(__xludf.DUMMYFUNCTION("""COMPUTED_VALUE"""),"NGUYỄN THỤY KIM UYÊN")</f>
        <v>NGUYỄN THỤY KIM UYÊN</v>
      </c>
      <c r="F1055" s="46" t="str">
        <f ca="1">IFERROR(__xludf.DUMMYFUNCTION("""COMPUTED_VALUE"""),"NGUYEN THUY KIM UYEN")</f>
        <v>NGUYEN THUY KIM UYEN</v>
      </c>
      <c r="G1055" s="45">
        <f ca="1">IFERROR(__xludf.DUMMYFUNCTION("""COMPUTED_VALUE"""),33534.5833333333)</f>
        <v>33534.583333333299</v>
      </c>
      <c r="H1055" s="45" t="str">
        <f ca="1">IFERROR(__xludf.DUMMYFUNCTION("""COMPUTED_VALUE"""),"MATTE")</f>
        <v>MATTE</v>
      </c>
      <c r="I1055" s="46" t="str">
        <f ca="1">IFERROR(__xludf.DUMMYFUNCTION("""COMPUTED_VALUE"""),"HO")</f>
        <v>HO</v>
      </c>
      <c r="J1055" s="46" t="str">
        <f ca="1">IFERROR(__xludf.DUMMYFUNCTION("""COMPUTED_VALUE"""),"OPS")</f>
        <v>OPS</v>
      </c>
      <c r="K1055" s="46" t="str">
        <f ca="1">IFERROR(__xludf.DUMMYFUNCTION("""COMPUTED_VALUE"""),"OPS")</f>
        <v>OPS</v>
      </c>
      <c r="L1055" s="46" t="str">
        <f ca="1">IFERROR(__xludf.DUMMYFUNCTION("""COMPUTED_VALUE"""),"FTE")</f>
        <v>FTE</v>
      </c>
      <c r="M1055" s="46" t="str">
        <f ca="1">IFERROR(__xludf.DUMMYFUNCTION("""COMPUTED_VALUE"""),"On")</f>
        <v>On</v>
      </c>
      <c r="N1055" s="46" t="str">
        <f ca="1">IFERROR(__xludf.DUMMYFUNCTION("""COMPUTED_VALUE"""),"đủ")</f>
        <v>đủ</v>
      </c>
    </row>
    <row r="1056" spans="1:14">
      <c r="A1056" s="45">
        <f ca="1">IFERROR(__xludf.DUMMYFUNCTION("""COMPUTED_VALUE"""),45848.5833333333)</f>
        <v>45848.583333333299</v>
      </c>
      <c r="B1056" s="45">
        <f ca="1">IFERROR(__xludf.DUMMYFUNCTION("""COMPUTED_VALUE"""),45931.5833333333)</f>
        <v>45931.583333333299</v>
      </c>
      <c r="C1056" s="46">
        <f ca="1">IFERROR(__xludf.DUMMYFUNCTION("""COMPUTED_VALUE"""),1057)</f>
        <v>1057</v>
      </c>
      <c r="D1056" s="47" t="str">
        <f ca="1">IFERROR(__xludf.DUMMYFUNCTION("""COMPUTED_VALUE"""),"C0836")</f>
        <v>C0836</v>
      </c>
      <c r="E1056" s="46" t="str">
        <f ca="1">IFERROR(__xludf.DUMMYFUNCTION("""COMPUTED_VALUE"""),"TẠ GIA HÂN")</f>
        <v>TẠ GIA HÂN</v>
      </c>
      <c r="F1056" s="46" t="str">
        <f ca="1">IFERROR(__xludf.DUMMYFUNCTION("""COMPUTED_VALUE"""),"TA GIA HAN")</f>
        <v>TA GIA HAN</v>
      </c>
      <c r="G1056" s="45">
        <f ca="1">IFERROR(__xludf.DUMMYFUNCTION("""COMPUTED_VALUE"""),34431.5833333333)</f>
        <v>34431.583333333299</v>
      </c>
      <c r="H1056" s="45" t="str">
        <f ca="1">IFERROR(__xludf.DUMMYFUNCTION("""COMPUTED_VALUE"""),"BAKES")</f>
        <v>BAKES</v>
      </c>
      <c r="I1056" s="46" t="str">
        <f ca="1">IFERROR(__xludf.DUMMYFUNCTION("""COMPUTED_VALUE"""),"HO")</f>
        <v>HO</v>
      </c>
      <c r="J1056" s="46" t="str">
        <f ca="1">IFERROR(__xludf.DUMMYFUNCTION("""COMPUTED_VALUE"""),"CUS")</f>
        <v>CUS</v>
      </c>
      <c r="K1056" s="46" t="str">
        <f ca="1">IFERROR(__xludf.DUMMYFUNCTION("""COMPUTED_VALUE"""),"CUS")</f>
        <v>CUS</v>
      </c>
      <c r="L1056" s="46" t="str">
        <f ca="1">IFERROR(__xludf.DUMMYFUNCTION("""COMPUTED_VALUE"""),"SER")</f>
        <v>SER</v>
      </c>
      <c r="M1056" s="46" t="str">
        <f ca="1">IFERROR(__xludf.DUMMYFUNCTION("""COMPUTED_VALUE"""),"Leave")</f>
        <v>Leave</v>
      </c>
      <c r="N1056" s="46" t="str">
        <f ca="1">IFERROR(__xludf.DUMMYFUNCTION("""COMPUTED_VALUE"""),"x")</f>
        <v>x</v>
      </c>
    </row>
    <row r="1057" spans="1:14">
      <c r="A1057" s="45">
        <f ca="1">IFERROR(__xludf.DUMMYFUNCTION("""COMPUTED_VALUE"""),45852.5833333333)</f>
        <v>45852.583333333299</v>
      </c>
      <c r="B1057" s="45">
        <f ca="1">IFERROR(__xludf.DUMMYFUNCTION("""COMPUTED_VALUE"""),46174.5833333333)</f>
        <v>46174.583333333299</v>
      </c>
      <c r="C1057" s="46">
        <f ca="1">IFERROR(__xludf.DUMMYFUNCTION("""COMPUTED_VALUE"""),1058)</f>
        <v>1058</v>
      </c>
      <c r="D1057" s="47" t="str">
        <f ca="1">IFERROR(__xludf.DUMMYFUNCTION("""COMPUTED_VALUE"""),"C0837")</f>
        <v>C0837</v>
      </c>
      <c r="E1057" s="46" t="str">
        <f ca="1">IFERROR(__xludf.DUMMYFUNCTION("""COMPUTED_VALUE"""),"NGÔ MỸ HOA")</f>
        <v>NGÔ MỸ HOA</v>
      </c>
      <c r="F1057" s="46" t="str">
        <f ca="1">IFERROR(__xludf.DUMMYFUNCTION("""COMPUTED_VALUE"""),"NGO MY HOA")</f>
        <v>NGO MY HOA</v>
      </c>
      <c r="G1057" s="45">
        <f ca="1">IFERROR(__xludf.DUMMYFUNCTION("""COMPUTED_VALUE"""),38233.5833333333)</f>
        <v>38233.583333333299</v>
      </c>
      <c r="H1057" s="45" t="str">
        <f ca="1">IFERROR(__xludf.DUMMYFUNCTION("""COMPUTED_VALUE"""),"YESHI")</f>
        <v>YESHI</v>
      </c>
      <c r="I1057" s="46" t="str">
        <f ca="1">IFERROR(__xludf.DUMMYFUNCTION("""COMPUTED_VALUE"""),"STORE")</f>
        <v>STORE</v>
      </c>
      <c r="J1057" s="46" t="str">
        <f ca="1">IFERROR(__xludf.DUMMYFUNCTION("""COMPUTED_VALUE"""),"YESHI D3")</f>
        <v>YESHI D3</v>
      </c>
      <c r="K1057" s="46" t="str">
        <f ca="1">IFERROR(__xludf.DUMMYFUNCTION("""COMPUTED_VALUE"""),"WAITSTAFF")</f>
        <v>WAITSTAFF</v>
      </c>
      <c r="L1057" s="46" t="str">
        <f ca="1">IFERROR(__xludf.DUMMYFUNCTION("""COMPUTED_VALUE"""),"FTE")</f>
        <v>FTE</v>
      </c>
      <c r="M1057" s="46" t="str">
        <f ca="1">IFERROR(__xludf.DUMMYFUNCTION("""COMPUTED_VALUE"""),"Leave")</f>
        <v>Leave</v>
      </c>
      <c r="N1057" s="46" t="str">
        <f ca="1">IFERROR(__xludf.DUMMYFUNCTION("""COMPUTED_VALUE"""),"đủ")</f>
        <v>đủ</v>
      </c>
    </row>
    <row r="1058" spans="1:14">
      <c r="A1058" s="45">
        <f ca="1">IFERROR(__xludf.DUMMYFUNCTION("""COMPUTED_VALUE"""),45852.5833333333)</f>
        <v>45852.583333333299</v>
      </c>
      <c r="B1058" s="45"/>
      <c r="C1058" s="46">
        <f ca="1">IFERROR(__xludf.DUMMYFUNCTION("""COMPUTED_VALUE"""),1059)</f>
        <v>1059</v>
      </c>
      <c r="D1058" s="47" t="str">
        <f ca="1">IFERROR(__xludf.DUMMYFUNCTION("""COMPUTED_VALUE"""),"C0838")</f>
        <v>C0838</v>
      </c>
      <c r="E1058" s="46" t="str">
        <f ca="1">IFERROR(__xludf.DUMMYFUNCTION("""COMPUTED_VALUE"""),"TRẦN LÂM MINH THƯ")</f>
        <v>TRẦN LÂM MINH THƯ</v>
      </c>
      <c r="F1058" s="46" t="str">
        <f ca="1">IFERROR(__xludf.DUMMYFUNCTION("""COMPUTED_VALUE"""),"TRAN LAM MINH THU")</f>
        <v>TRAN LAM MINH THU</v>
      </c>
      <c r="G1058" s="45">
        <f ca="1">IFERROR(__xludf.DUMMYFUNCTION("""COMPUTED_VALUE"""),37398.5833333333)</f>
        <v>37398.583333333299</v>
      </c>
      <c r="H1058" s="45" t="str">
        <f ca="1">IFERROR(__xludf.DUMMYFUNCTION("""COMPUTED_VALUE"""),"YESHI")</f>
        <v>YESHI</v>
      </c>
      <c r="I1058" s="46" t="str">
        <f ca="1">IFERROR(__xludf.DUMMYFUNCTION("""COMPUTED_VALUE"""),"STORE")</f>
        <v>STORE</v>
      </c>
      <c r="J1058" s="46" t="str">
        <f ca="1">IFERROR(__xludf.DUMMYFUNCTION("""COMPUTED_VALUE"""),"YESHI D2")</f>
        <v>YESHI D2</v>
      </c>
      <c r="K1058" s="46" t="str">
        <f ca="1">IFERROR(__xludf.DUMMYFUNCTION("""COMPUTED_VALUE"""),"KIT")</f>
        <v>KIT</v>
      </c>
      <c r="L1058" s="46" t="str">
        <f ca="1">IFERROR(__xludf.DUMMYFUNCTION("""COMPUTED_VALUE"""),"FTE")</f>
        <v>FTE</v>
      </c>
      <c r="M1058" s="46" t="str">
        <f ca="1">IFERROR(__xludf.DUMMYFUNCTION("""COMPUTED_VALUE"""),"On")</f>
        <v>On</v>
      </c>
      <c r="N1058" s="46" t="str">
        <f ca="1">IFERROR(__xludf.DUMMYFUNCTION("""COMPUTED_VALUE"""),"đủ")</f>
        <v>đủ</v>
      </c>
    </row>
    <row r="1059" spans="1:14">
      <c r="A1059" s="45">
        <f ca="1">IFERROR(__xludf.DUMMYFUNCTION("""COMPUTED_VALUE"""),45855.5833333333)</f>
        <v>45855.583333333299</v>
      </c>
      <c r="B1059" s="45">
        <f ca="1">IFERROR(__xludf.DUMMYFUNCTION("""COMPUTED_VALUE"""),45899.5833333333)</f>
        <v>45899.583333333299</v>
      </c>
      <c r="C1059" s="46">
        <f ca="1">IFERROR(__xludf.DUMMYFUNCTION("""COMPUTED_VALUE"""),1060)</f>
        <v>1060</v>
      </c>
      <c r="D1059" s="47" t="str">
        <f ca="1">IFERROR(__xludf.DUMMYFUNCTION("""COMPUTED_VALUE"""),"C0839")</f>
        <v>C0839</v>
      </c>
      <c r="E1059" s="46" t="str">
        <f ca="1">IFERROR(__xludf.DUMMYFUNCTION("""COMPUTED_VALUE"""),"TRẦN THỊ BÍCH PHƯƠNG")</f>
        <v>TRẦN THỊ BÍCH PHƯƠNG</v>
      </c>
      <c r="F1059" s="46" t="str">
        <f ca="1">IFERROR(__xludf.DUMMYFUNCTION("""COMPUTED_VALUE"""),"TRAN THI BICH PHUONG")</f>
        <v>TRAN THI BICH PHUONG</v>
      </c>
      <c r="G1059" s="45">
        <f ca="1">IFERROR(__xludf.DUMMYFUNCTION("""COMPUTED_VALUE"""),36973.625)</f>
        <v>36973.625</v>
      </c>
      <c r="H1059" s="45" t="str">
        <f ca="1">IFERROR(__xludf.DUMMYFUNCTION("""COMPUTED_VALUE"""),"KITCHEN PASTRY")</f>
        <v>KITCHEN PASTRY</v>
      </c>
      <c r="I1059" s="46" t="str">
        <f ca="1">IFERROR(__xludf.DUMMYFUNCTION("""COMPUTED_VALUE"""),"KITCHEN PASTRY")</f>
        <v>KITCHEN PASTRY</v>
      </c>
      <c r="J1059" s="46" t="str">
        <f ca="1">IFERROR(__xludf.DUMMYFUNCTION("""COMPUTED_VALUE"""),"KITCHEN PASTRY")</f>
        <v>KITCHEN PASTRY</v>
      </c>
      <c r="K1059" s="46" t="str">
        <f ca="1">IFERROR(__xludf.DUMMYFUNCTION("""COMPUTED_VALUE"""),"PASTRY")</f>
        <v>PASTRY</v>
      </c>
      <c r="L1059" s="46" t="str">
        <f ca="1">IFERROR(__xludf.DUMMYFUNCTION("""COMPUTED_VALUE"""),"PRO")</f>
        <v>PRO</v>
      </c>
      <c r="M1059" s="46" t="str">
        <f ca="1">IFERROR(__xludf.DUMMYFUNCTION("""COMPUTED_VALUE"""),"Leave")</f>
        <v>Leave</v>
      </c>
      <c r="N1059" s="46" t="str">
        <f ca="1">IFERROR(__xludf.DUMMYFUNCTION("""COMPUTED_VALUE"""),"đủ")</f>
        <v>đủ</v>
      </c>
    </row>
    <row r="1060" spans="1:14">
      <c r="A1060" s="45">
        <f ca="1">IFERROR(__xludf.DUMMYFUNCTION("""COMPUTED_VALUE"""),45852.5833333333)</f>
        <v>45852.583333333299</v>
      </c>
      <c r="B1060" s="45">
        <f ca="1">IFERROR(__xludf.DUMMYFUNCTION("""COMPUTED_VALUE"""),45932.5833333333)</f>
        <v>45932.583333333299</v>
      </c>
      <c r="C1060" s="46">
        <f ca="1">IFERROR(__xludf.DUMMYFUNCTION("""COMPUTED_VALUE"""),1061)</f>
        <v>1061</v>
      </c>
      <c r="D1060" s="47" t="str">
        <f ca="1">IFERROR(__xludf.DUMMYFUNCTION("""COMPUTED_VALUE"""),"C0840")</f>
        <v>C0840</v>
      </c>
      <c r="E1060" s="46" t="str">
        <f ca="1">IFERROR(__xludf.DUMMYFUNCTION("""COMPUTED_VALUE"""),"NGUYỄN ĐÌNH DƯƠNG")</f>
        <v>NGUYỄN ĐÌNH DƯƠNG</v>
      </c>
      <c r="F1060" s="46" t="str">
        <f ca="1">IFERROR(__xludf.DUMMYFUNCTION("""COMPUTED_VALUE"""),"NGUYEN DINH DUONG")</f>
        <v>NGUYEN DINH DUONG</v>
      </c>
      <c r="G1060" s="45">
        <f ca="1">IFERROR(__xludf.DUMMYFUNCTION("""COMPUTED_VALUE"""),38264.5833333333)</f>
        <v>38264.583333333299</v>
      </c>
      <c r="H1060" s="45" t="str">
        <f ca="1">IFERROR(__xludf.DUMMYFUNCTION("""COMPUTED_VALUE"""),"MOONCAKE")</f>
        <v>MOONCAKE</v>
      </c>
      <c r="I1060" s="46" t="str">
        <f ca="1">IFERROR(__xludf.DUMMYFUNCTION("""COMPUTED_VALUE"""),"KITCHEN PASTRY")</f>
        <v>KITCHEN PASTRY</v>
      </c>
      <c r="J1060" s="46" t="str">
        <f ca="1">IFERROR(__xludf.DUMMYFUNCTION("""COMPUTED_VALUE"""),"KITCHEN PASTRY")</f>
        <v>KITCHEN PASTRY</v>
      </c>
      <c r="K1060" s="46" t="str">
        <f ca="1">IFERROR(__xludf.DUMMYFUNCTION("""COMPUTED_VALUE"""),"PASTRY")</f>
        <v>PASTRY</v>
      </c>
      <c r="L1060" s="46" t="str">
        <f ca="1">IFERROR(__xludf.DUMMYFUNCTION("""COMPUTED_VALUE"""),"PTE")</f>
        <v>PTE</v>
      </c>
      <c r="M1060" s="46" t="str">
        <f ca="1">IFERROR(__xludf.DUMMYFUNCTION("""COMPUTED_VALUE"""),"Leave")</f>
        <v>Leave</v>
      </c>
      <c r="N1060" s="46" t="str">
        <f ca="1">IFERROR(__xludf.DUMMYFUNCTION("""COMPUTED_VALUE"""),"đủ")</f>
        <v>đủ</v>
      </c>
    </row>
    <row r="1061" spans="1:14">
      <c r="A1061" s="45">
        <f ca="1">IFERROR(__xludf.DUMMYFUNCTION("""COMPUTED_VALUE"""),45855.5833333333)</f>
        <v>45855.583333333299</v>
      </c>
      <c r="B1061" s="45">
        <f ca="1">IFERROR(__xludf.DUMMYFUNCTION("""COMPUTED_VALUE"""),45932.5833333333)</f>
        <v>45932.583333333299</v>
      </c>
      <c r="C1061" s="46">
        <f ca="1">IFERROR(__xludf.DUMMYFUNCTION("""COMPUTED_VALUE"""),1062)</f>
        <v>1062</v>
      </c>
      <c r="D1061" s="47" t="str">
        <f ca="1">IFERROR(__xludf.DUMMYFUNCTION("""COMPUTED_VALUE"""),"C0841")</f>
        <v>C0841</v>
      </c>
      <c r="E1061" s="46" t="str">
        <f ca="1">IFERROR(__xludf.DUMMYFUNCTION("""COMPUTED_VALUE"""),"NGUYỄN THỊ KIM THOA")</f>
        <v>NGUYỄN THỊ KIM THOA</v>
      </c>
      <c r="F1061" s="46" t="str">
        <f ca="1">IFERROR(__xludf.DUMMYFUNCTION("""COMPUTED_VALUE"""),"NGUYEN THI KIM THOA")</f>
        <v>NGUYEN THI KIM THOA</v>
      </c>
      <c r="G1061" s="45">
        <f ca="1">IFERROR(__xludf.DUMMYFUNCTION("""COMPUTED_VALUE"""),37216.625)</f>
        <v>37216.625</v>
      </c>
      <c r="H1061" s="45" t="str">
        <f ca="1">IFERROR(__xludf.DUMMYFUNCTION("""COMPUTED_VALUE"""),"MOONCAKE")</f>
        <v>MOONCAKE</v>
      </c>
      <c r="I1061" s="46" t="str">
        <f ca="1">IFERROR(__xludf.DUMMYFUNCTION("""COMPUTED_VALUE"""),"KITCHEN PASTRY")</f>
        <v>KITCHEN PASTRY</v>
      </c>
      <c r="J1061" s="46" t="str">
        <f ca="1">IFERROR(__xludf.DUMMYFUNCTION("""COMPUTED_VALUE"""),"KITCHEN PASTRY")</f>
        <v>KITCHEN PASTRY</v>
      </c>
      <c r="K1061" s="46" t="str">
        <f ca="1">IFERROR(__xludf.DUMMYFUNCTION("""COMPUTED_VALUE"""),"PASTRY")</f>
        <v>PASTRY</v>
      </c>
      <c r="L1061" s="46" t="str">
        <f ca="1">IFERROR(__xludf.DUMMYFUNCTION("""COMPUTED_VALUE"""),"PTE")</f>
        <v>PTE</v>
      </c>
      <c r="M1061" s="46" t="str">
        <f ca="1">IFERROR(__xludf.DUMMYFUNCTION("""COMPUTED_VALUE"""),"Leave")</f>
        <v>Leave</v>
      </c>
      <c r="N1061" s="46" t="str">
        <f ca="1">IFERROR(__xludf.DUMMYFUNCTION("""COMPUTED_VALUE"""),"đủ")</f>
        <v>đủ</v>
      </c>
    </row>
    <row r="1062" spans="1:14">
      <c r="A1062" s="45">
        <f ca="1">IFERROR(__xludf.DUMMYFUNCTION("""COMPUTED_VALUE"""),45859.5833333333)</f>
        <v>45859.583333333299</v>
      </c>
      <c r="B1062" s="45">
        <f ca="1">IFERROR(__xludf.DUMMYFUNCTION("""COMPUTED_VALUE"""),45932.5833333333)</f>
        <v>45932.583333333299</v>
      </c>
      <c r="C1062" s="46">
        <f ca="1">IFERROR(__xludf.DUMMYFUNCTION("""COMPUTED_VALUE"""),1063)</f>
        <v>1063</v>
      </c>
      <c r="D1062" s="47" t="str">
        <f ca="1">IFERROR(__xludf.DUMMYFUNCTION("""COMPUTED_VALUE"""),"C0842")</f>
        <v>C0842</v>
      </c>
      <c r="E1062" s="46" t="str">
        <f ca="1">IFERROR(__xludf.DUMMYFUNCTION("""COMPUTED_VALUE"""),"NGUYỄN THỊ TRÚC LINH")</f>
        <v>NGUYỄN THỊ TRÚC LINH</v>
      </c>
      <c r="F1062" s="46" t="str">
        <f ca="1">IFERROR(__xludf.DUMMYFUNCTION("""COMPUTED_VALUE"""),"NGUYEN THI TRUC LINH")</f>
        <v>NGUYEN THI TRUC LINH</v>
      </c>
      <c r="G1062" s="45">
        <f ca="1">IFERROR(__xludf.DUMMYFUNCTION("""COMPUTED_VALUE"""),34826.5833333333)</f>
        <v>34826.583333333299</v>
      </c>
      <c r="H1062" s="45" t="str">
        <f ca="1">IFERROR(__xludf.DUMMYFUNCTION("""COMPUTED_VALUE"""),"MOONCAKE")</f>
        <v>MOONCAKE</v>
      </c>
      <c r="I1062" s="46" t="str">
        <f ca="1">IFERROR(__xludf.DUMMYFUNCTION("""COMPUTED_VALUE"""),"KITCHEN PASTRY")</f>
        <v>KITCHEN PASTRY</v>
      </c>
      <c r="J1062" s="46" t="str">
        <f ca="1">IFERROR(__xludf.DUMMYFUNCTION("""COMPUTED_VALUE"""),"KITCHEN PASTRY")</f>
        <v>KITCHEN PASTRY</v>
      </c>
      <c r="K1062" s="46" t="str">
        <f ca="1">IFERROR(__xludf.DUMMYFUNCTION("""COMPUTED_VALUE"""),"PASTRY")</f>
        <v>PASTRY</v>
      </c>
      <c r="L1062" s="46" t="str">
        <f ca="1">IFERROR(__xludf.DUMMYFUNCTION("""COMPUTED_VALUE"""),"PTE")</f>
        <v>PTE</v>
      </c>
      <c r="M1062" s="46" t="str">
        <f ca="1">IFERROR(__xludf.DUMMYFUNCTION("""COMPUTED_VALUE"""),"Leave")</f>
        <v>Leave</v>
      </c>
      <c r="N1062" s="46" t="str">
        <f ca="1">IFERROR(__xludf.DUMMYFUNCTION("""COMPUTED_VALUE"""),"đủ")</f>
        <v>đủ</v>
      </c>
    </row>
    <row r="1063" spans="1:14">
      <c r="A1063" s="45">
        <f ca="1">IFERROR(__xludf.DUMMYFUNCTION("""COMPUTED_VALUE"""),45860.5833333333)</f>
        <v>45860.583333333299</v>
      </c>
      <c r="B1063" s="45">
        <f ca="1">IFERROR(__xludf.DUMMYFUNCTION("""COMPUTED_VALUE"""),46023.625)</f>
        <v>46023.625</v>
      </c>
      <c r="C1063" s="46">
        <f ca="1">IFERROR(__xludf.DUMMYFUNCTION("""COMPUTED_VALUE"""),1064)</f>
        <v>1064</v>
      </c>
      <c r="D1063" s="47" t="str">
        <f ca="1">IFERROR(__xludf.DUMMYFUNCTION("""COMPUTED_VALUE"""),"C0844")</f>
        <v>C0844</v>
      </c>
      <c r="E1063" s="46" t="str">
        <f ca="1">IFERROR(__xludf.DUMMYFUNCTION("""COMPUTED_VALUE"""),"MAI THANH HẬU")</f>
        <v>MAI THANH HẬU</v>
      </c>
      <c r="F1063" s="46" t="str">
        <f ca="1">IFERROR(__xludf.DUMMYFUNCTION("""COMPUTED_VALUE"""),"MAI THANH HAU")</f>
        <v>MAI THANH HAU</v>
      </c>
      <c r="G1063" s="45">
        <f ca="1">IFERROR(__xludf.DUMMYFUNCTION("""COMPUTED_VALUE"""),37137.5833333333)</f>
        <v>37137.583333333299</v>
      </c>
      <c r="H1063" s="45" t="str">
        <f ca="1">IFERROR(__xludf.DUMMYFUNCTION("""COMPUTED_VALUE"""),"TLC")</f>
        <v>TLC</v>
      </c>
      <c r="I1063" s="46" t="str">
        <f ca="1">IFERROR(__xludf.DUMMYFUNCTION("""COMPUTED_VALUE"""),"HO")</f>
        <v>HO</v>
      </c>
      <c r="J1063" s="46" t="str">
        <f ca="1">IFERROR(__xludf.DUMMYFUNCTION("""COMPUTED_VALUE"""),"BE")</f>
        <v>BE</v>
      </c>
      <c r="K1063" s="46" t="str">
        <f ca="1">IFERROR(__xludf.DUMMYFUNCTION("""COMPUTED_VALUE"""),"BE")</f>
        <v>BE</v>
      </c>
      <c r="L1063" s="46" t="str">
        <f ca="1">IFERROR(__xludf.DUMMYFUNCTION("""COMPUTED_VALUE"""),"SER")</f>
        <v>SER</v>
      </c>
      <c r="M1063" s="46" t="str">
        <f ca="1">IFERROR(__xludf.DUMMYFUNCTION("""COMPUTED_VALUE"""),"Leave")</f>
        <v>Leave</v>
      </c>
      <c r="N1063" s="46" t="str">
        <f ca="1">IFERROR(__xludf.DUMMYFUNCTION("""COMPUTED_VALUE"""),"đủ")</f>
        <v>đủ</v>
      </c>
    </row>
    <row r="1064" spans="1:14">
      <c r="A1064" s="45">
        <f ca="1">IFERROR(__xludf.DUMMYFUNCTION("""COMPUTED_VALUE"""),45860.5833333333)</f>
        <v>45860.583333333299</v>
      </c>
      <c r="B1064" s="45">
        <f ca="1">IFERROR(__xludf.DUMMYFUNCTION("""COMPUTED_VALUE"""),45861.5833333333)</f>
        <v>45861.583333333299</v>
      </c>
      <c r="C1064" s="46">
        <f ca="1">IFERROR(__xludf.DUMMYFUNCTION("""COMPUTED_VALUE"""),1065)</f>
        <v>1065</v>
      </c>
      <c r="D1064" s="47" t="str">
        <f ca="1">IFERROR(__xludf.DUMMYFUNCTION("""COMPUTED_VALUE"""),"C0846")</f>
        <v>C0846</v>
      </c>
      <c r="E1064" s="46" t="str">
        <f ca="1">IFERROR(__xludf.DUMMYFUNCTION("""COMPUTED_VALUE"""),"VĂN QUỐC HUY")</f>
        <v>VĂN QUỐC HUY</v>
      </c>
      <c r="F1064" s="46" t="str">
        <f ca="1">IFERROR(__xludf.DUMMYFUNCTION("""COMPUTED_VALUE"""),"VAN QUOC HUY")</f>
        <v>VAN QUOC HUY</v>
      </c>
      <c r="G1064" s="45"/>
      <c r="H1064" s="45" t="str">
        <f ca="1">IFERROR(__xludf.DUMMYFUNCTION("""COMPUTED_VALUE"""),"MOONCAKE")</f>
        <v>MOONCAKE</v>
      </c>
      <c r="I1064" s="46" t="str">
        <f ca="1">IFERROR(__xludf.DUMMYFUNCTION("""COMPUTED_VALUE"""),"KITCHEN PASTRY")</f>
        <v>KITCHEN PASTRY</v>
      </c>
      <c r="J1064" s="46" t="str">
        <f ca="1">IFERROR(__xludf.DUMMYFUNCTION("""COMPUTED_VALUE"""),"KITCHEN PASTRY")</f>
        <v>KITCHEN PASTRY</v>
      </c>
      <c r="K1064" s="46" t="str">
        <f ca="1">IFERROR(__xludf.DUMMYFUNCTION("""COMPUTED_VALUE"""),"PASTRY")</f>
        <v>PASTRY</v>
      </c>
      <c r="L1064" s="46" t="str">
        <f ca="1">IFERROR(__xludf.DUMMYFUNCTION("""COMPUTED_VALUE"""),"PTE")</f>
        <v>PTE</v>
      </c>
      <c r="M1064" s="46" t="str">
        <f ca="1">IFERROR(__xludf.DUMMYFUNCTION("""COMPUTED_VALUE"""),"Leave")</f>
        <v>Leave</v>
      </c>
      <c r="N1064" s="46" t="str">
        <f ca="1">IFERROR(__xludf.DUMMYFUNCTION("""COMPUTED_VALUE"""),"chua nop")</f>
        <v>chua nop</v>
      </c>
    </row>
    <row r="1065" spans="1:14">
      <c r="A1065" s="45">
        <f ca="1">IFERROR(__xludf.DUMMYFUNCTION("""COMPUTED_VALUE"""),45861.5833333333)</f>
        <v>45861.583333333299</v>
      </c>
      <c r="B1065" s="45">
        <f ca="1">IFERROR(__xludf.DUMMYFUNCTION("""COMPUTED_VALUE"""),45863.5833333333)</f>
        <v>45863.583333333299</v>
      </c>
      <c r="C1065" s="46">
        <f ca="1">IFERROR(__xludf.DUMMYFUNCTION("""COMPUTED_VALUE"""),1066)</f>
        <v>1066</v>
      </c>
      <c r="D1065" s="47" t="str">
        <f ca="1">IFERROR(__xludf.DUMMYFUNCTION("""COMPUTED_VALUE"""),"C0847")</f>
        <v>C0847</v>
      </c>
      <c r="E1065" s="46" t="str">
        <f ca="1">IFERROR(__xludf.DUMMYFUNCTION("""COMPUTED_VALUE"""),"NHỮ THỊ THÙY DƯƠNG")</f>
        <v>NHỮ THỊ THÙY DƯƠNG</v>
      </c>
      <c r="F1065" s="46" t="str">
        <f ca="1">IFERROR(__xludf.DUMMYFUNCTION("""COMPUTED_VALUE"""),"NHU THI THUY DUONG")</f>
        <v>NHU THI THUY DUONG</v>
      </c>
      <c r="G1065" s="45">
        <f ca="1">IFERROR(__xludf.DUMMYFUNCTION("""COMPUTED_VALUE"""),37886.5833333333)</f>
        <v>37886.583333333299</v>
      </c>
      <c r="H1065" s="45" t="str">
        <f ca="1">IFERROR(__xludf.DUMMYFUNCTION("""COMPUTED_VALUE"""),"MATTE")</f>
        <v>MATTE</v>
      </c>
      <c r="I1065" s="46" t="str">
        <f ca="1">IFERROR(__xludf.DUMMYFUNCTION("""COMPUTED_VALUE"""),"STORE")</f>
        <v>STORE</v>
      </c>
      <c r="J1065" s="46" t="str">
        <f ca="1">IFERROR(__xludf.DUMMYFUNCTION("""COMPUTED_VALUE"""),"MATTE D3")</f>
        <v>MATTE D3</v>
      </c>
      <c r="K1065" s="46" t="str">
        <f ca="1">IFERROR(__xludf.DUMMYFUNCTION("""COMPUTED_VALUE"""),"BAR")</f>
        <v>BAR</v>
      </c>
      <c r="L1065" s="46" t="str">
        <f ca="1">IFERROR(__xludf.DUMMYFUNCTION("""COMPUTED_VALUE"""),"PTE")</f>
        <v>PTE</v>
      </c>
      <c r="M1065" s="46" t="str">
        <f ca="1">IFERROR(__xludf.DUMMYFUNCTION("""COMPUTED_VALUE"""),"Leave")</f>
        <v>Leave</v>
      </c>
      <c r="N1065" s="46" t="str">
        <f ca="1">IFERROR(__xludf.DUMMYFUNCTION("""COMPUTED_VALUE"""),"chua nop")</f>
        <v>chua nop</v>
      </c>
    </row>
    <row r="1066" spans="1:14">
      <c r="A1066" s="45">
        <f ca="1">IFERROR(__xludf.DUMMYFUNCTION("""COMPUTED_VALUE"""),45859.5833333333)</f>
        <v>45859.583333333299</v>
      </c>
      <c r="B1066" s="45">
        <f ca="1">IFERROR(__xludf.DUMMYFUNCTION("""COMPUTED_VALUE"""),45898.5833333333)</f>
        <v>45898.583333333299</v>
      </c>
      <c r="C1066" s="46">
        <f ca="1">IFERROR(__xludf.DUMMYFUNCTION("""COMPUTED_VALUE"""),1067)</f>
        <v>1067</v>
      </c>
      <c r="D1066" s="47" t="str">
        <f ca="1">IFERROR(__xludf.DUMMYFUNCTION("""COMPUTED_VALUE"""),"C0848")</f>
        <v>C0848</v>
      </c>
      <c r="E1066" s="46" t="str">
        <f ca="1">IFERROR(__xludf.DUMMYFUNCTION("""COMPUTED_VALUE"""),"ĐỖ VĂN TIẾN")</f>
        <v>ĐỖ VĂN TIẾN</v>
      </c>
      <c r="F1066" s="46" t="str">
        <f ca="1">IFERROR(__xludf.DUMMYFUNCTION("""COMPUTED_VALUE"""),"DO VAN TIEN")</f>
        <v>DO VAN TIEN</v>
      </c>
      <c r="G1066" s="45">
        <f ca="1">IFERROR(__xludf.DUMMYFUNCTION("""COMPUTED_VALUE"""),37552.5833333333)</f>
        <v>37552.583333333299</v>
      </c>
      <c r="H1066" s="45" t="str">
        <f ca="1">IFERROR(__xludf.DUMMYFUNCTION("""COMPUTED_VALUE"""),"BAKES")</f>
        <v>BAKES</v>
      </c>
      <c r="I1066" s="46" t="str">
        <f ca="1">IFERROR(__xludf.DUMMYFUNCTION("""COMPUTED_VALUE"""),"STORE")</f>
        <v>STORE</v>
      </c>
      <c r="J1066" s="46" t="str">
        <f ca="1">IFERROR(__xludf.DUMMYFUNCTION("""COMPUTED_VALUE"""),"BAKES D2")</f>
        <v>BAKES D2</v>
      </c>
      <c r="K1066" s="46" t="str">
        <f ca="1">IFERROR(__xludf.DUMMYFUNCTION("""COMPUTED_VALUE"""),"WAITSTAFF")</f>
        <v>WAITSTAFF</v>
      </c>
      <c r="L1066" s="46" t="str">
        <f ca="1">IFERROR(__xludf.DUMMYFUNCTION("""COMPUTED_VALUE"""),"PTE")</f>
        <v>PTE</v>
      </c>
      <c r="M1066" s="46" t="str">
        <f ca="1">IFERROR(__xludf.DUMMYFUNCTION("""COMPUTED_VALUE"""),"Leave")</f>
        <v>Leave</v>
      </c>
      <c r="N1066" s="46" t="str">
        <f ca="1">IFERROR(__xludf.DUMMYFUNCTION("""COMPUTED_VALUE"""),"đủ")</f>
        <v>đủ</v>
      </c>
    </row>
    <row r="1067" spans="1:14">
      <c r="A1067" s="45">
        <f ca="1">IFERROR(__xludf.DUMMYFUNCTION("""COMPUTED_VALUE"""),45859.5833333333)</f>
        <v>45859.583333333299</v>
      </c>
      <c r="B1067" s="45">
        <f ca="1">IFERROR(__xludf.DUMMYFUNCTION("""COMPUTED_VALUE"""),45860.5833333333)</f>
        <v>45860.583333333299</v>
      </c>
      <c r="C1067" s="46">
        <f ca="1">IFERROR(__xludf.DUMMYFUNCTION("""COMPUTED_VALUE"""),1068)</f>
        <v>1068</v>
      </c>
      <c r="D1067" s="47" t="str">
        <f ca="1">IFERROR(__xludf.DUMMYFUNCTION("""COMPUTED_VALUE"""),"C0849")</f>
        <v>C0849</v>
      </c>
      <c r="E1067" s="46" t="str">
        <f ca="1">IFERROR(__xludf.DUMMYFUNCTION("""COMPUTED_VALUE"""),"PHẠM NGUYỄN HOÀ BÌNH")</f>
        <v>PHẠM NGUYỄN HOÀ BÌNH</v>
      </c>
      <c r="F1067" s="46" t="str">
        <f ca="1">IFERROR(__xludf.DUMMYFUNCTION("""COMPUTED_VALUE"""),"PHAM NGUYEN HOA BINH")</f>
        <v>PHAM NGUYEN HOA BINH</v>
      </c>
      <c r="G1067" s="45">
        <f ca="1">IFERROR(__xludf.DUMMYFUNCTION("""COMPUTED_VALUE"""),38478.5833333333)</f>
        <v>38478.583333333299</v>
      </c>
      <c r="H1067" s="45" t="str">
        <f ca="1">IFERROR(__xludf.DUMMYFUNCTION("""COMPUTED_VALUE"""),"BAKES")</f>
        <v>BAKES</v>
      </c>
      <c r="I1067" s="46" t="str">
        <f ca="1">IFERROR(__xludf.DUMMYFUNCTION("""COMPUTED_VALUE"""),"STORE")</f>
        <v>STORE</v>
      </c>
      <c r="J1067" s="46" t="str">
        <f ca="1">IFERROR(__xludf.DUMMYFUNCTION("""COMPUTED_VALUE"""),"BAKES D2")</f>
        <v>BAKES D2</v>
      </c>
      <c r="K1067" s="46" t="str">
        <f ca="1">IFERROR(__xludf.DUMMYFUNCTION("""COMPUTED_VALUE"""),"WAITSTAFF")</f>
        <v>WAITSTAFF</v>
      </c>
      <c r="L1067" s="46" t="str">
        <f ca="1">IFERROR(__xludf.DUMMYFUNCTION("""COMPUTED_VALUE"""),"PRO")</f>
        <v>PRO</v>
      </c>
      <c r="M1067" s="46" t="str">
        <f ca="1">IFERROR(__xludf.DUMMYFUNCTION("""COMPUTED_VALUE"""),"Leave")</f>
        <v>Leave</v>
      </c>
      <c r="N1067" s="46" t="str">
        <f ca="1">IFERROR(__xludf.DUMMYFUNCTION("""COMPUTED_VALUE"""),"chua nop")</f>
        <v>chua nop</v>
      </c>
    </row>
    <row r="1068" spans="1:14">
      <c r="A1068" s="45">
        <f ca="1">IFERROR(__xludf.DUMMYFUNCTION("""COMPUTED_VALUE"""),45859.5833333333)</f>
        <v>45859.583333333299</v>
      </c>
      <c r="B1068" s="45">
        <f ca="1">IFERROR(__xludf.DUMMYFUNCTION("""COMPUTED_VALUE"""),45861.5833333333)</f>
        <v>45861.583333333299</v>
      </c>
      <c r="C1068" s="46">
        <f ca="1">IFERROR(__xludf.DUMMYFUNCTION("""COMPUTED_VALUE"""),1069)</f>
        <v>1069</v>
      </c>
      <c r="D1068" s="47" t="str">
        <f ca="1">IFERROR(__xludf.DUMMYFUNCTION("""COMPUTED_VALUE"""),"C0850")</f>
        <v>C0850</v>
      </c>
      <c r="E1068" s="46" t="str">
        <f ca="1">IFERROR(__xludf.DUMMYFUNCTION("""COMPUTED_VALUE"""),"PHAN TIỂU YẾN NHẢ")</f>
        <v>PHAN TIỂU YẾN NHẢ</v>
      </c>
      <c r="F1068" s="46" t="str">
        <f ca="1">IFERROR(__xludf.DUMMYFUNCTION("""COMPUTED_VALUE"""),"PHAN TIEU YEN NHA")</f>
        <v>PHAN TIEU YEN NHA</v>
      </c>
      <c r="G1068" s="45">
        <f ca="1">IFERROR(__xludf.DUMMYFUNCTION("""COMPUTED_VALUE"""),36717.5833333333)</f>
        <v>36717.583333333299</v>
      </c>
      <c r="H1068" s="45" t="str">
        <f ca="1">IFERROR(__xludf.DUMMYFUNCTION("""COMPUTED_VALUE"""),"TLC")</f>
        <v>TLC</v>
      </c>
      <c r="I1068" s="46" t="str">
        <f ca="1">IFERROR(__xludf.DUMMYFUNCTION("""COMPUTED_VALUE"""),"STORE")</f>
        <v>STORE</v>
      </c>
      <c r="J1068" s="46" t="str">
        <f ca="1">IFERROR(__xludf.DUMMYFUNCTION("""COMPUTED_VALUE"""),"BAKES HCR")</f>
        <v>BAKES HCR</v>
      </c>
      <c r="K1068" s="46" t="str">
        <f ca="1">IFERROR(__xludf.DUMMYFUNCTION("""COMPUTED_VALUE"""),"BAR")</f>
        <v>BAR</v>
      </c>
      <c r="L1068" s="46" t="str">
        <f ca="1">IFERROR(__xludf.DUMMYFUNCTION("""COMPUTED_VALUE"""),"PTE")</f>
        <v>PTE</v>
      </c>
      <c r="M1068" s="46" t="str">
        <f ca="1">IFERROR(__xludf.DUMMYFUNCTION("""COMPUTED_VALUE"""),"Leave")</f>
        <v>Leave</v>
      </c>
      <c r="N1068" s="46" t="str">
        <f ca="1">IFERROR(__xludf.DUMMYFUNCTION("""COMPUTED_VALUE"""),"chua nop")</f>
        <v>chua nop</v>
      </c>
    </row>
    <row r="1069" spans="1:14">
      <c r="A1069" s="45">
        <f ca="1">IFERROR(__xludf.DUMMYFUNCTION("""COMPUTED_VALUE"""),45861.5833333333)</f>
        <v>45861.583333333299</v>
      </c>
      <c r="B1069" s="45">
        <f ca="1">IFERROR(__xludf.DUMMYFUNCTION("""COMPUTED_VALUE"""),45964.625)</f>
        <v>45964.625</v>
      </c>
      <c r="C1069" s="46">
        <f ca="1">IFERROR(__xludf.DUMMYFUNCTION("""COMPUTED_VALUE"""),1070)</f>
        <v>1070</v>
      </c>
      <c r="D1069" s="47" t="str">
        <f ca="1">IFERROR(__xludf.DUMMYFUNCTION("""COMPUTED_VALUE"""),"C0851")</f>
        <v>C0851</v>
      </c>
      <c r="E1069" s="46" t="str">
        <f ca="1">IFERROR(__xludf.DUMMYFUNCTION("""COMPUTED_VALUE"""),"TRẦN THIÊN Ý NHƯ")</f>
        <v>TRẦN THIÊN Ý NHƯ</v>
      </c>
      <c r="F1069" s="46" t="str">
        <f ca="1">IFERROR(__xludf.DUMMYFUNCTION("""COMPUTED_VALUE"""),"TRAN THIEN Y NHU")</f>
        <v>TRAN THIEN Y NHU</v>
      </c>
      <c r="G1069" s="45">
        <f ca="1">IFERROR(__xludf.DUMMYFUNCTION("""COMPUTED_VALUE"""),37988.625)</f>
        <v>37988.625</v>
      </c>
      <c r="H1069" s="45" t="str">
        <f ca="1">IFERROR(__xludf.DUMMYFUNCTION("""COMPUTED_VALUE"""),"BAKES")</f>
        <v>BAKES</v>
      </c>
      <c r="I1069" s="46" t="str">
        <f ca="1">IFERROR(__xludf.DUMMYFUNCTION("""COMPUTED_VALUE"""),"STORE")</f>
        <v>STORE</v>
      </c>
      <c r="J1069" s="46" t="str">
        <f ca="1">IFERROR(__xludf.DUMMYFUNCTION("""COMPUTED_VALUE"""),"BAKES HCR")</f>
        <v>BAKES HCR</v>
      </c>
      <c r="K1069" s="46" t="str">
        <f ca="1">IFERROR(__xludf.DUMMYFUNCTION("""COMPUTED_VALUE"""),"CASHIER")</f>
        <v>CASHIER</v>
      </c>
      <c r="L1069" s="46" t="str">
        <f ca="1">IFERROR(__xludf.DUMMYFUNCTION("""COMPUTED_VALUE"""),"PTE")</f>
        <v>PTE</v>
      </c>
      <c r="M1069" s="46" t="str">
        <f ca="1">IFERROR(__xludf.DUMMYFUNCTION("""COMPUTED_VALUE"""),"Leave")</f>
        <v>Leave</v>
      </c>
      <c r="N1069" s="46" t="str">
        <f ca="1">IFERROR(__xludf.DUMMYFUNCTION("""COMPUTED_VALUE"""),"đủ")</f>
        <v>đủ</v>
      </c>
    </row>
    <row r="1070" spans="1:14">
      <c r="A1070" s="45">
        <f ca="1">IFERROR(__xludf.DUMMYFUNCTION("""COMPUTED_VALUE"""),45860.5833333333)</f>
        <v>45860.583333333299</v>
      </c>
      <c r="B1070" s="45">
        <f ca="1">IFERROR(__xludf.DUMMYFUNCTION("""COMPUTED_VALUE"""),45888.5833333333)</f>
        <v>45888.583333333299</v>
      </c>
      <c r="C1070" s="46">
        <f ca="1">IFERROR(__xludf.DUMMYFUNCTION("""COMPUTED_VALUE"""),1071)</f>
        <v>1071</v>
      </c>
      <c r="D1070" s="47" t="str">
        <f ca="1">IFERROR(__xludf.DUMMYFUNCTION("""COMPUTED_VALUE"""),"C0853")</f>
        <v>C0853</v>
      </c>
      <c r="E1070" s="46" t="str">
        <f ca="1">IFERROR(__xludf.DUMMYFUNCTION("""COMPUTED_VALUE"""),"NGÔ DƯƠNG KHANG")</f>
        <v>NGÔ DƯƠNG KHANG</v>
      </c>
      <c r="F1070" s="46" t="str">
        <f ca="1">IFERROR(__xludf.DUMMYFUNCTION("""COMPUTED_VALUE"""),"NGO DUONG KHANG")</f>
        <v>NGO DUONG KHANG</v>
      </c>
      <c r="G1070" s="45">
        <f ca="1">IFERROR(__xludf.DUMMYFUNCTION("""COMPUTED_VALUE"""),33946.625)</f>
        <v>33946.625</v>
      </c>
      <c r="H1070" s="45" t="str">
        <f ca="1">IFERROR(__xludf.DUMMYFUNCTION("""COMPUTED_VALUE"""),"KITCHEN PASTRY")</f>
        <v>KITCHEN PASTRY</v>
      </c>
      <c r="I1070" s="46" t="str">
        <f ca="1">IFERROR(__xludf.DUMMYFUNCTION("""COMPUTED_VALUE"""),"KITCHEN PASTRY")</f>
        <v>KITCHEN PASTRY</v>
      </c>
      <c r="J1070" s="46" t="str">
        <f ca="1">IFERROR(__xludf.DUMMYFUNCTION("""COMPUTED_VALUE"""),"KITCHEN PASTRY")</f>
        <v>KITCHEN PASTRY</v>
      </c>
      <c r="K1070" s="46" t="str">
        <f ca="1">IFERROR(__xludf.DUMMYFUNCTION("""COMPUTED_VALUE"""),"PASTRY")</f>
        <v>PASTRY</v>
      </c>
      <c r="L1070" s="46" t="str">
        <f ca="1">IFERROR(__xludf.DUMMYFUNCTION("""COMPUTED_VALUE"""),"PTE")</f>
        <v>PTE</v>
      </c>
      <c r="M1070" s="46" t="str">
        <f ca="1">IFERROR(__xludf.DUMMYFUNCTION("""COMPUTED_VALUE"""),"Leave")</f>
        <v>Leave</v>
      </c>
      <c r="N1070" s="46" t="str">
        <f ca="1">IFERROR(__xludf.DUMMYFUNCTION("""COMPUTED_VALUE"""),"đủ")</f>
        <v>đủ</v>
      </c>
    </row>
    <row r="1071" spans="1:14">
      <c r="A1071" s="45">
        <f ca="1">IFERROR(__xludf.DUMMYFUNCTION("""COMPUTED_VALUE"""),45862.5833333333)</f>
        <v>45862.583333333299</v>
      </c>
      <c r="B1071" s="45">
        <f ca="1">IFERROR(__xludf.DUMMYFUNCTION("""COMPUTED_VALUE"""),45925.5833333333)</f>
        <v>45925.583333333299</v>
      </c>
      <c r="C1071" s="46">
        <f ca="1">IFERROR(__xludf.DUMMYFUNCTION("""COMPUTED_VALUE"""),1072)</f>
        <v>1072</v>
      </c>
      <c r="D1071" s="47" t="str">
        <f ca="1">IFERROR(__xludf.DUMMYFUNCTION("""COMPUTED_VALUE"""),"C0856")</f>
        <v>C0856</v>
      </c>
      <c r="E1071" s="46" t="str">
        <f ca="1">IFERROR(__xludf.DUMMYFUNCTION("""COMPUTED_VALUE"""),"HỒ ANH NHI")</f>
        <v>HỒ ANH NHI</v>
      </c>
      <c r="F1071" s="46" t="str">
        <f ca="1">IFERROR(__xludf.DUMMYFUNCTION("""COMPUTED_VALUE"""),"HO ANH NHI")</f>
        <v>HO ANH NHI</v>
      </c>
      <c r="G1071" s="45">
        <f ca="1">IFERROR(__xludf.DUMMYFUNCTION("""COMPUTED_VALUE"""),35701.5833333333)</f>
        <v>35701.583333333299</v>
      </c>
      <c r="H1071" s="45" t="str">
        <f ca="1">IFERROR(__xludf.DUMMYFUNCTION("""COMPUTED_VALUE"""),"TLC")</f>
        <v>TLC</v>
      </c>
      <c r="I1071" s="46" t="str">
        <f ca="1">IFERROR(__xludf.DUMMYFUNCTION("""COMPUTED_VALUE"""),"HO")</f>
        <v>HO</v>
      </c>
      <c r="J1071" s="46" t="str">
        <f ca="1">IFERROR(__xludf.DUMMYFUNCTION("""COMPUTED_VALUE"""),"HRD")</f>
        <v>HRD</v>
      </c>
      <c r="K1071" s="46" t="str">
        <f ca="1">IFERROR(__xludf.DUMMYFUNCTION("""COMPUTED_VALUE"""),"HRD")</f>
        <v>HRD</v>
      </c>
      <c r="L1071" s="46" t="str">
        <f ca="1">IFERROR(__xludf.DUMMYFUNCTION("""COMPUTED_VALUE"""),"PRO")</f>
        <v>PRO</v>
      </c>
      <c r="M1071" s="46" t="str">
        <f ca="1">IFERROR(__xludf.DUMMYFUNCTION("""COMPUTED_VALUE"""),"Leave")</f>
        <v>Leave</v>
      </c>
      <c r="N1071" s="46" t="str">
        <f ca="1">IFERROR(__xludf.DUMMYFUNCTION("""COMPUTED_VALUE"""),"đủ")</f>
        <v>đủ</v>
      </c>
    </row>
    <row r="1072" spans="1:14">
      <c r="A1072" s="45">
        <f ca="1">IFERROR(__xludf.DUMMYFUNCTION("""COMPUTED_VALUE"""),45866.5833333333)</f>
        <v>45866.583333333299</v>
      </c>
      <c r="B1072" s="45">
        <f ca="1">IFERROR(__xludf.DUMMYFUNCTION("""COMPUTED_VALUE"""),45896.5833333333)</f>
        <v>45896.583333333299</v>
      </c>
      <c r="C1072" s="46">
        <f ca="1">IFERROR(__xludf.DUMMYFUNCTION("""COMPUTED_VALUE"""),1073)</f>
        <v>1073</v>
      </c>
      <c r="D1072" s="47" t="str">
        <f ca="1">IFERROR(__xludf.DUMMYFUNCTION("""COMPUTED_VALUE"""),"C0857")</f>
        <v>C0857</v>
      </c>
      <c r="E1072" s="46" t="str">
        <f ca="1">IFERROR(__xludf.DUMMYFUNCTION("""COMPUTED_VALUE"""),"TRẦN TUẤN ANH")</f>
        <v>TRẦN TUẤN ANH</v>
      </c>
      <c r="F1072" s="46" t="str">
        <f ca="1">IFERROR(__xludf.DUMMYFUNCTION("""COMPUTED_VALUE"""),"TRAN TUAN ANH")</f>
        <v>TRAN TUAN ANH</v>
      </c>
      <c r="G1072" s="45">
        <f ca="1">IFERROR(__xludf.DUMMYFUNCTION("""COMPUTED_VALUE"""),38265.5833333333)</f>
        <v>38265.583333333299</v>
      </c>
      <c r="H1072" s="45" t="str">
        <f ca="1">IFERROR(__xludf.DUMMYFUNCTION("""COMPUTED_VALUE"""),"MOONCAKE")</f>
        <v>MOONCAKE</v>
      </c>
      <c r="I1072" s="46" t="str">
        <f ca="1">IFERROR(__xludf.DUMMYFUNCTION("""COMPUTED_VALUE"""),"KITCHEN PASTRY")</f>
        <v>KITCHEN PASTRY</v>
      </c>
      <c r="J1072" s="46" t="str">
        <f ca="1">IFERROR(__xludf.DUMMYFUNCTION("""COMPUTED_VALUE"""),"KITCHEN PASTRY")</f>
        <v>KITCHEN PASTRY</v>
      </c>
      <c r="K1072" s="46" t="str">
        <f ca="1">IFERROR(__xludf.DUMMYFUNCTION("""COMPUTED_VALUE"""),"PACKAGING")</f>
        <v>PACKAGING</v>
      </c>
      <c r="L1072" s="46" t="str">
        <f ca="1">IFERROR(__xludf.DUMMYFUNCTION("""COMPUTED_VALUE"""),"PTE")</f>
        <v>PTE</v>
      </c>
      <c r="M1072" s="46" t="str">
        <f ca="1">IFERROR(__xludf.DUMMYFUNCTION("""COMPUTED_VALUE"""),"Leave")</f>
        <v>Leave</v>
      </c>
      <c r="N1072" s="46" t="str">
        <f ca="1">IFERROR(__xludf.DUMMYFUNCTION("""COMPUTED_VALUE"""),"đủ")</f>
        <v>đủ</v>
      </c>
    </row>
    <row r="1073" spans="1:14">
      <c r="A1073" s="45">
        <f ca="1">IFERROR(__xludf.DUMMYFUNCTION("""COMPUTED_VALUE"""),45866.5833333333)</f>
        <v>45866.583333333299</v>
      </c>
      <c r="B1073" s="45">
        <f ca="1">IFERROR(__xludf.DUMMYFUNCTION("""COMPUTED_VALUE"""),45896.5833333333)</f>
        <v>45896.583333333299</v>
      </c>
      <c r="C1073" s="46">
        <f ca="1">IFERROR(__xludf.DUMMYFUNCTION("""COMPUTED_VALUE"""),1074)</f>
        <v>1074</v>
      </c>
      <c r="D1073" s="47" t="str">
        <f ca="1">IFERROR(__xludf.DUMMYFUNCTION("""COMPUTED_VALUE"""),"C0858")</f>
        <v>C0858</v>
      </c>
      <c r="E1073" s="46" t="str">
        <f ca="1">IFERROR(__xludf.DUMMYFUNCTION("""COMPUTED_VALUE"""),"PHẠM NGỌC MAI")</f>
        <v>PHẠM NGỌC MAI</v>
      </c>
      <c r="F1073" s="46" t="str">
        <f ca="1">IFERROR(__xludf.DUMMYFUNCTION("""COMPUTED_VALUE"""),"PHAM NGOC MAI")</f>
        <v>PHAM NGOC MAI</v>
      </c>
      <c r="G1073" s="45">
        <f ca="1">IFERROR(__xludf.DUMMYFUNCTION("""COMPUTED_VALUE"""),25491.625)</f>
        <v>25491.625</v>
      </c>
      <c r="H1073" s="45" t="str">
        <f ca="1">IFERROR(__xludf.DUMMYFUNCTION("""COMPUTED_VALUE"""),"MOONCAKE")</f>
        <v>MOONCAKE</v>
      </c>
      <c r="I1073" s="46" t="str">
        <f ca="1">IFERROR(__xludf.DUMMYFUNCTION("""COMPUTED_VALUE"""),"KITCHEN PASTRY")</f>
        <v>KITCHEN PASTRY</v>
      </c>
      <c r="J1073" s="46" t="str">
        <f ca="1">IFERROR(__xludf.DUMMYFUNCTION("""COMPUTED_VALUE"""),"KITCHEN PASTRY")</f>
        <v>KITCHEN PASTRY</v>
      </c>
      <c r="K1073" s="46" t="str">
        <f ca="1">IFERROR(__xludf.DUMMYFUNCTION("""COMPUTED_VALUE"""),"PACKAGING")</f>
        <v>PACKAGING</v>
      </c>
      <c r="L1073" s="46" t="str">
        <f ca="1">IFERROR(__xludf.DUMMYFUNCTION("""COMPUTED_VALUE"""),"PTE")</f>
        <v>PTE</v>
      </c>
      <c r="M1073" s="46" t="str">
        <f ca="1">IFERROR(__xludf.DUMMYFUNCTION("""COMPUTED_VALUE"""),"Leave")</f>
        <v>Leave</v>
      </c>
      <c r="N1073" s="46" t="str">
        <f ca="1">IFERROR(__xludf.DUMMYFUNCTION("""COMPUTED_VALUE"""),"đủ")</f>
        <v>đủ</v>
      </c>
    </row>
    <row r="1074" spans="1:14">
      <c r="A1074" s="45">
        <f ca="1">IFERROR(__xludf.DUMMYFUNCTION("""COMPUTED_VALUE"""),45866.5833333333)</f>
        <v>45866.583333333299</v>
      </c>
      <c r="B1074" s="45">
        <f ca="1">IFERROR(__xludf.DUMMYFUNCTION("""COMPUTED_VALUE"""),45903.5833333333)</f>
        <v>45903.583333333299</v>
      </c>
      <c r="C1074" s="46">
        <f ca="1">IFERROR(__xludf.DUMMYFUNCTION("""COMPUTED_VALUE"""),1075)</f>
        <v>1075</v>
      </c>
      <c r="D1074" s="47" t="str">
        <f ca="1">IFERROR(__xludf.DUMMYFUNCTION("""COMPUTED_VALUE"""),"C0859")</f>
        <v>C0859</v>
      </c>
      <c r="E1074" s="46" t="str">
        <f ca="1">IFERROR(__xludf.DUMMYFUNCTION("""COMPUTED_VALUE"""),"CHÂU DIỆU THẢO")</f>
        <v>CHÂU DIỆU THẢO</v>
      </c>
      <c r="F1074" s="46" t="str">
        <f ca="1">IFERROR(__xludf.DUMMYFUNCTION("""COMPUTED_VALUE"""),"CHAU DIEU THAO")</f>
        <v>CHAU DIEU THAO</v>
      </c>
      <c r="G1074" s="45">
        <f ca="1">IFERROR(__xludf.DUMMYFUNCTION("""COMPUTED_VALUE"""),36049.5833333333)</f>
        <v>36049.583333333299</v>
      </c>
      <c r="H1074" s="45" t="str">
        <f ca="1">IFERROR(__xludf.DUMMYFUNCTION("""COMPUTED_VALUE"""),"MOONCAKE")</f>
        <v>MOONCAKE</v>
      </c>
      <c r="I1074" s="46" t="str">
        <f ca="1">IFERROR(__xludf.DUMMYFUNCTION("""COMPUTED_VALUE"""),"KITCHEN PASTRY")</f>
        <v>KITCHEN PASTRY</v>
      </c>
      <c r="J1074" s="46" t="str">
        <f ca="1">IFERROR(__xludf.DUMMYFUNCTION("""COMPUTED_VALUE"""),"KITCHEN PASTRY")</f>
        <v>KITCHEN PASTRY</v>
      </c>
      <c r="K1074" s="46" t="str">
        <f ca="1">IFERROR(__xludf.DUMMYFUNCTION("""COMPUTED_VALUE"""),"PACKAGING")</f>
        <v>PACKAGING</v>
      </c>
      <c r="L1074" s="46" t="str">
        <f ca="1">IFERROR(__xludf.DUMMYFUNCTION("""COMPUTED_VALUE"""),"PTE")</f>
        <v>PTE</v>
      </c>
      <c r="M1074" s="46" t="str">
        <f ca="1">IFERROR(__xludf.DUMMYFUNCTION("""COMPUTED_VALUE"""),"Leave")</f>
        <v>Leave</v>
      </c>
      <c r="N1074" s="46" t="str">
        <f ca="1">IFERROR(__xludf.DUMMYFUNCTION("""COMPUTED_VALUE"""),"đủ")</f>
        <v>đủ</v>
      </c>
    </row>
    <row r="1075" spans="1:14">
      <c r="A1075" s="45">
        <f ca="1">IFERROR(__xludf.DUMMYFUNCTION("""COMPUTED_VALUE"""),45866.5833333333)</f>
        <v>45866.583333333299</v>
      </c>
      <c r="B1075" s="45">
        <f ca="1">IFERROR(__xludf.DUMMYFUNCTION("""COMPUTED_VALUE"""),45913.5833333333)</f>
        <v>45913.583333333299</v>
      </c>
      <c r="C1075" s="46">
        <f ca="1">IFERROR(__xludf.DUMMYFUNCTION("""COMPUTED_VALUE"""),1076)</f>
        <v>1076</v>
      </c>
      <c r="D1075" s="47" t="str">
        <f ca="1">IFERROR(__xludf.DUMMYFUNCTION("""COMPUTED_VALUE"""),"C0860")</f>
        <v>C0860</v>
      </c>
      <c r="E1075" s="46" t="str">
        <f ca="1">IFERROR(__xludf.DUMMYFUNCTION("""COMPUTED_VALUE"""),"TRẦN PHƯƠNG THÙY")</f>
        <v>TRẦN PHƯƠNG THÙY</v>
      </c>
      <c r="F1075" s="46" t="str">
        <f ca="1">IFERROR(__xludf.DUMMYFUNCTION("""COMPUTED_VALUE"""),"TRAN PHUONG THUY")</f>
        <v>TRAN PHUONG THUY</v>
      </c>
      <c r="G1075" s="45">
        <f ca="1">IFERROR(__xludf.DUMMYFUNCTION("""COMPUTED_VALUE"""),37614.625)</f>
        <v>37614.625</v>
      </c>
      <c r="H1075" s="45" t="str">
        <f ca="1">IFERROR(__xludf.DUMMYFUNCTION("""COMPUTED_VALUE"""),"MOONCAKE")</f>
        <v>MOONCAKE</v>
      </c>
      <c r="I1075" s="46" t="str">
        <f ca="1">IFERROR(__xludf.DUMMYFUNCTION("""COMPUTED_VALUE"""),"KITCHEN PASTRY")</f>
        <v>KITCHEN PASTRY</v>
      </c>
      <c r="J1075" s="46" t="str">
        <f ca="1">IFERROR(__xludf.DUMMYFUNCTION("""COMPUTED_VALUE"""),"KITCHEN PASTRY")</f>
        <v>KITCHEN PASTRY</v>
      </c>
      <c r="K1075" s="46" t="str">
        <f ca="1">IFERROR(__xludf.DUMMYFUNCTION("""COMPUTED_VALUE"""),"PASTRY")</f>
        <v>PASTRY</v>
      </c>
      <c r="L1075" s="46" t="str">
        <f ca="1">IFERROR(__xludf.DUMMYFUNCTION("""COMPUTED_VALUE"""),"PTE")</f>
        <v>PTE</v>
      </c>
      <c r="M1075" s="46" t="str">
        <f ca="1">IFERROR(__xludf.DUMMYFUNCTION("""COMPUTED_VALUE"""),"Leave")</f>
        <v>Leave</v>
      </c>
      <c r="N1075" s="46" t="str">
        <f ca="1">IFERROR(__xludf.DUMMYFUNCTION("""COMPUTED_VALUE"""),"đủ")</f>
        <v>đủ</v>
      </c>
    </row>
    <row r="1076" spans="1:14">
      <c r="A1076" s="45">
        <f ca="1">IFERROR(__xludf.DUMMYFUNCTION("""COMPUTED_VALUE"""),45867.5833333333)</f>
        <v>45867.583333333299</v>
      </c>
      <c r="B1076" s="45">
        <f ca="1">IFERROR(__xludf.DUMMYFUNCTION("""COMPUTED_VALUE"""),45868.5833333333)</f>
        <v>45868.583333333299</v>
      </c>
      <c r="C1076" s="46">
        <f ca="1">IFERROR(__xludf.DUMMYFUNCTION("""COMPUTED_VALUE"""),1077)</f>
        <v>1077</v>
      </c>
      <c r="D1076" s="47" t="str">
        <f ca="1">IFERROR(__xludf.DUMMYFUNCTION("""COMPUTED_VALUE"""),"C0861")</f>
        <v>C0861</v>
      </c>
      <c r="E1076" s="46" t="str">
        <f ca="1">IFERROR(__xludf.DUMMYFUNCTION("""COMPUTED_VALUE"""),"NGUYỄN NGỌC HOÀI TRÂM")</f>
        <v>NGUYỄN NGỌC HOÀI TRÂM</v>
      </c>
      <c r="F1076" s="46" t="str">
        <f ca="1">IFERROR(__xludf.DUMMYFUNCTION("""COMPUTED_VALUE"""),"NGUYEN NGOC HOAI TRAM")</f>
        <v>NGUYEN NGOC HOAI TRAM</v>
      </c>
      <c r="G1076" s="45">
        <f ca="1">IFERROR(__xludf.DUMMYFUNCTION("""COMPUTED_VALUE"""),35723.5833333333)</f>
        <v>35723.583333333299</v>
      </c>
      <c r="H1076" s="45" t="str">
        <f ca="1">IFERROR(__xludf.DUMMYFUNCTION("""COMPUTED_VALUE"""),"MOONCAKE")</f>
        <v>MOONCAKE</v>
      </c>
      <c r="I1076" s="46" t="str">
        <f ca="1">IFERROR(__xludf.DUMMYFUNCTION("""COMPUTED_VALUE"""),"KITCHEN PASTRY")</f>
        <v>KITCHEN PASTRY</v>
      </c>
      <c r="J1076" s="46" t="str">
        <f ca="1">IFERROR(__xludf.DUMMYFUNCTION("""COMPUTED_VALUE"""),"KITCHEN PASTRY")</f>
        <v>KITCHEN PASTRY</v>
      </c>
      <c r="K1076" s="46" t="str">
        <f ca="1">IFERROR(__xludf.DUMMYFUNCTION("""COMPUTED_VALUE"""),"PASTRY")</f>
        <v>PASTRY</v>
      </c>
      <c r="L1076" s="46" t="str">
        <f ca="1">IFERROR(__xludf.DUMMYFUNCTION("""COMPUTED_VALUE"""),"PTE")</f>
        <v>PTE</v>
      </c>
      <c r="M1076" s="46" t="str">
        <f ca="1">IFERROR(__xludf.DUMMYFUNCTION("""COMPUTED_VALUE"""),"Leave")</f>
        <v>Leave</v>
      </c>
      <c r="N1076" s="46" t="str">
        <f ca="1">IFERROR(__xludf.DUMMYFUNCTION("""COMPUTED_VALUE"""),"chua nop")</f>
        <v>chua nop</v>
      </c>
    </row>
    <row r="1077" spans="1:14">
      <c r="A1077" s="45">
        <f ca="1">IFERROR(__xludf.DUMMYFUNCTION("""COMPUTED_VALUE"""),45867.5833333333)</f>
        <v>45867.583333333299</v>
      </c>
      <c r="B1077" s="45">
        <f ca="1">IFERROR(__xludf.DUMMYFUNCTION("""COMPUTED_VALUE"""),46113.5833333333)</f>
        <v>46113.583333333299</v>
      </c>
      <c r="C1077" s="46">
        <f ca="1">IFERROR(__xludf.DUMMYFUNCTION("""COMPUTED_VALUE"""),1078)</f>
        <v>1078</v>
      </c>
      <c r="D1077" s="47" t="str">
        <f ca="1">IFERROR(__xludf.DUMMYFUNCTION("""COMPUTED_VALUE"""),"C0862")</f>
        <v>C0862</v>
      </c>
      <c r="E1077" s="46" t="str">
        <f ca="1">IFERROR(__xludf.DUMMYFUNCTION("""COMPUTED_VALUE"""),"NGUYỄN TRẦN PHƯƠNG THÚY")</f>
        <v>NGUYỄN TRẦN PHƯƠNG THÚY</v>
      </c>
      <c r="F1077" s="46" t="str">
        <f ca="1">IFERROR(__xludf.DUMMYFUNCTION("""COMPUTED_VALUE"""),"NGUYEN TRAN PHUONG THUY")</f>
        <v>NGUYEN TRAN PHUONG THUY</v>
      </c>
      <c r="G1077" s="45">
        <f ca="1">IFERROR(__xludf.DUMMYFUNCTION("""COMPUTED_VALUE"""),35663.5833333333)</f>
        <v>35663.583333333299</v>
      </c>
      <c r="H1077" s="45" t="str">
        <f ca="1">IFERROR(__xludf.DUMMYFUNCTION("""COMPUTED_VALUE"""),"TLC")</f>
        <v>TLC</v>
      </c>
      <c r="I1077" s="46" t="str">
        <f ca="1">IFERROR(__xludf.DUMMYFUNCTION("""COMPUTED_VALUE"""),"HO")</f>
        <v>HO</v>
      </c>
      <c r="J1077" s="46" t="str">
        <f ca="1">IFERROR(__xludf.DUMMYFUNCTION("""COMPUTED_VALUE"""),"CUS")</f>
        <v>CUS</v>
      </c>
      <c r="K1077" s="46" t="str">
        <f ca="1">IFERROR(__xludf.DUMMYFUNCTION("""COMPUTED_VALUE"""),"CUS")</f>
        <v>CUS</v>
      </c>
      <c r="L1077" s="46" t="str">
        <f ca="1">IFERROR(__xludf.DUMMYFUNCTION("""COMPUTED_VALUE"""),"FTE")</f>
        <v>FTE</v>
      </c>
      <c r="M1077" s="46" t="str">
        <f ca="1">IFERROR(__xludf.DUMMYFUNCTION("""COMPUTED_VALUE"""),"Leave")</f>
        <v>Leave</v>
      </c>
      <c r="N1077" s="46" t="str">
        <f ca="1">IFERROR(__xludf.DUMMYFUNCTION("""COMPUTED_VALUE"""),"đủ")</f>
        <v>đủ</v>
      </c>
    </row>
    <row r="1078" spans="1:14">
      <c r="A1078" s="45">
        <f ca="1">IFERROR(__xludf.DUMMYFUNCTION("""COMPUTED_VALUE"""),45867.5833333333)</f>
        <v>45867.583333333299</v>
      </c>
      <c r="B1078" s="45">
        <f ca="1">IFERROR(__xludf.DUMMYFUNCTION("""COMPUTED_VALUE"""),45997.625)</f>
        <v>45997.625</v>
      </c>
      <c r="C1078" s="46">
        <f ca="1">IFERROR(__xludf.DUMMYFUNCTION("""COMPUTED_VALUE"""),1079)</f>
        <v>1079</v>
      </c>
      <c r="D1078" s="47" t="str">
        <f ca="1">IFERROR(__xludf.DUMMYFUNCTION("""COMPUTED_VALUE"""),"C0863")</f>
        <v>C0863</v>
      </c>
      <c r="E1078" s="46" t="str">
        <f ca="1">IFERROR(__xludf.DUMMYFUNCTION("""COMPUTED_VALUE"""),"NGUYỄN KỲ QUÂN")</f>
        <v>NGUYỄN KỲ QUÂN</v>
      </c>
      <c r="F1078" s="46" t="str">
        <f ca="1">IFERROR(__xludf.DUMMYFUNCTION("""COMPUTED_VALUE"""),"NGUYEN KY QUAN")</f>
        <v>NGUYEN KY QUAN</v>
      </c>
      <c r="G1078" s="45">
        <f ca="1">IFERROR(__xludf.DUMMYFUNCTION("""COMPUTED_VALUE"""),34488.5833333333)</f>
        <v>34488.583333333299</v>
      </c>
      <c r="H1078" s="45" t="str">
        <f ca="1">IFERROR(__xludf.DUMMYFUNCTION("""COMPUTED_VALUE"""),"TLC")</f>
        <v>TLC</v>
      </c>
      <c r="I1078" s="46" t="str">
        <f ca="1">IFERROR(__xludf.DUMMYFUNCTION("""COMPUTED_VALUE"""),"HO")</f>
        <v>HO</v>
      </c>
      <c r="J1078" s="46" t="str">
        <f ca="1">IFERROR(__xludf.DUMMYFUNCTION("""COMPUTED_VALUE"""),"FIN")</f>
        <v>FIN</v>
      </c>
      <c r="K1078" s="46" t="str">
        <f ca="1">IFERROR(__xludf.DUMMYFUNCTION("""COMPUTED_VALUE"""),"FIN")</f>
        <v>FIN</v>
      </c>
      <c r="L1078" s="46" t="str">
        <f ca="1">IFERROR(__xludf.DUMMYFUNCTION("""COMPUTED_VALUE"""),"FTE")</f>
        <v>FTE</v>
      </c>
      <c r="M1078" s="46" t="str">
        <f ca="1">IFERROR(__xludf.DUMMYFUNCTION("""COMPUTED_VALUE"""),"Leave")</f>
        <v>Leave</v>
      </c>
      <c r="N1078" s="46" t="str">
        <f ca="1">IFERROR(__xludf.DUMMYFUNCTION("""COMPUTED_VALUE"""),"đủ")</f>
        <v>đủ</v>
      </c>
    </row>
    <row r="1079" spans="1:14">
      <c r="A1079" s="45">
        <f ca="1">IFERROR(__xludf.DUMMYFUNCTION("""COMPUTED_VALUE"""),45866.5833333333)</f>
        <v>45866.583333333299</v>
      </c>
      <c r="B1079" s="45">
        <f ca="1">IFERROR(__xludf.DUMMYFUNCTION("""COMPUTED_VALUE"""),45867.5833333333)</f>
        <v>45867.583333333299</v>
      </c>
      <c r="C1079" s="46">
        <f ca="1">IFERROR(__xludf.DUMMYFUNCTION("""COMPUTED_VALUE"""),1080)</f>
        <v>1080</v>
      </c>
      <c r="D1079" s="47" t="str">
        <f ca="1">IFERROR(__xludf.DUMMYFUNCTION("""COMPUTED_VALUE"""),"C0864")</f>
        <v>C0864</v>
      </c>
      <c r="E1079" s="46" t="str">
        <f ca="1">IFERROR(__xludf.DUMMYFUNCTION("""COMPUTED_VALUE"""),"QUÂN GIA DOANH")</f>
        <v>QUÂN GIA DOANH</v>
      </c>
      <c r="F1079" s="46" t="str">
        <f ca="1">IFERROR(__xludf.DUMMYFUNCTION("""COMPUTED_VALUE"""),"QUAN GIA DOANH")</f>
        <v>QUAN GIA DOANH</v>
      </c>
      <c r="G1079" s="45">
        <f ca="1">IFERROR(__xludf.DUMMYFUNCTION("""COMPUTED_VALUE"""),35395.625)</f>
        <v>35395.625</v>
      </c>
      <c r="H1079" s="45" t="str">
        <f ca="1">IFERROR(__xludf.DUMMYFUNCTION("""COMPUTED_VALUE"""),"MOONCAKE")</f>
        <v>MOONCAKE</v>
      </c>
      <c r="I1079" s="46" t="str">
        <f ca="1">IFERROR(__xludf.DUMMYFUNCTION("""COMPUTED_VALUE"""),"KITCHEN PASTRY")</f>
        <v>KITCHEN PASTRY</v>
      </c>
      <c r="J1079" s="46" t="str">
        <f ca="1">IFERROR(__xludf.DUMMYFUNCTION("""COMPUTED_VALUE"""),"KITCHEN PASTRY")</f>
        <v>KITCHEN PASTRY</v>
      </c>
      <c r="K1079" s="46" t="str">
        <f ca="1">IFERROR(__xludf.DUMMYFUNCTION("""COMPUTED_VALUE"""),"PASTRY")</f>
        <v>PASTRY</v>
      </c>
      <c r="L1079" s="46" t="str">
        <f ca="1">IFERROR(__xludf.DUMMYFUNCTION("""COMPUTED_VALUE"""),"PRO")</f>
        <v>PRO</v>
      </c>
      <c r="M1079" s="46" t="str">
        <f ca="1">IFERROR(__xludf.DUMMYFUNCTION("""COMPUTED_VALUE"""),"Leave")</f>
        <v>Leave</v>
      </c>
      <c r="N1079" s="46" t="str">
        <f ca="1">IFERROR(__xludf.DUMMYFUNCTION("""COMPUTED_VALUE"""),"chua nop")</f>
        <v>chua nop</v>
      </c>
    </row>
    <row r="1080" spans="1:14">
      <c r="A1080" s="45">
        <f ca="1">IFERROR(__xludf.DUMMYFUNCTION("""COMPUTED_VALUE"""),45867.5833333333)</f>
        <v>45867.583333333299</v>
      </c>
      <c r="B1080" s="45">
        <f ca="1">IFERROR(__xludf.DUMMYFUNCTION("""COMPUTED_VALUE"""),46102.5833333333)</f>
        <v>46102.583333333299</v>
      </c>
      <c r="C1080" s="46">
        <f ca="1">IFERROR(__xludf.DUMMYFUNCTION("""COMPUTED_VALUE"""),1081)</f>
        <v>1081</v>
      </c>
      <c r="D1080" s="47" t="str">
        <f ca="1">IFERROR(__xludf.DUMMYFUNCTION("""COMPUTED_VALUE"""),"C0865")</f>
        <v>C0865</v>
      </c>
      <c r="E1080" s="46" t="str">
        <f ca="1">IFERROR(__xludf.DUMMYFUNCTION("""COMPUTED_VALUE"""),"LA THÀNH ĐỨC")</f>
        <v>LA THÀNH ĐỨC</v>
      </c>
      <c r="F1080" s="46" t="str">
        <f ca="1">IFERROR(__xludf.DUMMYFUNCTION("""COMPUTED_VALUE"""),"LA THANH DUC")</f>
        <v>LA THANH DUC</v>
      </c>
      <c r="G1080" s="45">
        <f ca="1">IFERROR(__xludf.DUMMYFUNCTION("""COMPUTED_VALUE"""),36851.625)</f>
        <v>36851.625</v>
      </c>
      <c r="H1080" s="45" t="str">
        <f ca="1">IFERROR(__xludf.DUMMYFUNCTION("""COMPUTED_VALUE"""),"BAKES")</f>
        <v>BAKES</v>
      </c>
      <c r="I1080" s="46" t="str">
        <f ca="1">IFERROR(__xludf.DUMMYFUNCTION("""COMPUTED_VALUE"""),"HO")</f>
        <v>HO</v>
      </c>
      <c r="J1080" s="46" t="str">
        <f ca="1">IFERROR(__xludf.DUMMYFUNCTION("""COMPUTED_VALUE"""),"CUS")</f>
        <v>CUS</v>
      </c>
      <c r="K1080" s="46" t="str">
        <f ca="1">IFERROR(__xludf.DUMMYFUNCTION("""COMPUTED_VALUE"""),"CUS")</f>
        <v>CUS</v>
      </c>
      <c r="L1080" s="46" t="str">
        <f ca="1">IFERROR(__xludf.DUMMYFUNCTION("""COMPUTED_VALUE"""),"PTE")</f>
        <v>PTE</v>
      </c>
      <c r="M1080" s="46" t="str">
        <f ca="1">IFERROR(__xludf.DUMMYFUNCTION("""COMPUTED_VALUE"""),"Leave")</f>
        <v>Leave</v>
      </c>
      <c r="N1080" s="46" t="str">
        <f ca="1">IFERROR(__xludf.DUMMYFUNCTION("""COMPUTED_VALUE"""),"đủ")</f>
        <v>đủ</v>
      </c>
    </row>
    <row r="1081" spans="1:14">
      <c r="A1081" s="45">
        <f ca="1">IFERROR(__xludf.DUMMYFUNCTION("""COMPUTED_VALUE"""),45866.5833333333)</f>
        <v>45866.583333333299</v>
      </c>
      <c r="B1081" s="45">
        <f ca="1">IFERROR(__xludf.DUMMYFUNCTION("""COMPUTED_VALUE"""),45890.5833333333)</f>
        <v>45890.583333333299</v>
      </c>
      <c r="C1081" s="46">
        <f ca="1">IFERROR(__xludf.DUMMYFUNCTION("""COMPUTED_VALUE"""),1082)</f>
        <v>1082</v>
      </c>
      <c r="D1081" s="47" t="str">
        <f ca="1">IFERROR(__xludf.DUMMYFUNCTION("""COMPUTED_VALUE"""),"C0866")</f>
        <v>C0866</v>
      </c>
      <c r="E1081" s="46" t="str">
        <f ca="1">IFERROR(__xludf.DUMMYFUNCTION("""COMPUTED_VALUE"""),"PHẠM THỊ THU HẰNG")</f>
        <v>PHẠM THỊ THU HẰNG</v>
      </c>
      <c r="F1081" s="46" t="str">
        <f ca="1">IFERROR(__xludf.DUMMYFUNCTION("""COMPUTED_VALUE"""),"PHAM THI THU HANG")</f>
        <v>PHAM THI THU HANG</v>
      </c>
      <c r="G1081" s="45">
        <f ca="1">IFERROR(__xludf.DUMMYFUNCTION("""COMPUTED_VALUE"""),32566.625)</f>
        <v>32566.625</v>
      </c>
      <c r="H1081" s="45" t="str">
        <f ca="1">IFERROR(__xludf.DUMMYFUNCTION("""COMPUTED_VALUE"""),"MOONCAKE")</f>
        <v>MOONCAKE</v>
      </c>
      <c r="I1081" s="46" t="str">
        <f ca="1">IFERROR(__xludf.DUMMYFUNCTION("""COMPUTED_VALUE"""),"KITCHEN PASTRY")</f>
        <v>KITCHEN PASTRY</v>
      </c>
      <c r="J1081" s="46" t="str">
        <f ca="1">IFERROR(__xludf.DUMMYFUNCTION("""COMPUTED_VALUE"""),"KITCHEN PASTRY")</f>
        <v>KITCHEN PASTRY</v>
      </c>
      <c r="K1081" s="46" t="str">
        <f ca="1">IFERROR(__xludf.DUMMYFUNCTION("""COMPUTED_VALUE"""),"PASTRY")</f>
        <v>PASTRY</v>
      </c>
      <c r="L1081" s="46" t="str">
        <f ca="1">IFERROR(__xludf.DUMMYFUNCTION("""COMPUTED_VALUE"""),"PTE")</f>
        <v>PTE</v>
      </c>
      <c r="M1081" s="46" t="str">
        <f ca="1">IFERROR(__xludf.DUMMYFUNCTION("""COMPUTED_VALUE"""),"Leave")</f>
        <v>Leave</v>
      </c>
      <c r="N1081" s="46" t="str">
        <f ca="1">IFERROR(__xludf.DUMMYFUNCTION("""COMPUTED_VALUE"""),"đủ")</f>
        <v>đủ</v>
      </c>
    </row>
    <row r="1082" spans="1:14">
      <c r="A1082" s="45">
        <f ca="1">IFERROR(__xludf.DUMMYFUNCTION("""COMPUTED_VALUE"""),45871.5833333333)</f>
        <v>45871.583333333299</v>
      </c>
      <c r="B1082" s="45">
        <f ca="1">IFERROR(__xludf.DUMMYFUNCTION("""COMPUTED_VALUE"""),45888.5833333333)</f>
        <v>45888.583333333299</v>
      </c>
      <c r="C1082" s="46">
        <f ca="1">IFERROR(__xludf.DUMMYFUNCTION("""COMPUTED_VALUE"""),1083)</f>
        <v>1083</v>
      </c>
      <c r="D1082" s="47" t="str">
        <f ca="1">IFERROR(__xludf.DUMMYFUNCTION("""COMPUTED_VALUE"""),"C0868")</f>
        <v>C0868</v>
      </c>
      <c r="E1082" s="46" t="str">
        <f ca="1">IFERROR(__xludf.DUMMYFUNCTION("""COMPUTED_VALUE"""),"PHAN NGUYỄN THIÊN KIM")</f>
        <v>PHAN NGUYỄN THIÊN KIM</v>
      </c>
      <c r="F1082" s="46" t="str">
        <f ca="1">IFERROR(__xludf.DUMMYFUNCTION("""COMPUTED_VALUE"""),"PHAN NGUYEN THIEN KIM")</f>
        <v>PHAN NGUYEN THIEN KIM</v>
      </c>
      <c r="G1082" s="45">
        <f ca="1">IFERROR(__xludf.DUMMYFUNCTION("""COMPUTED_VALUE"""),38645.5833333333)</f>
        <v>38645.583333333299</v>
      </c>
      <c r="H1082" s="45" t="str">
        <f ca="1">IFERROR(__xludf.DUMMYFUNCTION("""COMPUTED_VALUE"""),"BAKES")</f>
        <v>BAKES</v>
      </c>
      <c r="I1082" s="46" t="str">
        <f ca="1">IFERROR(__xludf.DUMMYFUNCTION("""COMPUTED_VALUE"""),"STORE")</f>
        <v>STORE</v>
      </c>
      <c r="J1082" s="46" t="str">
        <f ca="1">IFERROR(__xludf.DUMMYFUNCTION("""COMPUTED_VALUE"""),"BAKES D2")</f>
        <v>BAKES D2</v>
      </c>
      <c r="K1082" s="46" t="str">
        <f ca="1">IFERROR(__xludf.DUMMYFUNCTION("""COMPUTED_VALUE"""),"WAITSTAFF")</f>
        <v>WAITSTAFF</v>
      </c>
      <c r="L1082" s="46" t="str">
        <f ca="1">IFERROR(__xludf.DUMMYFUNCTION("""COMPUTED_VALUE"""),"PTE")</f>
        <v>PTE</v>
      </c>
      <c r="M1082" s="46" t="str">
        <f ca="1">IFERROR(__xludf.DUMMYFUNCTION("""COMPUTED_VALUE"""),"Leave")</f>
        <v>Leave</v>
      </c>
      <c r="N1082" s="46" t="str">
        <f ca="1">IFERROR(__xludf.DUMMYFUNCTION("""COMPUTED_VALUE"""),"đủ")</f>
        <v>đủ</v>
      </c>
    </row>
    <row r="1083" spans="1:14">
      <c r="A1083" s="45">
        <f ca="1">IFERROR(__xludf.DUMMYFUNCTION("""COMPUTED_VALUE"""),45870.5833333333)</f>
        <v>45870.583333333299</v>
      </c>
      <c r="B1083" s="45">
        <f ca="1">IFERROR(__xludf.DUMMYFUNCTION("""COMPUTED_VALUE"""),45935.5833333333)</f>
        <v>45935.583333333299</v>
      </c>
      <c r="C1083" s="46">
        <f ca="1">IFERROR(__xludf.DUMMYFUNCTION("""COMPUTED_VALUE"""),1084)</f>
        <v>1084</v>
      </c>
      <c r="D1083" s="47" t="str">
        <f ca="1">IFERROR(__xludf.DUMMYFUNCTION("""COMPUTED_VALUE"""),"C0869")</f>
        <v>C0869</v>
      </c>
      <c r="E1083" s="46" t="str">
        <f ca="1">IFERROR(__xludf.DUMMYFUNCTION("""COMPUTED_VALUE"""),"HUỲNH NGỌC BẢO TRÂM")</f>
        <v>HUỲNH NGỌC BẢO TRÂM</v>
      </c>
      <c r="F1083" s="46" t="str">
        <f ca="1">IFERROR(__xludf.DUMMYFUNCTION("""COMPUTED_VALUE"""),"HUYNH NGOC BAO TRAM")</f>
        <v>HUYNH NGOC BAO TRAM</v>
      </c>
      <c r="G1083" s="45">
        <f ca="1">IFERROR(__xludf.DUMMYFUNCTION("""COMPUTED_VALUE"""),38222.5833333333)</f>
        <v>38222.583333333299</v>
      </c>
      <c r="H1083" s="45" t="str">
        <f ca="1">IFERROR(__xludf.DUMMYFUNCTION("""COMPUTED_VALUE"""),"BAKES")</f>
        <v>BAKES</v>
      </c>
      <c r="I1083" s="46" t="str">
        <f ca="1">IFERROR(__xludf.DUMMYFUNCTION("""COMPUTED_VALUE"""),"STORE")</f>
        <v>STORE</v>
      </c>
      <c r="J1083" s="46" t="str">
        <f ca="1">IFERROR(__xludf.DUMMYFUNCTION("""COMPUTED_VALUE"""),"BAKES HCR")</f>
        <v>BAKES HCR</v>
      </c>
      <c r="K1083" s="46" t="str">
        <f ca="1">IFERROR(__xludf.DUMMYFUNCTION("""COMPUTED_VALUE"""),"CASHIER")</f>
        <v>CASHIER</v>
      </c>
      <c r="L1083" s="46" t="str">
        <f ca="1">IFERROR(__xludf.DUMMYFUNCTION("""COMPUTED_VALUE"""),"PTE")</f>
        <v>PTE</v>
      </c>
      <c r="M1083" s="46" t="str">
        <f ca="1">IFERROR(__xludf.DUMMYFUNCTION("""COMPUTED_VALUE"""),"Leave")</f>
        <v>Leave</v>
      </c>
      <c r="N1083" s="46" t="str">
        <f ca="1">IFERROR(__xludf.DUMMYFUNCTION("""COMPUTED_VALUE"""),"đủ")</f>
        <v>đủ</v>
      </c>
    </row>
    <row r="1084" spans="1:14">
      <c r="A1084" s="45">
        <f ca="1">IFERROR(__xludf.DUMMYFUNCTION("""COMPUTED_VALUE"""),45870.5833333333)</f>
        <v>45870.583333333299</v>
      </c>
      <c r="B1084" s="45">
        <f ca="1">IFERROR(__xludf.DUMMYFUNCTION("""COMPUTED_VALUE"""),45887.5833333333)</f>
        <v>45887.583333333299</v>
      </c>
      <c r="C1084" s="46">
        <f ca="1">IFERROR(__xludf.DUMMYFUNCTION("""COMPUTED_VALUE"""),1085)</f>
        <v>1085</v>
      </c>
      <c r="D1084" s="47" t="str">
        <f ca="1">IFERROR(__xludf.DUMMYFUNCTION("""COMPUTED_VALUE"""),"C0871")</f>
        <v>C0871</v>
      </c>
      <c r="E1084" s="46" t="str">
        <f ca="1">IFERROR(__xludf.DUMMYFUNCTION("""COMPUTED_VALUE"""),"TRẦN CÔNG TÂN PHÁT")</f>
        <v>TRẦN CÔNG TÂN PHÁT</v>
      </c>
      <c r="F1084" s="46" t="str">
        <f ca="1">IFERROR(__xludf.DUMMYFUNCTION("""COMPUTED_VALUE"""),"TRAN CONG TAN PHAT")</f>
        <v>TRAN CONG TAN PHAT</v>
      </c>
      <c r="G1084" s="45">
        <f ca="1">IFERROR(__xludf.DUMMYFUNCTION("""COMPUTED_VALUE"""),39225.5833333333)</f>
        <v>39225.583333333299</v>
      </c>
      <c r="H1084" s="45" t="str">
        <f ca="1">IFERROR(__xludf.DUMMYFUNCTION("""COMPUTED_VALUE"""),"BAKES")</f>
        <v>BAKES</v>
      </c>
      <c r="I1084" s="46" t="str">
        <f ca="1">IFERROR(__xludf.DUMMYFUNCTION("""COMPUTED_VALUE"""),"STORE")</f>
        <v>STORE</v>
      </c>
      <c r="J1084" s="46" t="str">
        <f ca="1">IFERROR(__xludf.DUMMYFUNCTION("""COMPUTED_VALUE"""),"BAKES D2")</f>
        <v>BAKES D2</v>
      </c>
      <c r="K1084" s="46" t="str">
        <f ca="1">IFERROR(__xludf.DUMMYFUNCTION("""COMPUTED_VALUE"""),"WAITSTAFF")</f>
        <v>WAITSTAFF</v>
      </c>
      <c r="L1084" s="46" t="str">
        <f ca="1">IFERROR(__xludf.DUMMYFUNCTION("""COMPUTED_VALUE"""),"PTE")</f>
        <v>PTE</v>
      </c>
      <c r="M1084" s="46" t="str">
        <f ca="1">IFERROR(__xludf.DUMMYFUNCTION("""COMPUTED_VALUE"""),"Leave")</f>
        <v>Leave</v>
      </c>
      <c r="N1084" s="46" t="str">
        <f ca="1">IFERROR(__xludf.DUMMYFUNCTION("""COMPUTED_VALUE"""),"đủ")</f>
        <v>đủ</v>
      </c>
    </row>
    <row r="1085" spans="1:14">
      <c r="A1085" s="45">
        <f ca="1">IFERROR(__xludf.DUMMYFUNCTION("""COMPUTED_VALUE"""),45870.5833333333)</f>
        <v>45870.583333333299</v>
      </c>
      <c r="B1085" s="45">
        <f ca="1">IFERROR(__xludf.DUMMYFUNCTION("""COMPUTED_VALUE"""),45931.5833333333)</f>
        <v>45931.583333333299</v>
      </c>
      <c r="C1085" s="46">
        <f ca="1">IFERROR(__xludf.DUMMYFUNCTION("""COMPUTED_VALUE"""),1086)</f>
        <v>1086</v>
      </c>
      <c r="D1085" s="47" t="str">
        <f ca="1">IFERROR(__xludf.DUMMYFUNCTION("""COMPUTED_VALUE"""),"C0872")</f>
        <v>C0872</v>
      </c>
      <c r="E1085" s="46" t="str">
        <f ca="1">IFERROR(__xludf.DUMMYFUNCTION("""COMPUTED_VALUE"""),"LẠI QUANG THỨC")</f>
        <v>LẠI QUANG THỨC</v>
      </c>
      <c r="F1085" s="46" t="str">
        <f ca="1">IFERROR(__xludf.DUMMYFUNCTION("""COMPUTED_VALUE"""),"LAI QUANG THUC")</f>
        <v>LAI QUANG THUC</v>
      </c>
      <c r="G1085" s="45">
        <f ca="1">IFERROR(__xludf.DUMMYFUNCTION("""COMPUTED_VALUE"""),34289.625)</f>
        <v>34289.625</v>
      </c>
      <c r="H1085" s="45" t="str">
        <f ca="1">IFERROR(__xludf.DUMMYFUNCTION("""COMPUTED_VALUE"""),"YESHI")</f>
        <v>YESHI</v>
      </c>
      <c r="I1085" s="46" t="str">
        <f ca="1">IFERROR(__xludf.DUMMYFUNCTION("""COMPUTED_VALUE"""),"STORE")</f>
        <v>STORE</v>
      </c>
      <c r="J1085" s="46" t="str">
        <f ca="1">IFERROR(__xludf.DUMMYFUNCTION("""COMPUTED_VALUE"""),"YESHI D2")</f>
        <v>YESHI D2</v>
      </c>
      <c r="K1085" s="46" t="str">
        <f ca="1">IFERROR(__xludf.DUMMYFUNCTION("""COMPUTED_VALUE"""),"BAR")</f>
        <v>BAR</v>
      </c>
      <c r="L1085" s="46" t="str">
        <f ca="1">IFERROR(__xludf.DUMMYFUNCTION("""COMPUTED_VALUE"""),"PRO")</f>
        <v>PRO</v>
      </c>
      <c r="M1085" s="46" t="str">
        <f ca="1">IFERROR(__xludf.DUMMYFUNCTION("""COMPUTED_VALUE"""),"Leave")</f>
        <v>Leave</v>
      </c>
      <c r="N1085" s="46" t="str">
        <f ca="1">IFERROR(__xludf.DUMMYFUNCTION("""COMPUTED_VALUE"""),"đủ")</f>
        <v>đủ</v>
      </c>
    </row>
    <row r="1086" spans="1:14">
      <c r="A1086" s="45">
        <f ca="1">IFERROR(__xludf.DUMMYFUNCTION("""COMPUTED_VALUE"""),45873.5833333333)</f>
        <v>45873.583333333299</v>
      </c>
      <c r="B1086" s="45">
        <f ca="1">IFERROR(__xludf.DUMMYFUNCTION("""COMPUTED_VALUE"""),46023.625)</f>
        <v>46023.625</v>
      </c>
      <c r="C1086" s="46">
        <f ca="1">IFERROR(__xludf.DUMMYFUNCTION("""COMPUTED_VALUE"""),1087)</f>
        <v>1087</v>
      </c>
      <c r="D1086" s="47" t="str">
        <f ca="1">IFERROR(__xludf.DUMMYFUNCTION("""COMPUTED_VALUE"""),"C0873")</f>
        <v>C0873</v>
      </c>
      <c r="E1086" s="46" t="str">
        <f ca="1">IFERROR(__xludf.DUMMYFUNCTION("""COMPUTED_VALUE"""),"NGUYỄN ĐỖ MINH DUY")</f>
        <v>NGUYỄN ĐỖ MINH DUY</v>
      </c>
      <c r="F1086" s="46" t="str">
        <f ca="1">IFERROR(__xludf.DUMMYFUNCTION("""COMPUTED_VALUE"""),"NGUYEN DO MINH DUY")</f>
        <v>NGUYEN DO MINH DUY</v>
      </c>
      <c r="G1086" s="45">
        <f ca="1">IFERROR(__xludf.DUMMYFUNCTION("""COMPUTED_VALUE"""),39195.5833333333)</f>
        <v>39195.583333333299</v>
      </c>
      <c r="H1086" s="45" t="str">
        <f ca="1">IFERROR(__xludf.DUMMYFUNCTION("""COMPUTED_VALUE"""),"BAKES")</f>
        <v>BAKES</v>
      </c>
      <c r="I1086" s="46" t="str">
        <f ca="1">IFERROR(__xludf.DUMMYFUNCTION("""COMPUTED_VALUE"""),"STORE")</f>
        <v>STORE</v>
      </c>
      <c r="J1086" s="46" t="str">
        <f ca="1">IFERROR(__xludf.DUMMYFUNCTION("""COMPUTED_VALUE"""),"BAKES D2")</f>
        <v>BAKES D2</v>
      </c>
      <c r="K1086" s="46" t="str">
        <f ca="1">IFERROR(__xludf.DUMMYFUNCTION("""COMPUTED_VALUE"""),"WAITSTAFF")</f>
        <v>WAITSTAFF</v>
      </c>
      <c r="L1086" s="46" t="str">
        <f ca="1">IFERROR(__xludf.DUMMYFUNCTION("""COMPUTED_VALUE"""),"PTE")</f>
        <v>PTE</v>
      </c>
      <c r="M1086" s="46" t="str">
        <f ca="1">IFERROR(__xludf.DUMMYFUNCTION("""COMPUTED_VALUE"""),"Leave")</f>
        <v>Leave</v>
      </c>
      <c r="N1086" s="46" t="str">
        <f ca="1">IFERROR(__xludf.DUMMYFUNCTION("""COMPUTED_VALUE"""),"đủ")</f>
        <v>đủ</v>
      </c>
    </row>
    <row r="1087" spans="1:14">
      <c r="A1087" s="45">
        <f ca="1">IFERROR(__xludf.DUMMYFUNCTION("""COMPUTED_VALUE"""),45874.5833333333)</f>
        <v>45874.583333333299</v>
      </c>
      <c r="B1087" s="45">
        <f ca="1">IFERROR(__xludf.DUMMYFUNCTION("""COMPUTED_VALUE"""),45875.5833333333)</f>
        <v>45875.583333333299</v>
      </c>
      <c r="C1087" s="46">
        <f ca="1">IFERROR(__xludf.DUMMYFUNCTION("""COMPUTED_VALUE"""),1088)</f>
        <v>1088</v>
      </c>
      <c r="D1087" s="47" t="str">
        <f ca="1">IFERROR(__xludf.DUMMYFUNCTION("""COMPUTED_VALUE"""),"C0874")</f>
        <v>C0874</v>
      </c>
      <c r="E1087" s="46" t="str">
        <f ca="1">IFERROR(__xludf.DUMMYFUNCTION("""COMPUTED_VALUE"""),"KHỔNG THỊ HIẾU")</f>
        <v>KHỔNG THỊ HIẾU</v>
      </c>
      <c r="F1087" s="46" t="str">
        <f ca="1">IFERROR(__xludf.DUMMYFUNCTION("""COMPUTED_VALUE"""),"KHONG THI HIEU")</f>
        <v>KHONG THI HIEU</v>
      </c>
      <c r="G1087" s="45">
        <f ca="1">IFERROR(__xludf.DUMMYFUNCTION("""COMPUTED_VALUE"""),34692.625)</f>
        <v>34692.625</v>
      </c>
      <c r="H1087" s="45" t="str">
        <f ca="1">IFERROR(__xludf.DUMMYFUNCTION("""COMPUTED_VALUE"""),"MATTE")</f>
        <v>MATTE</v>
      </c>
      <c r="I1087" s="46" t="str">
        <f ca="1">IFERROR(__xludf.DUMMYFUNCTION("""COMPUTED_VALUE"""),"STORE")</f>
        <v>STORE</v>
      </c>
      <c r="J1087" s="46" t="str">
        <f ca="1">IFERROR(__xludf.DUMMYFUNCTION("""COMPUTED_VALUE"""),"MATTE D3")</f>
        <v>MATTE D3</v>
      </c>
      <c r="K1087" s="46" t="str">
        <f ca="1">IFERROR(__xludf.DUMMYFUNCTION("""COMPUTED_VALUE"""),"Management team")</f>
        <v>Management team</v>
      </c>
      <c r="L1087" s="46" t="str">
        <f ca="1">IFERROR(__xludf.DUMMYFUNCTION("""COMPUTED_VALUE"""),"PRO")</f>
        <v>PRO</v>
      </c>
      <c r="M1087" s="46" t="str">
        <f ca="1">IFERROR(__xludf.DUMMYFUNCTION("""COMPUTED_VALUE"""),"Leave")</f>
        <v>Leave</v>
      </c>
      <c r="N1087" s="46" t="str">
        <f ca="1">IFERROR(__xludf.DUMMYFUNCTION("""COMPUTED_VALUE"""),"chua nop")</f>
        <v>chua nop</v>
      </c>
    </row>
    <row r="1088" spans="1:14">
      <c r="A1088" s="45">
        <f ca="1">IFERROR(__xludf.DUMMYFUNCTION("""COMPUTED_VALUE"""),45873.5833333333)</f>
        <v>45873.583333333299</v>
      </c>
      <c r="B1088" s="45">
        <f ca="1">IFERROR(__xludf.DUMMYFUNCTION("""COMPUTED_VALUE"""),45882.5833333333)</f>
        <v>45882.583333333299</v>
      </c>
      <c r="C1088" s="46">
        <f ca="1">IFERROR(__xludf.DUMMYFUNCTION("""COMPUTED_VALUE"""),1089)</f>
        <v>1089</v>
      </c>
      <c r="D1088" s="47" t="str">
        <f ca="1">IFERROR(__xludf.DUMMYFUNCTION("""COMPUTED_VALUE"""),"C0875")</f>
        <v>C0875</v>
      </c>
      <c r="E1088" s="46" t="str">
        <f ca="1">IFERROR(__xludf.DUMMYFUNCTION("""COMPUTED_VALUE"""),"HUỲNH NGUYỄN LINH VY")</f>
        <v>HUỲNH NGUYỄN LINH VY</v>
      </c>
      <c r="F1088" s="46" t="str">
        <f ca="1">IFERROR(__xludf.DUMMYFUNCTION("""COMPUTED_VALUE"""),"HUYNH NGUYEN LINH VY")</f>
        <v>HUYNH NGUYEN LINH VY</v>
      </c>
      <c r="G1088" s="45"/>
      <c r="H1088" s="45" t="str">
        <f ca="1">IFERROR(__xludf.DUMMYFUNCTION("""COMPUTED_VALUE"""),"BAKES")</f>
        <v>BAKES</v>
      </c>
      <c r="I1088" s="46" t="str">
        <f ca="1">IFERROR(__xludf.DUMMYFUNCTION("""COMPUTED_VALUE"""),"HO")</f>
        <v>HO</v>
      </c>
      <c r="J1088" s="46" t="str">
        <f ca="1">IFERROR(__xludf.DUMMYFUNCTION("""COMPUTED_VALUE"""),"SAL")</f>
        <v>SAL</v>
      </c>
      <c r="K1088" s="46" t="str">
        <f ca="1">IFERROR(__xludf.DUMMYFUNCTION("""COMPUTED_VALUE"""),"SAL")</f>
        <v>SAL</v>
      </c>
      <c r="L1088" s="46" t="str">
        <f ca="1">IFERROR(__xludf.DUMMYFUNCTION("""COMPUTED_VALUE"""),"SER")</f>
        <v>SER</v>
      </c>
      <c r="M1088" s="46" t="str">
        <f ca="1">IFERROR(__xludf.DUMMYFUNCTION("""COMPUTED_VALUE"""),"Leave")</f>
        <v>Leave</v>
      </c>
      <c r="N1088" s="46" t="str">
        <f ca="1">IFERROR(__xludf.DUMMYFUNCTION("""COMPUTED_VALUE"""),"chua nop")</f>
        <v>chua nop</v>
      </c>
    </row>
    <row r="1089" spans="1:14">
      <c r="A1089" s="45">
        <f ca="1">IFERROR(__xludf.DUMMYFUNCTION("""COMPUTED_VALUE"""),45873.5833333333)</f>
        <v>45873.583333333299</v>
      </c>
      <c r="B1089" s="45">
        <f ca="1">IFERROR(__xludf.DUMMYFUNCTION("""COMPUTED_VALUE"""),45891.5833333333)</f>
        <v>45891.583333333299</v>
      </c>
      <c r="C1089" s="46">
        <f ca="1">IFERROR(__xludf.DUMMYFUNCTION("""COMPUTED_VALUE"""),1090)</f>
        <v>1090</v>
      </c>
      <c r="D1089" s="47" t="str">
        <f ca="1">IFERROR(__xludf.DUMMYFUNCTION("""COMPUTED_VALUE"""),"C0877")</f>
        <v>C0877</v>
      </c>
      <c r="E1089" s="46" t="str">
        <f ca="1">IFERROR(__xludf.DUMMYFUNCTION("""COMPUTED_VALUE"""),"LÊ ĐINH THANH TRÚC")</f>
        <v>LÊ ĐINH THANH TRÚC</v>
      </c>
      <c r="F1089" s="46" t="str">
        <f ca="1">IFERROR(__xludf.DUMMYFUNCTION("""COMPUTED_VALUE"""),"LE DINH THANH TRUC")</f>
        <v>LE DINH THANH TRUC</v>
      </c>
      <c r="G1089" s="45">
        <f ca="1">IFERROR(__xludf.DUMMYFUNCTION("""COMPUTED_VALUE"""),38790.625)</f>
        <v>38790.625</v>
      </c>
      <c r="H1089" s="45" t="str">
        <f ca="1">IFERROR(__xludf.DUMMYFUNCTION("""COMPUTED_VALUE"""),"MOONCAKE")</f>
        <v>MOONCAKE</v>
      </c>
      <c r="I1089" s="46" t="str">
        <f ca="1">IFERROR(__xludf.DUMMYFUNCTION("""COMPUTED_VALUE"""),"KITCHEN PASTRY")</f>
        <v>KITCHEN PASTRY</v>
      </c>
      <c r="J1089" s="46" t="str">
        <f ca="1">IFERROR(__xludf.DUMMYFUNCTION("""COMPUTED_VALUE"""),"KITCHEN PASTRY")</f>
        <v>KITCHEN PASTRY</v>
      </c>
      <c r="K1089" s="46" t="str">
        <f ca="1">IFERROR(__xludf.DUMMYFUNCTION("""COMPUTED_VALUE"""),"PASTRY")</f>
        <v>PASTRY</v>
      </c>
      <c r="L1089" s="46" t="str">
        <f ca="1">IFERROR(__xludf.DUMMYFUNCTION("""COMPUTED_VALUE"""),"PTE")</f>
        <v>PTE</v>
      </c>
      <c r="M1089" s="46" t="str">
        <f ca="1">IFERROR(__xludf.DUMMYFUNCTION("""COMPUTED_VALUE"""),"Leave")</f>
        <v>Leave</v>
      </c>
      <c r="N1089" s="46" t="str">
        <f ca="1">IFERROR(__xludf.DUMMYFUNCTION("""COMPUTED_VALUE"""),"đủ")</f>
        <v>đủ</v>
      </c>
    </row>
    <row r="1090" spans="1:14">
      <c r="A1090" s="45">
        <f ca="1">IFERROR(__xludf.DUMMYFUNCTION("""COMPUTED_VALUE"""),45870.5833333333)</f>
        <v>45870.583333333299</v>
      </c>
      <c r="B1090" s="45">
        <f ca="1">IFERROR(__xludf.DUMMYFUNCTION("""COMPUTED_VALUE"""),45961.5833333333)</f>
        <v>45961.583333333299</v>
      </c>
      <c r="C1090" s="46">
        <f ca="1">IFERROR(__xludf.DUMMYFUNCTION("""COMPUTED_VALUE"""),1091)</f>
        <v>1091</v>
      </c>
      <c r="D1090" s="47" t="str">
        <f ca="1">IFERROR(__xludf.DUMMYFUNCTION("""COMPUTED_VALUE"""),"C0878")</f>
        <v>C0878</v>
      </c>
      <c r="E1090" s="46" t="str">
        <f ca="1">IFERROR(__xludf.DUMMYFUNCTION("""COMPUTED_VALUE"""),"LÊ ĐẶNG TƯỜNG VY")</f>
        <v>LÊ ĐẶNG TƯỜNG VY</v>
      </c>
      <c r="F1090" s="46" t="str">
        <f ca="1">IFERROR(__xludf.DUMMYFUNCTION("""COMPUTED_VALUE"""),"LE DANG TUONG VY")</f>
        <v>LE DANG TUONG VY</v>
      </c>
      <c r="G1090" s="45">
        <f ca="1">IFERROR(__xludf.DUMMYFUNCTION("""COMPUTED_VALUE"""),36088.5833333333)</f>
        <v>36088.583333333299</v>
      </c>
      <c r="H1090" s="45" t="str">
        <f ca="1">IFERROR(__xludf.DUMMYFUNCTION("""COMPUTED_VALUE"""),"WOMEN'S DAY")</f>
        <v>WOMEN'S DAY</v>
      </c>
      <c r="I1090" s="46" t="str">
        <f ca="1">IFERROR(__xludf.DUMMYFUNCTION("""COMPUTED_VALUE"""),"KITCHEN PASTRY")</f>
        <v>KITCHEN PASTRY</v>
      </c>
      <c r="J1090" s="46" t="str">
        <f ca="1">IFERROR(__xludf.DUMMYFUNCTION("""COMPUTED_VALUE"""),"KITCHEN PASTRY")</f>
        <v>KITCHEN PASTRY</v>
      </c>
      <c r="K1090" s="46" t="str">
        <f ca="1">IFERROR(__xludf.DUMMYFUNCTION("""COMPUTED_VALUE"""),"PACKAGING")</f>
        <v>PACKAGING</v>
      </c>
      <c r="L1090" s="46" t="str">
        <f ca="1">IFERROR(__xludf.DUMMYFUNCTION("""COMPUTED_VALUE"""),"PTEP")</f>
        <v>PTEP</v>
      </c>
      <c r="M1090" s="46" t="str">
        <f ca="1">IFERROR(__xludf.DUMMYFUNCTION("""COMPUTED_VALUE"""),"Leave")</f>
        <v>Leave</v>
      </c>
      <c r="N1090" s="46" t="str">
        <f ca="1">IFERROR(__xludf.DUMMYFUNCTION("""COMPUTED_VALUE"""),"đủ")</f>
        <v>đủ</v>
      </c>
    </row>
    <row r="1091" spans="1:14">
      <c r="A1091" s="45">
        <f ca="1">IFERROR(__xludf.DUMMYFUNCTION("""COMPUTED_VALUE"""),45880.5833333333)</f>
        <v>45880.583333333299</v>
      </c>
      <c r="B1091" s="45">
        <f ca="1">IFERROR(__xludf.DUMMYFUNCTION("""COMPUTED_VALUE"""),46151.5833333333)</f>
        <v>46151.583333333299</v>
      </c>
      <c r="C1091" s="46">
        <f ca="1">IFERROR(__xludf.DUMMYFUNCTION("""COMPUTED_VALUE"""),1092)</f>
        <v>1092</v>
      </c>
      <c r="D1091" s="47" t="str">
        <f ca="1">IFERROR(__xludf.DUMMYFUNCTION("""COMPUTED_VALUE"""),"C0879")</f>
        <v>C0879</v>
      </c>
      <c r="E1091" s="46" t="str">
        <f ca="1">IFERROR(__xludf.DUMMYFUNCTION("""COMPUTED_VALUE"""),"ĐỖ THỊ LAN HƯƠNG")</f>
        <v>ĐỖ THỊ LAN HƯƠNG</v>
      </c>
      <c r="F1091" s="46" t="str">
        <f ca="1">IFERROR(__xludf.DUMMYFUNCTION("""COMPUTED_VALUE"""),"DO THI LAN HUONG")</f>
        <v>DO THI LAN HUONG</v>
      </c>
      <c r="G1091" s="45">
        <f ca="1">IFERROR(__xludf.DUMMYFUNCTION("""COMPUTED_VALUE"""),36727.5833333333)</f>
        <v>36727.583333333299</v>
      </c>
      <c r="H1091" s="45" t="str">
        <f ca="1">IFERROR(__xludf.DUMMYFUNCTION("""COMPUTED_VALUE"""),"BAKES")</f>
        <v>BAKES</v>
      </c>
      <c r="I1091" s="46" t="str">
        <f ca="1">IFERROR(__xludf.DUMMYFUNCTION("""COMPUTED_VALUE"""),"HO")</f>
        <v>HO</v>
      </c>
      <c r="J1091" s="46" t="str">
        <f ca="1">IFERROR(__xludf.DUMMYFUNCTION("""COMPUTED_VALUE"""),"FIN")</f>
        <v>FIN</v>
      </c>
      <c r="K1091" s="46" t="str">
        <f ca="1">IFERROR(__xludf.DUMMYFUNCTION("""COMPUTED_VALUE"""),"FIN")</f>
        <v>FIN</v>
      </c>
      <c r="L1091" s="46" t="str">
        <f ca="1">IFERROR(__xludf.DUMMYFUNCTION("""COMPUTED_VALUE"""),"FTE")</f>
        <v>FTE</v>
      </c>
      <c r="M1091" s="46" t="str">
        <f ca="1">IFERROR(__xludf.DUMMYFUNCTION("""COMPUTED_VALUE"""),"Leave")</f>
        <v>Leave</v>
      </c>
      <c r="N1091" s="46" t="str">
        <f ca="1">IFERROR(__xludf.DUMMYFUNCTION("""COMPUTED_VALUE"""),"đủ")</f>
        <v>đủ</v>
      </c>
    </row>
    <row r="1092" spans="1:14">
      <c r="A1092" s="45">
        <f ca="1">IFERROR(__xludf.DUMMYFUNCTION("""COMPUTED_VALUE"""),45881.5833333333)</f>
        <v>45881.583333333299</v>
      </c>
      <c r="B1092" s="45">
        <f ca="1">IFERROR(__xludf.DUMMYFUNCTION("""COMPUTED_VALUE"""),45936.5833333333)</f>
        <v>45936.583333333299</v>
      </c>
      <c r="C1092" s="46">
        <f ca="1">IFERROR(__xludf.DUMMYFUNCTION("""COMPUTED_VALUE"""),1093)</f>
        <v>1093</v>
      </c>
      <c r="D1092" s="47" t="str">
        <f ca="1">IFERROR(__xludf.DUMMYFUNCTION("""COMPUTED_VALUE"""),"C0880")</f>
        <v>C0880</v>
      </c>
      <c r="E1092" s="46" t="str">
        <f ca="1">IFERROR(__xludf.DUMMYFUNCTION("""COMPUTED_VALUE"""),"NGUYỄN THỊ MINH THƯ")</f>
        <v>NGUYỄN THỊ MINH THƯ</v>
      </c>
      <c r="F1092" s="46" t="str">
        <f ca="1">IFERROR(__xludf.DUMMYFUNCTION("""COMPUTED_VALUE"""),"NGUYEN THI MINH THU")</f>
        <v>NGUYEN THI MINH THU</v>
      </c>
      <c r="G1092" s="45">
        <f ca="1">IFERROR(__xludf.DUMMYFUNCTION("""COMPUTED_VALUE"""),36264.5833333333)</f>
        <v>36264.583333333299</v>
      </c>
      <c r="H1092" s="45" t="str">
        <f ca="1">IFERROR(__xludf.DUMMYFUNCTION("""COMPUTED_VALUE"""),"BAKES")</f>
        <v>BAKES</v>
      </c>
      <c r="I1092" s="46" t="str">
        <f ca="1">IFERROR(__xludf.DUMMYFUNCTION("""COMPUTED_VALUE"""),"HO")</f>
        <v>HO</v>
      </c>
      <c r="J1092" s="46" t="str">
        <f ca="1">IFERROR(__xludf.DUMMYFUNCTION("""COMPUTED_VALUE"""),"OPS")</f>
        <v>OPS</v>
      </c>
      <c r="K1092" s="46" t="str">
        <f ca="1">IFERROR(__xludf.DUMMYFUNCTION("""COMPUTED_VALUE"""),"OPS")</f>
        <v>OPS</v>
      </c>
      <c r="L1092" s="46" t="str">
        <f ca="1">IFERROR(__xludf.DUMMYFUNCTION("""COMPUTED_VALUE"""),"PRO")</f>
        <v>PRO</v>
      </c>
      <c r="M1092" s="46" t="str">
        <f ca="1">IFERROR(__xludf.DUMMYFUNCTION("""COMPUTED_VALUE"""),"Leave")</f>
        <v>Leave</v>
      </c>
      <c r="N1092" s="46" t="str">
        <f ca="1">IFERROR(__xludf.DUMMYFUNCTION("""COMPUTED_VALUE"""),"đủ")</f>
        <v>đủ</v>
      </c>
    </row>
    <row r="1093" spans="1:14">
      <c r="A1093" s="45">
        <f ca="1">IFERROR(__xludf.DUMMYFUNCTION("""COMPUTED_VALUE"""),45880.5833333333)</f>
        <v>45880.583333333299</v>
      </c>
      <c r="B1093" s="45"/>
      <c r="C1093" s="46">
        <f ca="1">IFERROR(__xludf.DUMMYFUNCTION("""COMPUTED_VALUE"""),1094)</f>
        <v>1094</v>
      </c>
      <c r="D1093" s="47" t="str">
        <f ca="1">IFERROR(__xludf.DUMMYFUNCTION("""COMPUTED_VALUE"""),"C0881")</f>
        <v>C0881</v>
      </c>
      <c r="E1093" s="46" t="str">
        <f ca="1">IFERROR(__xludf.DUMMYFUNCTION("""COMPUTED_VALUE"""),"NGUYỄN LÝ BẢO VY")</f>
        <v>NGUYỄN LÝ BẢO VY</v>
      </c>
      <c r="F1093" s="46" t="str">
        <f ca="1">IFERROR(__xludf.DUMMYFUNCTION("""COMPUTED_VALUE"""),"NGUYEN LY BAO VY")</f>
        <v>NGUYEN LY BAO VY</v>
      </c>
      <c r="G1093" s="45">
        <f ca="1">IFERROR(__xludf.DUMMYFUNCTION("""COMPUTED_VALUE"""),36674.5833333333)</f>
        <v>36674.583333333299</v>
      </c>
      <c r="H1093" s="45" t="str">
        <f ca="1">IFERROR(__xludf.DUMMYFUNCTION("""COMPUTED_VALUE"""),"TLC")</f>
        <v>TLC</v>
      </c>
      <c r="I1093" s="46" t="str">
        <f ca="1">IFERROR(__xludf.DUMMYFUNCTION("""COMPUTED_VALUE"""),"STORE")</f>
        <v>STORE</v>
      </c>
      <c r="J1093" s="46" t="str">
        <f ca="1">IFERROR(__xludf.DUMMYFUNCTION("""COMPUTED_VALUE"""),"BLANK LOUNGE")</f>
        <v>BLANK LOUNGE</v>
      </c>
      <c r="K1093" s="46" t="str">
        <f ca="1">IFERROR(__xludf.DUMMYFUNCTION("""COMPUTED_VALUE"""),"WAITSTAFF")</f>
        <v>WAITSTAFF</v>
      </c>
      <c r="L1093" s="46" t="str">
        <f ca="1">IFERROR(__xludf.DUMMYFUNCTION("""COMPUTED_VALUE"""),"PTE")</f>
        <v>PTE</v>
      </c>
      <c r="M1093" s="46" t="str">
        <f ca="1">IFERROR(__xludf.DUMMYFUNCTION("""COMPUTED_VALUE"""),"On")</f>
        <v>On</v>
      </c>
      <c r="N1093" s="46" t="str">
        <f ca="1">IFERROR(__xludf.DUMMYFUNCTION("""COMPUTED_VALUE"""),"đủ")</f>
        <v>đủ</v>
      </c>
    </row>
    <row r="1094" spans="1:14">
      <c r="A1094" s="45">
        <f ca="1">IFERROR(__xludf.DUMMYFUNCTION("""COMPUTED_VALUE"""),45883.5833333333)</f>
        <v>45883.583333333299</v>
      </c>
      <c r="B1094" s="45">
        <f ca="1">IFERROR(__xludf.DUMMYFUNCTION("""COMPUTED_VALUE"""),45961.5833333333)</f>
        <v>45961.583333333299</v>
      </c>
      <c r="C1094" s="46">
        <f ca="1">IFERROR(__xludf.DUMMYFUNCTION("""COMPUTED_VALUE"""),1095)</f>
        <v>1095</v>
      </c>
      <c r="D1094" s="47" t="str">
        <f ca="1">IFERROR(__xludf.DUMMYFUNCTION("""COMPUTED_VALUE"""),"C0882")</f>
        <v>C0882</v>
      </c>
      <c r="E1094" s="46" t="str">
        <f ca="1">IFERROR(__xludf.DUMMYFUNCTION("""COMPUTED_VALUE"""),"NGUYỄN THỊ NA")</f>
        <v>NGUYỄN THỊ NA</v>
      </c>
      <c r="F1094" s="46" t="str">
        <f ca="1">IFERROR(__xludf.DUMMYFUNCTION("""COMPUTED_VALUE"""),"NGUYEN THI NA")</f>
        <v>NGUYEN THI NA</v>
      </c>
      <c r="G1094" s="45">
        <f ca="1">IFERROR(__xludf.DUMMYFUNCTION("""COMPUTED_VALUE"""),39045.625)</f>
        <v>39045.625</v>
      </c>
      <c r="H1094" s="45" t="str">
        <f ca="1">IFERROR(__xludf.DUMMYFUNCTION("""COMPUTED_VALUE"""),"MOONCAKE")</f>
        <v>MOONCAKE</v>
      </c>
      <c r="I1094" s="46" t="str">
        <f ca="1">IFERROR(__xludf.DUMMYFUNCTION("""COMPUTED_VALUE"""),"STORE")</f>
        <v>STORE</v>
      </c>
      <c r="J1094" s="46" t="str">
        <f ca="1">IFERROR(__xludf.DUMMYFUNCTION("""COMPUTED_VALUE"""),"SAIGON CENTRE")</f>
        <v>SAIGON CENTRE</v>
      </c>
      <c r="K1094" s="46" t="str">
        <f ca="1">IFERROR(__xludf.DUMMYFUNCTION("""COMPUTED_VALUE"""),"SAL")</f>
        <v>SAL</v>
      </c>
      <c r="L1094" s="46" t="str">
        <f ca="1">IFERROR(__xludf.DUMMYFUNCTION("""COMPUTED_VALUE"""),"PTE")</f>
        <v>PTE</v>
      </c>
      <c r="M1094" s="46" t="str">
        <f ca="1">IFERROR(__xludf.DUMMYFUNCTION("""COMPUTED_VALUE"""),"Leave")</f>
        <v>Leave</v>
      </c>
      <c r="N1094" s="46" t="str">
        <f ca="1">IFERROR(__xludf.DUMMYFUNCTION("""COMPUTED_VALUE"""),"đủ")</f>
        <v>đủ</v>
      </c>
    </row>
    <row r="1095" spans="1:14">
      <c r="A1095" s="45">
        <f ca="1">IFERROR(__xludf.DUMMYFUNCTION("""COMPUTED_VALUE"""),45883.5833333333)</f>
        <v>45883.583333333299</v>
      </c>
      <c r="B1095" s="45">
        <f ca="1">IFERROR(__xludf.DUMMYFUNCTION("""COMPUTED_VALUE"""),45884.5833333333)</f>
        <v>45884.583333333299</v>
      </c>
      <c r="C1095" s="46">
        <f ca="1">IFERROR(__xludf.DUMMYFUNCTION("""COMPUTED_VALUE"""),1096)</f>
        <v>1096</v>
      </c>
      <c r="D1095" s="47" t="str">
        <f ca="1">IFERROR(__xludf.DUMMYFUNCTION("""COMPUTED_VALUE"""),"C0883")</f>
        <v>C0883</v>
      </c>
      <c r="E1095" s="46" t="str">
        <f ca="1">IFERROR(__xludf.DUMMYFUNCTION("""COMPUTED_VALUE"""),"LÊ HUỲNH MAI TRÂM")</f>
        <v>LÊ HUỲNH MAI TRÂM</v>
      </c>
      <c r="F1095" s="46" t="str">
        <f ca="1">IFERROR(__xludf.DUMMYFUNCTION("""COMPUTED_VALUE"""),"LE HUYNH MAI TRAM")</f>
        <v>LE HUYNH MAI TRAM</v>
      </c>
      <c r="G1095" s="45">
        <f ca="1">IFERROR(__xludf.DUMMYFUNCTION("""COMPUTED_VALUE"""),35026.625)</f>
        <v>35026.625</v>
      </c>
      <c r="H1095" s="45" t="str">
        <f ca="1">IFERROR(__xludf.DUMMYFUNCTION("""COMPUTED_VALUE"""),"MOONCAKE")</f>
        <v>MOONCAKE</v>
      </c>
      <c r="I1095" s="46" t="str">
        <f ca="1">IFERROR(__xludf.DUMMYFUNCTION("""COMPUTED_VALUE"""),"STORE")</f>
        <v>STORE</v>
      </c>
      <c r="J1095" s="46" t="str">
        <f ca="1">IFERROR(__xludf.DUMMYFUNCTION("""COMPUTED_VALUE"""),"THISO")</f>
        <v>THISO</v>
      </c>
      <c r="K1095" s="46" t="str">
        <f ca="1">IFERROR(__xludf.DUMMYFUNCTION("""COMPUTED_VALUE"""),"SAL")</f>
        <v>SAL</v>
      </c>
      <c r="L1095" s="46" t="str">
        <f ca="1">IFERROR(__xludf.DUMMYFUNCTION("""COMPUTED_VALUE"""),"PTE")</f>
        <v>PTE</v>
      </c>
      <c r="M1095" s="46" t="str">
        <f ca="1">IFERROR(__xludf.DUMMYFUNCTION("""COMPUTED_VALUE"""),"Leave")</f>
        <v>Leave</v>
      </c>
      <c r="N1095" s="46" t="str">
        <f ca="1">IFERROR(__xludf.DUMMYFUNCTION("""COMPUTED_VALUE"""),"chua nop")</f>
        <v>chua nop</v>
      </c>
    </row>
    <row r="1096" spans="1:14">
      <c r="A1096" s="45">
        <f ca="1">IFERROR(__xludf.DUMMYFUNCTION("""COMPUTED_VALUE"""),45877.5833333333)</f>
        <v>45877.583333333299</v>
      </c>
      <c r="B1096" s="45">
        <f ca="1">IFERROR(__xludf.DUMMYFUNCTION("""COMPUTED_VALUE"""),45932.5833333333)</f>
        <v>45932.583333333299</v>
      </c>
      <c r="C1096" s="46">
        <f ca="1">IFERROR(__xludf.DUMMYFUNCTION("""COMPUTED_VALUE"""),1097)</f>
        <v>1097</v>
      </c>
      <c r="D1096" s="47" t="str">
        <f ca="1">IFERROR(__xludf.DUMMYFUNCTION("""COMPUTED_VALUE"""),"C0885")</f>
        <v>C0885</v>
      </c>
      <c r="E1096" s="46" t="str">
        <f ca="1">IFERROR(__xludf.DUMMYFUNCTION("""COMPUTED_VALUE"""),"NGUYỄN VŨ PHƯƠNG THANH")</f>
        <v>NGUYỄN VŨ PHƯƠNG THANH</v>
      </c>
      <c r="F1096" s="46" t="str">
        <f ca="1">IFERROR(__xludf.DUMMYFUNCTION("""COMPUTED_VALUE"""),"NGUYEN VU PHUONG THANH")</f>
        <v>NGUYEN VU PHUONG THANH</v>
      </c>
      <c r="G1096" s="45">
        <f ca="1">IFERROR(__xludf.DUMMYFUNCTION("""COMPUTED_VALUE"""),34133.5833333333)</f>
        <v>34133.583333333299</v>
      </c>
      <c r="H1096" s="45" t="str">
        <f ca="1">IFERROR(__xludf.DUMMYFUNCTION("""COMPUTED_VALUE"""),"MOONCAKE")</f>
        <v>MOONCAKE</v>
      </c>
      <c r="I1096" s="46" t="str">
        <f ca="1">IFERROR(__xludf.DUMMYFUNCTION("""COMPUTED_VALUE"""),"KITCHEN PASTRY")</f>
        <v>KITCHEN PASTRY</v>
      </c>
      <c r="J1096" s="46" t="str">
        <f ca="1">IFERROR(__xludf.DUMMYFUNCTION("""COMPUTED_VALUE"""),"KITCHEN PASTRY")</f>
        <v>KITCHEN PASTRY</v>
      </c>
      <c r="K1096" s="46" t="str">
        <f ca="1">IFERROR(__xludf.DUMMYFUNCTION("""COMPUTED_VALUE"""),"PASTRY")</f>
        <v>PASTRY</v>
      </c>
      <c r="L1096" s="46" t="str">
        <f ca="1">IFERROR(__xludf.DUMMYFUNCTION("""COMPUTED_VALUE"""),"PTE")</f>
        <v>PTE</v>
      </c>
      <c r="M1096" s="46" t="str">
        <f ca="1">IFERROR(__xludf.DUMMYFUNCTION("""COMPUTED_VALUE"""),"Leave")</f>
        <v>Leave</v>
      </c>
      <c r="N1096" s="46" t="str">
        <f ca="1">IFERROR(__xludf.DUMMYFUNCTION("""COMPUTED_VALUE"""),"đủ")</f>
        <v>đủ</v>
      </c>
    </row>
    <row r="1097" spans="1:14">
      <c r="A1097" s="45">
        <f ca="1">IFERROR(__xludf.DUMMYFUNCTION("""COMPUTED_VALUE"""),45881.5833333333)</f>
        <v>45881.583333333299</v>
      </c>
      <c r="B1097" s="45">
        <f ca="1">IFERROR(__xludf.DUMMYFUNCTION("""COMPUTED_VALUE"""),45932.5833333333)</f>
        <v>45932.583333333299</v>
      </c>
      <c r="C1097" s="46">
        <f ca="1">IFERROR(__xludf.DUMMYFUNCTION("""COMPUTED_VALUE"""),1098)</f>
        <v>1098</v>
      </c>
      <c r="D1097" s="47" t="str">
        <f ca="1">IFERROR(__xludf.DUMMYFUNCTION("""COMPUTED_VALUE"""),"C0886")</f>
        <v>C0886</v>
      </c>
      <c r="E1097" s="46" t="str">
        <f ca="1">IFERROR(__xludf.DUMMYFUNCTION("""COMPUTED_VALUE"""),"DIỆP LÊ TUYẾT KHA")</f>
        <v>DIỆP LÊ TUYẾT KHA</v>
      </c>
      <c r="F1097" s="46" t="str">
        <f ca="1">IFERROR(__xludf.DUMMYFUNCTION("""COMPUTED_VALUE"""),"DIEP LE TUYET KHA")</f>
        <v>DIEP LE TUYET KHA</v>
      </c>
      <c r="G1097" s="45">
        <f ca="1">IFERROR(__xludf.DUMMYFUNCTION("""COMPUTED_VALUE"""),38961.5833333333)</f>
        <v>38961.583333333299</v>
      </c>
      <c r="H1097" s="45" t="str">
        <f ca="1">IFERROR(__xludf.DUMMYFUNCTION("""COMPUTED_VALUE"""),"MOONCAKE")</f>
        <v>MOONCAKE</v>
      </c>
      <c r="I1097" s="46" t="str">
        <f ca="1">IFERROR(__xludf.DUMMYFUNCTION("""COMPUTED_VALUE"""),"KITCHEN PASTRY")</f>
        <v>KITCHEN PASTRY</v>
      </c>
      <c r="J1097" s="46" t="str">
        <f ca="1">IFERROR(__xludf.DUMMYFUNCTION("""COMPUTED_VALUE"""),"KITCHEN PASTRY")</f>
        <v>KITCHEN PASTRY</v>
      </c>
      <c r="K1097" s="46" t="str">
        <f ca="1">IFERROR(__xludf.DUMMYFUNCTION("""COMPUTED_VALUE"""),"PASTRY")</f>
        <v>PASTRY</v>
      </c>
      <c r="L1097" s="46" t="str">
        <f ca="1">IFERROR(__xludf.DUMMYFUNCTION("""COMPUTED_VALUE"""),"PTE")</f>
        <v>PTE</v>
      </c>
      <c r="M1097" s="46" t="str">
        <f ca="1">IFERROR(__xludf.DUMMYFUNCTION("""COMPUTED_VALUE"""),"Leave")</f>
        <v>Leave</v>
      </c>
      <c r="N1097" s="46" t="str">
        <f ca="1">IFERROR(__xludf.DUMMYFUNCTION("""COMPUTED_VALUE"""),"đủ")</f>
        <v>đủ</v>
      </c>
    </row>
    <row r="1098" spans="1:14">
      <c r="A1098" s="45">
        <f ca="1">IFERROR(__xludf.DUMMYFUNCTION("""COMPUTED_VALUE"""),45880.5833333333)</f>
        <v>45880.583333333299</v>
      </c>
      <c r="B1098" s="45">
        <f ca="1">IFERROR(__xludf.DUMMYFUNCTION("""COMPUTED_VALUE"""),45883.5833333333)</f>
        <v>45883.583333333299</v>
      </c>
      <c r="C1098" s="46">
        <f ca="1">IFERROR(__xludf.DUMMYFUNCTION("""COMPUTED_VALUE"""),1099)</f>
        <v>1099</v>
      </c>
      <c r="D1098" s="47" t="str">
        <f ca="1">IFERROR(__xludf.DUMMYFUNCTION("""COMPUTED_VALUE"""),"C0887")</f>
        <v>C0887</v>
      </c>
      <c r="E1098" s="46" t="str">
        <f ca="1">IFERROR(__xludf.DUMMYFUNCTION("""COMPUTED_VALUE"""),"BÙI KHOA BẢO TÂM")</f>
        <v>BÙI KHOA BẢO TÂM</v>
      </c>
      <c r="F1098" s="46" t="str">
        <f ca="1">IFERROR(__xludf.DUMMYFUNCTION("""COMPUTED_VALUE"""),"BUI KHOA BAO TAM")</f>
        <v>BUI KHOA BAO TAM</v>
      </c>
      <c r="G1098" s="45">
        <f ca="1">IFERROR(__xludf.DUMMYFUNCTION("""COMPUTED_VALUE"""),37735.5833333333)</f>
        <v>37735.583333333299</v>
      </c>
      <c r="H1098" s="45" t="str">
        <f ca="1">IFERROR(__xludf.DUMMYFUNCTION("""COMPUTED_VALUE"""),"MOONCAKE")</f>
        <v>MOONCAKE</v>
      </c>
      <c r="I1098" s="46" t="str">
        <f ca="1">IFERROR(__xludf.DUMMYFUNCTION("""COMPUTED_VALUE"""),"KITCHEN PASTRY")</f>
        <v>KITCHEN PASTRY</v>
      </c>
      <c r="J1098" s="46" t="str">
        <f ca="1">IFERROR(__xludf.DUMMYFUNCTION("""COMPUTED_VALUE"""),"KITCHEN PASTRY")</f>
        <v>KITCHEN PASTRY</v>
      </c>
      <c r="K1098" s="46" t="str">
        <f ca="1">IFERROR(__xludf.DUMMYFUNCTION("""COMPUTED_VALUE"""),"PASTRY")</f>
        <v>PASTRY</v>
      </c>
      <c r="L1098" s="46" t="str">
        <f ca="1">IFERROR(__xludf.DUMMYFUNCTION("""COMPUTED_VALUE"""),"PTE")</f>
        <v>PTE</v>
      </c>
      <c r="M1098" s="46" t="str">
        <f ca="1">IFERROR(__xludf.DUMMYFUNCTION("""COMPUTED_VALUE"""),"Leave")</f>
        <v>Leave</v>
      </c>
      <c r="N1098" s="46" t="str">
        <f ca="1">IFERROR(__xludf.DUMMYFUNCTION("""COMPUTED_VALUE"""),"chua nop")</f>
        <v>chua nop</v>
      </c>
    </row>
    <row r="1099" spans="1:14">
      <c r="A1099" s="45">
        <f ca="1">IFERROR(__xludf.DUMMYFUNCTION("""COMPUTED_VALUE"""),45883.5833333333)</f>
        <v>45883.583333333299</v>
      </c>
      <c r="B1099" s="45">
        <f ca="1">IFERROR(__xludf.DUMMYFUNCTION("""COMPUTED_VALUE"""),45961.5833333333)</f>
        <v>45961.583333333299</v>
      </c>
      <c r="C1099" s="46">
        <f ca="1">IFERROR(__xludf.DUMMYFUNCTION("""COMPUTED_VALUE"""),1100)</f>
        <v>1100</v>
      </c>
      <c r="D1099" s="47" t="str">
        <f ca="1">IFERROR(__xludf.DUMMYFUNCTION("""COMPUTED_VALUE"""),"C0889")</f>
        <v>C0889</v>
      </c>
      <c r="E1099" s="46" t="str">
        <f ca="1">IFERROR(__xludf.DUMMYFUNCTION("""COMPUTED_VALUE"""),"PHẠM NGUYỄN BẠCH DƯƠNG")</f>
        <v>PHẠM NGUYỄN BẠCH DƯƠNG</v>
      </c>
      <c r="F1099" s="46" t="str">
        <f ca="1">IFERROR(__xludf.DUMMYFUNCTION("""COMPUTED_VALUE"""),"PHAM NGUYEN BACH DUONG")</f>
        <v>PHAM NGUYEN BACH DUONG</v>
      </c>
      <c r="G1099" s="45">
        <f ca="1">IFERROR(__xludf.DUMMYFUNCTION("""COMPUTED_VALUE"""),37338.625)</f>
        <v>37338.625</v>
      </c>
      <c r="H1099" s="45" t="str">
        <f ca="1">IFERROR(__xludf.DUMMYFUNCTION("""COMPUTED_VALUE"""),"MOONCAKE")</f>
        <v>MOONCAKE</v>
      </c>
      <c r="I1099" s="46" t="str">
        <f ca="1">IFERROR(__xludf.DUMMYFUNCTION("""COMPUTED_VALUE"""),"STORE")</f>
        <v>STORE</v>
      </c>
      <c r="J1099" s="46" t="str">
        <f ca="1">IFERROR(__xludf.DUMMYFUNCTION("""COMPUTED_VALUE"""),"SAIGON CENTRE")</f>
        <v>SAIGON CENTRE</v>
      </c>
      <c r="K1099" s="46" t="str">
        <f ca="1">IFERROR(__xludf.DUMMYFUNCTION("""COMPUTED_VALUE"""),"SAL")</f>
        <v>SAL</v>
      </c>
      <c r="L1099" s="46" t="str">
        <f ca="1">IFERROR(__xludf.DUMMYFUNCTION("""COMPUTED_VALUE"""),"PTE")</f>
        <v>PTE</v>
      </c>
      <c r="M1099" s="46" t="str">
        <f ca="1">IFERROR(__xludf.DUMMYFUNCTION("""COMPUTED_VALUE"""),"Leave")</f>
        <v>Leave</v>
      </c>
      <c r="N1099" s="46" t="str">
        <f ca="1">IFERROR(__xludf.DUMMYFUNCTION("""COMPUTED_VALUE"""),"đủ")</f>
        <v>đủ</v>
      </c>
    </row>
    <row r="1100" spans="1:14">
      <c r="A1100" s="45">
        <f ca="1">IFERROR(__xludf.DUMMYFUNCTION("""COMPUTED_VALUE"""),45883.5833333333)</f>
        <v>45883.583333333299</v>
      </c>
      <c r="B1100" s="45">
        <f ca="1">IFERROR(__xludf.DUMMYFUNCTION("""COMPUTED_VALUE"""),45961.5833333333)</f>
        <v>45961.583333333299</v>
      </c>
      <c r="C1100" s="46">
        <f ca="1">IFERROR(__xludf.DUMMYFUNCTION("""COMPUTED_VALUE"""),1101)</f>
        <v>1101</v>
      </c>
      <c r="D1100" s="47" t="str">
        <f ca="1">IFERROR(__xludf.DUMMYFUNCTION("""COMPUTED_VALUE"""),"C0890")</f>
        <v>C0890</v>
      </c>
      <c r="E1100" s="46" t="str">
        <f ca="1">IFERROR(__xludf.DUMMYFUNCTION("""COMPUTED_VALUE"""),"LƯƠNG MINH ANH THƯ")</f>
        <v>LƯƠNG MINH ANH THƯ</v>
      </c>
      <c r="F1100" s="46" t="str">
        <f ca="1">IFERROR(__xludf.DUMMYFUNCTION("""COMPUTED_VALUE"""),"LUONG MINH ANH THU")</f>
        <v>LUONG MINH ANH THU</v>
      </c>
      <c r="G1100" s="45">
        <f ca="1">IFERROR(__xludf.DUMMYFUNCTION("""COMPUTED_VALUE"""),37724.5833333333)</f>
        <v>37724.583333333299</v>
      </c>
      <c r="H1100" s="45" t="str">
        <f ca="1">IFERROR(__xludf.DUMMYFUNCTION("""COMPUTED_VALUE"""),"MOONCAKE")</f>
        <v>MOONCAKE</v>
      </c>
      <c r="I1100" s="46" t="str">
        <f ca="1">IFERROR(__xludf.DUMMYFUNCTION("""COMPUTED_VALUE"""),"STORE")</f>
        <v>STORE</v>
      </c>
      <c r="J1100" s="46" t="str">
        <f ca="1">IFERROR(__xludf.DUMMYFUNCTION("""COMPUTED_VALUE"""),"THISO")</f>
        <v>THISO</v>
      </c>
      <c r="K1100" s="46" t="str">
        <f ca="1">IFERROR(__xludf.DUMMYFUNCTION("""COMPUTED_VALUE"""),"SAL")</f>
        <v>SAL</v>
      </c>
      <c r="L1100" s="46" t="str">
        <f ca="1">IFERROR(__xludf.DUMMYFUNCTION("""COMPUTED_VALUE"""),"PTE")</f>
        <v>PTE</v>
      </c>
      <c r="M1100" s="46" t="str">
        <f ca="1">IFERROR(__xludf.DUMMYFUNCTION("""COMPUTED_VALUE"""),"Leave")</f>
        <v>Leave</v>
      </c>
      <c r="N1100" s="46" t="str">
        <f ca="1">IFERROR(__xludf.DUMMYFUNCTION("""COMPUTED_VALUE"""),"đủ")</f>
        <v>đủ</v>
      </c>
    </row>
    <row r="1101" spans="1:14">
      <c r="A1101" s="45">
        <f ca="1">IFERROR(__xludf.DUMMYFUNCTION("""COMPUTED_VALUE"""),45882.5833333333)</f>
        <v>45882.583333333299</v>
      </c>
      <c r="B1101" s="45">
        <f ca="1">IFERROR(__xludf.DUMMYFUNCTION("""COMPUTED_VALUE"""),45962.5833333333)</f>
        <v>45962.583333333299</v>
      </c>
      <c r="C1101" s="46">
        <f ca="1">IFERROR(__xludf.DUMMYFUNCTION("""COMPUTED_VALUE"""),1102)</f>
        <v>1102</v>
      </c>
      <c r="D1101" s="47" t="str">
        <f ca="1">IFERROR(__xludf.DUMMYFUNCTION("""COMPUTED_VALUE"""),"C0891")</f>
        <v>C0891</v>
      </c>
      <c r="E1101" s="46" t="str">
        <f ca="1">IFERROR(__xludf.DUMMYFUNCTION("""COMPUTED_VALUE"""),"TRẦN LÊ NGỌC THUỶ")</f>
        <v>TRẦN LÊ NGỌC THUỶ</v>
      </c>
      <c r="F1101" s="46" t="str">
        <f ca="1">IFERROR(__xludf.DUMMYFUNCTION("""COMPUTED_VALUE"""),"TRAN LE NGOC THUY")</f>
        <v>TRAN LE NGOC THUY</v>
      </c>
      <c r="G1101" s="45">
        <f ca="1">IFERROR(__xludf.DUMMYFUNCTION("""COMPUTED_VALUE"""),39277.5833333333)</f>
        <v>39277.583333333299</v>
      </c>
      <c r="H1101" s="45" t="str">
        <f ca="1">IFERROR(__xludf.DUMMYFUNCTION("""COMPUTED_VALUE"""),"BAKES")</f>
        <v>BAKES</v>
      </c>
      <c r="I1101" s="46" t="str">
        <f ca="1">IFERROR(__xludf.DUMMYFUNCTION("""COMPUTED_VALUE"""),"STORE")</f>
        <v>STORE</v>
      </c>
      <c r="J1101" s="46" t="str">
        <f ca="1">IFERROR(__xludf.DUMMYFUNCTION("""COMPUTED_VALUE"""),"BAKES HCR")</f>
        <v>BAKES HCR</v>
      </c>
      <c r="K1101" s="46" t="str">
        <f ca="1">IFERROR(__xludf.DUMMYFUNCTION("""COMPUTED_VALUE"""),"WAITSTAFF")</f>
        <v>WAITSTAFF</v>
      </c>
      <c r="L1101" s="46" t="str">
        <f ca="1">IFERROR(__xludf.DUMMYFUNCTION("""COMPUTED_VALUE"""),"PTE")</f>
        <v>PTE</v>
      </c>
      <c r="M1101" s="46" t="str">
        <f ca="1">IFERROR(__xludf.DUMMYFUNCTION("""COMPUTED_VALUE"""),"Leave")</f>
        <v>Leave</v>
      </c>
      <c r="N1101" s="46" t="str">
        <f ca="1">IFERROR(__xludf.DUMMYFUNCTION("""COMPUTED_VALUE"""),"đủ")</f>
        <v>đủ</v>
      </c>
    </row>
    <row r="1102" spans="1:14">
      <c r="A1102" s="45">
        <f ca="1">IFERROR(__xludf.DUMMYFUNCTION("""COMPUTED_VALUE"""),45883.5833333333)</f>
        <v>45883.583333333299</v>
      </c>
      <c r="B1102" s="45">
        <f ca="1">IFERROR(__xludf.DUMMYFUNCTION("""COMPUTED_VALUE"""),45961.5833333333)</f>
        <v>45961.583333333299</v>
      </c>
      <c r="C1102" s="46">
        <f ca="1">IFERROR(__xludf.DUMMYFUNCTION("""COMPUTED_VALUE"""),1103)</f>
        <v>1103</v>
      </c>
      <c r="D1102" s="47" t="str">
        <f ca="1">IFERROR(__xludf.DUMMYFUNCTION("""COMPUTED_VALUE"""),"C0892")</f>
        <v>C0892</v>
      </c>
      <c r="E1102" s="46" t="str">
        <f ca="1">IFERROR(__xludf.DUMMYFUNCTION("""COMPUTED_VALUE"""),"NGUYỄN THỊ HÀ")</f>
        <v>NGUYỄN THỊ HÀ</v>
      </c>
      <c r="F1102" s="46" t="str">
        <f ca="1">IFERROR(__xludf.DUMMYFUNCTION("""COMPUTED_VALUE"""),"NGUYEN THI HA")</f>
        <v>NGUYEN THI HA</v>
      </c>
      <c r="G1102" s="45">
        <f ca="1">IFERROR(__xludf.DUMMYFUNCTION("""COMPUTED_VALUE"""),36572.625)</f>
        <v>36572.625</v>
      </c>
      <c r="H1102" s="45" t="str">
        <f ca="1">IFERROR(__xludf.DUMMYFUNCTION("""COMPUTED_VALUE"""),"MOONCAKE")</f>
        <v>MOONCAKE</v>
      </c>
      <c r="I1102" s="46" t="str">
        <f ca="1">IFERROR(__xludf.DUMMYFUNCTION("""COMPUTED_VALUE"""),"STORE")</f>
        <v>STORE</v>
      </c>
      <c r="J1102" s="46" t="str">
        <f ca="1">IFERROR(__xludf.DUMMYFUNCTION("""COMPUTED_VALUE"""),"THISO")</f>
        <v>THISO</v>
      </c>
      <c r="K1102" s="46" t="str">
        <f ca="1">IFERROR(__xludf.DUMMYFUNCTION("""COMPUTED_VALUE"""),"SAL")</f>
        <v>SAL</v>
      </c>
      <c r="L1102" s="46" t="str">
        <f ca="1">IFERROR(__xludf.DUMMYFUNCTION("""COMPUTED_VALUE"""),"PTEP")</f>
        <v>PTEP</v>
      </c>
      <c r="M1102" s="46" t="str">
        <f ca="1">IFERROR(__xludf.DUMMYFUNCTION("""COMPUTED_VALUE"""),"Leave")</f>
        <v>Leave</v>
      </c>
      <c r="N1102" s="46" t="str">
        <f ca="1">IFERROR(__xludf.DUMMYFUNCTION("""COMPUTED_VALUE"""),"đủ")</f>
        <v>đủ</v>
      </c>
    </row>
    <row r="1103" spans="1:14">
      <c r="A1103" s="45">
        <f ca="1">IFERROR(__xludf.DUMMYFUNCTION("""COMPUTED_VALUE"""),45883.5833333333)</f>
        <v>45883.583333333299</v>
      </c>
      <c r="B1103" s="45">
        <f ca="1">IFERROR(__xludf.DUMMYFUNCTION("""COMPUTED_VALUE"""),45961.5833333333)</f>
        <v>45961.583333333299</v>
      </c>
      <c r="C1103" s="46">
        <f ca="1">IFERROR(__xludf.DUMMYFUNCTION("""COMPUTED_VALUE"""),1104)</f>
        <v>1104</v>
      </c>
      <c r="D1103" s="47" t="str">
        <f ca="1">IFERROR(__xludf.DUMMYFUNCTION("""COMPUTED_VALUE"""),"C0893")</f>
        <v>C0893</v>
      </c>
      <c r="E1103" s="46" t="str">
        <f ca="1">IFERROR(__xludf.DUMMYFUNCTION("""COMPUTED_VALUE"""),"NGUYỄN THỊ THANH THỦY")</f>
        <v>NGUYỄN THỊ THANH THỦY</v>
      </c>
      <c r="F1103" s="46" t="str">
        <f ca="1">IFERROR(__xludf.DUMMYFUNCTION("""COMPUTED_VALUE"""),"NGUYEN THI THANH THUY")</f>
        <v>NGUYEN THI THANH THUY</v>
      </c>
      <c r="G1103" s="45">
        <f ca="1">IFERROR(__xludf.DUMMYFUNCTION("""COMPUTED_VALUE"""),36920.625)</f>
        <v>36920.625</v>
      </c>
      <c r="H1103" s="45" t="str">
        <f ca="1">IFERROR(__xludf.DUMMYFUNCTION("""COMPUTED_VALUE"""),"MOONCAKE")</f>
        <v>MOONCAKE</v>
      </c>
      <c r="I1103" s="46" t="str">
        <f ca="1">IFERROR(__xludf.DUMMYFUNCTION("""COMPUTED_VALUE"""),"STORE")</f>
        <v>STORE</v>
      </c>
      <c r="J1103" s="46" t="str">
        <f ca="1">IFERROR(__xludf.DUMMYFUNCTION("""COMPUTED_VALUE"""),"THISO")</f>
        <v>THISO</v>
      </c>
      <c r="K1103" s="46" t="str">
        <f ca="1">IFERROR(__xludf.DUMMYFUNCTION("""COMPUTED_VALUE"""),"SAL")</f>
        <v>SAL</v>
      </c>
      <c r="L1103" s="46" t="str">
        <f ca="1">IFERROR(__xludf.DUMMYFUNCTION("""COMPUTED_VALUE"""),"PTE")</f>
        <v>PTE</v>
      </c>
      <c r="M1103" s="46" t="str">
        <f ca="1">IFERROR(__xludf.DUMMYFUNCTION("""COMPUTED_VALUE"""),"Leave")</f>
        <v>Leave</v>
      </c>
      <c r="N1103" s="46" t="str">
        <f ca="1">IFERROR(__xludf.DUMMYFUNCTION("""COMPUTED_VALUE"""),"đủ")</f>
        <v>đủ</v>
      </c>
    </row>
    <row r="1104" spans="1:14">
      <c r="A1104" s="45">
        <f ca="1">IFERROR(__xludf.DUMMYFUNCTION("""COMPUTED_VALUE"""),45883.5833333333)</f>
        <v>45883.583333333299</v>
      </c>
      <c r="B1104" s="45">
        <f ca="1">IFERROR(__xludf.DUMMYFUNCTION("""COMPUTED_VALUE"""),45961.5833333333)</f>
        <v>45961.583333333299</v>
      </c>
      <c r="C1104" s="46">
        <f ca="1">IFERROR(__xludf.DUMMYFUNCTION("""COMPUTED_VALUE"""),1105)</f>
        <v>1105</v>
      </c>
      <c r="D1104" s="47" t="str">
        <f ca="1">IFERROR(__xludf.DUMMYFUNCTION("""COMPUTED_VALUE"""),"C0894")</f>
        <v>C0894</v>
      </c>
      <c r="E1104" s="46" t="str">
        <f ca="1">IFERROR(__xludf.DUMMYFUNCTION("""COMPUTED_VALUE"""),"NGUYỄN NGỌC HÒA")</f>
        <v>NGUYỄN NGỌC HÒA</v>
      </c>
      <c r="F1104" s="46" t="str">
        <f ca="1">IFERROR(__xludf.DUMMYFUNCTION("""COMPUTED_VALUE"""),"NGUYEN NGOC HOA")</f>
        <v>NGUYEN NGOC HOA</v>
      </c>
      <c r="G1104" s="45">
        <f ca="1">IFERROR(__xludf.DUMMYFUNCTION("""COMPUTED_VALUE"""),39155.5833333333)</f>
        <v>39155.583333333299</v>
      </c>
      <c r="H1104" s="45" t="str">
        <f ca="1">IFERROR(__xludf.DUMMYFUNCTION("""COMPUTED_VALUE"""),"MOONCAKE")</f>
        <v>MOONCAKE</v>
      </c>
      <c r="I1104" s="46" t="str">
        <f ca="1">IFERROR(__xludf.DUMMYFUNCTION("""COMPUTED_VALUE"""),"STORE")</f>
        <v>STORE</v>
      </c>
      <c r="J1104" s="46" t="str">
        <f ca="1">IFERROR(__xludf.DUMMYFUNCTION("""COMPUTED_VALUE"""),"THISO")</f>
        <v>THISO</v>
      </c>
      <c r="K1104" s="46" t="str">
        <f ca="1">IFERROR(__xludf.DUMMYFUNCTION("""COMPUTED_VALUE"""),"SAL")</f>
        <v>SAL</v>
      </c>
      <c r="L1104" s="46" t="str">
        <f ca="1">IFERROR(__xludf.DUMMYFUNCTION("""COMPUTED_VALUE"""),"PTE")</f>
        <v>PTE</v>
      </c>
      <c r="M1104" s="46" t="str">
        <f ca="1">IFERROR(__xludf.DUMMYFUNCTION("""COMPUTED_VALUE"""),"Leave")</f>
        <v>Leave</v>
      </c>
      <c r="N1104" s="46" t="str">
        <f ca="1">IFERROR(__xludf.DUMMYFUNCTION("""COMPUTED_VALUE"""),"đủ")</f>
        <v>đủ</v>
      </c>
    </row>
    <row r="1105" spans="1:14">
      <c r="A1105" s="45">
        <f ca="1">IFERROR(__xludf.DUMMYFUNCTION("""COMPUTED_VALUE"""),45883.5833333333)</f>
        <v>45883.583333333299</v>
      </c>
      <c r="B1105" s="45">
        <f ca="1">IFERROR(__xludf.DUMMYFUNCTION("""COMPUTED_VALUE"""),45961.5833333333)</f>
        <v>45961.583333333299</v>
      </c>
      <c r="C1105" s="46">
        <f ca="1">IFERROR(__xludf.DUMMYFUNCTION("""COMPUTED_VALUE"""),1106)</f>
        <v>1106</v>
      </c>
      <c r="D1105" s="47" t="str">
        <f ca="1">IFERROR(__xludf.DUMMYFUNCTION("""COMPUTED_VALUE"""),"C0895")</f>
        <v>C0895</v>
      </c>
      <c r="E1105" s="46" t="str">
        <f ca="1">IFERROR(__xludf.DUMMYFUNCTION("""COMPUTED_VALUE"""),"ĐẶNG HOÀNG YẾN NHI")</f>
        <v>ĐẶNG HOÀNG YẾN NHI</v>
      </c>
      <c r="F1105" s="46" t="str">
        <f ca="1">IFERROR(__xludf.DUMMYFUNCTION("""COMPUTED_VALUE"""),"DANG HOANG YEN NHI")</f>
        <v>DANG HOANG YEN NHI</v>
      </c>
      <c r="G1105" s="45">
        <f ca="1">IFERROR(__xludf.DUMMYFUNCTION("""COMPUTED_VALUE"""),37708.625)</f>
        <v>37708.625</v>
      </c>
      <c r="H1105" s="45" t="str">
        <f ca="1">IFERROR(__xludf.DUMMYFUNCTION("""COMPUTED_VALUE"""),"MOONCAKE")</f>
        <v>MOONCAKE</v>
      </c>
      <c r="I1105" s="46" t="str">
        <f ca="1">IFERROR(__xludf.DUMMYFUNCTION("""COMPUTED_VALUE"""),"STORE")</f>
        <v>STORE</v>
      </c>
      <c r="J1105" s="46" t="str">
        <f ca="1">IFERROR(__xludf.DUMMYFUNCTION("""COMPUTED_VALUE"""),"THISO")</f>
        <v>THISO</v>
      </c>
      <c r="K1105" s="46" t="str">
        <f ca="1">IFERROR(__xludf.DUMMYFUNCTION("""COMPUTED_VALUE"""),"SAL")</f>
        <v>SAL</v>
      </c>
      <c r="L1105" s="46" t="str">
        <f ca="1">IFERROR(__xludf.DUMMYFUNCTION("""COMPUTED_VALUE"""),"PTE")</f>
        <v>PTE</v>
      </c>
      <c r="M1105" s="46" t="str">
        <f ca="1">IFERROR(__xludf.DUMMYFUNCTION("""COMPUTED_VALUE"""),"Leave")</f>
        <v>Leave</v>
      </c>
      <c r="N1105" s="46" t="str">
        <f ca="1">IFERROR(__xludf.DUMMYFUNCTION("""COMPUTED_VALUE"""),"đủ")</f>
        <v>đủ</v>
      </c>
    </row>
    <row r="1106" spans="1:14">
      <c r="A1106" s="45">
        <f ca="1">IFERROR(__xludf.DUMMYFUNCTION("""COMPUTED_VALUE"""),45882.5833333333)</f>
        <v>45882.583333333299</v>
      </c>
      <c r="B1106" s="45"/>
      <c r="C1106" s="46">
        <f ca="1">IFERROR(__xludf.DUMMYFUNCTION("""COMPUTED_VALUE"""),1107)</f>
        <v>1107</v>
      </c>
      <c r="D1106" s="47" t="str">
        <f ca="1">IFERROR(__xludf.DUMMYFUNCTION("""COMPUTED_VALUE"""),"C0896")</f>
        <v>C0896</v>
      </c>
      <c r="E1106" s="46" t="str">
        <f ca="1">IFERROR(__xludf.DUMMYFUNCTION("""COMPUTED_VALUE"""),"ĐẶNG HOÀNG KHA")</f>
        <v>ĐẶNG HOÀNG KHA</v>
      </c>
      <c r="F1106" s="46" t="str">
        <f ca="1">IFERROR(__xludf.DUMMYFUNCTION("""COMPUTED_VALUE"""),"DANG HOANG KHA")</f>
        <v>DANG HOANG KHA</v>
      </c>
      <c r="G1106" s="45">
        <f ca="1">IFERROR(__xludf.DUMMYFUNCTION("""COMPUTED_VALUE"""),38929.5833333333)</f>
        <v>38929.583333333299</v>
      </c>
      <c r="H1106" s="45" t="str">
        <f ca="1">IFERROR(__xludf.DUMMYFUNCTION("""COMPUTED_VALUE"""),"BAKES")</f>
        <v>BAKES</v>
      </c>
      <c r="I1106" s="46" t="str">
        <f ca="1">IFERROR(__xludf.DUMMYFUNCTION("""COMPUTED_VALUE"""),"STORE")</f>
        <v>STORE</v>
      </c>
      <c r="J1106" s="46" t="str">
        <f ca="1">IFERROR(__xludf.DUMMYFUNCTION("""COMPUTED_VALUE"""),"BAKES D2")</f>
        <v>BAKES D2</v>
      </c>
      <c r="K1106" s="46" t="str">
        <f ca="1">IFERROR(__xludf.DUMMYFUNCTION("""COMPUTED_VALUE"""),"WAITSTAFF")</f>
        <v>WAITSTAFF</v>
      </c>
      <c r="L1106" s="46" t="str">
        <f ca="1">IFERROR(__xludf.DUMMYFUNCTION("""COMPUTED_VALUE"""),"PTE")</f>
        <v>PTE</v>
      </c>
      <c r="M1106" s="46" t="str">
        <f ca="1">IFERROR(__xludf.DUMMYFUNCTION("""COMPUTED_VALUE"""),"On")</f>
        <v>On</v>
      </c>
      <c r="N1106" s="46" t="str">
        <f ca="1">IFERROR(__xludf.DUMMYFUNCTION("""COMPUTED_VALUE"""),"đủ")</f>
        <v>đủ</v>
      </c>
    </row>
    <row r="1107" spans="1:14">
      <c r="A1107" s="45">
        <f ca="1">IFERROR(__xludf.DUMMYFUNCTION("""COMPUTED_VALUE"""),45888.5833333333)</f>
        <v>45888.583333333299</v>
      </c>
      <c r="B1107" s="45">
        <f ca="1">IFERROR(__xludf.DUMMYFUNCTION("""COMPUTED_VALUE"""),45942.5833333333)</f>
        <v>45942.583333333299</v>
      </c>
      <c r="C1107" s="46">
        <f ca="1">IFERROR(__xludf.DUMMYFUNCTION("""COMPUTED_VALUE"""),1108)</f>
        <v>1108</v>
      </c>
      <c r="D1107" s="47" t="str">
        <f ca="1">IFERROR(__xludf.DUMMYFUNCTION("""COMPUTED_VALUE"""),"C0897")</f>
        <v>C0897</v>
      </c>
      <c r="E1107" s="46" t="str">
        <f ca="1">IFERROR(__xludf.DUMMYFUNCTION("""COMPUTED_VALUE"""),"PHẠM TUYẾT MINH")</f>
        <v>PHẠM TUYẾT MINH</v>
      </c>
      <c r="F1107" s="46" t="str">
        <f ca="1">IFERROR(__xludf.DUMMYFUNCTION("""COMPUTED_VALUE"""),"PHAM TUYET MINH")</f>
        <v>PHAM TUYET MINH</v>
      </c>
      <c r="G1107" s="45">
        <f ca="1">IFERROR(__xludf.DUMMYFUNCTION("""COMPUTED_VALUE"""),37416.5833333333)</f>
        <v>37416.583333333299</v>
      </c>
      <c r="H1107" s="45" t="str">
        <f ca="1">IFERROR(__xludf.DUMMYFUNCTION("""COMPUTED_VALUE"""),"TLC")</f>
        <v>TLC</v>
      </c>
      <c r="I1107" s="46" t="str">
        <f ca="1">IFERROR(__xludf.DUMMYFUNCTION("""COMPUTED_VALUE"""),"HO")</f>
        <v>HO</v>
      </c>
      <c r="J1107" s="46" t="str">
        <f ca="1">IFERROR(__xludf.DUMMYFUNCTION("""COMPUTED_VALUE"""),"HRD")</f>
        <v>HRD</v>
      </c>
      <c r="K1107" s="46" t="str">
        <f ca="1">IFERROR(__xludf.DUMMYFUNCTION("""COMPUTED_VALUE"""),"HRD")</f>
        <v>HRD</v>
      </c>
      <c r="L1107" s="46" t="str">
        <f ca="1">IFERROR(__xludf.DUMMYFUNCTION("""COMPUTED_VALUE"""),"PRO")</f>
        <v>PRO</v>
      </c>
      <c r="M1107" s="46" t="str">
        <f ca="1">IFERROR(__xludf.DUMMYFUNCTION("""COMPUTED_VALUE"""),"Leave")</f>
        <v>Leave</v>
      </c>
      <c r="N1107" s="46" t="str">
        <f ca="1">IFERROR(__xludf.DUMMYFUNCTION("""COMPUTED_VALUE"""),"đủ")</f>
        <v>đủ</v>
      </c>
    </row>
    <row r="1108" spans="1:14">
      <c r="A1108" s="45">
        <f ca="1">IFERROR(__xludf.DUMMYFUNCTION("""COMPUTED_VALUE"""),45888.5833333333)</f>
        <v>45888.583333333299</v>
      </c>
      <c r="B1108" s="45">
        <f ca="1">IFERROR(__xludf.DUMMYFUNCTION("""COMPUTED_VALUE"""),45913.5833333333)</f>
        <v>45913.583333333299</v>
      </c>
      <c r="C1108" s="46">
        <f ca="1">IFERROR(__xludf.DUMMYFUNCTION("""COMPUTED_VALUE"""),1109)</f>
        <v>1109</v>
      </c>
      <c r="D1108" s="47" t="str">
        <f ca="1">IFERROR(__xludf.DUMMYFUNCTION("""COMPUTED_VALUE"""),"C0898")</f>
        <v>C0898</v>
      </c>
      <c r="E1108" s="46" t="str">
        <f ca="1">IFERROR(__xludf.DUMMYFUNCTION("""COMPUTED_VALUE"""),"LÊ TIẾN THÌN")</f>
        <v>LÊ TIẾN THÌN</v>
      </c>
      <c r="F1108" s="46" t="str">
        <f ca="1">IFERROR(__xludf.DUMMYFUNCTION("""COMPUTED_VALUE"""),"LE TIEN THIN")</f>
        <v>LE TIEN THIN</v>
      </c>
      <c r="G1108" s="45">
        <f ca="1">IFERROR(__xludf.DUMMYFUNCTION("""COMPUTED_VALUE"""),36714.5833333333)</f>
        <v>36714.583333333299</v>
      </c>
      <c r="H1108" s="45" t="str">
        <f ca="1">IFERROR(__xludf.DUMMYFUNCTION("""COMPUTED_VALUE"""),"TLC")</f>
        <v>TLC</v>
      </c>
      <c r="I1108" s="46" t="str">
        <f ca="1">IFERROR(__xludf.DUMMYFUNCTION("""COMPUTED_VALUE"""),"HO")</f>
        <v>HO</v>
      </c>
      <c r="J1108" s="46" t="str">
        <f ca="1">IFERROR(__xludf.DUMMYFUNCTION("""COMPUTED_VALUE"""),"HRD")</f>
        <v>HRD</v>
      </c>
      <c r="K1108" s="46" t="str">
        <f ca="1">IFERROR(__xludf.DUMMYFUNCTION("""COMPUTED_VALUE"""),"HRD")</f>
        <v>HRD</v>
      </c>
      <c r="L1108" s="46" t="str">
        <f ca="1">IFERROR(__xludf.DUMMYFUNCTION("""COMPUTED_VALUE"""),"PRO")</f>
        <v>PRO</v>
      </c>
      <c r="M1108" s="46" t="str">
        <f ca="1">IFERROR(__xludf.DUMMYFUNCTION("""COMPUTED_VALUE"""),"Leave")</f>
        <v>Leave</v>
      </c>
      <c r="N1108" s="46" t="str">
        <f ca="1">IFERROR(__xludf.DUMMYFUNCTION("""COMPUTED_VALUE"""),"đủ")</f>
        <v>đủ</v>
      </c>
    </row>
    <row r="1109" spans="1:14">
      <c r="A1109" s="45">
        <f ca="1">IFERROR(__xludf.DUMMYFUNCTION("""COMPUTED_VALUE"""),45888.5833333333)</f>
        <v>45888.583333333299</v>
      </c>
      <c r="B1109" s="45">
        <f ca="1">IFERROR(__xludf.DUMMYFUNCTION("""COMPUTED_VALUE"""),45945.5833333333)</f>
        <v>45945.583333333299</v>
      </c>
      <c r="C1109" s="46">
        <f ca="1">IFERROR(__xludf.DUMMYFUNCTION("""COMPUTED_VALUE"""),1110)</f>
        <v>1110</v>
      </c>
      <c r="D1109" s="47" t="str">
        <f ca="1">IFERROR(__xludf.DUMMYFUNCTION("""COMPUTED_VALUE"""),"C0899")</f>
        <v>C0899</v>
      </c>
      <c r="E1109" s="46" t="str">
        <f ca="1">IFERROR(__xludf.DUMMYFUNCTION("""COMPUTED_VALUE"""),"TRẦN THỊ THANH HẰNG")</f>
        <v>TRẦN THỊ THANH HẰNG</v>
      </c>
      <c r="F1109" s="46" t="str">
        <f ca="1">IFERROR(__xludf.DUMMYFUNCTION("""COMPUTED_VALUE"""),"TRAN THI THANH HANG")</f>
        <v>TRAN THI THANH HANG</v>
      </c>
      <c r="G1109" s="45">
        <f ca="1">IFERROR(__xludf.DUMMYFUNCTION("""COMPUTED_VALUE"""),33433.5833333333)</f>
        <v>33433.583333333299</v>
      </c>
      <c r="H1109" s="45" t="str">
        <f ca="1">IFERROR(__xludf.DUMMYFUNCTION("""COMPUTED_VALUE"""),"BAKES")</f>
        <v>BAKES</v>
      </c>
      <c r="I1109" s="46" t="str">
        <f ca="1">IFERROR(__xludf.DUMMYFUNCTION("""COMPUTED_VALUE"""),"HO")</f>
        <v>HO</v>
      </c>
      <c r="J1109" s="46" t="str">
        <f ca="1">IFERROR(__xludf.DUMMYFUNCTION("""COMPUTED_VALUE"""),"SAL")</f>
        <v>SAL</v>
      </c>
      <c r="K1109" s="46" t="str">
        <f ca="1">IFERROR(__xludf.DUMMYFUNCTION("""COMPUTED_VALUE"""),"SAL")</f>
        <v>SAL</v>
      </c>
      <c r="L1109" s="46" t="str">
        <f ca="1">IFERROR(__xludf.DUMMYFUNCTION("""COMPUTED_VALUE"""),"SER")</f>
        <v>SER</v>
      </c>
      <c r="M1109" s="46" t="str">
        <f ca="1">IFERROR(__xludf.DUMMYFUNCTION("""COMPUTED_VALUE"""),"Leave")</f>
        <v>Leave</v>
      </c>
      <c r="N1109" s="46" t="str">
        <f ca="1">IFERROR(__xludf.DUMMYFUNCTION("""COMPUTED_VALUE"""),"đủ")</f>
        <v>đủ</v>
      </c>
    </row>
    <row r="1110" spans="1:14">
      <c r="A1110" s="45">
        <f ca="1">IFERROR(__xludf.DUMMYFUNCTION("""COMPUTED_VALUE"""),45884.5833333333)</f>
        <v>45884.583333333299</v>
      </c>
      <c r="B1110" s="45">
        <f ca="1">IFERROR(__xludf.DUMMYFUNCTION("""COMPUTED_VALUE"""),46082.625)</f>
        <v>46082.625</v>
      </c>
      <c r="C1110" s="46">
        <f ca="1">IFERROR(__xludf.DUMMYFUNCTION("""COMPUTED_VALUE"""),1111)</f>
        <v>1111</v>
      </c>
      <c r="D1110" s="47" t="str">
        <f ca="1">IFERROR(__xludf.DUMMYFUNCTION("""COMPUTED_VALUE"""),"C0900")</f>
        <v>C0900</v>
      </c>
      <c r="E1110" s="46" t="str">
        <f ca="1">IFERROR(__xludf.DUMMYFUNCTION("""COMPUTED_VALUE"""),"DƯƠNG GIA HƯNG")</f>
        <v>DƯƠNG GIA HƯNG</v>
      </c>
      <c r="F1110" s="46" t="str">
        <f ca="1">IFERROR(__xludf.DUMMYFUNCTION("""COMPUTED_VALUE"""),"DUONG GIA HUNG")</f>
        <v>DUONG GIA HUNG</v>
      </c>
      <c r="G1110" s="45">
        <f ca="1">IFERROR(__xludf.DUMMYFUNCTION("""COMPUTED_VALUE"""),37195.625)</f>
        <v>37195.625</v>
      </c>
      <c r="H1110" s="45" t="str">
        <f ca="1">IFERROR(__xludf.DUMMYFUNCTION("""COMPUTED_VALUE"""),"BAKES")</f>
        <v>BAKES</v>
      </c>
      <c r="I1110" s="46" t="str">
        <f ca="1">IFERROR(__xludf.DUMMYFUNCTION("""COMPUTED_VALUE"""),"STORE")</f>
        <v>STORE</v>
      </c>
      <c r="J1110" s="46" t="str">
        <f ca="1">IFERROR(__xludf.DUMMYFUNCTION("""COMPUTED_VALUE"""),"BAKES D7")</f>
        <v>BAKES D7</v>
      </c>
      <c r="K1110" s="46" t="str">
        <f ca="1">IFERROR(__xludf.DUMMYFUNCTION("""COMPUTED_VALUE"""),"WAITSTAFF")</f>
        <v>WAITSTAFF</v>
      </c>
      <c r="L1110" s="46" t="str">
        <f ca="1">IFERROR(__xludf.DUMMYFUNCTION("""COMPUTED_VALUE"""),"PTE")</f>
        <v>PTE</v>
      </c>
      <c r="M1110" s="46" t="str">
        <f ca="1">IFERROR(__xludf.DUMMYFUNCTION("""COMPUTED_VALUE"""),"Leave")</f>
        <v>Leave</v>
      </c>
      <c r="N1110" s="46" t="str">
        <f ca="1">IFERROR(__xludf.DUMMYFUNCTION("""COMPUTED_VALUE"""),"đủ")</f>
        <v>đủ</v>
      </c>
    </row>
    <row r="1111" spans="1:14">
      <c r="A1111" s="45">
        <f ca="1">IFERROR(__xludf.DUMMYFUNCTION("""COMPUTED_VALUE"""),45884.5833333333)</f>
        <v>45884.583333333299</v>
      </c>
      <c r="B1111" s="45">
        <f ca="1">IFERROR(__xludf.DUMMYFUNCTION("""COMPUTED_VALUE"""),45961.5833333333)</f>
        <v>45961.583333333299</v>
      </c>
      <c r="C1111" s="46">
        <f ca="1">IFERROR(__xludf.DUMMYFUNCTION("""COMPUTED_VALUE"""),1112)</f>
        <v>1112</v>
      </c>
      <c r="D1111" s="47" t="str">
        <f ca="1">IFERROR(__xludf.DUMMYFUNCTION("""COMPUTED_VALUE"""),"C0901")</f>
        <v>C0901</v>
      </c>
      <c r="E1111" s="46" t="str">
        <f ca="1">IFERROR(__xludf.DUMMYFUNCTION("""COMPUTED_VALUE"""),"NGUYỄN THỊ NGỌC MINH")</f>
        <v>NGUYỄN THỊ NGỌC MINH</v>
      </c>
      <c r="F1111" s="46" t="str">
        <f ca="1">IFERROR(__xludf.DUMMYFUNCTION("""COMPUTED_VALUE"""),"NGUYEN THI NGOC MINH")</f>
        <v>NGUYEN THI NGOC MINH</v>
      </c>
      <c r="G1111" s="45">
        <f ca="1">IFERROR(__xludf.DUMMYFUNCTION("""COMPUTED_VALUE"""),36252.625)</f>
        <v>36252.625</v>
      </c>
      <c r="H1111" s="45" t="str">
        <f ca="1">IFERROR(__xludf.DUMMYFUNCTION("""COMPUTED_VALUE"""),"MOONCAKE")</f>
        <v>MOONCAKE</v>
      </c>
      <c r="I1111" s="46" t="str">
        <f ca="1">IFERROR(__xludf.DUMMYFUNCTION("""COMPUTED_VALUE"""),"STORE")</f>
        <v>STORE</v>
      </c>
      <c r="J1111" s="46" t="str">
        <f ca="1">IFERROR(__xludf.DUMMYFUNCTION("""COMPUTED_VALUE"""),"VIVOCITY")</f>
        <v>VIVOCITY</v>
      </c>
      <c r="K1111" s="46" t="str">
        <f ca="1">IFERROR(__xludf.DUMMYFUNCTION("""COMPUTED_VALUE"""),"SAL")</f>
        <v>SAL</v>
      </c>
      <c r="L1111" s="46" t="str">
        <f ca="1">IFERROR(__xludf.DUMMYFUNCTION("""COMPUTED_VALUE"""),"PTE")</f>
        <v>PTE</v>
      </c>
      <c r="M1111" s="46" t="str">
        <f ca="1">IFERROR(__xludf.DUMMYFUNCTION("""COMPUTED_VALUE"""),"Leave")</f>
        <v>Leave</v>
      </c>
      <c r="N1111" s="46" t="str">
        <f ca="1">IFERROR(__xludf.DUMMYFUNCTION("""COMPUTED_VALUE"""),"đủ")</f>
        <v>đủ</v>
      </c>
    </row>
    <row r="1112" spans="1:14">
      <c r="A1112" s="45">
        <f ca="1">IFERROR(__xludf.DUMMYFUNCTION("""COMPUTED_VALUE"""),45884.5833333333)</f>
        <v>45884.583333333299</v>
      </c>
      <c r="B1112" s="45">
        <f ca="1">IFERROR(__xludf.DUMMYFUNCTION("""COMPUTED_VALUE"""),45961.5833333333)</f>
        <v>45961.583333333299</v>
      </c>
      <c r="C1112" s="46">
        <f ca="1">IFERROR(__xludf.DUMMYFUNCTION("""COMPUTED_VALUE"""),1113)</f>
        <v>1113</v>
      </c>
      <c r="D1112" s="47" t="str">
        <f ca="1">IFERROR(__xludf.DUMMYFUNCTION("""COMPUTED_VALUE"""),"C0902")</f>
        <v>C0902</v>
      </c>
      <c r="E1112" s="46" t="str">
        <f ca="1">IFERROR(__xludf.DUMMYFUNCTION("""COMPUTED_VALUE"""),"CHUNG LÝ XUÂN THẢO")</f>
        <v>CHUNG LÝ XUÂN THẢO</v>
      </c>
      <c r="F1112" s="46" t="str">
        <f ca="1">IFERROR(__xludf.DUMMYFUNCTION("""COMPUTED_VALUE"""),"CHUNG LY XUAN THAO")</f>
        <v>CHUNG LY XUAN THAO</v>
      </c>
      <c r="G1112" s="45">
        <f ca="1">IFERROR(__xludf.DUMMYFUNCTION("""COMPUTED_VALUE"""),39080.625)</f>
        <v>39080.625</v>
      </c>
      <c r="H1112" s="45" t="str">
        <f ca="1">IFERROR(__xludf.DUMMYFUNCTION("""COMPUTED_VALUE"""),"MOONCAKE")</f>
        <v>MOONCAKE</v>
      </c>
      <c r="I1112" s="46" t="str">
        <f ca="1">IFERROR(__xludf.DUMMYFUNCTION("""COMPUTED_VALUE"""),"STORE")</f>
        <v>STORE</v>
      </c>
      <c r="J1112" s="46" t="str">
        <f ca="1">IFERROR(__xludf.DUMMYFUNCTION("""COMPUTED_VALUE"""),"VIVOCITY")</f>
        <v>VIVOCITY</v>
      </c>
      <c r="K1112" s="46" t="str">
        <f ca="1">IFERROR(__xludf.DUMMYFUNCTION("""COMPUTED_VALUE"""),"SAL")</f>
        <v>SAL</v>
      </c>
      <c r="L1112" s="46" t="str">
        <f ca="1">IFERROR(__xludf.DUMMYFUNCTION("""COMPUTED_VALUE"""),"PTE")</f>
        <v>PTE</v>
      </c>
      <c r="M1112" s="46" t="str">
        <f ca="1">IFERROR(__xludf.DUMMYFUNCTION("""COMPUTED_VALUE"""),"Leave")</f>
        <v>Leave</v>
      </c>
      <c r="N1112" s="46" t="str">
        <f ca="1">IFERROR(__xludf.DUMMYFUNCTION("""COMPUTED_VALUE"""),"đủ")</f>
        <v>đủ</v>
      </c>
    </row>
    <row r="1113" spans="1:14">
      <c r="A1113" s="45">
        <f ca="1">IFERROR(__xludf.DUMMYFUNCTION("""COMPUTED_VALUE"""),45887.5833333333)</f>
        <v>45887.583333333299</v>
      </c>
      <c r="B1113" s="45">
        <f ca="1">IFERROR(__xludf.DUMMYFUNCTION("""COMPUTED_VALUE"""),45961.5833333333)</f>
        <v>45961.583333333299</v>
      </c>
      <c r="C1113" s="46">
        <f ca="1">IFERROR(__xludf.DUMMYFUNCTION("""COMPUTED_VALUE"""),1114)</f>
        <v>1114</v>
      </c>
      <c r="D1113" s="47" t="str">
        <f ca="1">IFERROR(__xludf.DUMMYFUNCTION("""COMPUTED_VALUE"""),"C0903")</f>
        <v>C0903</v>
      </c>
      <c r="E1113" s="46" t="str">
        <f ca="1">IFERROR(__xludf.DUMMYFUNCTION("""COMPUTED_VALUE"""),"NGUYỄN MINH HUY")</f>
        <v>NGUYỄN MINH HUY</v>
      </c>
      <c r="F1113" s="46" t="str">
        <f ca="1">IFERROR(__xludf.DUMMYFUNCTION("""COMPUTED_VALUE"""),"NGUYEN MINH HUY")</f>
        <v>NGUYEN MINH HUY</v>
      </c>
      <c r="G1113" s="45">
        <f ca="1">IFERROR(__xludf.DUMMYFUNCTION("""COMPUTED_VALUE"""),37732.5833333333)</f>
        <v>37732.583333333299</v>
      </c>
      <c r="H1113" s="45" t="str">
        <f ca="1">IFERROR(__xludf.DUMMYFUNCTION("""COMPUTED_VALUE"""),"MOONCAKE")</f>
        <v>MOONCAKE</v>
      </c>
      <c r="I1113" s="46" t="str">
        <f ca="1">IFERROR(__xludf.DUMMYFUNCTION("""COMPUTED_VALUE"""),"STORE")</f>
        <v>STORE</v>
      </c>
      <c r="J1113" s="46" t="str">
        <f ca="1">IFERROR(__xludf.DUMMYFUNCTION("""COMPUTED_VALUE"""),"SAIGON CENTRE")</f>
        <v>SAIGON CENTRE</v>
      </c>
      <c r="K1113" s="46" t="str">
        <f ca="1">IFERROR(__xludf.DUMMYFUNCTION("""COMPUTED_VALUE"""),"SAL")</f>
        <v>SAL</v>
      </c>
      <c r="L1113" s="46" t="str">
        <f ca="1">IFERROR(__xludf.DUMMYFUNCTION("""COMPUTED_VALUE"""),"PTE")</f>
        <v>PTE</v>
      </c>
      <c r="M1113" s="46" t="str">
        <f ca="1">IFERROR(__xludf.DUMMYFUNCTION("""COMPUTED_VALUE"""),"Leave")</f>
        <v>Leave</v>
      </c>
      <c r="N1113" s="46" t="str">
        <f ca="1">IFERROR(__xludf.DUMMYFUNCTION("""COMPUTED_VALUE"""),"đủ")</f>
        <v>đủ</v>
      </c>
    </row>
    <row r="1114" spans="1:14">
      <c r="A1114" s="45">
        <f ca="1">IFERROR(__xludf.DUMMYFUNCTION("""COMPUTED_VALUE"""),45887.5833333333)</f>
        <v>45887.583333333299</v>
      </c>
      <c r="B1114" s="45"/>
      <c r="C1114" s="46">
        <f ca="1">IFERROR(__xludf.DUMMYFUNCTION("""COMPUTED_VALUE"""),1115)</f>
        <v>1115</v>
      </c>
      <c r="D1114" s="47" t="str">
        <f ca="1">IFERROR(__xludf.DUMMYFUNCTION("""COMPUTED_VALUE"""),"C0905")</f>
        <v>C0905</v>
      </c>
      <c r="E1114" s="46" t="str">
        <f ca="1">IFERROR(__xludf.DUMMYFUNCTION("""COMPUTED_VALUE"""),"NGUYỄN SONG KHÁNH VÂN")</f>
        <v>NGUYỄN SONG KHÁNH VÂN</v>
      </c>
      <c r="F1114" s="46" t="str">
        <f ca="1">IFERROR(__xludf.DUMMYFUNCTION("""COMPUTED_VALUE"""),"NGUYEN SONG KHANH VAN")</f>
        <v>NGUYEN SONG KHANH VAN</v>
      </c>
      <c r="G1114" s="45">
        <f ca="1">IFERROR(__xludf.DUMMYFUNCTION("""COMPUTED_VALUE"""),37544.5833333333)</f>
        <v>37544.583333333299</v>
      </c>
      <c r="H1114" s="45" t="str">
        <f ca="1">IFERROR(__xludf.DUMMYFUNCTION("""COMPUTED_VALUE"""),"TLC")</f>
        <v>TLC</v>
      </c>
      <c r="I1114" s="46" t="str">
        <f ca="1">IFERROR(__xludf.DUMMYFUNCTION("""COMPUTED_VALUE"""),"STORE")</f>
        <v>STORE</v>
      </c>
      <c r="J1114" s="46" t="str">
        <f ca="1">IFERROR(__xludf.DUMMYFUNCTION("""COMPUTED_VALUE"""),"BLANK LOUNGE")</f>
        <v>BLANK LOUNGE</v>
      </c>
      <c r="K1114" s="46" t="str">
        <f ca="1">IFERROR(__xludf.DUMMYFUNCTION("""COMPUTED_VALUE"""),"WAITSTAFF")</f>
        <v>WAITSTAFF</v>
      </c>
      <c r="L1114" s="46" t="str">
        <f ca="1">IFERROR(__xludf.DUMMYFUNCTION("""COMPUTED_VALUE"""),"PTE")</f>
        <v>PTE</v>
      </c>
      <c r="M1114" s="46" t="str">
        <f ca="1">IFERROR(__xludf.DUMMYFUNCTION("""COMPUTED_VALUE"""),"On")</f>
        <v>On</v>
      </c>
      <c r="N1114" s="46" t="str">
        <f ca="1">IFERROR(__xludf.DUMMYFUNCTION("""COMPUTED_VALUE"""),"đủ")</f>
        <v>đủ</v>
      </c>
    </row>
    <row r="1115" spans="1:14">
      <c r="A1115" s="45">
        <f ca="1">IFERROR(__xludf.DUMMYFUNCTION("""COMPUTED_VALUE"""),45887.5833333333)</f>
        <v>45887.583333333299</v>
      </c>
      <c r="B1115" s="45">
        <f ca="1">IFERROR(__xludf.DUMMYFUNCTION("""COMPUTED_VALUE"""),46144.5833333333)</f>
        <v>46144.583333333299</v>
      </c>
      <c r="C1115" s="46">
        <f ca="1">IFERROR(__xludf.DUMMYFUNCTION("""COMPUTED_VALUE"""),1116)</f>
        <v>1116</v>
      </c>
      <c r="D1115" s="47" t="str">
        <f ca="1">IFERROR(__xludf.DUMMYFUNCTION("""COMPUTED_VALUE"""),"C0906")</f>
        <v>C0906</v>
      </c>
      <c r="E1115" s="46" t="str">
        <f ca="1">IFERROR(__xludf.DUMMYFUNCTION("""COMPUTED_VALUE"""),"KOAN TÚ VI")</f>
        <v>KOAN TÚ VI</v>
      </c>
      <c r="F1115" s="46" t="str">
        <f ca="1">IFERROR(__xludf.DUMMYFUNCTION("""COMPUTED_VALUE"""),"KOAN TU VI")</f>
        <v>KOAN TU VI</v>
      </c>
      <c r="G1115" s="45">
        <f ca="1">IFERROR(__xludf.DUMMYFUNCTION("""COMPUTED_VALUE"""),36749.5833333333)</f>
        <v>36749.583333333299</v>
      </c>
      <c r="H1115" s="45" t="str">
        <f ca="1">IFERROR(__xludf.DUMMYFUNCTION("""COMPUTED_VALUE"""),"MATTE")</f>
        <v>MATTE</v>
      </c>
      <c r="I1115" s="46" t="str">
        <f ca="1">IFERROR(__xludf.DUMMYFUNCTION("""COMPUTED_VALUE"""),"STORE")</f>
        <v>STORE</v>
      </c>
      <c r="J1115" s="45" t="str">
        <f ca="1">IFERROR(__xludf.DUMMYFUNCTION("""COMPUTED_VALUE"""),"MATTE D3")</f>
        <v>MATTE D3</v>
      </c>
      <c r="K1115" s="46" t="str">
        <f ca="1">IFERROR(__xludf.DUMMYFUNCTION("""COMPUTED_VALUE"""),"BAR")</f>
        <v>BAR</v>
      </c>
      <c r="L1115" s="46" t="str">
        <f ca="1">IFERROR(__xludf.DUMMYFUNCTION("""COMPUTED_VALUE"""),"FTE")</f>
        <v>FTE</v>
      </c>
      <c r="M1115" s="46" t="str">
        <f ca="1">IFERROR(__xludf.DUMMYFUNCTION("""COMPUTED_VALUE"""),"Leave")</f>
        <v>Leave</v>
      </c>
      <c r="N1115" s="46" t="str">
        <f ca="1">IFERROR(__xludf.DUMMYFUNCTION("""COMPUTED_VALUE"""),"đủ")</f>
        <v>đủ</v>
      </c>
    </row>
    <row r="1116" spans="1:14">
      <c r="A1116" s="45">
        <f ca="1">IFERROR(__xludf.DUMMYFUNCTION("""COMPUTED_VALUE"""),45887.5833333333)</f>
        <v>45887.583333333299</v>
      </c>
      <c r="B1116" s="45">
        <f ca="1">IFERROR(__xludf.DUMMYFUNCTION("""COMPUTED_VALUE"""),45887.5833333333)</f>
        <v>45887.583333333299</v>
      </c>
      <c r="C1116" s="46">
        <f ca="1">IFERROR(__xludf.DUMMYFUNCTION("""COMPUTED_VALUE"""),1117)</f>
        <v>1117</v>
      </c>
      <c r="D1116" s="47" t="str">
        <f ca="1">IFERROR(__xludf.DUMMYFUNCTION("""COMPUTED_VALUE"""),"C0907")</f>
        <v>C0907</v>
      </c>
      <c r="E1116" s="46" t="str">
        <f ca="1">IFERROR(__xludf.DUMMYFUNCTION("""COMPUTED_VALUE"""),"NGUYỄN NGỌC TRÂM ANH")</f>
        <v>NGUYỄN NGỌC TRÂM ANH</v>
      </c>
      <c r="F1116" s="46" t="str">
        <f ca="1">IFERROR(__xludf.DUMMYFUNCTION("""COMPUTED_VALUE"""),"NGUYEN NGOC TRAM ANH")</f>
        <v>NGUYEN NGOC TRAM ANH</v>
      </c>
      <c r="G1116" s="45">
        <f ca="1">IFERROR(__xludf.DUMMYFUNCTION("""COMPUTED_VALUE"""),38494.5833333333)</f>
        <v>38494.583333333299</v>
      </c>
      <c r="H1116" s="45" t="str">
        <f ca="1">IFERROR(__xludf.DUMMYFUNCTION("""COMPUTED_VALUE"""),"MOONCAKE")</f>
        <v>MOONCAKE</v>
      </c>
      <c r="I1116" s="46" t="str">
        <f ca="1">IFERROR(__xludf.DUMMYFUNCTION("""COMPUTED_VALUE"""),"KITCHEN PASTRY")</f>
        <v>KITCHEN PASTRY</v>
      </c>
      <c r="J1116" s="45" t="str">
        <f ca="1">IFERROR(__xludf.DUMMYFUNCTION("""COMPUTED_VALUE"""),"KITCHEN PASTRY")</f>
        <v>KITCHEN PASTRY</v>
      </c>
      <c r="K1116" s="46" t="str">
        <f ca="1">IFERROR(__xludf.DUMMYFUNCTION("""COMPUTED_VALUE"""),"PASTRY")</f>
        <v>PASTRY</v>
      </c>
      <c r="L1116" s="46" t="str">
        <f ca="1">IFERROR(__xludf.DUMMYFUNCTION("""COMPUTED_VALUE"""),"PTE")</f>
        <v>PTE</v>
      </c>
      <c r="M1116" s="46" t="str">
        <f ca="1">IFERROR(__xludf.DUMMYFUNCTION("""COMPUTED_VALUE"""),"Leave")</f>
        <v>Leave</v>
      </c>
      <c r="N1116" s="46" t="str">
        <f ca="1">IFERROR(__xludf.DUMMYFUNCTION("""COMPUTED_VALUE"""),"chua nop")</f>
        <v>chua nop</v>
      </c>
    </row>
    <row r="1117" spans="1:14">
      <c r="A1117" s="45">
        <f ca="1">IFERROR(__xludf.DUMMYFUNCTION("""COMPUTED_VALUE"""),45887.5833333333)</f>
        <v>45887.583333333299</v>
      </c>
      <c r="B1117" s="45">
        <f ca="1">IFERROR(__xludf.DUMMYFUNCTION("""COMPUTED_VALUE"""),45932.5833333333)</f>
        <v>45932.583333333299</v>
      </c>
      <c r="C1117" s="46">
        <f ca="1">IFERROR(__xludf.DUMMYFUNCTION("""COMPUTED_VALUE"""),1118)</f>
        <v>1118</v>
      </c>
      <c r="D1117" s="47" t="str">
        <f ca="1">IFERROR(__xludf.DUMMYFUNCTION("""COMPUTED_VALUE"""),"C0908")</f>
        <v>C0908</v>
      </c>
      <c r="E1117" s="46" t="str">
        <f ca="1">IFERROR(__xludf.DUMMYFUNCTION("""COMPUTED_VALUE"""),"GIANG THỊ THU HƯƠNG")</f>
        <v>GIANG THỊ THU HƯƠNG</v>
      </c>
      <c r="F1117" s="46" t="str">
        <f ca="1">IFERROR(__xludf.DUMMYFUNCTION("""COMPUTED_VALUE"""),"GIANG THI THU HUONG")</f>
        <v>GIANG THI THU HUONG</v>
      </c>
      <c r="G1117" s="45">
        <f ca="1">IFERROR(__xludf.DUMMYFUNCTION("""COMPUTED_VALUE"""),37324.625)</f>
        <v>37324.625</v>
      </c>
      <c r="H1117" s="45" t="str">
        <f ca="1">IFERROR(__xludf.DUMMYFUNCTION("""COMPUTED_VALUE"""),"MOONCAKE")</f>
        <v>MOONCAKE</v>
      </c>
      <c r="I1117" s="46" t="str">
        <f ca="1">IFERROR(__xludf.DUMMYFUNCTION("""COMPUTED_VALUE"""),"KITCHEN PASTRY")</f>
        <v>KITCHEN PASTRY</v>
      </c>
      <c r="J1117" s="46" t="str">
        <f ca="1">IFERROR(__xludf.DUMMYFUNCTION("""COMPUTED_VALUE"""),"KITCHEN PASTRY")</f>
        <v>KITCHEN PASTRY</v>
      </c>
      <c r="K1117" s="46" t="str">
        <f ca="1">IFERROR(__xludf.DUMMYFUNCTION("""COMPUTED_VALUE"""),"PASTRY")</f>
        <v>PASTRY</v>
      </c>
      <c r="L1117" s="46" t="str">
        <f ca="1">IFERROR(__xludf.DUMMYFUNCTION("""COMPUTED_VALUE"""),"PTE")</f>
        <v>PTE</v>
      </c>
      <c r="M1117" s="46" t="str">
        <f ca="1">IFERROR(__xludf.DUMMYFUNCTION("""COMPUTED_VALUE"""),"Leave")</f>
        <v>Leave</v>
      </c>
      <c r="N1117" s="46" t="str">
        <f ca="1">IFERROR(__xludf.DUMMYFUNCTION("""COMPUTED_VALUE"""),"đủ")</f>
        <v>đủ</v>
      </c>
    </row>
    <row r="1118" spans="1:14">
      <c r="A1118" s="45">
        <f ca="1">IFERROR(__xludf.DUMMYFUNCTION("""COMPUTED_VALUE"""),45887.5833333333)</f>
        <v>45887.583333333299</v>
      </c>
      <c r="B1118" s="45">
        <f ca="1">IFERROR(__xludf.DUMMYFUNCTION("""COMPUTED_VALUE"""),45961.5833333333)</f>
        <v>45961.583333333299</v>
      </c>
      <c r="C1118" s="46">
        <f ca="1">IFERROR(__xludf.DUMMYFUNCTION("""COMPUTED_VALUE"""),1119)</f>
        <v>1119</v>
      </c>
      <c r="D1118" s="47" t="str">
        <f ca="1">IFERROR(__xludf.DUMMYFUNCTION("""COMPUTED_VALUE"""),"C0910")</f>
        <v>C0910</v>
      </c>
      <c r="E1118" s="46" t="str">
        <f ca="1">IFERROR(__xludf.DUMMYFUNCTION("""COMPUTED_VALUE"""),"DƯƠNG HOÀNG PHƯƠNG LINH")</f>
        <v>DƯƠNG HOÀNG PHƯƠNG LINH</v>
      </c>
      <c r="F1118" s="46" t="str">
        <f ca="1">IFERROR(__xludf.DUMMYFUNCTION("""COMPUTED_VALUE"""),"DUONG HOANG PHUONG LINH")</f>
        <v>DUONG HOANG PHUONG LINH</v>
      </c>
      <c r="G1118" s="45">
        <f ca="1">IFERROR(__xludf.DUMMYFUNCTION("""COMPUTED_VALUE"""),36852.625)</f>
        <v>36852.625</v>
      </c>
      <c r="H1118" s="45" t="str">
        <f ca="1">IFERROR(__xludf.DUMMYFUNCTION("""COMPUTED_VALUE"""),"WOMEN'S DAY")</f>
        <v>WOMEN'S DAY</v>
      </c>
      <c r="I1118" s="46" t="str">
        <f ca="1">IFERROR(__xludf.DUMMYFUNCTION("""COMPUTED_VALUE"""),"KITCHEN PASTRY")</f>
        <v>KITCHEN PASTRY</v>
      </c>
      <c r="J1118" s="46" t="str">
        <f ca="1">IFERROR(__xludf.DUMMYFUNCTION("""COMPUTED_VALUE"""),"KITCHEN PASTRY")</f>
        <v>KITCHEN PASTRY</v>
      </c>
      <c r="K1118" s="46" t="str">
        <f ca="1">IFERROR(__xludf.DUMMYFUNCTION("""COMPUTED_VALUE"""),"PACKAGING")</f>
        <v>PACKAGING</v>
      </c>
      <c r="L1118" s="46" t="str">
        <f ca="1">IFERROR(__xludf.DUMMYFUNCTION("""COMPUTED_VALUE"""),"PTEP")</f>
        <v>PTEP</v>
      </c>
      <c r="M1118" s="46" t="str">
        <f ca="1">IFERROR(__xludf.DUMMYFUNCTION("""COMPUTED_VALUE"""),"Leave")</f>
        <v>Leave</v>
      </c>
      <c r="N1118" s="46" t="str">
        <f ca="1">IFERROR(__xludf.DUMMYFUNCTION("""COMPUTED_VALUE"""),"đủ")</f>
        <v>đủ</v>
      </c>
    </row>
    <row r="1119" spans="1:14">
      <c r="A1119" s="45">
        <f ca="1">IFERROR(__xludf.DUMMYFUNCTION("""COMPUTED_VALUE"""),45889.5833333333)</f>
        <v>45889.583333333299</v>
      </c>
      <c r="B1119" s="45">
        <f ca="1">IFERROR(__xludf.DUMMYFUNCTION("""COMPUTED_VALUE"""),45890.5833333333)</f>
        <v>45890.583333333299</v>
      </c>
      <c r="C1119" s="46">
        <f ca="1">IFERROR(__xludf.DUMMYFUNCTION("""COMPUTED_VALUE"""),1120)</f>
        <v>1120</v>
      </c>
      <c r="D1119" s="47" t="str">
        <f ca="1">IFERROR(__xludf.DUMMYFUNCTION("""COMPUTED_VALUE"""),"C0911")</f>
        <v>C0911</v>
      </c>
      <c r="E1119" s="46" t="str">
        <f ca="1">IFERROR(__xludf.DUMMYFUNCTION("""COMPUTED_VALUE"""),"PHẠM LÊ XUÂN TRANG")</f>
        <v>PHẠM LÊ XUÂN TRANG</v>
      </c>
      <c r="F1119" s="46" t="str">
        <f ca="1">IFERROR(__xludf.DUMMYFUNCTION("""COMPUTED_VALUE"""),"PHAM LE XUAN TRANG")</f>
        <v>PHAM LE XUAN TRANG</v>
      </c>
      <c r="G1119" s="45"/>
      <c r="H1119" s="45" t="str">
        <f ca="1">IFERROR(__xludf.DUMMYFUNCTION("""COMPUTED_VALUE"""),"MOONCAKE")</f>
        <v>MOONCAKE</v>
      </c>
      <c r="I1119" s="46" t="str">
        <f ca="1">IFERROR(__xludf.DUMMYFUNCTION("""COMPUTED_VALUE"""),"KITCHEN PASTRY")</f>
        <v>KITCHEN PASTRY</v>
      </c>
      <c r="J1119" s="46" t="str">
        <f ca="1">IFERROR(__xludf.DUMMYFUNCTION("""COMPUTED_VALUE"""),"KITCHEN PASTRY")</f>
        <v>KITCHEN PASTRY</v>
      </c>
      <c r="K1119" s="46" t="str">
        <f ca="1">IFERROR(__xludf.DUMMYFUNCTION("""COMPUTED_VALUE"""),"PACKAGING")</f>
        <v>PACKAGING</v>
      </c>
      <c r="L1119" s="46" t="str">
        <f ca="1">IFERROR(__xludf.DUMMYFUNCTION("""COMPUTED_VALUE"""),"PTE")</f>
        <v>PTE</v>
      </c>
      <c r="M1119" s="46" t="str">
        <f ca="1">IFERROR(__xludf.DUMMYFUNCTION("""COMPUTED_VALUE"""),"Leave")</f>
        <v>Leave</v>
      </c>
      <c r="N1119" s="46" t="str">
        <f ca="1">IFERROR(__xludf.DUMMYFUNCTION("""COMPUTED_VALUE"""),"chua nop")</f>
        <v>chua nop</v>
      </c>
    </row>
    <row r="1120" spans="1:14">
      <c r="A1120" s="45">
        <f ca="1">IFERROR(__xludf.DUMMYFUNCTION("""COMPUTED_VALUE"""),45888.5833333333)</f>
        <v>45888.583333333299</v>
      </c>
      <c r="B1120" s="45">
        <f ca="1">IFERROR(__xludf.DUMMYFUNCTION("""COMPUTED_VALUE"""),45931.5833333333)</f>
        <v>45931.583333333299</v>
      </c>
      <c r="C1120" s="46">
        <f ca="1">IFERROR(__xludf.DUMMYFUNCTION("""COMPUTED_VALUE"""),1121)</f>
        <v>1121</v>
      </c>
      <c r="D1120" s="47" t="str">
        <f ca="1">IFERROR(__xludf.DUMMYFUNCTION("""COMPUTED_VALUE"""),"C0912")</f>
        <v>C0912</v>
      </c>
      <c r="E1120" s="46" t="str">
        <f ca="1">IFERROR(__xludf.DUMMYFUNCTION("""COMPUTED_VALUE"""),"DƯƠNG THỊ PHƯƠNG ANH")</f>
        <v>DƯƠNG THỊ PHƯƠNG ANH</v>
      </c>
      <c r="F1120" s="46" t="str">
        <f ca="1">IFERROR(__xludf.DUMMYFUNCTION("""COMPUTED_VALUE"""),"DUONG THI PHUONG ANH")</f>
        <v>DUONG THI PHUONG ANH</v>
      </c>
      <c r="G1120" s="45">
        <f ca="1">IFERROR(__xludf.DUMMYFUNCTION("""COMPUTED_VALUE"""),39078.625)</f>
        <v>39078.625</v>
      </c>
      <c r="H1120" s="45" t="str">
        <f ca="1">IFERROR(__xludf.DUMMYFUNCTION("""COMPUTED_VALUE"""),"MATTE")</f>
        <v>MATTE</v>
      </c>
      <c r="I1120" s="46" t="str">
        <f ca="1">IFERROR(__xludf.DUMMYFUNCTION("""COMPUTED_VALUE"""),"STORE")</f>
        <v>STORE</v>
      </c>
      <c r="J1120" s="46" t="str">
        <f ca="1">IFERROR(__xludf.DUMMYFUNCTION("""COMPUTED_VALUE"""),"MATTE D7")</f>
        <v>MATTE D7</v>
      </c>
      <c r="K1120" s="46" t="str">
        <f ca="1">IFERROR(__xludf.DUMMYFUNCTION("""COMPUTED_VALUE"""),"BAR")</f>
        <v>BAR</v>
      </c>
      <c r="L1120" s="46" t="str">
        <f ca="1">IFERROR(__xludf.DUMMYFUNCTION("""COMPUTED_VALUE"""),"PTE")</f>
        <v>PTE</v>
      </c>
      <c r="M1120" s="46" t="str">
        <f ca="1">IFERROR(__xludf.DUMMYFUNCTION("""COMPUTED_VALUE"""),"Leave")</f>
        <v>Leave</v>
      </c>
      <c r="N1120" s="46" t="str">
        <f ca="1">IFERROR(__xludf.DUMMYFUNCTION("""COMPUTED_VALUE"""),"đủ")</f>
        <v>đủ</v>
      </c>
    </row>
    <row r="1121" spans="1:14">
      <c r="A1121" s="45">
        <f ca="1">IFERROR(__xludf.DUMMYFUNCTION("""COMPUTED_VALUE"""),45887.5833333333)</f>
        <v>45887.583333333299</v>
      </c>
      <c r="B1121" s="45">
        <f ca="1">IFERROR(__xludf.DUMMYFUNCTION("""COMPUTED_VALUE"""),45894.5833333333)</f>
        <v>45894.583333333299</v>
      </c>
      <c r="C1121" s="46">
        <f ca="1">IFERROR(__xludf.DUMMYFUNCTION("""COMPUTED_VALUE"""),1122)</f>
        <v>1122</v>
      </c>
      <c r="D1121" s="47" t="str">
        <f ca="1">IFERROR(__xludf.DUMMYFUNCTION("""COMPUTED_VALUE"""),"C0913")</f>
        <v>C0913</v>
      </c>
      <c r="E1121" s="46" t="str">
        <f ca="1">IFERROR(__xludf.DUMMYFUNCTION("""COMPUTED_VALUE"""),"PHỤNG HOÀNG VIẾT THƯ")</f>
        <v>PHỤNG HOÀNG VIẾT THƯ</v>
      </c>
      <c r="F1121" s="46" t="str">
        <f ca="1">IFERROR(__xludf.DUMMYFUNCTION("""COMPUTED_VALUE"""),"PHUNG HOANG VIET THU")</f>
        <v>PHUNG HOANG VIET THU</v>
      </c>
      <c r="G1121" s="45"/>
      <c r="H1121" s="45" t="str">
        <f ca="1">IFERROR(__xludf.DUMMYFUNCTION("""COMPUTED_VALUE"""),"MATTE")</f>
        <v>MATTE</v>
      </c>
      <c r="I1121" s="46" t="str">
        <f ca="1">IFERROR(__xludf.DUMMYFUNCTION("""COMPUTED_VALUE"""),"STORE")</f>
        <v>STORE</v>
      </c>
      <c r="J1121" s="46" t="str">
        <f ca="1">IFERROR(__xludf.DUMMYFUNCTION("""COMPUTED_VALUE"""),"MATTE D3")</f>
        <v>MATTE D3</v>
      </c>
      <c r="K1121" s="46" t="str">
        <f ca="1">IFERROR(__xludf.DUMMYFUNCTION("""COMPUTED_VALUE"""),"BAR")</f>
        <v>BAR</v>
      </c>
      <c r="L1121" s="46" t="str">
        <f ca="1">IFERROR(__xludf.DUMMYFUNCTION("""COMPUTED_VALUE"""),"PRO")</f>
        <v>PRO</v>
      </c>
      <c r="M1121" s="46" t="str">
        <f ca="1">IFERROR(__xludf.DUMMYFUNCTION("""COMPUTED_VALUE"""),"Leave")</f>
        <v>Leave</v>
      </c>
      <c r="N1121" s="46" t="str">
        <f ca="1">IFERROR(__xludf.DUMMYFUNCTION("""COMPUTED_VALUE"""),"chua nop")</f>
        <v>chua nop</v>
      </c>
    </row>
    <row r="1122" spans="1:14">
      <c r="A1122" s="45">
        <f ca="1">IFERROR(__xludf.DUMMYFUNCTION("""COMPUTED_VALUE"""),45888.5833333333)</f>
        <v>45888.583333333299</v>
      </c>
      <c r="B1122" s="45">
        <f ca="1">IFERROR(__xludf.DUMMYFUNCTION("""COMPUTED_VALUE"""),45909.5833333333)</f>
        <v>45909.583333333299</v>
      </c>
      <c r="C1122" s="46">
        <f ca="1">IFERROR(__xludf.DUMMYFUNCTION("""COMPUTED_VALUE"""),1123)</f>
        <v>1123</v>
      </c>
      <c r="D1122" s="47" t="str">
        <f ca="1">IFERROR(__xludf.DUMMYFUNCTION("""COMPUTED_VALUE"""),"C0914")</f>
        <v>C0914</v>
      </c>
      <c r="E1122" s="46" t="str">
        <f ca="1">IFERROR(__xludf.DUMMYFUNCTION("""COMPUTED_VALUE"""),"NGUYỄN MINH ANH")</f>
        <v>NGUYỄN MINH ANH</v>
      </c>
      <c r="F1122" s="46" t="str">
        <f ca="1">IFERROR(__xludf.DUMMYFUNCTION("""COMPUTED_VALUE"""),"NGUYEN MINH ANH")</f>
        <v>NGUYEN MINH ANH</v>
      </c>
      <c r="G1122" s="45">
        <f ca="1">IFERROR(__xludf.DUMMYFUNCTION("""COMPUTED_VALUE"""),38175.5833333333)</f>
        <v>38175.583333333299</v>
      </c>
      <c r="H1122" s="45" t="str">
        <f ca="1">IFERROR(__xludf.DUMMYFUNCTION("""COMPUTED_VALUE"""),"MATTE")</f>
        <v>MATTE</v>
      </c>
      <c r="I1122" s="46" t="str">
        <f ca="1">IFERROR(__xludf.DUMMYFUNCTION("""COMPUTED_VALUE"""),"STORE")</f>
        <v>STORE</v>
      </c>
      <c r="J1122" s="45" t="str">
        <f ca="1">IFERROR(__xludf.DUMMYFUNCTION("""COMPUTED_VALUE"""),"MATTE D3")</f>
        <v>MATTE D3</v>
      </c>
      <c r="K1122" s="46" t="str">
        <f ca="1">IFERROR(__xludf.DUMMYFUNCTION("""COMPUTED_VALUE"""),"BAR")</f>
        <v>BAR</v>
      </c>
      <c r="L1122" s="46" t="str">
        <f ca="1">IFERROR(__xludf.DUMMYFUNCTION("""COMPUTED_VALUE"""),"PTE")</f>
        <v>PTE</v>
      </c>
      <c r="M1122" s="46" t="str">
        <f ca="1">IFERROR(__xludf.DUMMYFUNCTION("""COMPUTED_VALUE"""),"Leave")</f>
        <v>Leave</v>
      </c>
      <c r="N1122" s="46" t="str">
        <f ca="1">IFERROR(__xludf.DUMMYFUNCTION("""COMPUTED_VALUE"""),"Đủ")</f>
        <v>Đủ</v>
      </c>
    </row>
    <row r="1123" spans="1:14">
      <c r="A1123" s="45">
        <f ca="1">IFERROR(__xludf.DUMMYFUNCTION("""COMPUTED_VALUE"""),45891.5833333333)</f>
        <v>45891.583333333299</v>
      </c>
      <c r="B1123" s="45">
        <f ca="1">IFERROR(__xludf.DUMMYFUNCTION("""COMPUTED_VALUE"""),45932.5833333333)</f>
        <v>45932.583333333299</v>
      </c>
      <c r="C1123" s="46">
        <f ca="1">IFERROR(__xludf.DUMMYFUNCTION("""COMPUTED_VALUE"""),1124)</f>
        <v>1124</v>
      </c>
      <c r="D1123" s="47" t="str">
        <f ca="1">IFERROR(__xludf.DUMMYFUNCTION("""COMPUTED_VALUE"""),"C0916")</f>
        <v>C0916</v>
      </c>
      <c r="E1123" s="46" t="str">
        <f ca="1">IFERROR(__xludf.DUMMYFUNCTION("""COMPUTED_VALUE"""),"VŨ NGỌC THẢO ANH")</f>
        <v>VŨ NGỌC THẢO ANH</v>
      </c>
      <c r="F1123" s="46" t="str">
        <f ca="1">IFERROR(__xludf.DUMMYFUNCTION("""COMPUTED_VALUE"""),"VU NGOC THAO ANH")</f>
        <v>VU NGOC THAO ANH</v>
      </c>
      <c r="G1123" s="45">
        <f ca="1">IFERROR(__xludf.DUMMYFUNCTION("""COMPUTED_VALUE"""),37560.625)</f>
        <v>37560.625</v>
      </c>
      <c r="H1123" s="45" t="str">
        <f ca="1">IFERROR(__xludf.DUMMYFUNCTION("""COMPUTED_VALUE"""),"MOONCAKE")</f>
        <v>MOONCAKE</v>
      </c>
      <c r="I1123" s="46" t="str">
        <f ca="1">IFERROR(__xludf.DUMMYFUNCTION("""COMPUTED_VALUE"""),"KITCHEN PASTRY")</f>
        <v>KITCHEN PASTRY</v>
      </c>
      <c r="J1123" s="45" t="str">
        <f ca="1">IFERROR(__xludf.DUMMYFUNCTION("""COMPUTED_VALUE"""),"KITCHEN PASTRY")</f>
        <v>KITCHEN PASTRY</v>
      </c>
      <c r="K1123" s="46" t="str">
        <f ca="1">IFERROR(__xludf.DUMMYFUNCTION("""COMPUTED_VALUE"""),"PACKAGING")</f>
        <v>PACKAGING</v>
      </c>
      <c r="L1123" s="46" t="str">
        <f ca="1">IFERROR(__xludf.DUMMYFUNCTION("""COMPUTED_VALUE"""),"PTE")</f>
        <v>PTE</v>
      </c>
      <c r="M1123" s="46" t="str">
        <f ca="1">IFERROR(__xludf.DUMMYFUNCTION("""COMPUTED_VALUE"""),"Leave")</f>
        <v>Leave</v>
      </c>
      <c r="N1123" s="46" t="str">
        <f ca="1">IFERROR(__xludf.DUMMYFUNCTION("""COMPUTED_VALUE"""),"đủ")</f>
        <v>đủ</v>
      </c>
    </row>
    <row r="1124" spans="1:14">
      <c r="A1124" s="45">
        <f ca="1">IFERROR(__xludf.DUMMYFUNCTION("""COMPUTED_VALUE"""),45891.5833333333)</f>
        <v>45891.583333333299</v>
      </c>
      <c r="B1124" s="45">
        <f ca="1">IFERROR(__xludf.DUMMYFUNCTION("""COMPUTED_VALUE"""),45932.5833333333)</f>
        <v>45932.583333333299</v>
      </c>
      <c r="C1124" s="46">
        <f ca="1">IFERROR(__xludf.DUMMYFUNCTION("""COMPUTED_VALUE"""),1125)</f>
        <v>1125</v>
      </c>
      <c r="D1124" s="47" t="str">
        <f ca="1">IFERROR(__xludf.DUMMYFUNCTION("""COMPUTED_VALUE"""),"C0917")</f>
        <v>C0917</v>
      </c>
      <c r="E1124" s="46" t="str">
        <f ca="1">IFERROR(__xludf.DUMMYFUNCTION("""COMPUTED_VALUE"""),"NGUYỄN VĂN ANH")</f>
        <v>NGUYỄN VĂN ANH</v>
      </c>
      <c r="F1124" s="46" t="str">
        <f ca="1">IFERROR(__xludf.DUMMYFUNCTION("""COMPUTED_VALUE"""),"NGUYEN VAN ANH")</f>
        <v>NGUYEN VAN ANH</v>
      </c>
      <c r="G1124" s="45">
        <f ca="1">IFERROR(__xludf.DUMMYFUNCTION("""COMPUTED_VALUE"""),37695.625)</f>
        <v>37695.625</v>
      </c>
      <c r="H1124" s="45" t="str">
        <f ca="1">IFERROR(__xludf.DUMMYFUNCTION("""COMPUTED_VALUE"""),"MOONCAKE")</f>
        <v>MOONCAKE</v>
      </c>
      <c r="I1124" s="46" t="str">
        <f ca="1">IFERROR(__xludf.DUMMYFUNCTION("""COMPUTED_VALUE"""),"KITCHEN PASTRY")</f>
        <v>KITCHEN PASTRY</v>
      </c>
      <c r="J1124" s="46" t="str">
        <f ca="1">IFERROR(__xludf.DUMMYFUNCTION("""COMPUTED_VALUE"""),"KITCHEN PASTRY")</f>
        <v>KITCHEN PASTRY</v>
      </c>
      <c r="K1124" s="46" t="str">
        <f ca="1">IFERROR(__xludf.DUMMYFUNCTION("""COMPUTED_VALUE"""),"PACKAGING")</f>
        <v>PACKAGING</v>
      </c>
      <c r="L1124" s="46" t="str">
        <f ca="1">IFERROR(__xludf.DUMMYFUNCTION("""COMPUTED_VALUE"""),"PTE")</f>
        <v>PTE</v>
      </c>
      <c r="M1124" s="46" t="str">
        <f ca="1">IFERROR(__xludf.DUMMYFUNCTION("""COMPUTED_VALUE"""),"Leave")</f>
        <v>Leave</v>
      </c>
      <c r="N1124" s="46" t="str">
        <f ca="1">IFERROR(__xludf.DUMMYFUNCTION("""COMPUTED_VALUE"""),"đủ")</f>
        <v>đủ</v>
      </c>
    </row>
    <row r="1125" spans="1:14">
      <c r="A1125" s="45">
        <f ca="1">IFERROR(__xludf.DUMMYFUNCTION("""COMPUTED_VALUE"""),45891.5833333333)</f>
        <v>45891.583333333299</v>
      </c>
      <c r="B1125" s="45">
        <f ca="1">IFERROR(__xludf.DUMMYFUNCTION("""COMPUTED_VALUE"""),45892.5833333333)</f>
        <v>45892.583333333299</v>
      </c>
      <c r="C1125" s="46">
        <f ca="1">IFERROR(__xludf.DUMMYFUNCTION("""COMPUTED_VALUE"""),1126)</f>
        <v>1126</v>
      </c>
      <c r="D1125" s="47" t="str">
        <f ca="1">IFERROR(__xludf.DUMMYFUNCTION("""COMPUTED_VALUE"""),"C0919")</f>
        <v>C0919</v>
      </c>
      <c r="E1125" s="46" t="str">
        <f ca="1">IFERROR(__xludf.DUMMYFUNCTION("""COMPUTED_VALUE"""),"VŨ QUANG ĐÔNG NHI")</f>
        <v>VŨ QUANG ĐÔNG NHI</v>
      </c>
      <c r="F1125" s="46" t="str">
        <f ca="1">IFERROR(__xludf.DUMMYFUNCTION("""COMPUTED_VALUE"""),"VU QUANG DONG NHI")</f>
        <v>VU QUANG DONG NHI</v>
      </c>
      <c r="G1125" s="45">
        <f ca="1">IFERROR(__xludf.DUMMYFUNCTION("""COMPUTED_VALUE"""),37976.625)</f>
        <v>37976.625</v>
      </c>
      <c r="H1125" s="45" t="str">
        <f ca="1">IFERROR(__xludf.DUMMYFUNCTION("""COMPUTED_VALUE"""),"MATTE")</f>
        <v>MATTE</v>
      </c>
      <c r="I1125" s="46" t="str">
        <f ca="1">IFERROR(__xludf.DUMMYFUNCTION("""COMPUTED_VALUE"""),"STORE")</f>
        <v>STORE</v>
      </c>
      <c r="J1125" s="46" t="str">
        <f ca="1">IFERROR(__xludf.DUMMYFUNCTION("""COMPUTED_VALUE"""),"MATTE D1")</f>
        <v>MATTE D1</v>
      </c>
      <c r="K1125" s="46" t="str">
        <f ca="1">IFERROR(__xludf.DUMMYFUNCTION("""COMPUTED_VALUE"""),"BAR")</f>
        <v>BAR</v>
      </c>
      <c r="L1125" s="46" t="str">
        <f ca="1">IFERROR(__xludf.DUMMYFUNCTION("""COMPUTED_VALUE"""),"PTE")</f>
        <v>PTE</v>
      </c>
      <c r="M1125" s="46" t="str">
        <f ca="1">IFERROR(__xludf.DUMMYFUNCTION("""COMPUTED_VALUE"""),"Leave")</f>
        <v>Leave</v>
      </c>
      <c r="N1125" s="46" t="str">
        <f ca="1">IFERROR(__xludf.DUMMYFUNCTION("""COMPUTED_VALUE"""),"chua nop")</f>
        <v>chua nop</v>
      </c>
    </row>
    <row r="1126" spans="1:14">
      <c r="A1126" s="45">
        <f ca="1">IFERROR(__xludf.DUMMYFUNCTION("""COMPUTED_VALUE"""),45895.5833333333)</f>
        <v>45895.583333333299</v>
      </c>
      <c r="B1126" s="45">
        <f ca="1">IFERROR(__xludf.DUMMYFUNCTION("""COMPUTED_VALUE"""),45896.5833333333)</f>
        <v>45896.583333333299</v>
      </c>
      <c r="C1126" s="46">
        <f ca="1">IFERROR(__xludf.DUMMYFUNCTION("""COMPUTED_VALUE"""),1127)</f>
        <v>1127</v>
      </c>
      <c r="D1126" s="47" t="str">
        <f ca="1">IFERROR(__xludf.DUMMYFUNCTION("""COMPUTED_VALUE"""),"C0920")</f>
        <v>C0920</v>
      </c>
      <c r="E1126" s="46" t="str">
        <f ca="1">IFERROR(__xludf.DUMMYFUNCTION("""COMPUTED_VALUE"""),"HOÀNG THỊ NGỌC NGÀ")</f>
        <v>HOÀNG THỊ NGỌC NGÀ</v>
      </c>
      <c r="F1126" s="46" t="str">
        <f ca="1">IFERROR(__xludf.DUMMYFUNCTION("""COMPUTED_VALUE"""),"HOANG THI NGOC NGA")</f>
        <v>HOANG THI NGOC NGA</v>
      </c>
      <c r="G1126" s="45"/>
      <c r="H1126" s="45" t="str">
        <f ca="1">IFERROR(__xludf.DUMMYFUNCTION("""COMPUTED_VALUE"""),"TLC")</f>
        <v>TLC</v>
      </c>
      <c r="I1126" s="46" t="str">
        <f ca="1">IFERROR(__xludf.DUMMYFUNCTION("""COMPUTED_VALUE"""),"HO")</f>
        <v>HO</v>
      </c>
      <c r="J1126" s="45" t="str">
        <f ca="1">IFERROR(__xludf.DUMMYFUNCTION("""COMPUTED_VALUE"""),"FIN")</f>
        <v>FIN</v>
      </c>
      <c r="K1126" s="46" t="str">
        <f ca="1">IFERROR(__xludf.DUMMYFUNCTION("""COMPUTED_VALUE"""),"FIN")</f>
        <v>FIN</v>
      </c>
      <c r="L1126" s="46" t="str">
        <f ca="1">IFERROR(__xludf.DUMMYFUNCTION("""COMPUTED_VALUE"""),"PRO")</f>
        <v>PRO</v>
      </c>
      <c r="M1126" s="46" t="str">
        <f ca="1">IFERROR(__xludf.DUMMYFUNCTION("""COMPUTED_VALUE"""),"Leave")</f>
        <v>Leave</v>
      </c>
      <c r="N1126" s="46" t="str">
        <f ca="1">IFERROR(__xludf.DUMMYFUNCTION("""COMPUTED_VALUE"""),"chua nop")</f>
        <v>chua nop</v>
      </c>
    </row>
    <row r="1127" spans="1:14">
      <c r="A1127" s="45">
        <f ca="1">IFERROR(__xludf.DUMMYFUNCTION("""COMPUTED_VALUE"""),45894.5833333333)</f>
        <v>45894.583333333299</v>
      </c>
      <c r="B1127" s="45">
        <f ca="1">IFERROR(__xludf.DUMMYFUNCTION("""COMPUTED_VALUE"""),46023.625)</f>
        <v>46023.625</v>
      </c>
      <c r="C1127" s="46">
        <f ca="1">IFERROR(__xludf.DUMMYFUNCTION("""COMPUTED_VALUE"""),1128)</f>
        <v>1128</v>
      </c>
      <c r="D1127" s="47" t="str">
        <f ca="1">IFERROR(__xludf.DUMMYFUNCTION("""COMPUTED_VALUE"""),"C0921")</f>
        <v>C0921</v>
      </c>
      <c r="E1127" s="46" t="str">
        <f ca="1">IFERROR(__xludf.DUMMYFUNCTION("""COMPUTED_VALUE"""),"ĐẶNG GIA HUY")</f>
        <v>ĐẶNG GIA HUY</v>
      </c>
      <c r="F1127" s="46" t="str">
        <f ca="1">IFERROR(__xludf.DUMMYFUNCTION("""COMPUTED_VALUE"""),"DANG GIA HUY")</f>
        <v>DANG GIA HUY</v>
      </c>
      <c r="G1127" s="45">
        <f ca="1">IFERROR(__xludf.DUMMYFUNCTION("""COMPUTED_VALUE"""),36992.5833333333)</f>
        <v>36992.583333333299</v>
      </c>
      <c r="H1127" s="45" t="str">
        <f ca="1">IFERROR(__xludf.DUMMYFUNCTION("""COMPUTED_VALUE"""),"BAKES")</f>
        <v>BAKES</v>
      </c>
      <c r="I1127" s="46" t="str">
        <f ca="1">IFERROR(__xludf.DUMMYFUNCTION("""COMPUTED_VALUE"""),"STORE")</f>
        <v>STORE</v>
      </c>
      <c r="J1127" s="45" t="str">
        <f ca="1">IFERROR(__xludf.DUMMYFUNCTION("""COMPUTED_VALUE"""),"BAKES D2")</f>
        <v>BAKES D2</v>
      </c>
      <c r="K1127" s="46" t="str">
        <f ca="1">IFERROR(__xludf.DUMMYFUNCTION("""COMPUTED_VALUE"""),"WAITSTAFF")</f>
        <v>WAITSTAFF</v>
      </c>
      <c r="L1127" s="46" t="str">
        <f ca="1">IFERROR(__xludf.DUMMYFUNCTION("""COMPUTED_VALUE"""),"PTE")</f>
        <v>PTE</v>
      </c>
      <c r="M1127" s="46" t="str">
        <f ca="1">IFERROR(__xludf.DUMMYFUNCTION("""COMPUTED_VALUE"""),"Leave")</f>
        <v>Leave</v>
      </c>
      <c r="N1127" s="46" t="str">
        <f ca="1">IFERROR(__xludf.DUMMYFUNCTION("""COMPUTED_VALUE"""),"đủ")</f>
        <v>đủ</v>
      </c>
    </row>
    <row r="1128" spans="1:14">
      <c r="A1128" s="45">
        <f ca="1">IFERROR(__xludf.DUMMYFUNCTION("""COMPUTED_VALUE"""),45894.5833333333)</f>
        <v>45894.583333333299</v>
      </c>
      <c r="B1128" s="45">
        <f ca="1">IFERROR(__xludf.DUMMYFUNCTION("""COMPUTED_VALUE"""),45895.5833333333)</f>
        <v>45895.583333333299</v>
      </c>
      <c r="C1128" s="46">
        <f ca="1">IFERROR(__xludf.DUMMYFUNCTION("""COMPUTED_VALUE"""),1129)</f>
        <v>1129</v>
      </c>
      <c r="D1128" s="47" t="str">
        <f ca="1">IFERROR(__xludf.DUMMYFUNCTION("""COMPUTED_VALUE"""),"C0922")</f>
        <v>C0922</v>
      </c>
      <c r="E1128" s="46" t="str">
        <f ca="1">IFERROR(__xludf.DUMMYFUNCTION("""COMPUTED_VALUE"""),"NGUYỄN THUỲ THIÊN ÂN")</f>
        <v>NGUYỄN THUỲ THIÊN ÂN</v>
      </c>
      <c r="F1128" s="46" t="str">
        <f ca="1">IFERROR(__xludf.DUMMYFUNCTION("""COMPUTED_VALUE"""),"NGUYEN THUY THIEN AN")</f>
        <v>NGUYEN THUY THIEN AN</v>
      </c>
      <c r="G1128" s="45">
        <f ca="1">IFERROR(__xludf.DUMMYFUNCTION("""COMPUTED_VALUE"""),38313.625)</f>
        <v>38313.625</v>
      </c>
      <c r="H1128" s="45" t="str">
        <f ca="1">IFERROR(__xludf.DUMMYFUNCTION("""COMPUTED_VALUE"""),"BAKES")</f>
        <v>BAKES</v>
      </c>
      <c r="I1128" s="46" t="str">
        <f ca="1">IFERROR(__xludf.DUMMYFUNCTION("""COMPUTED_VALUE"""),"STORE")</f>
        <v>STORE</v>
      </c>
      <c r="J1128" s="45" t="str">
        <f ca="1">IFERROR(__xludf.DUMMYFUNCTION("""COMPUTED_VALUE"""),"BAKES HCR")</f>
        <v>BAKES HCR</v>
      </c>
      <c r="K1128" s="46" t="str">
        <f ca="1">IFERROR(__xludf.DUMMYFUNCTION("""COMPUTED_VALUE"""),"BAR")</f>
        <v>BAR</v>
      </c>
      <c r="L1128" s="46" t="str">
        <f ca="1">IFERROR(__xludf.DUMMYFUNCTION("""COMPUTED_VALUE"""),"PRO")</f>
        <v>PRO</v>
      </c>
      <c r="M1128" s="46" t="str">
        <f ca="1">IFERROR(__xludf.DUMMYFUNCTION("""COMPUTED_VALUE"""),"Leave")</f>
        <v>Leave</v>
      </c>
      <c r="N1128" s="46" t="str">
        <f ca="1">IFERROR(__xludf.DUMMYFUNCTION("""COMPUTED_VALUE"""),"chua nop")</f>
        <v>chua nop</v>
      </c>
    </row>
    <row r="1129" spans="1:14">
      <c r="A1129" s="45">
        <f ca="1">IFERROR(__xludf.DUMMYFUNCTION("""COMPUTED_VALUE"""),45895.5833333333)</f>
        <v>45895.583333333299</v>
      </c>
      <c r="B1129" s="45">
        <f ca="1">IFERROR(__xludf.DUMMYFUNCTION("""COMPUTED_VALUE"""),45961.5833333333)</f>
        <v>45961.583333333299</v>
      </c>
      <c r="C1129" s="46">
        <f ca="1">IFERROR(__xludf.DUMMYFUNCTION("""COMPUTED_VALUE"""),1130)</f>
        <v>1130</v>
      </c>
      <c r="D1129" s="47" t="str">
        <f ca="1">IFERROR(__xludf.DUMMYFUNCTION("""COMPUTED_VALUE"""),"C0923")</f>
        <v>C0923</v>
      </c>
      <c r="E1129" s="46" t="str">
        <f ca="1">IFERROR(__xludf.DUMMYFUNCTION("""COMPUTED_VALUE"""),"KHƯƠNG THANH KHÁNH HOÀ")</f>
        <v>KHƯƠNG THANH KHÁNH HOÀ</v>
      </c>
      <c r="F1129" s="46" t="str">
        <f ca="1">IFERROR(__xludf.DUMMYFUNCTION("""COMPUTED_VALUE"""),"KHUONG THANH KHANH HOA")</f>
        <v>KHUONG THANH KHANH HOA</v>
      </c>
      <c r="G1129" s="45">
        <f ca="1">IFERROR(__xludf.DUMMYFUNCTION("""COMPUTED_VALUE"""),37002.5833333333)</f>
        <v>37002.583333333299</v>
      </c>
      <c r="H1129" s="45" t="str">
        <f ca="1">IFERROR(__xludf.DUMMYFUNCTION("""COMPUTED_VALUE"""),"MOONCAKE")</f>
        <v>MOONCAKE</v>
      </c>
      <c r="I1129" s="46" t="str">
        <f ca="1">IFERROR(__xludf.DUMMYFUNCTION("""COMPUTED_VALUE"""),"STORE")</f>
        <v>STORE</v>
      </c>
      <c r="J1129" s="46" t="str">
        <f ca="1">IFERROR(__xludf.DUMMYFUNCTION("""COMPUTED_VALUE"""),"THISO")</f>
        <v>THISO</v>
      </c>
      <c r="K1129" s="46" t="str">
        <f ca="1">IFERROR(__xludf.DUMMYFUNCTION("""COMPUTED_VALUE"""),"SAL")</f>
        <v>SAL</v>
      </c>
      <c r="L1129" s="46" t="str">
        <f ca="1">IFERROR(__xludf.DUMMYFUNCTION("""COMPUTED_VALUE"""),"PTE")</f>
        <v>PTE</v>
      </c>
      <c r="M1129" s="46" t="str">
        <f ca="1">IFERROR(__xludf.DUMMYFUNCTION("""COMPUTED_VALUE"""),"Leave")</f>
        <v>Leave</v>
      </c>
      <c r="N1129" s="46" t="str">
        <f ca="1">IFERROR(__xludf.DUMMYFUNCTION("""COMPUTED_VALUE"""),"Đủ")</f>
        <v>Đủ</v>
      </c>
    </row>
    <row r="1130" spans="1:14">
      <c r="A1130" s="45">
        <f ca="1">IFERROR(__xludf.DUMMYFUNCTION("""COMPUTED_VALUE"""),45894.5833333333)</f>
        <v>45894.583333333299</v>
      </c>
      <c r="B1130" s="45">
        <f ca="1">IFERROR(__xludf.DUMMYFUNCTION("""COMPUTED_VALUE"""),46017.625)</f>
        <v>46017.625</v>
      </c>
      <c r="C1130" s="46">
        <f ca="1">IFERROR(__xludf.DUMMYFUNCTION("""COMPUTED_VALUE"""),1131)</f>
        <v>1131</v>
      </c>
      <c r="D1130" s="47" t="str">
        <f ca="1">IFERROR(__xludf.DUMMYFUNCTION("""COMPUTED_VALUE"""),"C0924")</f>
        <v>C0924</v>
      </c>
      <c r="E1130" s="46" t="str">
        <f ca="1">IFERROR(__xludf.DUMMYFUNCTION("""COMPUTED_VALUE"""),"LƯU ANH KIỆT")</f>
        <v>LƯU ANH KIỆT</v>
      </c>
      <c r="F1130" s="46" t="str">
        <f ca="1">IFERROR(__xludf.DUMMYFUNCTION("""COMPUTED_VALUE"""),"LUU ANH KIET")</f>
        <v>LUU ANH KIET</v>
      </c>
      <c r="G1130" s="45">
        <f ca="1">IFERROR(__xludf.DUMMYFUNCTION("""COMPUTED_VALUE"""),39126.625)</f>
        <v>39126.625</v>
      </c>
      <c r="H1130" s="45" t="str">
        <f ca="1">IFERROR(__xludf.DUMMYFUNCTION("""COMPUTED_VALUE"""),"BAKES")</f>
        <v>BAKES</v>
      </c>
      <c r="I1130" s="46" t="str">
        <f ca="1">IFERROR(__xludf.DUMMYFUNCTION("""COMPUTED_VALUE"""),"STORE")</f>
        <v>STORE</v>
      </c>
      <c r="J1130" s="46" t="str">
        <f ca="1">IFERROR(__xludf.DUMMYFUNCTION("""COMPUTED_VALUE"""),"BAKES HCR")</f>
        <v>BAKES HCR</v>
      </c>
      <c r="K1130" s="46" t="str">
        <f ca="1">IFERROR(__xludf.DUMMYFUNCTION("""COMPUTED_VALUE"""),"WAITSTAFF")</f>
        <v>WAITSTAFF</v>
      </c>
      <c r="L1130" s="46" t="str">
        <f ca="1">IFERROR(__xludf.DUMMYFUNCTION("""COMPUTED_VALUE"""),"PTE")</f>
        <v>PTE</v>
      </c>
      <c r="M1130" s="46" t="str">
        <f ca="1">IFERROR(__xludf.DUMMYFUNCTION("""COMPUTED_VALUE"""),"Leave")</f>
        <v>Leave</v>
      </c>
      <c r="N1130" s="46" t="str">
        <f ca="1">IFERROR(__xludf.DUMMYFUNCTION("""COMPUTED_VALUE"""),"đủ")</f>
        <v>đủ</v>
      </c>
    </row>
    <row r="1131" spans="1:14">
      <c r="A1131" s="45">
        <f ca="1">IFERROR(__xludf.DUMMYFUNCTION("""COMPUTED_VALUE"""),45894.5833333333)</f>
        <v>45894.583333333299</v>
      </c>
      <c r="B1131" s="45">
        <f ca="1">IFERROR(__xludf.DUMMYFUNCTION("""COMPUTED_VALUE"""),45895.5833333333)</f>
        <v>45895.583333333299</v>
      </c>
      <c r="C1131" s="46">
        <f ca="1">IFERROR(__xludf.DUMMYFUNCTION("""COMPUTED_VALUE"""),1132)</f>
        <v>1132</v>
      </c>
      <c r="D1131" s="47" t="str">
        <f ca="1">IFERROR(__xludf.DUMMYFUNCTION("""COMPUTED_VALUE"""),"C0925")</f>
        <v>C0925</v>
      </c>
      <c r="E1131" s="46" t="str">
        <f ca="1">IFERROR(__xludf.DUMMYFUNCTION("""COMPUTED_VALUE"""),"DƯ THẢO NGUYÊN")</f>
        <v>DƯ THẢO NGUYÊN</v>
      </c>
      <c r="F1131" s="46" t="str">
        <f ca="1">IFERROR(__xludf.DUMMYFUNCTION("""COMPUTED_VALUE"""),"DU THAO NGUYEN")</f>
        <v>DU THAO NGUYEN</v>
      </c>
      <c r="G1131" s="45">
        <f ca="1">IFERROR(__xludf.DUMMYFUNCTION("""COMPUTED_VALUE"""),36769.5833333333)</f>
        <v>36769.583333333299</v>
      </c>
      <c r="H1131" s="45" t="str">
        <f ca="1">IFERROR(__xludf.DUMMYFUNCTION("""COMPUTED_VALUE"""),"BAKES")</f>
        <v>BAKES</v>
      </c>
      <c r="I1131" s="46" t="str">
        <f ca="1">IFERROR(__xludf.DUMMYFUNCTION("""COMPUTED_VALUE"""),"STORE")</f>
        <v>STORE</v>
      </c>
      <c r="J1131" s="46" t="str">
        <f ca="1">IFERROR(__xludf.DUMMYFUNCTION("""COMPUTED_VALUE"""),"BAKES HCR")</f>
        <v>BAKES HCR</v>
      </c>
      <c r="K1131" s="46" t="str">
        <f ca="1">IFERROR(__xludf.DUMMYFUNCTION("""COMPUTED_VALUE"""),"CASHIER")</f>
        <v>CASHIER</v>
      </c>
      <c r="L1131" s="46" t="str">
        <f ca="1">IFERROR(__xludf.DUMMYFUNCTION("""COMPUTED_VALUE"""),"PRO")</f>
        <v>PRO</v>
      </c>
      <c r="M1131" s="46" t="str">
        <f ca="1">IFERROR(__xludf.DUMMYFUNCTION("""COMPUTED_VALUE"""),"Leave")</f>
        <v>Leave</v>
      </c>
      <c r="N1131" s="46" t="str">
        <f ca="1">IFERROR(__xludf.DUMMYFUNCTION("""COMPUTED_VALUE"""),"chua nop")</f>
        <v>chua nop</v>
      </c>
    </row>
    <row r="1132" spans="1:14">
      <c r="A1132" s="45">
        <f ca="1">IFERROR(__xludf.DUMMYFUNCTION("""COMPUTED_VALUE"""),45894.5833333333)</f>
        <v>45894.583333333299</v>
      </c>
      <c r="B1132" s="45">
        <f ca="1">IFERROR(__xludf.DUMMYFUNCTION("""COMPUTED_VALUE"""),45899.5833333333)</f>
        <v>45899.583333333299</v>
      </c>
      <c r="C1132" s="46">
        <f ca="1">IFERROR(__xludf.DUMMYFUNCTION("""COMPUTED_VALUE"""),1133)</f>
        <v>1133</v>
      </c>
      <c r="D1132" s="47" t="str">
        <f ca="1">IFERROR(__xludf.DUMMYFUNCTION("""COMPUTED_VALUE"""),"C0926")</f>
        <v>C0926</v>
      </c>
      <c r="E1132" s="46" t="str">
        <f ca="1">IFERROR(__xludf.DUMMYFUNCTION("""COMPUTED_VALUE"""),"NGUYỄN THỊ MỸ DUYÊN")</f>
        <v>NGUYỄN THỊ MỸ DUYÊN</v>
      </c>
      <c r="F1132" s="46" t="str">
        <f ca="1">IFERROR(__xludf.DUMMYFUNCTION("""COMPUTED_VALUE"""),"NGUYEN THI MY DUYEN")</f>
        <v>NGUYEN THI MY DUYEN</v>
      </c>
      <c r="G1132" s="45">
        <f ca="1">IFERROR(__xludf.DUMMYFUNCTION("""COMPUTED_VALUE"""),37213.625)</f>
        <v>37213.625</v>
      </c>
      <c r="H1132" s="45" t="str">
        <f ca="1">IFERROR(__xludf.DUMMYFUNCTION("""COMPUTED_VALUE"""),"MOONCAKE")</f>
        <v>MOONCAKE</v>
      </c>
      <c r="I1132" s="46" t="str">
        <f ca="1">IFERROR(__xludf.DUMMYFUNCTION("""COMPUTED_VALUE"""),"KITCHEN PASTRY")</f>
        <v>KITCHEN PASTRY</v>
      </c>
      <c r="J1132" s="46" t="str">
        <f ca="1">IFERROR(__xludf.DUMMYFUNCTION("""COMPUTED_VALUE"""),"KITCHEN PASTRY")</f>
        <v>KITCHEN PASTRY</v>
      </c>
      <c r="K1132" s="46" t="str">
        <f ca="1">IFERROR(__xludf.DUMMYFUNCTION("""COMPUTED_VALUE"""),"PASTRY")</f>
        <v>PASTRY</v>
      </c>
      <c r="L1132" s="46" t="str">
        <f ca="1">IFERROR(__xludf.DUMMYFUNCTION("""COMPUTED_VALUE"""),"PTE")</f>
        <v>PTE</v>
      </c>
      <c r="M1132" s="46" t="str">
        <f ca="1">IFERROR(__xludf.DUMMYFUNCTION("""COMPUTED_VALUE"""),"Leave")</f>
        <v>Leave</v>
      </c>
      <c r="N1132" s="46" t="str">
        <f ca="1">IFERROR(__xludf.DUMMYFUNCTION("""COMPUTED_VALUE"""),"đủ")</f>
        <v>đủ</v>
      </c>
    </row>
    <row r="1133" spans="1:14">
      <c r="A1133" s="45">
        <f ca="1">IFERROR(__xludf.DUMMYFUNCTION("""COMPUTED_VALUE"""),45894.5833333333)</f>
        <v>45894.583333333299</v>
      </c>
      <c r="B1133" s="45">
        <f ca="1">IFERROR(__xludf.DUMMYFUNCTION("""COMPUTED_VALUE"""),45932.5833333333)</f>
        <v>45932.583333333299</v>
      </c>
      <c r="C1133" s="46">
        <f ca="1">IFERROR(__xludf.DUMMYFUNCTION("""COMPUTED_VALUE"""),1134)</f>
        <v>1134</v>
      </c>
      <c r="D1133" s="47" t="str">
        <f ca="1">IFERROR(__xludf.DUMMYFUNCTION("""COMPUTED_VALUE"""),"C0927")</f>
        <v>C0927</v>
      </c>
      <c r="E1133" s="46" t="str">
        <f ca="1">IFERROR(__xludf.DUMMYFUNCTION("""COMPUTED_VALUE"""),"NGUYỄN VÕ PHƯƠNG UYÊN")</f>
        <v>NGUYỄN VÕ PHƯƠNG UYÊN</v>
      </c>
      <c r="F1133" s="46" t="str">
        <f ca="1">IFERROR(__xludf.DUMMYFUNCTION("""COMPUTED_VALUE"""),"NGUYEN VO PHUONG UYEN")</f>
        <v>NGUYEN VO PHUONG UYEN</v>
      </c>
      <c r="G1133" s="45">
        <f ca="1">IFERROR(__xludf.DUMMYFUNCTION("""COMPUTED_VALUE"""),36056.5833333333)</f>
        <v>36056.583333333299</v>
      </c>
      <c r="H1133" s="45" t="str">
        <f ca="1">IFERROR(__xludf.DUMMYFUNCTION("""COMPUTED_VALUE"""),"MOONCAKE")</f>
        <v>MOONCAKE</v>
      </c>
      <c r="I1133" s="46" t="str">
        <f ca="1">IFERROR(__xludf.DUMMYFUNCTION("""COMPUTED_VALUE"""),"KITCHEN PASTRY")</f>
        <v>KITCHEN PASTRY</v>
      </c>
      <c r="J1133" s="46" t="str">
        <f ca="1">IFERROR(__xludf.DUMMYFUNCTION("""COMPUTED_VALUE"""),"KITCHEN PASTRY")</f>
        <v>KITCHEN PASTRY</v>
      </c>
      <c r="K1133" s="46" t="str">
        <f ca="1">IFERROR(__xludf.DUMMYFUNCTION("""COMPUTED_VALUE"""),"PASTRY")</f>
        <v>PASTRY</v>
      </c>
      <c r="L1133" s="46" t="str">
        <f ca="1">IFERROR(__xludf.DUMMYFUNCTION("""COMPUTED_VALUE"""),"PTE")</f>
        <v>PTE</v>
      </c>
      <c r="M1133" s="46" t="str">
        <f ca="1">IFERROR(__xludf.DUMMYFUNCTION("""COMPUTED_VALUE"""),"Leave")</f>
        <v>Leave</v>
      </c>
      <c r="N1133" s="46" t="str">
        <f ca="1">IFERROR(__xludf.DUMMYFUNCTION("""COMPUTED_VALUE"""),"đủ")</f>
        <v>đủ</v>
      </c>
    </row>
    <row r="1134" spans="1:14">
      <c r="A1134" s="45">
        <f ca="1">IFERROR(__xludf.DUMMYFUNCTION("""COMPUTED_VALUE"""),45894.5833333333)</f>
        <v>45894.583333333299</v>
      </c>
      <c r="B1134" s="45">
        <f ca="1">IFERROR(__xludf.DUMMYFUNCTION("""COMPUTED_VALUE"""),45932.5833333333)</f>
        <v>45932.583333333299</v>
      </c>
      <c r="C1134" s="46">
        <f ca="1">IFERROR(__xludf.DUMMYFUNCTION("""COMPUTED_VALUE"""),1135)</f>
        <v>1135</v>
      </c>
      <c r="D1134" s="47" t="str">
        <f ca="1">IFERROR(__xludf.DUMMYFUNCTION("""COMPUTED_VALUE"""),"C0929")</f>
        <v>C0929</v>
      </c>
      <c r="E1134" s="46" t="str">
        <f ca="1">IFERROR(__xludf.DUMMYFUNCTION("""COMPUTED_VALUE"""),"LÊ NGUYỄN THẢO VÂN")</f>
        <v>LÊ NGUYỄN THẢO VÂN</v>
      </c>
      <c r="F1134" s="46" t="str">
        <f ca="1">IFERROR(__xludf.DUMMYFUNCTION("""COMPUTED_VALUE"""),"LE NGUYEN THAO VAN")</f>
        <v>LE NGUYEN THAO VAN</v>
      </c>
      <c r="G1134" s="45">
        <f ca="1">IFERROR(__xludf.DUMMYFUNCTION("""COMPUTED_VALUE"""),37299.625)</f>
        <v>37299.625</v>
      </c>
      <c r="H1134" s="45" t="str">
        <f ca="1">IFERROR(__xludf.DUMMYFUNCTION("""COMPUTED_VALUE"""),"MOONCAKE")</f>
        <v>MOONCAKE</v>
      </c>
      <c r="I1134" s="46" t="str">
        <f ca="1">IFERROR(__xludf.DUMMYFUNCTION("""COMPUTED_VALUE"""),"KITCHEN PASTRY")</f>
        <v>KITCHEN PASTRY</v>
      </c>
      <c r="J1134" s="46" t="str">
        <f ca="1">IFERROR(__xludf.DUMMYFUNCTION("""COMPUTED_VALUE"""),"KITCHEN PASTRY")</f>
        <v>KITCHEN PASTRY</v>
      </c>
      <c r="K1134" s="46" t="str">
        <f ca="1">IFERROR(__xludf.DUMMYFUNCTION("""COMPUTED_VALUE"""),"PASTRY")</f>
        <v>PASTRY</v>
      </c>
      <c r="L1134" s="46" t="str">
        <f ca="1">IFERROR(__xludf.DUMMYFUNCTION("""COMPUTED_VALUE"""),"PTE")</f>
        <v>PTE</v>
      </c>
      <c r="M1134" s="46" t="str">
        <f ca="1">IFERROR(__xludf.DUMMYFUNCTION("""COMPUTED_VALUE"""),"Leave")</f>
        <v>Leave</v>
      </c>
      <c r="N1134" s="46" t="str">
        <f ca="1">IFERROR(__xludf.DUMMYFUNCTION("""COMPUTED_VALUE"""),"đủ")</f>
        <v>đủ</v>
      </c>
    </row>
    <row r="1135" spans="1:14">
      <c r="A1135" s="45">
        <f ca="1">IFERROR(__xludf.DUMMYFUNCTION("""COMPUTED_VALUE"""),45897.5833333333)</f>
        <v>45897.583333333299</v>
      </c>
      <c r="B1135" s="45">
        <f ca="1">IFERROR(__xludf.DUMMYFUNCTION("""COMPUTED_VALUE"""),45961.5833333333)</f>
        <v>45961.583333333299</v>
      </c>
      <c r="C1135" s="46">
        <f ca="1">IFERROR(__xludf.DUMMYFUNCTION("""COMPUTED_VALUE"""),1136)</f>
        <v>1136</v>
      </c>
      <c r="D1135" s="47" t="str">
        <f ca="1">IFERROR(__xludf.DUMMYFUNCTION("""COMPUTED_VALUE"""),"C0930")</f>
        <v>C0930</v>
      </c>
      <c r="E1135" s="46" t="str">
        <f ca="1">IFERROR(__xludf.DUMMYFUNCTION("""COMPUTED_VALUE"""),"HOÀNG THỊ MỸ UYÊN")</f>
        <v>HOÀNG THỊ MỸ UYÊN</v>
      </c>
      <c r="F1135" s="46" t="str">
        <f ca="1">IFERROR(__xludf.DUMMYFUNCTION("""COMPUTED_VALUE"""),"HOANG THI MY UYEN")</f>
        <v>HOANG THI MY UYEN</v>
      </c>
      <c r="G1135" s="45">
        <f ca="1">IFERROR(__xludf.DUMMYFUNCTION("""COMPUTED_VALUE"""),37520.5833333333)</f>
        <v>37520.583333333299</v>
      </c>
      <c r="H1135" s="45" t="str">
        <f ca="1">IFERROR(__xludf.DUMMYFUNCTION("""COMPUTED_VALUE"""),"MOONCAKE")</f>
        <v>MOONCAKE</v>
      </c>
      <c r="I1135" s="46" t="str">
        <f ca="1">IFERROR(__xludf.DUMMYFUNCTION("""COMPUTED_VALUE"""),"STORE")</f>
        <v>STORE</v>
      </c>
      <c r="J1135" s="46" t="str">
        <f ca="1">IFERROR(__xludf.DUMMYFUNCTION("""COMPUTED_VALUE"""),"VIVOCITY")</f>
        <v>VIVOCITY</v>
      </c>
      <c r="K1135" s="46" t="str">
        <f ca="1">IFERROR(__xludf.DUMMYFUNCTION("""COMPUTED_VALUE"""),"SAL")</f>
        <v>SAL</v>
      </c>
      <c r="L1135" s="46" t="str">
        <f ca="1">IFERROR(__xludf.DUMMYFUNCTION("""COMPUTED_VALUE"""),"PTE")</f>
        <v>PTE</v>
      </c>
      <c r="M1135" s="46" t="str">
        <f ca="1">IFERROR(__xludf.DUMMYFUNCTION("""COMPUTED_VALUE"""),"Leave")</f>
        <v>Leave</v>
      </c>
      <c r="N1135" s="46" t="str">
        <f ca="1">IFERROR(__xludf.DUMMYFUNCTION("""COMPUTED_VALUE"""),"đủ")</f>
        <v>đủ</v>
      </c>
    </row>
    <row r="1136" spans="1:14">
      <c r="A1136" s="45">
        <f ca="1">IFERROR(__xludf.DUMMYFUNCTION("""COMPUTED_VALUE"""),45895.5833333333)</f>
        <v>45895.583333333299</v>
      </c>
      <c r="B1136" s="45">
        <f ca="1">IFERROR(__xludf.DUMMYFUNCTION("""COMPUTED_VALUE"""),45961.5833333333)</f>
        <v>45961.583333333299</v>
      </c>
      <c r="C1136" s="46">
        <f ca="1">IFERROR(__xludf.DUMMYFUNCTION("""COMPUTED_VALUE"""),1137)</f>
        <v>1137</v>
      </c>
      <c r="D1136" s="47" t="str">
        <f ca="1">IFERROR(__xludf.DUMMYFUNCTION("""COMPUTED_VALUE"""),"C0931")</f>
        <v>C0931</v>
      </c>
      <c r="E1136" s="46" t="str">
        <f ca="1">IFERROR(__xludf.DUMMYFUNCTION("""COMPUTED_VALUE"""),"NGUYỄN TRẦN BẢO HÂN")</f>
        <v>NGUYỄN TRẦN BẢO HÂN</v>
      </c>
      <c r="F1136" s="46" t="str">
        <f ca="1">IFERROR(__xludf.DUMMYFUNCTION("""COMPUTED_VALUE"""),"NGUYEN TRAN BAO HAN")</f>
        <v>NGUYEN TRAN BAO HAN</v>
      </c>
      <c r="G1136" s="45">
        <f ca="1">IFERROR(__xludf.DUMMYFUNCTION("""COMPUTED_VALUE"""),37933.625)</f>
        <v>37933.625</v>
      </c>
      <c r="H1136" s="45" t="str">
        <f ca="1">IFERROR(__xludf.DUMMYFUNCTION("""COMPUTED_VALUE"""),"MOONCAKE")</f>
        <v>MOONCAKE</v>
      </c>
      <c r="I1136" s="46" t="str">
        <f ca="1">IFERROR(__xludf.DUMMYFUNCTION("""COMPUTED_VALUE"""),"STORE")</f>
        <v>STORE</v>
      </c>
      <c r="J1136" s="46" t="str">
        <f ca="1">IFERROR(__xludf.DUMMYFUNCTION("""COMPUTED_VALUE"""),"SAIGON CENTRE")</f>
        <v>SAIGON CENTRE</v>
      </c>
      <c r="K1136" s="46" t="str">
        <f ca="1">IFERROR(__xludf.DUMMYFUNCTION("""COMPUTED_VALUE"""),"SAL")</f>
        <v>SAL</v>
      </c>
      <c r="L1136" s="46" t="str">
        <f ca="1">IFERROR(__xludf.DUMMYFUNCTION("""COMPUTED_VALUE"""),"PTE")</f>
        <v>PTE</v>
      </c>
      <c r="M1136" s="46" t="str">
        <f ca="1">IFERROR(__xludf.DUMMYFUNCTION("""COMPUTED_VALUE"""),"Leave")</f>
        <v>Leave</v>
      </c>
      <c r="N1136" s="46" t="str">
        <f ca="1">IFERROR(__xludf.DUMMYFUNCTION("""COMPUTED_VALUE"""),"Đủ")</f>
        <v>Đủ</v>
      </c>
    </row>
    <row r="1137" spans="1:14">
      <c r="A1137" s="45">
        <f ca="1">IFERROR(__xludf.DUMMYFUNCTION("""COMPUTED_VALUE"""),45895.5833333333)</f>
        <v>45895.583333333299</v>
      </c>
      <c r="B1137" s="45">
        <f ca="1">IFERROR(__xludf.DUMMYFUNCTION("""COMPUTED_VALUE"""),45961.5833333333)</f>
        <v>45961.583333333299</v>
      </c>
      <c r="C1137" s="46">
        <f ca="1">IFERROR(__xludf.DUMMYFUNCTION("""COMPUTED_VALUE"""),1138)</f>
        <v>1138</v>
      </c>
      <c r="D1137" s="47" t="str">
        <f ca="1">IFERROR(__xludf.DUMMYFUNCTION("""COMPUTED_VALUE"""),"C0932")</f>
        <v>C0932</v>
      </c>
      <c r="E1137" s="46" t="str">
        <f ca="1">IFERROR(__xludf.DUMMYFUNCTION("""COMPUTED_VALUE"""),"NGUYỄN PHÚC ANH")</f>
        <v>NGUYỄN PHÚC ANH</v>
      </c>
      <c r="F1137" s="46" t="str">
        <f ca="1">IFERROR(__xludf.DUMMYFUNCTION("""COMPUTED_VALUE"""),"NGUYEN PHUC ANH")</f>
        <v>NGUYEN PHUC ANH</v>
      </c>
      <c r="G1137" s="45">
        <f ca="1">IFERROR(__xludf.DUMMYFUNCTION("""COMPUTED_VALUE"""),38520.5833333333)</f>
        <v>38520.583333333299</v>
      </c>
      <c r="H1137" s="45" t="str">
        <f ca="1">IFERROR(__xludf.DUMMYFUNCTION("""COMPUTED_VALUE"""),"MOONCAKE")</f>
        <v>MOONCAKE</v>
      </c>
      <c r="I1137" s="46" t="str">
        <f ca="1">IFERROR(__xludf.DUMMYFUNCTION("""COMPUTED_VALUE"""),"STORE")</f>
        <v>STORE</v>
      </c>
      <c r="J1137" s="46" t="str">
        <f ca="1">IFERROR(__xludf.DUMMYFUNCTION("""COMPUTED_VALUE"""),"SAIGON CENTRE")</f>
        <v>SAIGON CENTRE</v>
      </c>
      <c r="K1137" s="46" t="str">
        <f ca="1">IFERROR(__xludf.DUMMYFUNCTION("""COMPUTED_VALUE"""),"SAL")</f>
        <v>SAL</v>
      </c>
      <c r="L1137" s="46" t="str">
        <f ca="1">IFERROR(__xludf.DUMMYFUNCTION("""COMPUTED_VALUE"""),"PTE")</f>
        <v>PTE</v>
      </c>
      <c r="M1137" s="46" t="str">
        <f ca="1">IFERROR(__xludf.DUMMYFUNCTION("""COMPUTED_VALUE"""),"Leave")</f>
        <v>Leave</v>
      </c>
      <c r="N1137" s="46" t="str">
        <f ca="1">IFERROR(__xludf.DUMMYFUNCTION("""COMPUTED_VALUE"""),"đủ")</f>
        <v>đủ</v>
      </c>
    </row>
    <row r="1138" spans="1:14">
      <c r="A1138" s="45">
        <f ca="1">IFERROR(__xludf.DUMMYFUNCTION("""COMPUTED_VALUE"""),45899.5833333333)</f>
        <v>45899.583333333299</v>
      </c>
      <c r="B1138" s="45">
        <f ca="1">IFERROR(__xludf.DUMMYFUNCTION("""COMPUTED_VALUE"""),45900.5833333333)</f>
        <v>45900.583333333299</v>
      </c>
      <c r="C1138" s="46">
        <f ca="1">IFERROR(__xludf.DUMMYFUNCTION("""COMPUTED_VALUE"""),1139)</f>
        <v>1139</v>
      </c>
      <c r="D1138" s="47" t="str">
        <f ca="1">IFERROR(__xludf.DUMMYFUNCTION("""COMPUTED_VALUE"""),"C0933")</f>
        <v>C0933</v>
      </c>
      <c r="E1138" s="46" t="str">
        <f ca="1">IFERROR(__xludf.DUMMYFUNCTION("""COMPUTED_VALUE"""),"NGUYỄN THANH THUỶ TIÊN")</f>
        <v>NGUYỄN THANH THUỶ TIÊN</v>
      </c>
      <c r="F1138" s="46" t="str">
        <f ca="1">IFERROR(__xludf.DUMMYFUNCTION("""COMPUTED_VALUE"""),"NGUYEN THANH THUY TIEN")</f>
        <v>NGUYEN THANH THUY TIEN</v>
      </c>
      <c r="G1138" s="45"/>
      <c r="H1138" s="45" t="str">
        <f ca="1">IFERROR(__xludf.DUMMYFUNCTION("""COMPUTED_VALUE"""),"MOONCAKE")</f>
        <v>MOONCAKE</v>
      </c>
      <c r="I1138" s="46" t="str">
        <f ca="1">IFERROR(__xludf.DUMMYFUNCTION("""COMPUTED_VALUE"""),"KITCHEN PASTRY")</f>
        <v>KITCHEN PASTRY</v>
      </c>
      <c r="J1138" s="46" t="str">
        <f ca="1">IFERROR(__xludf.DUMMYFUNCTION("""COMPUTED_VALUE"""),"KITCHEN PASTRY")</f>
        <v>KITCHEN PASTRY</v>
      </c>
      <c r="K1138" s="46" t="str">
        <f ca="1">IFERROR(__xludf.DUMMYFUNCTION("""COMPUTED_VALUE"""),"PASTRY")</f>
        <v>PASTRY</v>
      </c>
      <c r="L1138" s="46" t="str">
        <f ca="1">IFERROR(__xludf.DUMMYFUNCTION("""COMPUTED_VALUE"""),"PTE")</f>
        <v>PTE</v>
      </c>
      <c r="M1138" s="46" t="str">
        <f ca="1">IFERROR(__xludf.DUMMYFUNCTION("""COMPUTED_VALUE"""),"Leave")</f>
        <v>Leave</v>
      </c>
      <c r="N1138" s="46" t="str">
        <f ca="1">IFERROR(__xludf.DUMMYFUNCTION("""COMPUTED_VALUE"""),"Thiếu HS")</f>
        <v>Thiếu HS</v>
      </c>
    </row>
    <row r="1139" spans="1:14">
      <c r="A1139" s="45">
        <f ca="1">IFERROR(__xludf.DUMMYFUNCTION("""COMPUTED_VALUE"""),45897.5833333333)</f>
        <v>45897.583333333299</v>
      </c>
      <c r="B1139" s="45">
        <f ca="1">IFERROR(__xludf.DUMMYFUNCTION("""COMPUTED_VALUE"""),45932.5833333333)</f>
        <v>45932.583333333299</v>
      </c>
      <c r="C1139" s="46">
        <f ca="1">IFERROR(__xludf.DUMMYFUNCTION("""COMPUTED_VALUE"""),1140)</f>
        <v>1140</v>
      </c>
      <c r="D1139" s="47" t="str">
        <f ca="1">IFERROR(__xludf.DUMMYFUNCTION("""COMPUTED_VALUE"""),"C0934")</f>
        <v>C0934</v>
      </c>
      <c r="E1139" s="46" t="str">
        <f ca="1">IFERROR(__xludf.DUMMYFUNCTION("""COMPUTED_VALUE"""),"NGUYỄN HOÀNG LONG")</f>
        <v>NGUYỄN HOÀNG LONG</v>
      </c>
      <c r="F1139" s="46" t="str">
        <f ca="1">IFERROR(__xludf.DUMMYFUNCTION("""COMPUTED_VALUE"""),"NGUYEN HOANG LONG")</f>
        <v>NGUYEN HOANG LONG</v>
      </c>
      <c r="G1139" s="45">
        <f ca="1">IFERROR(__xludf.DUMMYFUNCTION("""COMPUTED_VALUE"""),38157.5833333333)</f>
        <v>38157.583333333299</v>
      </c>
      <c r="H1139" s="45" t="str">
        <f ca="1">IFERROR(__xludf.DUMMYFUNCTION("""COMPUTED_VALUE"""),"MOONCAKE")</f>
        <v>MOONCAKE</v>
      </c>
      <c r="I1139" s="46" t="str">
        <f ca="1">IFERROR(__xludf.DUMMYFUNCTION("""COMPUTED_VALUE"""),"KITCHEN PASTRY")</f>
        <v>KITCHEN PASTRY</v>
      </c>
      <c r="J1139" s="46" t="str">
        <f ca="1">IFERROR(__xludf.DUMMYFUNCTION("""COMPUTED_VALUE"""),"KITCHEN PASTRY")</f>
        <v>KITCHEN PASTRY</v>
      </c>
      <c r="K1139" s="46" t="str">
        <f ca="1">IFERROR(__xludf.DUMMYFUNCTION("""COMPUTED_VALUE"""),"PACKAGING")</f>
        <v>PACKAGING</v>
      </c>
      <c r="L1139" s="46" t="str">
        <f ca="1">IFERROR(__xludf.DUMMYFUNCTION("""COMPUTED_VALUE"""),"PTE")</f>
        <v>PTE</v>
      </c>
      <c r="M1139" s="46" t="str">
        <f ca="1">IFERROR(__xludf.DUMMYFUNCTION("""COMPUTED_VALUE"""),"Leave")</f>
        <v>Leave</v>
      </c>
      <c r="N1139" s="46" t="str">
        <f ca="1">IFERROR(__xludf.DUMMYFUNCTION("""COMPUTED_VALUE"""),"Đủ")</f>
        <v>Đủ</v>
      </c>
    </row>
    <row r="1140" spans="1:14">
      <c r="A1140" s="45">
        <f ca="1">IFERROR(__xludf.DUMMYFUNCTION("""COMPUTED_VALUE"""),45895.5833333333)</f>
        <v>45895.583333333299</v>
      </c>
      <c r="B1140" s="45">
        <f ca="1">IFERROR(__xludf.DUMMYFUNCTION("""COMPUTED_VALUE"""),45897.5833333333)</f>
        <v>45897.583333333299</v>
      </c>
      <c r="C1140" s="46">
        <f ca="1">IFERROR(__xludf.DUMMYFUNCTION("""COMPUTED_VALUE"""),1141)</f>
        <v>1141</v>
      </c>
      <c r="D1140" s="47" t="str">
        <f ca="1">IFERROR(__xludf.DUMMYFUNCTION("""COMPUTED_VALUE"""),"C0935")</f>
        <v>C0935</v>
      </c>
      <c r="E1140" s="46" t="str">
        <f ca="1">IFERROR(__xludf.DUMMYFUNCTION("""COMPUTED_VALUE"""),"LÊ THỊ XUÂN MAI")</f>
        <v>LÊ THỊ XUÂN MAI</v>
      </c>
      <c r="F1140" s="46" t="str">
        <f ca="1">IFERROR(__xludf.DUMMYFUNCTION("""COMPUTED_VALUE"""),"LE THI XUAN MAI")</f>
        <v>LE THI XUAN MAI</v>
      </c>
      <c r="G1140" s="45"/>
      <c r="H1140" s="45" t="str">
        <f ca="1">IFERROR(__xludf.DUMMYFUNCTION("""COMPUTED_VALUE"""),"MATTE")</f>
        <v>MATTE</v>
      </c>
      <c r="I1140" s="46" t="str">
        <f ca="1">IFERROR(__xludf.DUMMYFUNCTION("""COMPUTED_VALUE"""),"STORE")</f>
        <v>STORE</v>
      </c>
      <c r="J1140" s="46" t="str">
        <f ca="1">IFERROR(__xludf.DUMMYFUNCTION("""COMPUTED_VALUE"""),"MATTE D1")</f>
        <v>MATTE D1</v>
      </c>
      <c r="K1140" s="46" t="str">
        <f ca="1">IFERROR(__xludf.DUMMYFUNCTION("""COMPUTED_VALUE"""),"BAR")</f>
        <v>BAR</v>
      </c>
      <c r="L1140" s="46" t="str">
        <f ca="1">IFERROR(__xludf.DUMMYFUNCTION("""COMPUTED_VALUE"""),"PTE")</f>
        <v>PTE</v>
      </c>
      <c r="M1140" s="46" t="str">
        <f ca="1">IFERROR(__xludf.DUMMYFUNCTION("""COMPUTED_VALUE"""),"Leave")</f>
        <v>Leave</v>
      </c>
      <c r="N1140" s="46" t="str">
        <f ca="1">IFERROR(__xludf.DUMMYFUNCTION("""COMPUTED_VALUE"""),"chua nop")</f>
        <v>chua nop</v>
      </c>
    </row>
    <row r="1141" spans="1:14">
      <c r="A1141" s="45">
        <f ca="1">IFERROR(__xludf.DUMMYFUNCTION("""COMPUTED_VALUE"""),45898.5833333333)</f>
        <v>45898.583333333299</v>
      </c>
      <c r="B1141" s="45">
        <f ca="1">IFERROR(__xludf.DUMMYFUNCTION("""COMPUTED_VALUE"""),45961.5833333333)</f>
        <v>45961.583333333299</v>
      </c>
      <c r="C1141" s="46">
        <f ca="1">IFERROR(__xludf.DUMMYFUNCTION("""COMPUTED_VALUE"""),1142)</f>
        <v>1142</v>
      </c>
      <c r="D1141" s="47" t="str">
        <f ca="1">IFERROR(__xludf.DUMMYFUNCTION("""COMPUTED_VALUE"""),"C0936")</f>
        <v>C0936</v>
      </c>
      <c r="E1141" s="46" t="str">
        <f ca="1">IFERROR(__xludf.DUMMYFUNCTION("""COMPUTED_VALUE"""),"NGUYỄN THỊ LỆ")</f>
        <v>NGUYỄN THỊ LỆ</v>
      </c>
      <c r="F1141" s="46" t="str">
        <f ca="1">IFERROR(__xludf.DUMMYFUNCTION("""COMPUTED_VALUE"""),"NGUYEN THI LE")</f>
        <v>NGUYEN THI LE</v>
      </c>
      <c r="G1141" s="45">
        <f ca="1">IFERROR(__xludf.DUMMYFUNCTION("""COMPUTED_VALUE"""),35684.5833333333)</f>
        <v>35684.583333333299</v>
      </c>
      <c r="H1141" s="45" t="str">
        <f ca="1">IFERROR(__xludf.DUMMYFUNCTION("""COMPUTED_VALUE"""),"MOONCAKE")</f>
        <v>MOONCAKE</v>
      </c>
      <c r="I1141" s="46" t="str">
        <f ca="1">IFERROR(__xludf.DUMMYFUNCTION("""COMPUTED_VALUE"""),"STORE")</f>
        <v>STORE</v>
      </c>
      <c r="J1141" s="46" t="str">
        <f ca="1">IFERROR(__xludf.DUMMYFUNCTION("""COMPUTED_VALUE"""),"VIVOCITY")</f>
        <v>VIVOCITY</v>
      </c>
      <c r="K1141" s="46" t="str">
        <f ca="1">IFERROR(__xludf.DUMMYFUNCTION("""COMPUTED_VALUE"""),"SAL")</f>
        <v>SAL</v>
      </c>
      <c r="L1141" s="46" t="str">
        <f ca="1">IFERROR(__xludf.DUMMYFUNCTION("""COMPUTED_VALUE"""),"PTE")</f>
        <v>PTE</v>
      </c>
      <c r="M1141" s="46" t="str">
        <f ca="1">IFERROR(__xludf.DUMMYFUNCTION("""COMPUTED_VALUE"""),"Leave")</f>
        <v>Leave</v>
      </c>
      <c r="N1141" s="46" t="str">
        <f ca="1">IFERROR(__xludf.DUMMYFUNCTION("""COMPUTED_VALUE"""),"Đủ")</f>
        <v>Đủ</v>
      </c>
    </row>
    <row r="1142" spans="1:14">
      <c r="A1142" s="45">
        <f ca="1">IFERROR(__xludf.DUMMYFUNCTION("""COMPUTED_VALUE"""),45900.5833333333)</f>
        <v>45900.583333333299</v>
      </c>
      <c r="B1142" s="45">
        <f ca="1">IFERROR(__xludf.DUMMYFUNCTION("""COMPUTED_VALUE"""),45932.5833333333)</f>
        <v>45932.583333333299</v>
      </c>
      <c r="C1142" s="46">
        <f ca="1">IFERROR(__xludf.DUMMYFUNCTION("""COMPUTED_VALUE"""),1143)</f>
        <v>1143</v>
      </c>
      <c r="D1142" s="47" t="str">
        <f ca="1">IFERROR(__xludf.DUMMYFUNCTION("""COMPUTED_VALUE"""),"C0937")</f>
        <v>C0937</v>
      </c>
      <c r="E1142" s="46" t="str">
        <f ca="1">IFERROR(__xludf.DUMMYFUNCTION("""COMPUTED_VALUE"""),"NGUYỄN NGỌC BẢO HÂN")</f>
        <v>NGUYỄN NGỌC BẢO HÂN</v>
      </c>
      <c r="F1142" s="46" t="str">
        <f ca="1">IFERROR(__xludf.DUMMYFUNCTION("""COMPUTED_VALUE"""),"NGUYEN NGOC BAO HAN")</f>
        <v>NGUYEN NGOC BAO HAN</v>
      </c>
      <c r="G1142" s="45">
        <f ca="1">IFERROR(__xludf.DUMMYFUNCTION("""COMPUTED_VALUE"""),37425.5833333333)</f>
        <v>37425.583333333299</v>
      </c>
      <c r="H1142" s="45" t="str">
        <f ca="1">IFERROR(__xludf.DUMMYFUNCTION("""COMPUTED_VALUE"""),"MOONCAKE")</f>
        <v>MOONCAKE</v>
      </c>
      <c r="I1142" s="46" t="str">
        <f ca="1">IFERROR(__xludf.DUMMYFUNCTION("""COMPUTED_VALUE"""),"KITCHEN PASTRY")</f>
        <v>KITCHEN PASTRY</v>
      </c>
      <c r="J1142" s="46" t="str">
        <f ca="1">IFERROR(__xludf.DUMMYFUNCTION("""COMPUTED_VALUE"""),"KITCHEN PASTRY")</f>
        <v>KITCHEN PASTRY</v>
      </c>
      <c r="K1142" s="46" t="str">
        <f ca="1">IFERROR(__xludf.DUMMYFUNCTION("""COMPUTED_VALUE"""),"PACKAGING")</f>
        <v>PACKAGING</v>
      </c>
      <c r="L1142" s="46" t="str">
        <f ca="1">IFERROR(__xludf.DUMMYFUNCTION("""COMPUTED_VALUE"""),"PTE")</f>
        <v>PTE</v>
      </c>
      <c r="M1142" s="46" t="str">
        <f ca="1">IFERROR(__xludf.DUMMYFUNCTION("""COMPUTED_VALUE"""),"Leave")</f>
        <v>Leave</v>
      </c>
      <c r="N1142" s="46" t="str">
        <f ca="1">IFERROR(__xludf.DUMMYFUNCTION("""COMPUTED_VALUE"""),"Đủ")</f>
        <v>Đủ</v>
      </c>
    </row>
    <row r="1143" spans="1:14">
      <c r="A1143" s="45">
        <f ca="1">IFERROR(__xludf.DUMMYFUNCTION("""COMPUTED_VALUE"""),45899.5833333333)</f>
        <v>45899.583333333299</v>
      </c>
      <c r="B1143" s="45" t="str">
        <f ca="1">IFERROR(__xludf.DUMMYFUNCTION("""COMPUTED_VALUE"""),"Đã nghỉ")</f>
        <v>Đã nghỉ</v>
      </c>
      <c r="C1143" s="46">
        <f ca="1">IFERROR(__xludf.DUMMYFUNCTION("""COMPUTED_VALUE"""),1144)</f>
        <v>1144</v>
      </c>
      <c r="D1143" s="47" t="str">
        <f ca="1">IFERROR(__xludf.DUMMYFUNCTION("""COMPUTED_VALUE"""),"C0938")</f>
        <v>C0938</v>
      </c>
      <c r="E1143" s="46" t="str">
        <f ca="1">IFERROR(__xludf.DUMMYFUNCTION("""COMPUTED_VALUE"""),"TRẦN ANH ĐÀO")</f>
        <v>TRẦN ANH ĐÀO</v>
      </c>
      <c r="F1143" s="46" t="str">
        <f ca="1">IFERROR(__xludf.DUMMYFUNCTION("""COMPUTED_VALUE"""),"TRAN ANH DAO")</f>
        <v>TRAN ANH DAO</v>
      </c>
      <c r="G1143" s="45"/>
      <c r="H1143" s="45" t="str">
        <f ca="1">IFERROR(__xludf.DUMMYFUNCTION("""COMPUTED_VALUE"""),"MOONCAKE")</f>
        <v>MOONCAKE</v>
      </c>
      <c r="I1143" s="46" t="str">
        <f ca="1">IFERROR(__xludf.DUMMYFUNCTION("""COMPUTED_VALUE"""),"KITCHEN PASTRY")</f>
        <v>KITCHEN PASTRY</v>
      </c>
      <c r="J1143" s="46" t="str">
        <f ca="1">IFERROR(__xludf.DUMMYFUNCTION("""COMPUTED_VALUE"""),"KITCHEN PASTRY")</f>
        <v>KITCHEN PASTRY</v>
      </c>
      <c r="K1143" s="46" t="str">
        <f ca="1">IFERROR(__xludf.DUMMYFUNCTION("""COMPUTED_VALUE"""),"PACKAGING")</f>
        <v>PACKAGING</v>
      </c>
      <c r="L1143" s="46" t="str">
        <f ca="1">IFERROR(__xludf.DUMMYFUNCTION("""COMPUTED_VALUE"""),"PTE")</f>
        <v>PTE</v>
      </c>
      <c r="M1143" s="46" t="str">
        <f ca="1">IFERROR(__xludf.DUMMYFUNCTION("""COMPUTED_VALUE"""),"Leave")</f>
        <v>Leave</v>
      </c>
      <c r="N1143" s="46" t="str">
        <f ca="1">IFERROR(__xludf.DUMMYFUNCTION("""COMPUTED_VALUE"""),"Thiếu HS")</f>
        <v>Thiếu HS</v>
      </c>
    </row>
    <row r="1144" spans="1:14">
      <c r="A1144" s="45">
        <f ca="1">IFERROR(__xludf.DUMMYFUNCTION("""COMPUTED_VALUE"""),45899.5833333333)</f>
        <v>45899.583333333299</v>
      </c>
      <c r="B1144" s="45">
        <f ca="1">IFERROR(__xludf.DUMMYFUNCTION("""COMPUTED_VALUE"""),45900.5833333333)</f>
        <v>45900.583333333299</v>
      </c>
      <c r="C1144" s="46">
        <f ca="1">IFERROR(__xludf.DUMMYFUNCTION("""COMPUTED_VALUE"""),1145)</f>
        <v>1145</v>
      </c>
      <c r="D1144" s="47" t="str">
        <f ca="1">IFERROR(__xludf.DUMMYFUNCTION("""COMPUTED_VALUE"""),"C0939")</f>
        <v>C0939</v>
      </c>
      <c r="E1144" s="46" t="str">
        <f ca="1">IFERROR(__xludf.DUMMYFUNCTION("""COMPUTED_VALUE"""),"NGUYỄN THỊ HOA")</f>
        <v>NGUYỄN THỊ HOA</v>
      </c>
      <c r="F1144" s="46" t="str">
        <f ca="1">IFERROR(__xludf.DUMMYFUNCTION("""COMPUTED_VALUE"""),"NGUYEN THI HOA")</f>
        <v>NGUYEN THI HOA</v>
      </c>
      <c r="G1144" s="45">
        <f ca="1">IFERROR(__xludf.DUMMYFUNCTION("""COMPUTED_VALUE"""),37960.625)</f>
        <v>37960.625</v>
      </c>
      <c r="H1144" s="45" t="str">
        <f ca="1">IFERROR(__xludf.DUMMYFUNCTION("""COMPUTED_VALUE"""),"MOONCAKE")</f>
        <v>MOONCAKE</v>
      </c>
      <c r="I1144" s="46" t="str">
        <f ca="1">IFERROR(__xludf.DUMMYFUNCTION("""COMPUTED_VALUE"""),"KITCHEN PASTRY")</f>
        <v>KITCHEN PASTRY</v>
      </c>
      <c r="J1144" s="46" t="str">
        <f ca="1">IFERROR(__xludf.DUMMYFUNCTION("""COMPUTED_VALUE"""),"KITCHEN PASTRY")</f>
        <v>KITCHEN PASTRY</v>
      </c>
      <c r="K1144" s="46" t="str">
        <f ca="1">IFERROR(__xludf.DUMMYFUNCTION("""COMPUTED_VALUE"""),"PACKAGING")</f>
        <v>PACKAGING</v>
      </c>
      <c r="L1144" s="46" t="str">
        <f ca="1">IFERROR(__xludf.DUMMYFUNCTION("""COMPUTED_VALUE"""),"PTE")</f>
        <v>PTE</v>
      </c>
      <c r="M1144" s="46" t="str">
        <f ca="1">IFERROR(__xludf.DUMMYFUNCTION("""COMPUTED_VALUE"""),"Leave")</f>
        <v>Leave</v>
      </c>
      <c r="N1144" s="46" t="str">
        <f ca="1">IFERROR(__xludf.DUMMYFUNCTION("""COMPUTED_VALUE"""),"Thiếu HS")</f>
        <v>Thiếu HS</v>
      </c>
    </row>
    <row r="1145" spans="1:14">
      <c r="A1145" s="45">
        <f ca="1">IFERROR(__xludf.DUMMYFUNCTION("""COMPUTED_VALUE"""),45903.5833333333)</f>
        <v>45903.583333333299</v>
      </c>
      <c r="B1145" s="45"/>
      <c r="C1145" s="46">
        <f ca="1">IFERROR(__xludf.DUMMYFUNCTION("""COMPUTED_VALUE"""),1146)</f>
        <v>1146</v>
      </c>
      <c r="D1145" s="47" t="str">
        <f ca="1">IFERROR(__xludf.DUMMYFUNCTION("""COMPUTED_VALUE"""),"C0941")</f>
        <v>C0941</v>
      </c>
      <c r="E1145" s="46" t="str">
        <f ca="1">IFERROR(__xludf.DUMMYFUNCTION("""COMPUTED_VALUE"""),"LÃ MINH ANH KHÔI")</f>
        <v>LÃ MINH ANH KHÔI</v>
      </c>
      <c r="F1145" s="46" t="str">
        <f ca="1">IFERROR(__xludf.DUMMYFUNCTION("""COMPUTED_VALUE"""),"LA MINH ANH KHOI")</f>
        <v>LA MINH ANH KHOI</v>
      </c>
      <c r="G1145" s="45">
        <f ca="1">IFERROR(__xludf.DUMMYFUNCTION("""COMPUTED_VALUE"""),36905.625)</f>
        <v>36905.625</v>
      </c>
      <c r="H1145" s="45" t="str">
        <f ca="1">IFERROR(__xludf.DUMMYFUNCTION("""COMPUTED_VALUE"""),"BAKES")</f>
        <v>BAKES</v>
      </c>
      <c r="I1145" s="46" t="str">
        <f ca="1">IFERROR(__xludf.DUMMYFUNCTION("""COMPUTED_VALUE"""),"HO")</f>
        <v>HO</v>
      </c>
      <c r="J1145" s="46" t="str">
        <f ca="1">IFERROR(__xludf.DUMMYFUNCTION("""COMPUTED_VALUE"""),"BE")</f>
        <v>BE</v>
      </c>
      <c r="K1145" s="46" t="str">
        <f ca="1">IFERROR(__xludf.DUMMYFUNCTION("""COMPUTED_VALUE"""),"BE")</f>
        <v>BE</v>
      </c>
      <c r="L1145" s="46" t="str">
        <f ca="1">IFERROR(__xludf.DUMMYFUNCTION("""COMPUTED_VALUE"""),"FTE")</f>
        <v>FTE</v>
      </c>
      <c r="M1145" s="46" t="str">
        <f ca="1">IFERROR(__xludf.DUMMYFUNCTION("""COMPUTED_VALUE"""),"On")</f>
        <v>On</v>
      </c>
      <c r="N1145" s="46" t="str">
        <f ca="1">IFERROR(__xludf.DUMMYFUNCTION("""COMPUTED_VALUE"""),"đủ")</f>
        <v>đủ</v>
      </c>
    </row>
    <row r="1146" spans="1:14">
      <c r="A1146" s="45">
        <f ca="1">IFERROR(__xludf.DUMMYFUNCTION("""COMPUTED_VALUE"""),45903.5833333333)</f>
        <v>45903.583333333299</v>
      </c>
      <c r="B1146" s="45">
        <f ca="1">IFERROR(__xludf.DUMMYFUNCTION("""COMPUTED_VALUE"""),45937.5833333333)</f>
        <v>45937.583333333299</v>
      </c>
      <c r="C1146" s="46">
        <f ca="1">IFERROR(__xludf.DUMMYFUNCTION("""COMPUTED_VALUE"""),1147)</f>
        <v>1147</v>
      </c>
      <c r="D1146" s="47" t="str">
        <f ca="1">IFERROR(__xludf.DUMMYFUNCTION("""COMPUTED_VALUE"""),"C0942")</f>
        <v>C0942</v>
      </c>
      <c r="E1146" s="46" t="str">
        <f ca="1">IFERROR(__xludf.DUMMYFUNCTION("""COMPUTED_VALUE"""),"VŨ TUẤN HƯNG")</f>
        <v>VŨ TUẤN HƯNG</v>
      </c>
      <c r="F1146" s="46" t="str">
        <f ca="1">IFERROR(__xludf.DUMMYFUNCTION("""COMPUTED_VALUE"""),"VU TUAN HUNG")</f>
        <v>VU TUAN HUNG</v>
      </c>
      <c r="G1146" s="45">
        <f ca="1">IFERROR(__xludf.DUMMYFUNCTION("""COMPUTED_VALUE"""),37280.625)</f>
        <v>37280.625</v>
      </c>
      <c r="H1146" s="45" t="str">
        <f ca="1">IFERROR(__xludf.DUMMYFUNCTION("""COMPUTED_VALUE"""),"CREATIVE")</f>
        <v>CREATIVE</v>
      </c>
      <c r="I1146" s="46" t="str">
        <f ca="1">IFERROR(__xludf.DUMMYFUNCTION("""COMPUTED_VALUE"""),"HO")</f>
        <v>HO</v>
      </c>
      <c r="J1146" s="46" t="str">
        <f ca="1">IFERROR(__xludf.DUMMYFUNCTION("""COMPUTED_VALUE"""),"SPD")</f>
        <v>SPD</v>
      </c>
      <c r="K1146" s="46" t="str">
        <f ca="1">IFERROR(__xludf.DUMMYFUNCTION("""COMPUTED_VALUE"""),"SPD")</f>
        <v>SPD</v>
      </c>
      <c r="L1146" s="46" t="str">
        <f ca="1">IFERROR(__xludf.DUMMYFUNCTION("""COMPUTED_VALUE"""),"PRO")</f>
        <v>PRO</v>
      </c>
      <c r="M1146" s="46" t="str">
        <f ca="1">IFERROR(__xludf.DUMMYFUNCTION("""COMPUTED_VALUE"""),"Leave")</f>
        <v>Leave</v>
      </c>
      <c r="N1146" s="46" t="str">
        <f ca="1">IFERROR(__xludf.DUMMYFUNCTION("""COMPUTED_VALUE"""),"đủ")</f>
        <v>đủ</v>
      </c>
    </row>
    <row r="1147" spans="1:14">
      <c r="A1147" s="45">
        <f ca="1">IFERROR(__xludf.DUMMYFUNCTION("""COMPUTED_VALUE"""),45903.5833333333)</f>
        <v>45903.583333333299</v>
      </c>
      <c r="B1147" s="45">
        <f ca="1">IFERROR(__xludf.DUMMYFUNCTION("""COMPUTED_VALUE"""),45932.5833333333)</f>
        <v>45932.583333333299</v>
      </c>
      <c r="C1147" s="46">
        <f ca="1">IFERROR(__xludf.DUMMYFUNCTION("""COMPUTED_VALUE"""),1148)</f>
        <v>1148</v>
      </c>
      <c r="D1147" s="47" t="str">
        <f ca="1">IFERROR(__xludf.DUMMYFUNCTION("""COMPUTED_VALUE"""),"C0943")</f>
        <v>C0943</v>
      </c>
      <c r="E1147" s="46" t="str">
        <f ca="1">IFERROR(__xludf.DUMMYFUNCTION("""COMPUTED_VALUE"""),"ĐẶNG THÁI TRƯỜNG")</f>
        <v>ĐẶNG THÁI TRƯỜNG</v>
      </c>
      <c r="F1147" s="46" t="str">
        <f ca="1">IFERROR(__xludf.DUMMYFUNCTION("""COMPUTED_VALUE"""),"DANG THAI TRUONG")</f>
        <v>DANG THAI TRUONG</v>
      </c>
      <c r="G1147" s="45">
        <f ca="1">IFERROR(__xludf.DUMMYFUNCTION("""COMPUTED_VALUE"""),30069.5833333333)</f>
        <v>30069.583333333299</v>
      </c>
      <c r="H1147" s="45" t="str">
        <f ca="1">IFERROR(__xludf.DUMMYFUNCTION("""COMPUTED_VALUE"""),"MOONCAKE")</f>
        <v>MOONCAKE</v>
      </c>
      <c r="I1147" s="46" t="str">
        <f ca="1">IFERROR(__xludf.DUMMYFUNCTION("""COMPUTED_VALUE"""),"KITCHEN PASTRY")</f>
        <v>KITCHEN PASTRY</v>
      </c>
      <c r="J1147" s="46" t="str">
        <f ca="1">IFERROR(__xludf.DUMMYFUNCTION("""COMPUTED_VALUE"""),"KITCHEN PASTRY")</f>
        <v>KITCHEN PASTRY</v>
      </c>
      <c r="K1147" s="46" t="str">
        <f ca="1">IFERROR(__xludf.DUMMYFUNCTION("""COMPUTED_VALUE"""),"PASTRY")</f>
        <v>PASTRY</v>
      </c>
      <c r="L1147" s="46" t="str">
        <f ca="1">IFERROR(__xludf.DUMMYFUNCTION("""COMPUTED_VALUE"""),"PTE")</f>
        <v>PTE</v>
      </c>
      <c r="M1147" s="46" t="str">
        <f ca="1">IFERROR(__xludf.DUMMYFUNCTION("""COMPUTED_VALUE"""),"Leave")</f>
        <v>Leave</v>
      </c>
      <c r="N1147" s="46" t="str">
        <f ca="1">IFERROR(__xludf.DUMMYFUNCTION("""COMPUTED_VALUE"""),"đủ")</f>
        <v>đủ</v>
      </c>
    </row>
    <row r="1148" spans="1:14">
      <c r="A1148" s="45">
        <f ca="1">IFERROR(__xludf.DUMMYFUNCTION("""COMPUTED_VALUE"""),45903.5833333333)</f>
        <v>45903.583333333299</v>
      </c>
      <c r="B1148" s="45">
        <f ca="1">IFERROR(__xludf.DUMMYFUNCTION("""COMPUTED_VALUE"""),46053.625)</f>
        <v>46053.625</v>
      </c>
      <c r="C1148" s="46">
        <f ca="1">IFERROR(__xludf.DUMMYFUNCTION("""COMPUTED_VALUE"""),1149)</f>
        <v>1149</v>
      </c>
      <c r="D1148" s="47" t="str">
        <f ca="1">IFERROR(__xludf.DUMMYFUNCTION("""COMPUTED_VALUE"""),"C0944")</f>
        <v>C0944</v>
      </c>
      <c r="E1148" s="46" t="str">
        <f ca="1">IFERROR(__xludf.DUMMYFUNCTION("""COMPUTED_VALUE"""),"VÕ ĐẶNG THÀNH ĐOÀN")</f>
        <v>VÕ ĐẶNG THÀNH ĐOÀN</v>
      </c>
      <c r="F1148" s="46" t="str">
        <f ca="1">IFERROR(__xludf.DUMMYFUNCTION("""COMPUTED_VALUE"""),"VO DANG THANH DOAN")</f>
        <v>VO DANG THANH DOAN</v>
      </c>
      <c r="G1148" s="45">
        <f ca="1">IFERROR(__xludf.DUMMYFUNCTION("""COMPUTED_VALUE"""),36937.625)</f>
        <v>36937.625</v>
      </c>
      <c r="H1148" s="45" t="str">
        <f ca="1">IFERROR(__xludf.DUMMYFUNCTION("""COMPUTED_VALUE"""),"KITCHEN PASTRY")</f>
        <v>KITCHEN PASTRY</v>
      </c>
      <c r="I1148" s="46" t="str">
        <f ca="1">IFERROR(__xludf.DUMMYFUNCTION("""COMPUTED_VALUE"""),"KITCHEN PASTRY")</f>
        <v>KITCHEN PASTRY</v>
      </c>
      <c r="J1148" s="46" t="str">
        <f ca="1">IFERROR(__xludf.DUMMYFUNCTION("""COMPUTED_VALUE"""),"KITCHEN PASTRY")</f>
        <v>KITCHEN PASTRY</v>
      </c>
      <c r="K1148" s="46" t="str">
        <f ca="1">IFERROR(__xludf.DUMMYFUNCTION("""COMPUTED_VALUE"""),"BAKER")</f>
        <v>BAKER</v>
      </c>
      <c r="L1148" s="46" t="str">
        <f ca="1">IFERROR(__xludf.DUMMYFUNCTION("""COMPUTED_VALUE"""),"FTE")</f>
        <v>FTE</v>
      </c>
      <c r="M1148" s="46" t="str">
        <f ca="1">IFERROR(__xludf.DUMMYFUNCTION("""COMPUTED_VALUE"""),"Leave")</f>
        <v>Leave</v>
      </c>
      <c r="N1148" s="46" t="str">
        <f ca="1">IFERROR(__xludf.DUMMYFUNCTION("""COMPUTED_VALUE"""),"đủ")</f>
        <v>đủ</v>
      </c>
    </row>
    <row r="1149" spans="1:14">
      <c r="A1149" s="45">
        <f ca="1">IFERROR(__xludf.DUMMYFUNCTION("""COMPUTED_VALUE"""),45903.5833333333)</f>
        <v>45903.583333333299</v>
      </c>
      <c r="B1149" s="45">
        <f ca="1">IFERROR(__xludf.DUMMYFUNCTION("""COMPUTED_VALUE"""),46112.5833333333)</f>
        <v>46112.583333333299</v>
      </c>
      <c r="C1149" s="46">
        <f ca="1">IFERROR(__xludf.DUMMYFUNCTION("""COMPUTED_VALUE"""),1150)</f>
        <v>1150</v>
      </c>
      <c r="D1149" s="47" t="str">
        <f ca="1">IFERROR(__xludf.DUMMYFUNCTION("""COMPUTED_VALUE"""),"C0945")</f>
        <v>C0945</v>
      </c>
      <c r="E1149" s="46" t="str">
        <f ca="1">IFERROR(__xludf.DUMMYFUNCTION("""COMPUTED_VALUE"""),"NGUYỄN TIẾN THẮNG")</f>
        <v>NGUYỄN TIẾN THẮNG</v>
      </c>
      <c r="F1149" s="46" t="str">
        <f ca="1">IFERROR(__xludf.DUMMYFUNCTION("""COMPUTED_VALUE"""),"NGUYEN TIEN THANG")</f>
        <v>NGUYEN TIEN THANG</v>
      </c>
      <c r="G1149" s="45">
        <f ca="1">IFERROR(__xludf.DUMMYFUNCTION("""COMPUTED_VALUE"""),38420.625)</f>
        <v>38420.625</v>
      </c>
      <c r="H1149" s="45" t="str">
        <f ca="1">IFERROR(__xludf.DUMMYFUNCTION("""COMPUTED_VALUE"""),"YESHI")</f>
        <v>YESHI</v>
      </c>
      <c r="I1149" s="46" t="str">
        <f ca="1">IFERROR(__xludf.DUMMYFUNCTION("""COMPUTED_VALUE"""),"STORE")</f>
        <v>STORE</v>
      </c>
      <c r="J1149" s="46" t="str">
        <f ca="1">IFERROR(__xludf.DUMMYFUNCTION("""COMPUTED_VALUE"""),"YESHI D2")</f>
        <v>YESHI D2</v>
      </c>
      <c r="K1149" s="46" t="str">
        <f ca="1">IFERROR(__xludf.DUMMYFUNCTION("""COMPUTED_VALUE"""),"KIT")</f>
        <v>KIT</v>
      </c>
      <c r="L1149" s="46" t="str">
        <f ca="1">IFERROR(__xludf.DUMMYFUNCTION("""COMPUTED_VALUE"""),"PTE")</f>
        <v>PTE</v>
      </c>
      <c r="M1149" s="46" t="str">
        <f ca="1">IFERROR(__xludf.DUMMYFUNCTION("""COMPUTED_VALUE"""),"Leave")</f>
        <v>Leave</v>
      </c>
      <c r="N1149" s="46" t="str">
        <f ca="1">IFERROR(__xludf.DUMMYFUNCTION("""COMPUTED_VALUE"""),"đủ")</f>
        <v>đủ</v>
      </c>
    </row>
    <row r="1150" spans="1:14">
      <c r="A1150" s="45">
        <f ca="1">IFERROR(__xludf.DUMMYFUNCTION("""COMPUTED_VALUE"""),45903.5833333333)</f>
        <v>45903.583333333299</v>
      </c>
      <c r="B1150" s="45">
        <f ca="1">IFERROR(__xludf.DUMMYFUNCTION("""COMPUTED_VALUE"""),45908.5833333333)</f>
        <v>45908.583333333299</v>
      </c>
      <c r="C1150" s="46">
        <f ca="1">IFERROR(__xludf.DUMMYFUNCTION("""COMPUTED_VALUE"""),1151)</f>
        <v>1151</v>
      </c>
      <c r="D1150" s="47" t="str">
        <f ca="1">IFERROR(__xludf.DUMMYFUNCTION("""COMPUTED_VALUE"""),"C0946")</f>
        <v>C0946</v>
      </c>
      <c r="E1150" s="46" t="str">
        <f ca="1">IFERROR(__xludf.DUMMYFUNCTION("""COMPUTED_VALUE"""),"BÙI HOÀNG BẢO XUYẾN")</f>
        <v>BÙI HOÀNG BẢO XUYẾN</v>
      </c>
      <c r="F1150" s="46" t="str">
        <f ca="1">IFERROR(__xludf.DUMMYFUNCTION("""COMPUTED_VALUE"""),"BUI HOANG BAO XUYEN")</f>
        <v>BUI HOANG BAO XUYEN</v>
      </c>
      <c r="G1150" s="45">
        <f ca="1">IFERROR(__xludf.DUMMYFUNCTION("""COMPUTED_VALUE"""),38013.625)</f>
        <v>38013.625</v>
      </c>
      <c r="H1150" s="45" t="str">
        <f ca="1">IFERROR(__xludf.DUMMYFUNCTION("""COMPUTED_VALUE"""),"MOONCAKE")</f>
        <v>MOONCAKE</v>
      </c>
      <c r="I1150" s="46" t="str">
        <f ca="1">IFERROR(__xludf.DUMMYFUNCTION("""COMPUTED_VALUE"""),"KITCHEN PASTRY")</f>
        <v>KITCHEN PASTRY</v>
      </c>
      <c r="J1150" s="46" t="str">
        <f ca="1">IFERROR(__xludf.DUMMYFUNCTION("""COMPUTED_VALUE"""),"KITCHEN PASTRY")</f>
        <v>KITCHEN PASTRY</v>
      </c>
      <c r="K1150" s="46" t="str">
        <f ca="1">IFERROR(__xludf.DUMMYFUNCTION("""COMPUTED_VALUE"""),"PASTRY")</f>
        <v>PASTRY</v>
      </c>
      <c r="L1150" s="46" t="str">
        <f ca="1">IFERROR(__xludf.DUMMYFUNCTION("""COMPUTED_VALUE"""),"PTE")</f>
        <v>PTE</v>
      </c>
      <c r="M1150" s="46" t="str">
        <f ca="1">IFERROR(__xludf.DUMMYFUNCTION("""COMPUTED_VALUE"""),"Leave")</f>
        <v>Leave</v>
      </c>
      <c r="N1150" s="46" t="str">
        <f ca="1">IFERROR(__xludf.DUMMYFUNCTION("""COMPUTED_VALUE"""),"đủ")</f>
        <v>đủ</v>
      </c>
    </row>
    <row r="1151" spans="1:14">
      <c r="A1151" s="45">
        <f ca="1">IFERROR(__xludf.DUMMYFUNCTION("""COMPUTED_VALUE"""),45903.5833333333)</f>
        <v>45903.583333333299</v>
      </c>
      <c r="B1151" s="45" t="str">
        <f ca="1">IFERROR(__xludf.DUMMYFUNCTION("""COMPUTED_VALUE"""),"Đã nghỉ")</f>
        <v>Đã nghỉ</v>
      </c>
      <c r="C1151" s="46">
        <f ca="1">IFERROR(__xludf.DUMMYFUNCTION("""COMPUTED_VALUE"""),1152)</f>
        <v>1152</v>
      </c>
      <c r="D1151" s="47" t="str">
        <f ca="1">IFERROR(__xludf.DUMMYFUNCTION("""COMPUTED_VALUE"""),"C0947")</f>
        <v>C0947</v>
      </c>
      <c r="E1151" s="46" t="str">
        <f ca="1">IFERROR(__xludf.DUMMYFUNCTION("""COMPUTED_VALUE"""),"CHUNG TRANG NGỌC ANH")</f>
        <v>CHUNG TRANG NGỌC ANH</v>
      </c>
      <c r="F1151" s="46" t="str">
        <f ca="1">IFERROR(__xludf.DUMMYFUNCTION("""COMPUTED_VALUE"""),"CHUNG TRANG NGOC ANH")</f>
        <v>CHUNG TRANG NGOC ANH</v>
      </c>
      <c r="G1151" s="45">
        <f ca="1">IFERROR(__xludf.DUMMYFUNCTION("""COMPUTED_VALUE"""),38304.625)</f>
        <v>38304.625</v>
      </c>
      <c r="H1151" s="45" t="str">
        <f ca="1">IFERROR(__xludf.DUMMYFUNCTION("""COMPUTED_VALUE"""),"MOONCAKE")</f>
        <v>MOONCAKE</v>
      </c>
      <c r="I1151" s="46" t="str">
        <f ca="1">IFERROR(__xludf.DUMMYFUNCTION("""COMPUTED_VALUE"""),"STORE")</f>
        <v>STORE</v>
      </c>
      <c r="J1151" s="46" t="str">
        <f ca="1">IFERROR(__xludf.DUMMYFUNCTION("""COMPUTED_VALUE"""),"VIVOCITY")</f>
        <v>VIVOCITY</v>
      </c>
      <c r="K1151" s="46" t="str">
        <f ca="1">IFERROR(__xludf.DUMMYFUNCTION("""COMPUTED_VALUE"""),"SAL")</f>
        <v>SAL</v>
      </c>
      <c r="L1151" s="46" t="str">
        <f ca="1">IFERROR(__xludf.DUMMYFUNCTION("""COMPUTED_VALUE"""),"PTEP")</f>
        <v>PTEP</v>
      </c>
      <c r="M1151" s="46" t="str">
        <f ca="1">IFERROR(__xludf.DUMMYFUNCTION("""COMPUTED_VALUE"""),"Leave")</f>
        <v>Leave</v>
      </c>
      <c r="N1151" s="46" t="str">
        <f ca="1">IFERROR(__xludf.DUMMYFUNCTION("""COMPUTED_VALUE"""),"đủ")</f>
        <v>đủ</v>
      </c>
    </row>
    <row r="1152" spans="1:14">
      <c r="A1152" s="45">
        <f ca="1">IFERROR(__xludf.DUMMYFUNCTION("""COMPUTED_VALUE"""),45903.5833333333)</f>
        <v>45903.583333333299</v>
      </c>
      <c r="B1152" s="45">
        <f ca="1">IFERROR(__xludf.DUMMYFUNCTION("""COMPUTED_VALUE"""),45963.5833333333)</f>
        <v>45963.583333333299</v>
      </c>
      <c r="C1152" s="46">
        <f ca="1">IFERROR(__xludf.DUMMYFUNCTION("""COMPUTED_VALUE"""),1153)</f>
        <v>1153</v>
      </c>
      <c r="D1152" s="47" t="str">
        <f ca="1">IFERROR(__xludf.DUMMYFUNCTION("""COMPUTED_VALUE"""),"C0948")</f>
        <v>C0948</v>
      </c>
      <c r="E1152" s="46" t="str">
        <f ca="1">IFERROR(__xludf.DUMMYFUNCTION("""COMPUTED_VALUE"""),"HUỲNH MINH VY")</f>
        <v>HUỲNH MINH VY</v>
      </c>
      <c r="F1152" s="46" t="str">
        <f ca="1">IFERROR(__xludf.DUMMYFUNCTION("""COMPUTED_VALUE"""),"HUYNH MINH VY")</f>
        <v>HUYNH MINH VY</v>
      </c>
      <c r="G1152" s="45">
        <f ca="1">IFERROR(__xludf.DUMMYFUNCTION("""COMPUTED_VALUE"""),37097.5833333333)</f>
        <v>37097.583333333299</v>
      </c>
      <c r="H1152" s="45" t="str">
        <f ca="1">IFERROR(__xludf.DUMMYFUNCTION("""COMPUTED_VALUE"""),"MATTE")</f>
        <v>MATTE</v>
      </c>
      <c r="I1152" s="46" t="str">
        <f ca="1">IFERROR(__xludf.DUMMYFUNCTION("""COMPUTED_VALUE"""),"STORE")</f>
        <v>STORE</v>
      </c>
      <c r="J1152" s="46" t="str">
        <f ca="1">IFERROR(__xludf.DUMMYFUNCTION("""COMPUTED_VALUE"""),"MATTE D3")</f>
        <v>MATTE D3</v>
      </c>
      <c r="K1152" s="46" t="str">
        <f ca="1">IFERROR(__xludf.DUMMYFUNCTION("""COMPUTED_VALUE"""),"BAR")</f>
        <v>BAR</v>
      </c>
      <c r="L1152" s="46" t="str">
        <f ca="1">IFERROR(__xludf.DUMMYFUNCTION("""COMPUTED_VALUE"""),"PTE")</f>
        <v>PTE</v>
      </c>
      <c r="M1152" s="46" t="str">
        <f ca="1">IFERROR(__xludf.DUMMYFUNCTION("""COMPUTED_VALUE"""),"Leave")</f>
        <v>Leave</v>
      </c>
      <c r="N1152" s="46" t="str">
        <f ca="1">IFERROR(__xludf.DUMMYFUNCTION("""COMPUTED_VALUE"""),"đủ")</f>
        <v>đủ</v>
      </c>
    </row>
    <row r="1153" spans="1:14">
      <c r="A1153" s="45">
        <f ca="1">IFERROR(__xludf.DUMMYFUNCTION("""COMPUTED_VALUE"""),45904.5833333333)</f>
        <v>45904.583333333299</v>
      </c>
      <c r="B1153" s="45">
        <f ca="1">IFERROR(__xludf.DUMMYFUNCTION("""COMPUTED_VALUE"""),46172.5833333333)</f>
        <v>46172.583333333299</v>
      </c>
      <c r="C1153" s="46">
        <f ca="1">IFERROR(__xludf.DUMMYFUNCTION("""COMPUTED_VALUE"""),1154)</f>
        <v>1154</v>
      </c>
      <c r="D1153" s="47" t="str">
        <f ca="1">IFERROR(__xludf.DUMMYFUNCTION("""COMPUTED_VALUE"""),"C0949")</f>
        <v>C0949</v>
      </c>
      <c r="E1153" s="46" t="str">
        <f ca="1">IFERROR(__xludf.DUMMYFUNCTION("""COMPUTED_VALUE"""),"NGUYỄN VŨ NGỌC MINH")</f>
        <v>NGUYỄN VŨ NGỌC MINH</v>
      </c>
      <c r="F1153" s="46" t="str">
        <f ca="1">IFERROR(__xludf.DUMMYFUNCTION("""COMPUTED_VALUE"""),"NGUYEN VU NGOC MINH")</f>
        <v>NGUYEN VU NGOC MINH</v>
      </c>
      <c r="G1153" s="45">
        <f ca="1">IFERROR(__xludf.DUMMYFUNCTION("""COMPUTED_VALUE"""),36439.5833333333)</f>
        <v>36439.583333333299</v>
      </c>
      <c r="H1153" s="45" t="str">
        <f ca="1">IFERROR(__xludf.DUMMYFUNCTION("""COMPUTED_VALUE"""),"MATTE")</f>
        <v>MATTE</v>
      </c>
      <c r="I1153" s="46" t="str">
        <f ca="1">IFERROR(__xludf.DUMMYFUNCTION("""COMPUTED_VALUE"""),"STORE")</f>
        <v>STORE</v>
      </c>
      <c r="J1153" s="46" t="str">
        <f ca="1">IFERROR(__xludf.DUMMYFUNCTION("""COMPUTED_VALUE"""),"MATTE D7")</f>
        <v>MATTE D7</v>
      </c>
      <c r="K1153" s="46" t="str">
        <f ca="1">IFERROR(__xludf.DUMMYFUNCTION("""COMPUTED_VALUE"""),"BAR")</f>
        <v>BAR</v>
      </c>
      <c r="L1153" s="46" t="str">
        <f ca="1">IFERROR(__xludf.DUMMYFUNCTION("""COMPUTED_VALUE"""),"PTE")</f>
        <v>PTE</v>
      </c>
      <c r="M1153" s="46" t="str">
        <f ca="1">IFERROR(__xludf.DUMMYFUNCTION("""COMPUTED_VALUE"""),"Leave")</f>
        <v>Leave</v>
      </c>
      <c r="N1153" s="46" t="str">
        <f ca="1">IFERROR(__xludf.DUMMYFUNCTION("""COMPUTED_VALUE"""),"đủ")</f>
        <v>đủ</v>
      </c>
    </row>
    <row r="1154" spans="1:14">
      <c r="A1154" s="45">
        <f ca="1">IFERROR(__xludf.DUMMYFUNCTION("""COMPUTED_VALUE"""),45906.5833333333)</f>
        <v>45906.583333333299</v>
      </c>
      <c r="B1154" s="45">
        <f ca="1">IFERROR(__xludf.DUMMYFUNCTION("""COMPUTED_VALUE"""),45915.5833333333)</f>
        <v>45915.583333333299</v>
      </c>
      <c r="C1154" s="46">
        <f ca="1">IFERROR(__xludf.DUMMYFUNCTION("""COMPUTED_VALUE"""),1155)</f>
        <v>1155</v>
      </c>
      <c r="D1154" s="47" t="str">
        <f ca="1">IFERROR(__xludf.DUMMYFUNCTION("""COMPUTED_VALUE"""),"C0950")</f>
        <v>C0950</v>
      </c>
      <c r="E1154" s="46" t="str">
        <f ca="1">IFERROR(__xludf.DUMMYFUNCTION("""COMPUTED_VALUE"""),"NGUYỄN THỊ NGỌC MAI")</f>
        <v>NGUYỄN THỊ NGỌC MAI</v>
      </c>
      <c r="F1154" s="46" t="str">
        <f ca="1">IFERROR(__xludf.DUMMYFUNCTION("""COMPUTED_VALUE"""),"NGUYEN THI NGOC MAI")</f>
        <v>NGUYEN THI NGOC MAI</v>
      </c>
      <c r="G1154" s="45">
        <f ca="1">IFERROR(__xludf.DUMMYFUNCTION("""COMPUTED_VALUE"""),35296.5833333333)</f>
        <v>35296.583333333299</v>
      </c>
      <c r="H1154" s="45" t="str">
        <f ca="1">IFERROR(__xludf.DUMMYFUNCTION("""COMPUTED_VALUE"""),"MOONCAKE")</f>
        <v>MOONCAKE</v>
      </c>
      <c r="I1154" s="46" t="str">
        <f ca="1">IFERROR(__xludf.DUMMYFUNCTION("""COMPUTED_VALUE"""),"KITCHEN PASTRY")</f>
        <v>KITCHEN PASTRY</v>
      </c>
      <c r="J1154" s="46" t="str">
        <f ca="1">IFERROR(__xludf.DUMMYFUNCTION("""COMPUTED_VALUE"""),"KITCHEN PASTRY")</f>
        <v>KITCHEN PASTRY</v>
      </c>
      <c r="K1154" s="46" t="str">
        <f ca="1">IFERROR(__xludf.DUMMYFUNCTION("""COMPUTED_VALUE"""),"PASTRY")</f>
        <v>PASTRY</v>
      </c>
      <c r="L1154" s="46" t="str">
        <f ca="1">IFERROR(__xludf.DUMMYFUNCTION("""COMPUTED_VALUE"""),"PTE")</f>
        <v>PTE</v>
      </c>
      <c r="M1154" s="46" t="str">
        <f ca="1">IFERROR(__xludf.DUMMYFUNCTION("""COMPUTED_VALUE"""),"Leave")</f>
        <v>Leave</v>
      </c>
      <c r="N1154" s="46" t="str">
        <f ca="1">IFERROR(__xludf.DUMMYFUNCTION("""COMPUTED_VALUE"""),"đủ")</f>
        <v>đủ</v>
      </c>
    </row>
    <row r="1155" spans="1:14">
      <c r="A1155" s="45">
        <f ca="1">IFERROR(__xludf.DUMMYFUNCTION("""COMPUTED_VALUE"""),45903.5833333333)</f>
        <v>45903.583333333299</v>
      </c>
      <c r="B1155" s="45"/>
      <c r="C1155" s="46">
        <f ca="1">IFERROR(__xludf.DUMMYFUNCTION("""COMPUTED_VALUE"""),1156)</f>
        <v>1156</v>
      </c>
      <c r="D1155" s="47" t="str">
        <f ca="1">IFERROR(__xludf.DUMMYFUNCTION("""COMPUTED_VALUE"""),"C0952")</f>
        <v>C0952</v>
      </c>
      <c r="E1155" s="46" t="str">
        <f ca="1">IFERROR(__xludf.DUMMYFUNCTION("""COMPUTED_VALUE"""),"LÊ THỊ THANH TRÀ")</f>
        <v>LÊ THỊ THANH TRÀ</v>
      </c>
      <c r="F1155" s="46" t="str">
        <f ca="1">IFERROR(__xludf.DUMMYFUNCTION("""COMPUTED_VALUE"""),"LE THI THANH TRA")</f>
        <v>LE THI THANH TRA</v>
      </c>
      <c r="G1155" s="45">
        <f ca="1">IFERROR(__xludf.DUMMYFUNCTION("""COMPUTED_VALUE"""),38079.625)</f>
        <v>38079.625</v>
      </c>
      <c r="H1155" s="45" t="str">
        <f ca="1">IFERROR(__xludf.DUMMYFUNCTION("""COMPUTED_VALUE"""),"BAKES")</f>
        <v>BAKES</v>
      </c>
      <c r="I1155" s="46" t="str">
        <f ca="1">IFERROR(__xludf.DUMMYFUNCTION("""COMPUTED_VALUE"""),"STORE")</f>
        <v>STORE</v>
      </c>
      <c r="J1155" s="46" t="str">
        <f ca="1">IFERROR(__xludf.DUMMYFUNCTION("""COMPUTED_VALUE"""),"BAKES D7")</f>
        <v>BAKES D7</v>
      </c>
      <c r="K1155" s="46" t="str">
        <f ca="1">IFERROR(__xludf.DUMMYFUNCTION("""COMPUTED_VALUE"""),"BAR")</f>
        <v>BAR</v>
      </c>
      <c r="L1155" s="46" t="str">
        <f ca="1">IFERROR(__xludf.DUMMYFUNCTION("""COMPUTED_VALUE"""),"PTE")</f>
        <v>PTE</v>
      </c>
      <c r="M1155" s="46" t="str">
        <f ca="1">IFERROR(__xludf.DUMMYFUNCTION("""COMPUTED_VALUE"""),"On")</f>
        <v>On</v>
      </c>
      <c r="N1155" s="46" t="str">
        <f ca="1">IFERROR(__xludf.DUMMYFUNCTION("""COMPUTED_VALUE"""),"đủ")</f>
        <v>đủ</v>
      </c>
    </row>
    <row r="1156" spans="1:14">
      <c r="A1156" s="45">
        <f ca="1">IFERROR(__xludf.DUMMYFUNCTION("""COMPUTED_VALUE"""),45909.5833333333)</f>
        <v>45909.583333333299</v>
      </c>
      <c r="B1156" s="45"/>
      <c r="C1156" s="46">
        <f ca="1">IFERROR(__xludf.DUMMYFUNCTION("""COMPUTED_VALUE"""),1157)</f>
        <v>1157</v>
      </c>
      <c r="D1156" s="47" t="str">
        <f ca="1">IFERROR(__xludf.DUMMYFUNCTION("""COMPUTED_VALUE"""),"C0956")</f>
        <v>C0956</v>
      </c>
      <c r="E1156" s="46" t="str">
        <f ca="1">IFERROR(__xludf.DUMMYFUNCTION("""COMPUTED_VALUE"""),"NGUYỄN THỊ THÙY NHI")</f>
        <v>NGUYỄN THỊ THÙY NHI</v>
      </c>
      <c r="F1156" s="46" t="str">
        <f ca="1">IFERROR(__xludf.DUMMYFUNCTION("""COMPUTED_VALUE"""),"NGUYEN THI THUY NHI")</f>
        <v>NGUYEN THI THUY NHI</v>
      </c>
      <c r="G1156" s="45">
        <f ca="1">IFERROR(__xludf.DUMMYFUNCTION("""COMPUTED_VALUE"""),35853.625)</f>
        <v>35853.625</v>
      </c>
      <c r="H1156" s="45" t="str">
        <f ca="1">IFERROR(__xludf.DUMMYFUNCTION("""COMPUTED_VALUE"""),"TLC")</f>
        <v>TLC</v>
      </c>
      <c r="I1156" s="46" t="str">
        <f ca="1">IFERROR(__xludf.DUMMYFUNCTION("""COMPUTED_VALUE"""),"HO")</f>
        <v>HO</v>
      </c>
      <c r="J1156" s="46" t="str">
        <f ca="1">IFERROR(__xludf.DUMMYFUNCTION("""COMPUTED_VALUE"""),"FIN")</f>
        <v>FIN</v>
      </c>
      <c r="K1156" s="46" t="str">
        <f ca="1">IFERROR(__xludf.DUMMYFUNCTION("""COMPUTED_VALUE"""),"FIN")</f>
        <v>FIN</v>
      </c>
      <c r="L1156" s="46" t="str">
        <f ca="1">IFERROR(__xludf.DUMMYFUNCTION("""COMPUTED_VALUE"""),"FTE")</f>
        <v>FTE</v>
      </c>
      <c r="M1156" s="46" t="str">
        <f ca="1">IFERROR(__xludf.DUMMYFUNCTION("""COMPUTED_VALUE"""),"On")</f>
        <v>On</v>
      </c>
      <c r="N1156" s="46" t="str">
        <f ca="1">IFERROR(__xludf.DUMMYFUNCTION("""COMPUTED_VALUE"""),"Đủ")</f>
        <v>Đủ</v>
      </c>
    </row>
    <row r="1157" spans="1:14">
      <c r="A1157" s="45">
        <f ca="1">IFERROR(__xludf.DUMMYFUNCTION("""COMPUTED_VALUE"""),45909.5833333333)</f>
        <v>45909.583333333299</v>
      </c>
      <c r="B1157" s="45">
        <f ca="1">IFERROR(__xludf.DUMMYFUNCTION("""COMPUTED_VALUE"""),46286.5833333333)</f>
        <v>46286.583333333299</v>
      </c>
      <c r="C1157" s="46">
        <f ca="1">IFERROR(__xludf.DUMMYFUNCTION("""COMPUTED_VALUE"""),1158)</f>
        <v>1158</v>
      </c>
      <c r="D1157" s="47" t="str">
        <f ca="1">IFERROR(__xludf.DUMMYFUNCTION("""COMPUTED_VALUE"""),"C0957")</f>
        <v>C0957</v>
      </c>
      <c r="E1157" s="46" t="str">
        <f ca="1">IFERROR(__xludf.DUMMYFUNCTION("""COMPUTED_VALUE"""),"NGÔ THANH TUẤN")</f>
        <v>NGÔ THANH TUẤN</v>
      </c>
      <c r="F1157" s="46" t="str">
        <f ca="1">IFERROR(__xludf.DUMMYFUNCTION("""COMPUTED_VALUE"""),"NGO THANH TUAN")</f>
        <v>NGO THANH TUAN</v>
      </c>
      <c r="G1157" s="45">
        <f ca="1">IFERROR(__xludf.DUMMYFUNCTION("""COMPUTED_VALUE"""),36817.5833333333)</f>
        <v>36817.583333333299</v>
      </c>
      <c r="H1157" s="45" t="str">
        <f ca="1">IFERROR(__xludf.DUMMYFUNCTION("""COMPUTED_VALUE"""),"BAKES")</f>
        <v>BAKES</v>
      </c>
      <c r="I1157" s="46" t="str">
        <f ca="1">IFERROR(__xludf.DUMMYFUNCTION("""COMPUTED_VALUE"""),"HO")</f>
        <v>HO</v>
      </c>
      <c r="J1157" s="46" t="str">
        <f ca="1">IFERROR(__xludf.DUMMYFUNCTION("""COMPUTED_VALUE"""),"CUS")</f>
        <v>CUS</v>
      </c>
      <c r="K1157" s="46" t="str">
        <f ca="1">IFERROR(__xludf.DUMMYFUNCTION("""COMPUTED_VALUE"""),"CUS")</f>
        <v>CUS</v>
      </c>
      <c r="L1157" s="46" t="str">
        <f ca="1">IFERROR(__xludf.DUMMYFUNCTION("""COMPUTED_VALUE"""),"PTE")</f>
        <v>PTE</v>
      </c>
      <c r="M1157" s="46" t="str">
        <f ca="1">IFERROR(__xludf.DUMMYFUNCTION("""COMPUTED_VALUE"""),"Leave")</f>
        <v>Leave</v>
      </c>
      <c r="N1157" s="46" t="str">
        <f ca="1">IFERROR(__xludf.DUMMYFUNCTION("""COMPUTED_VALUE"""),"đủ")</f>
        <v>đủ</v>
      </c>
    </row>
    <row r="1158" spans="1:14">
      <c r="A1158" s="45">
        <f ca="1">IFERROR(__xludf.DUMMYFUNCTION("""COMPUTED_VALUE"""),45909.5833333333)</f>
        <v>45909.583333333299</v>
      </c>
      <c r="B1158" s="45">
        <f ca="1">IFERROR(__xludf.DUMMYFUNCTION("""COMPUTED_VALUE"""),46084.625)</f>
        <v>46084.625</v>
      </c>
      <c r="C1158" s="46">
        <f ca="1">IFERROR(__xludf.DUMMYFUNCTION("""COMPUTED_VALUE"""),1159)</f>
        <v>1159</v>
      </c>
      <c r="D1158" s="47" t="str">
        <f ca="1">IFERROR(__xludf.DUMMYFUNCTION("""COMPUTED_VALUE"""),"C0958")</f>
        <v>C0958</v>
      </c>
      <c r="E1158" s="46" t="str">
        <f ca="1">IFERROR(__xludf.DUMMYFUNCTION("""COMPUTED_VALUE"""),"NGUYỄN DƯƠNG ĐĂNG KHOA")</f>
        <v>NGUYỄN DƯƠNG ĐĂNG KHOA</v>
      </c>
      <c r="F1158" s="46" t="str">
        <f ca="1">IFERROR(__xludf.DUMMYFUNCTION("""COMPUTED_VALUE"""),"NGUYEN DUONG DANG KHOA")</f>
        <v>NGUYEN DUONG DANG KHOA</v>
      </c>
      <c r="G1158" s="45">
        <f ca="1">IFERROR(__xludf.DUMMYFUNCTION("""COMPUTED_VALUE"""),37422.5833333333)</f>
        <v>37422.583333333299</v>
      </c>
      <c r="H1158" s="45" t="str">
        <f ca="1">IFERROR(__xludf.DUMMYFUNCTION("""COMPUTED_VALUE"""),"TLC")</f>
        <v>TLC</v>
      </c>
      <c r="I1158" s="46" t="str">
        <f ca="1">IFERROR(__xludf.DUMMYFUNCTION("""COMPUTED_VALUE"""),"HO")</f>
        <v>HO</v>
      </c>
      <c r="J1158" s="46" t="str">
        <f ca="1">IFERROR(__xludf.DUMMYFUNCTION("""COMPUTED_VALUE"""),"CUS")</f>
        <v>CUS</v>
      </c>
      <c r="K1158" s="46" t="str">
        <f ca="1">IFERROR(__xludf.DUMMYFUNCTION("""COMPUTED_VALUE"""),"CUS")</f>
        <v>CUS</v>
      </c>
      <c r="L1158" s="46" t="str">
        <f ca="1">IFERROR(__xludf.DUMMYFUNCTION("""COMPUTED_VALUE"""),"PTE")</f>
        <v>PTE</v>
      </c>
      <c r="M1158" s="46" t="str">
        <f ca="1">IFERROR(__xludf.DUMMYFUNCTION("""COMPUTED_VALUE"""),"Leave")</f>
        <v>Leave</v>
      </c>
      <c r="N1158" s="46" t="str">
        <f ca="1">IFERROR(__xludf.DUMMYFUNCTION("""COMPUTED_VALUE"""),"đủ")</f>
        <v>đủ</v>
      </c>
    </row>
    <row r="1159" spans="1:14">
      <c r="A1159" s="45">
        <f ca="1">IFERROR(__xludf.DUMMYFUNCTION("""COMPUTED_VALUE"""),45903.5833333333)</f>
        <v>45903.583333333299</v>
      </c>
      <c r="B1159" s="45">
        <f ca="1">IFERROR(__xludf.DUMMYFUNCTION("""COMPUTED_VALUE"""),45932.5833333333)</f>
        <v>45932.583333333299</v>
      </c>
      <c r="C1159" s="46">
        <f ca="1">IFERROR(__xludf.DUMMYFUNCTION("""COMPUTED_VALUE"""),1160)</f>
        <v>1160</v>
      </c>
      <c r="D1159" s="47" t="str">
        <f ca="1">IFERROR(__xludf.DUMMYFUNCTION("""COMPUTED_VALUE"""),"C0959")</f>
        <v>C0959</v>
      </c>
      <c r="E1159" s="46" t="str">
        <f ca="1">IFERROR(__xludf.DUMMYFUNCTION("""COMPUTED_VALUE"""),"HUỲNH PHẠM THANH THƯ")</f>
        <v>HUỲNH PHẠM THANH THƯ</v>
      </c>
      <c r="F1159" s="46" t="str">
        <f ca="1">IFERROR(__xludf.DUMMYFUNCTION("""COMPUTED_VALUE"""),"HUYNH PHAM THANH THU")</f>
        <v>HUYNH PHAM THANH THU</v>
      </c>
      <c r="G1159" s="45">
        <f ca="1">IFERROR(__xludf.DUMMYFUNCTION("""COMPUTED_VALUE"""),36953.625)</f>
        <v>36953.625</v>
      </c>
      <c r="H1159" s="45" t="str">
        <f ca="1">IFERROR(__xludf.DUMMYFUNCTION("""COMPUTED_VALUE"""),"MOONCAKE")</f>
        <v>MOONCAKE</v>
      </c>
      <c r="I1159" s="46" t="str">
        <f ca="1">IFERROR(__xludf.DUMMYFUNCTION("""COMPUTED_VALUE"""),"KITCHEN PASTRY")</f>
        <v>KITCHEN PASTRY</v>
      </c>
      <c r="J1159" s="46" t="str">
        <f ca="1">IFERROR(__xludf.DUMMYFUNCTION("""COMPUTED_VALUE"""),"KITCHEN PASTRY")</f>
        <v>KITCHEN PASTRY</v>
      </c>
      <c r="K1159" s="46" t="str">
        <f ca="1">IFERROR(__xludf.DUMMYFUNCTION("""COMPUTED_VALUE"""),"PASTRY")</f>
        <v>PASTRY</v>
      </c>
      <c r="L1159" s="46" t="str">
        <f ca="1">IFERROR(__xludf.DUMMYFUNCTION("""COMPUTED_VALUE"""),"PTE")</f>
        <v>PTE</v>
      </c>
      <c r="M1159" s="46" t="str">
        <f ca="1">IFERROR(__xludf.DUMMYFUNCTION("""COMPUTED_VALUE"""),"Leave")</f>
        <v>Leave</v>
      </c>
      <c r="N1159" s="46" t="str">
        <f ca="1">IFERROR(__xludf.DUMMYFUNCTION("""COMPUTED_VALUE"""),"đủ")</f>
        <v>đủ</v>
      </c>
    </row>
    <row r="1160" spans="1:14">
      <c r="A1160" s="45">
        <f ca="1">IFERROR(__xludf.DUMMYFUNCTION("""COMPUTED_VALUE"""),45905.5833333333)</f>
        <v>45905.583333333299</v>
      </c>
      <c r="B1160" s="45">
        <f ca="1">IFERROR(__xludf.DUMMYFUNCTION("""COMPUTED_VALUE"""),45932.5833333333)</f>
        <v>45932.583333333299</v>
      </c>
      <c r="C1160" s="46">
        <f ca="1">IFERROR(__xludf.DUMMYFUNCTION("""COMPUTED_VALUE"""),1161)</f>
        <v>1161</v>
      </c>
      <c r="D1160" s="47" t="str">
        <f ca="1">IFERROR(__xludf.DUMMYFUNCTION("""COMPUTED_VALUE"""),"C0960")</f>
        <v>C0960</v>
      </c>
      <c r="E1160" s="46" t="str">
        <f ca="1">IFERROR(__xludf.DUMMYFUNCTION("""COMPUTED_VALUE"""),"HUỲNH DIỆP THANH VY")</f>
        <v>HUỲNH DIỆP THANH VY</v>
      </c>
      <c r="F1160" s="46" t="str">
        <f ca="1">IFERROR(__xludf.DUMMYFUNCTION("""COMPUTED_VALUE"""),"HUYNH DIEP THANH VY")</f>
        <v>HUYNH DIEP THANH VY</v>
      </c>
      <c r="G1160" s="45">
        <f ca="1">IFERROR(__xludf.DUMMYFUNCTION("""COMPUTED_VALUE"""),37659.625)</f>
        <v>37659.625</v>
      </c>
      <c r="H1160" s="45" t="str">
        <f ca="1">IFERROR(__xludf.DUMMYFUNCTION("""COMPUTED_VALUE"""),"MOONCAKE")</f>
        <v>MOONCAKE</v>
      </c>
      <c r="I1160" s="46" t="str">
        <f ca="1">IFERROR(__xludf.DUMMYFUNCTION("""COMPUTED_VALUE"""),"KITCHEN PASTRY")</f>
        <v>KITCHEN PASTRY</v>
      </c>
      <c r="J1160" s="46" t="str">
        <f ca="1">IFERROR(__xludf.DUMMYFUNCTION("""COMPUTED_VALUE"""),"KITCHEN PASTRY")</f>
        <v>KITCHEN PASTRY</v>
      </c>
      <c r="K1160" s="46" t="str">
        <f ca="1">IFERROR(__xludf.DUMMYFUNCTION("""COMPUTED_VALUE"""),"PASTRY")</f>
        <v>PASTRY</v>
      </c>
      <c r="L1160" s="46" t="str">
        <f ca="1">IFERROR(__xludf.DUMMYFUNCTION("""COMPUTED_VALUE"""),"PTE")</f>
        <v>PTE</v>
      </c>
      <c r="M1160" s="46" t="str">
        <f ca="1">IFERROR(__xludf.DUMMYFUNCTION("""COMPUTED_VALUE"""),"Leave")</f>
        <v>Leave</v>
      </c>
      <c r="N1160" s="46" t="str">
        <f ca="1">IFERROR(__xludf.DUMMYFUNCTION("""COMPUTED_VALUE"""),"đủ")</f>
        <v>đủ</v>
      </c>
    </row>
    <row r="1161" spans="1:14">
      <c r="A1161" s="45">
        <f ca="1">IFERROR(__xludf.DUMMYFUNCTION("""COMPUTED_VALUE"""),45908.5833333333)</f>
        <v>45908.583333333299</v>
      </c>
      <c r="B1161" s="45">
        <f ca="1">IFERROR(__xludf.DUMMYFUNCTION("""COMPUTED_VALUE"""),45932.5833333333)</f>
        <v>45932.583333333299</v>
      </c>
      <c r="C1161" s="46">
        <f ca="1">IFERROR(__xludf.DUMMYFUNCTION("""COMPUTED_VALUE"""),1162)</f>
        <v>1162</v>
      </c>
      <c r="D1161" s="47" t="str">
        <f ca="1">IFERROR(__xludf.DUMMYFUNCTION("""COMPUTED_VALUE"""),"C0961")</f>
        <v>C0961</v>
      </c>
      <c r="E1161" s="46" t="str">
        <f ca="1">IFERROR(__xludf.DUMMYFUNCTION("""COMPUTED_VALUE"""),"NGUYỄN HOÀNG THU")</f>
        <v>NGUYỄN HOÀNG THU</v>
      </c>
      <c r="F1161" s="46" t="str">
        <f ca="1">IFERROR(__xludf.DUMMYFUNCTION("""COMPUTED_VALUE"""),"NGUYEN HOANG THU")</f>
        <v>NGUYEN HOANG THU</v>
      </c>
      <c r="G1161" s="45">
        <f ca="1">IFERROR(__xludf.DUMMYFUNCTION("""COMPUTED_VALUE"""),33718.5833333333)</f>
        <v>33718.583333333299</v>
      </c>
      <c r="H1161" s="45" t="str">
        <f ca="1">IFERROR(__xludf.DUMMYFUNCTION("""COMPUTED_VALUE"""),"MOONCAKE")</f>
        <v>MOONCAKE</v>
      </c>
      <c r="I1161" s="46" t="str">
        <f ca="1">IFERROR(__xludf.DUMMYFUNCTION("""COMPUTED_VALUE"""),"KITCHEN PASTRY")</f>
        <v>KITCHEN PASTRY</v>
      </c>
      <c r="J1161" s="46" t="str">
        <f ca="1">IFERROR(__xludf.DUMMYFUNCTION("""COMPUTED_VALUE"""),"KITCHEN PASTRY")</f>
        <v>KITCHEN PASTRY</v>
      </c>
      <c r="K1161" s="46" t="str">
        <f ca="1">IFERROR(__xludf.DUMMYFUNCTION("""COMPUTED_VALUE"""),"PASTRY")</f>
        <v>PASTRY</v>
      </c>
      <c r="L1161" s="46" t="str">
        <f ca="1">IFERROR(__xludf.DUMMYFUNCTION("""COMPUTED_VALUE"""),"PTE")</f>
        <v>PTE</v>
      </c>
      <c r="M1161" s="46" t="str">
        <f ca="1">IFERROR(__xludf.DUMMYFUNCTION("""COMPUTED_VALUE"""),"Leave")</f>
        <v>Leave</v>
      </c>
      <c r="N1161" s="46" t="str">
        <f ca="1">IFERROR(__xludf.DUMMYFUNCTION("""COMPUTED_VALUE"""),"đủ")</f>
        <v>đủ</v>
      </c>
    </row>
    <row r="1162" spans="1:14">
      <c r="A1162" s="45">
        <f ca="1">IFERROR(__xludf.DUMMYFUNCTION("""COMPUTED_VALUE"""),45910.5833333333)</f>
        <v>45910.583333333299</v>
      </c>
      <c r="B1162" s="45">
        <f ca="1">IFERROR(__xludf.DUMMYFUNCTION("""COMPUTED_VALUE"""),45931.5833333333)</f>
        <v>45931.583333333299</v>
      </c>
      <c r="C1162" s="46">
        <f ca="1">IFERROR(__xludf.DUMMYFUNCTION("""COMPUTED_VALUE"""),1163)</f>
        <v>1163</v>
      </c>
      <c r="D1162" s="47" t="str">
        <f ca="1">IFERROR(__xludf.DUMMYFUNCTION("""COMPUTED_VALUE"""),"C0964")</f>
        <v>C0964</v>
      </c>
      <c r="E1162" s="46" t="str">
        <f ca="1">IFERROR(__xludf.DUMMYFUNCTION("""COMPUTED_VALUE"""),"VƯƠNG NGỌC MINH ANH")</f>
        <v>VƯƠNG NGỌC MINH ANH</v>
      </c>
      <c r="F1162" s="46" t="str">
        <f ca="1">IFERROR(__xludf.DUMMYFUNCTION("""COMPUTED_VALUE"""),"VUONG NGOC MINH ANH")</f>
        <v>VUONG NGOC MINH ANH</v>
      </c>
      <c r="G1162" s="45">
        <f ca="1">IFERROR(__xludf.DUMMYFUNCTION("""COMPUTED_VALUE"""),37624.625)</f>
        <v>37624.625</v>
      </c>
      <c r="H1162" s="45" t="str">
        <f ca="1">IFERROR(__xludf.DUMMYFUNCTION("""COMPUTED_VALUE"""),"YESHI")</f>
        <v>YESHI</v>
      </c>
      <c r="I1162" s="46" t="str">
        <f ca="1">IFERROR(__xludf.DUMMYFUNCTION("""COMPUTED_VALUE"""),"STORE")</f>
        <v>STORE</v>
      </c>
      <c r="J1162" s="46" t="str">
        <f ca="1">IFERROR(__xludf.DUMMYFUNCTION("""COMPUTED_VALUE"""),"YESHI D2")</f>
        <v>YESHI D2</v>
      </c>
      <c r="K1162" s="46" t="str">
        <f ca="1">IFERROR(__xludf.DUMMYFUNCTION("""COMPUTED_VALUE"""),"WAITSTAFF")</f>
        <v>WAITSTAFF</v>
      </c>
      <c r="L1162" s="46" t="str">
        <f ca="1">IFERROR(__xludf.DUMMYFUNCTION("""COMPUTED_VALUE"""),"PTE")</f>
        <v>PTE</v>
      </c>
      <c r="M1162" s="46" t="str">
        <f ca="1">IFERROR(__xludf.DUMMYFUNCTION("""COMPUTED_VALUE"""),"Leave")</f>
        <v>Leave</v>
      </c>
      <c r="N1162" s="46" t="str">
        <f ca="1">IFERROR(__xludf.DUMMYFUNCTION("""COMPUTED_VALUE"""),"đủ")</f>
        <v>đủ</v>
      </c>
    </row>
    <row r="1163" spans="1:14">
      <c r="A1163" s="45">
        <f ca="1">IFERROR(__xludf.DUMMYFUNCTION("""COMPUTED_VALUE"""),45940.5833333333)</f>
        <v>45940.583333333299</v>
      </c>
      <c r="B1163" s="45">
        <f ca="1">IFERROR(__xludf.DUMMYFUNCTION("""COMPUTED_VALUE"""),45961.5833333333)</f>
        <v>45961.583333333299</v>
      </c>
      <c r="C1163" s="46">
        <f ca="1">IFERROR(__xludf.DUMMYFUNCTION("""COMPUTED_VALUE"""),1164)</f>
        <v>1164</v>
      </c>
      <c r="D1163" s="47" t="str">
        <f ca="1">IFERROR(__xludf.DUMMYFUNCTION("""COMPUTED_VALUE"""),"C0967")</f>
        <v>C0967</v>
      </c>
      <c r="E1163" s="46" t="str">
        <f ca="1">IFERROR(__xludf.DUMMYFUNCTION("""COMPUTED_VALUE"""),"NGÔ BÍCH XUÂN")</f>
        <v>NGÔ BÍCH XUÂN</v>
      </c>
      <c r="F1163" s="46" t="str">
        <f ca="1">IFERROR(__xludf.DUMMYFUNCTION("""COMPUTED_VALUE"""),"NGO BICH XUAN")</f>
        <v>NGO BICH XUAN</v>
      </c>
      <c r="G1163" s="45">
        <f ca="1">IFERROR(__xludf.DUMMYFUNCTION("""COMPUTED_VALUE"""),36202.625)</f>
        <v>36202.625</v>
      </c>
      <c r="H1163" s="45" t="str">
        <f ca="1">IFERROR(__xludf.DUMMYFUNCTION("""COMPUTED_VALUE"""),"WOMEN'S DAY")</f>
        <v>WOMEN'S DAY</v>
      </c>
      <c r="I1163" s="46" t="str">
        <f ca="1">IFERROR(__xludf.DUMMYFUNCTION("""COMPUTED_VALUE"""),"KITCHEN PASTRY")</f>
        <v>KITCHEN PASTRY</v>
      </c>
      <c r="J1163" s="46" t="str">
        <f ca="1">IFERROR(__xludf.DUMMYFUNCTION("""COMPUTED_VALUE"""),"KITCHEN PASTRY")</f>
        <v>KITCHEN PASTRY</v>
      </c>
      <c r="K1163" s="46" t="str">
        <f ca="1">IFERROR(__xludf.DUMMYFUNCTION("""COMPUTED_VALUE"""),"PASTRY")</f>
        <v>PASTRY</v>
      </c>
      <c r="L1163" s="46" t="str">
        <f ca="1">IFERROR(__xludf.DUMMYFUNCTION("""COMPUTED_VALUE"""),"PTEP")</f>
        <v>PTEP</v>
      </c>
      <c r="M1163" s="46" t="str">
        <f ca="1">IFERROR(__xludf.DUMMYFUNCTION("""COMPUTED_VALUE"""),"Leave")</f>
        <v>Leave</v>
      </c>
      <c r="N1163" s="46" t="str">
        <f ca="1">IFERROR(__xludf.DUMMYFUNCTION("""COMPUTED_VALUE"""),"Đủ")</f>
        <v>Đủ</v>
      </c>
    </row>
    <row r="1164" spans="1:14">
      <c r="A1164" s="45">
        <f ca="1">IFERROR(__xludf.DUMMYFUNCTION("""COMPUTED_VALUE"""),45913.5833333333)</f>
        <v>45913.583333333299</v>
      </c>
      <c r="B1164" s="45">
        <f ca="1">IFERROR(__xludf.DUMMYFUNCTION("""COMPUTED_VALUE"""),45914.5833333333)</f>
        <v>45914.583333333299</v>
      </c>
      <c r="C1164" s="46">
        <f ca="1">IFERROR(__xludf.DUMMYFUNCTION("""COMPUTED_VALUE"""),1165)</f>
        <v>1165</v>
      </c>
      <c r="D1164" s="47" t="str">
        <f ca="1">IFERROR(__xludf.DUMMYFUNCTION("""COMPUTED_VALUE"""),"C0968")</f>
        <v>C0968</v>
      </c>
      <c r="E1164" s="46" t="str">
        <f ca="1">IFERROR(__xludf.DUMMYFUNCTION("""COMPUTED_VALUE"""),"NGUYỄN THỊ NGỌC MAI")</f>
        <v>NGUYỄN THỊ NGỌC MAI</v>
      </c>
      <c r="F1164" s="46" t="str">
        <f ca="1">IFERROR(__xludf.DUMMYFUNCTION("""COMPUTED_VALUE"""),"NGUYEN THI NGOC MAI")</f>
        <v>NGUYEN THI NGOC MAI</v>
      </c>
      <c r="G1164" s="45">
        <f ca="1">IFERROR(__xludf.DUMMYFUNCTION("""COMPUTED_VALUE"""),37960.625)</f>
        <v>37960.625</v>
      </c>
      <c r="H1164" s="45" t="str">
        <f ca="1">IFERROR(__xludf.DUMMYFUNCTION("""COMPUTED_VALUE"""),"MOONCAKE")</f>
        <v>MOONCAKE</v>
      </c>
      <c r="I1164" s="46" t="str">
        <f ca="1">IFERROR(__xludf.DUMMYFUNCTION("""COMPUTED_VALUE"""),"KITCHEN PASTRY")</f>
        <v>KITCHEN PASTRY</v>
      </c>
      <c r="J1164" s="46" t="str">
        <f ca="1">IFERROR(__xludf.DUMMYFUNCTION("""COMPUTED_VALUE"""),"KITCHEN PASTRY")</f>
        <v>KITCHEN PASTRY</v>
      </c>
      <c r="K1164" s="46" t="str">
        <f ca="1">IFERROR(__xludf.DUMMYFUNCTION("""COMPUTED_VALUE"""),"PACKAGING")</f>
        <v>PACKAGING</v>
      </c>
      <c r="L1164" s="46" t="str">
        <f ca="1">IFERROR(__xludf.DUMMYFUNCTION("""COMPUTED_VALUE"""),"PTE")</f>
        <v>PTE</v>
      </c>
      <c r="M1164" s="46" t="str">
        <f ca="1">IFERROR(__xludf.DUMMYFUNCTION("""COMPUTED_VALUE"""),"Leave")</f>
        <v>Leave</v>
      </c>
      <c r="N1164" s="46" t="str">
        <f ca="1">IFERROR(__xludf.DUMMYFUNCTION("""COMPUTED_VALUE"""),"Đủ")</f>
        <v>Đủ</v>
      </c>
    </row>
    <row r="1165" spans="1:14">
      <c r="A1165" s="45">
        <f ca="1">IFERROR(__xludf.DUMMYFUNCTION("""COMPUTED_VALUE"""),45913.5833333333)</f>
        <v>45913.583333333299</v>
      </c>
      <c r="B1165" s="45">
        <f ca="1">IFERROR(__xludf.DUMMYFUNCTION("""COMPUTED_VALUE"""),45932.5833333333)</f>
        <v>45932.583333333299</v>
      </c>
      <c r="C1165" s="46">
        <f ca="1">IFERROR(__xludf.DUMMYFUNCTION("""COMPUTED_VALUE"""),1166)</f>
        <v>1166</v>
      </c>
      <c r="D1165" s="47" t="str">
        <f ca="1">IFERROR(__xludf.DUMMYFUNCTION("""COMPUTED_VALUE"""),"C0969")</f>
        <v>C0969</v>
      </c>
      <c r="E1165" s="46" t="str">
        <f ca="1">IFERROR(__xludf.DUMMYFUNCTION("""COMPUTED_VALUE"""),"NGUYỄN THỊ YẾN")</f>
        <v>NGUYỄN THỊ YẾN</v>
      </c>
      <c r="F1165" s="46" t="str">
        <f ca="1">IFERROR(__xludf.DUMMYFUNCTION("""COMPUTED_VALUE"""),"NGUYEN THI YEN")</f>
        <v>NGUYEN THI YEN</v>
      </c>
      <c r="G1165" s="45">
        <f ca="1">IFERROR(__xludf.DUMMYFUNCTION("""COMPUTED_VALUE"""),38443.625)</f>
        <v>38443.625</v>
      </c>
      <c r="H1165" s="45" t="str">
        <f ca="1">IFERROR(__xludf.DUMMYFUNCTION("""COMPUTED_VALUE"""),"MOONCAKE")</f>
        <v>MOONCAKE</v>
      </c>
      <c r="I1165" s="46" t="str">
        <f ca="1">IFERROR(__xludf.DUMMYFUNCTION("""COMPUTED_VALUE"""),"KITCHEN PASTRY")</f>
        <v>KITCHEN PASTRY</v>
      </c>
      <c r="J1165" s="46" t="str">
        <f ca="1">IFERROR(__xludf.DUMMYFUNCTION("""COMPUTED_VALUE"""),"KITCHEN PASTRY")</f>
        <v>KITCHEN PASTRY</v>
      </c>
      <c r="K1165" s="46" t="str">
        <f ca="1">IFERROR(__xludf.DUMMYFUNCTION("""COMPUTED_VALUE"""),"PACKAGING")</f>
        <v>PACKAGING</v>
      </c>
      <c r="L1165" s="46" t="str">
        <f ca="1">IFERROR(__xludf.DUMMYFUNCTION("""COMPUTED_VALUE"""),"PTE")</f>
        <v>PTE</v>
      </c>
      <c r="M1165" s="46" t="str">
        <f ca="1">IFERROR(__xludf.DUMMYFUNCTION("""COMPUTED_VALUE"""),"Leave")</f>
        <v>Leave</v>
      </c>
      <c r="N1165" s="46" t="str">
        <f ca="1">IFERROR(__xludf.DUMMYFUNCTION("""COMPUTED_VALUE"""),"Đủ")</f>
        <v>Đủ</v>
      </c>
    </row>
    <row r="1166" spans="1:14">
      <c r="A1166" s="45">
        <f ca="1">IFERROR(__xludf.DUMMYFUNCTION("""COMPUTED_VALUE"""),45916.5833333333)</f>
        <v>45916.583333333299</v>
      </c>
      <c r="B1166" s="45">
        <f ca="1">IFERROR(__xludf.DUMMYFUNCTION("""COMPUTED_VALUE"""),45937.5833333333)</f>
        <v>45937.583333333299</v>
      </c>
      <c r="C1166" s="46">
        <f ca="1">IFERROR(__xludf.DUMMYFUNCTION("""COMPUTED_VALUE"""),1167)</f>
        <v>1167</v>
      </c>
      <c r="D1166" s="47" t="str">
        <f ca="1">IFERROR(__xludf.DUMMYFUNCTION("""COMPUTED_VALUE"""),"C0970")</f>
        <v>C0970</v>
      </c>
      <c r="E1166" s="46" t="str">
        <f ca="1">IFERROR(__xludf.DUMMYFUNCTION("""COMPUTED_VALUE"""),"LÊ THỊ PHƯƠNG")</f>
        <v>LÊ THỊ PHƯƠNG</v>
      </c>
      <c r="F1166" s="46" t="str">
        <f ca="1">IFERROR(__xludf.DUMMYFUNCTION("""COMPUTED_VALUE"""),"LE THI PHUONG")</f>
        <v>LE THI PHUONG</v>
      </c>
      <c r="G1166" s="45">
        <f ca="1">IFERROR(__xludf.DUMMYFUNCTION("""COMPUTED_VALUE"""),34336.625)</f>
        <v>34336.625</v>
      </c>
      <c r="H1166" s="45" t="str">
        <f ca="1">IFERROR(__xludf.DUMMYFUNCTION("""COMPUTED_VALUE"""),"TLC")</f>
        <v>TLC</v>
      </c>
      <c r="I1166" s="46" t="str">
        <f ca="1">IFERROR(__xludf.DUMMYFUNCTION("""COMPUTED_VALUE"""),"HO")</f>
        <v>HO</v>
      </c>
      <c r="J1166" s="46" t="str">
        <f ca="1">IFERROR(__xludf.DUMMYFUNCTION("""COMPUTED_VALUE"""),"FIN")</f>
        <v>FIN</v>
      </c>
      <c r="K1166" s="46" t="str">
        <f ca="1">IFERROR(__xludf.DUMMYFUNCTION("""COMPUTED_VALUE"""),"FIN")</f>
        <v>FIN</v>
      </c>
      <c r="L1166" s="46" t="str">
        <f ca="1">IFERROR(__xludf.DUMMYFUNCTION("""COMPUTED_VALUE"""),"PRO")</f>
        <v>PRO</v>
      </c>
      <c r="M1166" s="46" t="str">
        <f ca="1">IFERROR(__xludf.DUMMYFUNCTION("""COMPUTED_VALUE"""),"Leave")</f>
        <v>Leave</v>
      </c>
      <c r="N1166" s="46" t="str">
        <f ca="1">IFERROR(__xludf.DUMMYFUNCTION("""COMPUTED_VALUE"""),"chua nop")</f>
        <v>chua nop</v>
      </c>
    </row>
    <row r="1167" spans="1:14">
      <c r="A1167" s="45">
        <f ca="1">IFERROR(__xludf.DUMMYFUNCTION("""COMPUTED_VALUE"""),45916.5833333333)</f>
        <v>45916.583333333299</v>
      </c>
      <c r="B1167" s="45">
        <f ca="1">IFERROR(__xludf.DUMMYFUNCTION("""COMPUTED_VALUE"""),45957.5833333333)</f>
        <v>45957.583333333299</v>
      </c>
      <c r="C1167" s="46">
        <f ca="1">IFERROR(__xludf.DUMMYFUNCTION("""COMPUTED_VALUE"""),1168)</f>
        <v>1168</v>
      </c>
      <c r="D1167" s="47" t="str">
        <f ca="1">IFERROR(__xludf.DUMMYFUNCTION("""COMPUTED_VALUE"""),"C0971")</f>
        <v>C0971</v>
      </c>
      <c r="E1167" s="46" t="str">
        <f ca="1">IFERROR(__xludf.DUMMYFUNCTION("""COMPUTED_VALUE"""),"ĐỖ QUỲNH ANH")</f>
        <v>ĐỖ QUỲNH ANH</v>
      </c>
      <c r="F1167" s="46" t="str">
        <f ca="1">IFERROR(__xludf.DUMMYFUNCTION("""COMPUTED_VALUE"""),"DO QUYNH ANH")</f>
        <v>DO QUYNH ANH</v>
      </c>
      <c r="G1167" s="45">
        <f ca="1">IFERROR(__xludf.DUMMYFUNCTION("""COMPUTED_VALUE"""),37290.625)</f>
        <v>37290.625</v>
      </c>
      <c r="H1167" s="45" t="str">
        <f ca="1">IFERROR(__xludf.DUMMYFUNCTION("""COMPUTED_VALUE"""),"TLC")</f>
        <v>TLC</v>
      </c>
      <c r="I1167" s="46" t="str">
        <f ca="1">IFERROR(__xludf.DUMMYFUNCTION("""COMPUTED_VALUE"""),"HO")</f>
        <v>HO</v>
      </c>
      <c r="J1167" s="46" t="str">
        <f ca="1">IFERROR(__xludf.DUMMYFUNCTION("""COMPUTED_VALUE"""),"CE")</f>
        <v>CE</v>
      </c>
      <c r="K1167" s="46" t="str">
        <f ca="1">IFERROR(__xludf.DUMMYFUNCTION("""COMPUTED_VALUE"""),"CE")</f>
        <v>CE</v>
      </c>
      <c r="L1167" s="46" t="str">
        <f ca="1">IFERROR(__xludf.DUMMYFUNCTION("""COMPUTED_VALUE"""),"SER")</f>
        <v>SER</v>
      </c>
      <c r="M1167" s="46" t="str">
        <f ca="1">IFERROR(__xludf.DUMMYFUNCTION("""COMPUTED_VALUE"""),"Leave")</f>
        <v>Leave</v>
      </c>
      <c r="N1167" s="46" t="str">
        <f ca="1">IFERROR(__xludf.DUMMYFUNCTION("""COMPUTED_VALUE"""),"Đủ")</f>
        <v>Đủ</v>
      </c>
    </row>
    <row r="1168" spans="1:14">
      <c r="A1168" s="45">
        <f ca="1">IFERROR(__xludf.DUMMYFUNCTION("""COMPUTED_VALUE"""),45911.5833333333)</f>
        <v>45911.583333333299</v>
      </c>
      <c r="B1168" s="45">
        <f ca="1">IFERROR(__xludf.DUMMYFUNCTION("""COMPUTED_VALUE"""),45932.5833333333)</f>
        <v>45932.583333333299</v>
      </c>
      <c r="C1168" s="46">
        <f ca="1">IFERROR(__xludf.DUMMYFUNCTION("""COMPUTED_VALUE"""),1169)</f>
        <v>1169</v>
      </c>
      <c r="D1168" s="47" t="str">
        <f ca="1">IFERROR(__xludf.DUMMYFUNCTION("""COMPUTED_VALUE"""),"C0972")</f>
        <v>C0972</v>
      </c>
      <c r="E1168" s="46" t="str">
        <f ca="1">IFERROR(__xludf.DUMMYFUNCTION("""COMPUTED_VALUE"""),"NGUYỄN MINH TRANG")</f>
        <v>NGUYỄN MINH TRANG</v>
      </c>
      <c r="F1168" s="46" t="str">
        <f ca="1">IFERROR(__xludf.DUMMYFUNCTION("""COMPUTED_VALUE"""),"NGUYEN MINH TRANG")</f>
        <v>NGUYEN MINH TRANG</v>
      </c>
      <c r="G1168" s="45">
        <f ca="1">IFERROR(__xludf.DUMMYFUNCTION("""COMPUTED_VALUE"""),35740.625)</f>
        <v>35740.625</v>
      </c>
      <c r="H1168" s="45" t="str">
        <f ca="1">IFERROR(__xludf.DUMMYFUNCTION("""COMPUTED_VALUE"""),"MOONCAKE")</f>
        <v>MOONCAKE</v>
      </c>
      <c r="I1168" s="46" t="str">
        <f ca="1">IFERROR(__xludf.DUMMYFUNCTION("""COMPUTED_VALUE"""),"KITCHEN PASTRY")</f>
        <v>KITCHEN PASTRY</v>
      </c>
      <c r="J1168" s="46" t="str">
        <f ca="1">IFERROR(__xludf.DUMMYFUNCTION("""COMPUTED_VALUE"""),"KITCHEN PASTRY")</f>
        <v>KITCHEN PASTRY</v>
      </c>
      <c r="K1168" s="46" t="str">
        <f ca="1">IFERROR(__xludf.DUMMYFUNCTION("""COMPUTED_VALUE"""),"PACKAGING")</f>
        <v>PACKAGING</v>
      </c>
      <c r="L1168" s="46" t="str">
        <f ca="1">IFERROR(__xludf.DUMMYFUNCTION("""COMPUTED_VALUE"""),"PTE")</f>
        <v>PTE</v>
      </c>
      <c r="M1168" s="46" t="str">
        <f ca="1">IFERROR(__xludf.DUMMYFUNCTION("""COMPUTED_VALUE"""),"Leave")</f>
        <v>Leave</v>
      </c>
      <c r="N1168" s="46" t="str">
        <f ca="1">IFERROR(__xludf.DUMMYFUNCTION("""COMPUTED_VALUE"""),"đủ")</f>
        <v>đủ</v>
      </c>
    </row>
    <row r="1169" spans="1:14">
      <c r="A1169" s="45">
        <f ca="1">IFERROR(__xludf.DUMMYFUNCTION("""COMPUTED_VALUE"""),45919.5833333333)</f>
        <v>45919.583333333299</v>
      </c>
      <c r="B1169" s="45"/>
      <c r="C1169" s="46">
        <f ca="1">IFERROR(__xludf.DUMMYFUNCTION("""COMPUTED_VALUE"""),1170)</f>
        <v>1170</v>
      </c>
      <c r="D1169" s="47" t="str">
        <f ca="1">IFERROR(__xludf.DUMMYFUNCTION("""COMPUTED_VALUE"""),"C0973")</f>
        <v>C0973</v>
      </c>
      <c r="E1169" s="46" t="str">
        <f ca="1">IFERROR(__xludf.DUMMYFUNCTION("""COMPUTED_VALUE"""),"DƯƠNG HOÀNG SƠN")</f>
        <v>DƯƠNG HOÀNG SƠN</v>
      </c>
      <c r="F1169" s="46" t="str">
        <f ca="1">IFERROR(__xludf.DUMMYFUNCTION("""COMPUTED_VALUE"""),"DUONG HOANG SON")</f>
        <v>DUONG HOANG SON</v>
      </c>
      <c r="G1169" s="45">
        <f ca="1">IFERROR(__xludf.DUMMYFUNCTION("""COMPUTED_VALUE"""),34202.5833333333)</f>
        <v>34202.583333333299</v>
      </c>
      <c r="H1169" s="45" t="str">
        <f ca="1">IFERROR(__xludf.DUMMYFUNCTION("""COMPUTED_VALUE"""),"TLC")</f>
        <v>TLC</v>
      </c>
      <c r="I1169" s="46" t="str">
        <f ca="1">IFERROR(__xludf.DUMMYFUNCTION("""COMPUTED_VALUE"""),"HO")</f>
        <v>HO</v>
      </c>
      <c r="J1169" s="46" t="str">
        <f ca="1">IFERROR(__xludf.DUMMYFUNCTION("""COMPUTED_VALUE"""),"FIN")</f>
        <v>FIN</v>
      </c>
      <c r="K1169" s="46" t="str">
        <f ca="1">IFERROR(__xludf.DUMMYFUNCTION("""COMPUTED_VALUE"""),"FIN")</f>
        <v>FIN</v>
      </c>
      <c r="L1169" s="46" t="str">
        <f ca="1">IFERROR(__xludf.DUMMYFUNCTION("""COMPUTED_VALUE"""),"FTE")</f>
        <v>FTE</v>
      </c>
      <c r="M1169" s="46" t="str">
        <f ca="1">IFERROR(__xludf.DUMMYFUNCTION("""COMPUTED_VALUE"""),"On")</f>
        <v>On</v>
      </c>
      <c r="N1169" s="46" t="str">
        <f ca="1">IFERROR(__xludf.DUMMYFUNCTION("""COMPUTED_VALUE"""),"Đã chi lương")</f>
        <v>Đã chi lương</v>
      </c>
    </row>
    <row r="1170" spans="1:14">
      <c r="A1170" s="45">
        <f ca="1">IFERROR(__xludf.DUMMYFUNCTION("""COMPUTED_VALUE"""),45915.5833333333)</f>
        <v>45915.583333333299</v>
      </c>
      <c r="B1170" s="45">
        <f ca="1">IFERROR(__xludf.DUMMYFUNCTION("""COMPUTED_VALUE"""),45943.5833333333)</f>
        <v>45943.583333333299</v>
      </c>
      <c r="C1170" s="46">
        <f ca="1">IFERROR(__xludf.DUMMYFUNCTION("""COMPUTED_VALUE"""),1171)</f>
        <v>1171</v>
      </c>
      <c r="D1170" s="47" t="str">
        <f ca="1">IFERROR(__xludf.DUMMYFUNCTION("""COMPUTED_VALUE"""),"C0974")</f>
        <v>C0974</v>
      </c>
      <c r="E1170" s="46" t="str">
        <f ca="1">IFERROR(__xludf.DUMMYFUNCTION("""COMPUTED_VALUE"""),"ĐỖ THỊ HỒNG YẾN")</f>
        <v>ĐỖ THỊ HỒNG YẾN</v>
      </c>
      <c r="F1170" s="46" t="str">
        <f ca="1">IFERROR(__xludf.DUMMYFUNCTION("""COMPUTED_VALUE"""),"DO THI HONG YEN")</f>
        <v>DO THI HONG YEN</v>
      </c>
      <c r="G1170" s="45">
        <f ca="1">IFERROR(__xludf.DUMMYFUNCTION("""COMPUTED_VALUE"""),36932.625)</f>
        <v>36932.625</v>
      </c>
      <c r="H1170" s="45" t="str">
        <f ca="1">IFERROR(__xludf.DUMMYFUNCTION("""COMPUTED_VALUE"""),"MATTE")</f>
        <v>MATTE</v>
      </c>
      <c r="I1170" s="46" t="str">
        <f ca="1">IFERROR(__xludf.DUMMYFUNCTION("""COMPUTED_VALUE"""),"STORE")</f>
        <v>STORE</v>
      </c>
      <c r="J1170" s="46" t="str">
        <f ca="1">IFERROR(__xludf.DUMMYFUNCTION("""COMPUTED_VALUE"""),"MATTE D1")</f>
        <v>MATTE D1</v>
      </c>
      <c r="K1170" s="46" t="str">
        <f ca="1">IFERROR(__xludf.DUMMYFUNCTION("""COMPUTED_VALUE"""),"BAR")</f>
        <v>BAR</v>
      </c>
      <c r="L1170" s="46" t="str">
        <f ca="1">IFERROR(__xludf.DUMMYFUNCTION("""COMPUTED_VALUE"""),"PRO")</f>
        <v>PRO</v>
      </c>
      <c r="M1170" s="46" t="str">
        <f ca="1">IFERROR(__xludf.DUMMYFUNCTION("""COMPUTED_VALUE"""),"Leave")</f>
        <v>Leave</v>
      </c>
      <c r="N1170" s="46" t="str">
        <f ca="1">IFERROR(__xludf.DUMMYFUNCTION("""COMPUTED_VALUE"""),"Đủ")</f>
        <v>Đủ</v>
      </c>
    </row>
    <row r="1171" spans="1:14">
      <c r="A1171" s="45">
        <f ca="1">IFERROR(__xludf.DUMMYFUNCTION("""COMPUTED_VALUE"""),45915.5833333333)</f>
        <v>45915.583333333299</v>
      </c>
      <c r="B1171" s="45"/>
      <c r="C1171" s="46">
        <f ca="1">IFERROR(__xludf.DUMMYFUNCTION("""COMPUTED_VALUE"""),1172)</f>
        <v>1172</v>
      </c>
      <c r="D1171" s="47" t="str">
        <f ca="1">IFERROR(__xludf.DUMMYFUNCTION("""COMPUTED_VALUE"""),"C0975")</f>
        <v>C0975</v>
      </c>
      <c r="E1171" s="46" t="str">
        <f ca="1">IFERROR(__xludf.DUMMYFUNCTION("""COMPUTED_VALUE"""),"ĐINH PHƯỚC THỊNH")</f>
        <v>ĐINH PHƯỚC THỊNH</v>
      </c>
      <c r="F1171" s="46" t="str">
        <f ca="1">IFERROR(__xludf.DUMMYFUNCTION("""COMPUTED_VALUE"""),"DINH PHUOC THINH")</f>
        <v>DINH PHUOC THINH</v>
      </c>
      <c r="G1171" s="45">
        <f ca="1">IFERROR(__xludf.DUMMYFUNCTION("""COMPUTED_VALUE"""),36592.625)</f>
        <v>36592.625</v>
      </c>
      <c r="H1171" s="45" t="str">
        <f ca="1">IFERROR(__xludf.DUMMYFUNCTION("""COMPUTED_VALUE"""),"YESHI")</f>
        <v>YESHI</v>
      </c>
      <c r="I1171" s="46" t="str">
        <f ca="1">IFERROR(__xludf.DUMMYFUNCTION("""COMPUTED_VALUE"""),"STORE")</f>
        <v>STORE</v>
      </c>
      <c r="J1171" s="46" t="str">
        <f ca="1">IFERROR(__xludf.DUMMYFUNCTION("""COMPUTED_VALUE"""),"YESHI D3")</f>
        <v>YESHI D3</v>
      </c>
      <c r="K1171" s="46" t="str">
        <f ca="1">IFERROR(__xludf.DUMMYFUNCTION("""COMPUTED_VALUE"""),"BAR")</f>
        <v>BAR</v>
      </c>
      <c r="L1171" s="46" t="str">
        <f ca="1">IFERROR(__xludf.DUMMYFUNCTION("""COMPUTED_VALUE"""),"FTE")</f>
        <v>FTE</v>
      </c>
      <c r="M1171" s="46" t="str">
        <f ca="1">IFERROR(__xludf.DUMMYFUNCTION("""COMPUTED_VALUE"""),"On")</f>
        <v>On</v>
      </c>
      <c r="N1171" s="46" t="str">
        <f ca="1">IFERROR(__xludf.DUMMYFUNCTION("""COMPUTED_VALUE"""),"đủ")</f>
        <v>đủ</v>
      </c>
    </row>
    <row r="1172" spans="1:14">
      <c r="A1172" s="45">
        <f ca="1">IFERROR(__xludf.DUMMYFUNCTION("""COMPUTED_VALUE"""),45915.5833333333)</f>
        <v>45915.583333333299</v>
      </c>
      <c r="B1172" s="45"/>
      <c r="C1172" s="46">
        <f ca="1">IFERROR(__xludf.DUMMYFUNCTION("""COMPUTED_VALUE"""),1173)</f>
        <v>1173</v>
      </c>
      <c r="D1172" s="47" t="str">
        <f ca="1">IFERROR(__xludf.DUMMYFUNCTION("""COMPUTED_VALUE"""),"C0976")</f>
        <v>C0976</v>
      </c>
      <c r="E1172" s="46" t="str">
        <f ca="1">IFERROR(__xludf.DUMMYFUNCTION("""COMPUTED_VALUE"""),"TRỊNH QUỐC SƠN")</f>
        <v>TRỊNH QUỐC SƠN</v>
      </c>
      <c r="F1172" s="46" t="str">
        <f ca="1">IFERROR(__xludf.DUMMYFUNCTION("""COMPUTED_VALUE"""),"TRINH QUOC SON")</f>
        <v>TRINH QUOC SON</v>
      </c>
      <c r="G1172" s="45">
        <f ca="1">IFERROR(__xludf.DUMMYFUNCTION("""COMPUTED_VALUE"""),35423.625)</f>
        <v>35423.625</v>
      </c>
      <c r="H1172" s="45" t="str">
        <f ca="1">IFERROR(__xludf.DUMMYFUNCTION("""COMPUTED_VALUE"""),"TLC")</f>
        <v>TLC</v>
      </c>
      <c r="I1172" s="46" t="str">
        <f ca="1">IFERROR(__xludf.DUMMYFUNCTION("""COMPUTED_VALUE"""),"STORE")</f>
        <v>STORE</v>
      </c>
      <c r="J1172" s="46" t="str">
        <f ca="1">IFERROR(__xludf.DUMMYFUNCTION("""COMPUTED_VALUE"""),"BLANK LOUNGE")</f>
        <v>BLANK LOUNGE</v>
      </c>
      <c r="K1172" s="46" t="str">
        <f ca="1">IFERROR(__xludf.DUMMYFUNCTION("""COMPUTED_VALUE"""),"KIT")</f>
        <v>KIT</v>
      </c>
      <c r="L1172" s="46" t="str">
        <f ca="1">IFERROR(__xludf.DUMMYFUNCTION("""COMPUTED_VALUE"""),"PTE")</f>
        <v>PTE</v>
      </c>
      <c r="M1172" s="46" t="str">
        <f ca="1">IFERROR(__xludf.DUMMYFUNCTION("""COMPUTED_VALUE"""),"On")</f>
        <v>On</v>
      </c>
      <c r="N1172" s="46" t="str">
        <f ca="1">IFERROR(__xludf.DUMMYFUNCTION("""COMPUTED_VALUE"""),"đủ")</f>
        <v>đủ</v>
      </c>
    </row>
    <row r="1173" spans="1:14">
      <c r="A1173" s="45">
        <f ca="1">IFERROR(__xludf.DUMMYFUNCTION("""COMPUTED_VALUE"""),45915.5833333333)</f>
        <v>45915.583333333299</v>
      </c>
      <c r="B1173" s="45">
        <f ca="1">IFERROR(__xludf.DUMMYFUNCTION("""COMPUTED_VALUE"""),45932.5833333333)</f>
        <v>45932.583333333299</v>
      </c>
      <c r="C1173" s="46">
        <f ca="1">IFERROR(__xludf.DUMMYFUNCTION("""COMPUTED_VALUE"""),1174)</f>
        <v>1174</v>
      </c>
      <c r="D1173" s="47" t="str">
        <f ca="1">IFERROR(__xludf.DUMMYFUNCTION("""COMPUTED_VALUE"""),"C0977")</f>
        <v>C0977</v>
      </c>
      <c r="E1173" s="46" t="str">
        <f ca="1">IFERROR(__xludf.DUMMYFUNCTION("""COMPUTED_VALUE"""),"TRẦN THỊ KIỀU OANH")</f>
        <v>TRẦN THỊ KIỀU OANH</v>
      </c>
      <c r="F1173" s="46" t="str">
        <f ca="1">IFERROR(__xludf.DUMMYFUNCTION("""COMPUTED_VALUE"""),"TRAN THI KIEU OANH")</f>
        <v>TRAN THI KIEU OANH</v>
      </c>
      <c r="G1173" s="45">
        <f ca="1">IFERROR(__xludf.DUMMYFUNCTION("""COMPUTED_VALUE"""),37614.625)</f>
        <v>37614.625</v>
      </c>
      <c r="H1173" s="45" t="str">
        <f ca="1">IFERROR(__xludf.DUMMYFUNCTION("""COMPUTED_VALUE"""),"MOONCAKE")</f>
        <v>MOONCAKE</v>
      </c>
      <c r="I1173" s="46" t="str">
        <f ca="1">IFERROR(__xludf.DUMMYFUNCTION("""COMPUTED_VALUE"""),"KITCHEN PASTRY")</f>
        <v>KITCHEN PASTRY</v>
      </c>
      <c r="J1173" s="46" t="str">
        <f ca="1">IFERROR(__xludf.DUMMYFUNCTION("""COMPUTED_VALUE"""),"KITCHEN PASTRY")</f>
        <v>KITCHEN PASTRY</v>
      </c>
      <c r="K1173" s="46" t="str">
        <f ca="1">IFERROR(__xludf.DUMMYFUNCTION("""COMPUTED_VALUE"""),"PACKAGING")</f>
        <v>PACKAGING</v>
      </c>
      <c r="L1173" s="46" t="str">
        <f ca="1">IFERROR(__xludf.DUMMYFUNCTION("""COMPUTED_VALUE"""),"PTE")</f>
        <v>PTE</v>
      </c>
      <c r="M1173" s="46" t="str">
        <f ca="1">IFERROR(__xludf.DUMMYFUNCTION("""COMPUTED_VALUE"""),"Leave")</f>
        <v>Leave</v>
      </c>
      <c r="N1173" s="46" t="str">
        <f ca="1">IFERROR(__xludf.DUMMYFUNCTION("""COMPUTED_VALUE"""),"đủ")</f>
        <v>đủ</v>
      </c>
    </row>
    <row r="1174" spans="1:14">
      <c r="A1174" s="45">
        <f ca="1">IFERROR(__xludf.DUMMYFUNCTION("""COMPUTED_VALUE"""),45917.5833333333)</f>
        <v>45917.583333333299</v>
      </c>
      <c r="B1174" s="45">
        <f ca="1">IFERROR(__xludf.DUMMYFUNCTION("""COMPUTED_VALUE"""),45931.5833333333)</f>
        <v>45931.583333333299</v>
      </c>
      <c r="C1174" s="46">
        <f ca="1">IFERROR(__xludf.DUMMYFUNCTION("""COMPUTED_VALUE"""),1175)</f>
        <v>1175</v>
      </c>
      <c r="D1174" s="47" t="str">
        <f ca="1">IFERROR(__xludf.DUMMYFUNCTION("""COMPUTED_VALUE"""),"C0979")</f>
        <v>C0979</v>
      </c>
      <c r="E1174" s="46" t="str">
        <f ca="1">IFERROR(__xludf.DUMMYFUNCTION("""COMPUTED_VALUE"""),"TRẦN HÀ THANH NGÂN")</f>
        <v>TRẦN HÀ THANH NGÂN</v>
      </c>
      <c r="F1174" s="46" t="str">
        <f ca="1">IFERROR(__xludf.DUMMYFUNCTION("""COMPUTED_VALUE"""),"TRAN HA THANH NGAN")</f>
        <v>TRAN HA THANH NGAN</v>
      </c>
      <c r="G1174" s="45">
        <f ca="1">IFERROR(__xludf.DUMMYFUNCTION("""COMPUTED_VALUE"""),37541.5833333333)</f>
        <v>37541.583333333299</v>
      </c>
      <c r="H1174" s="45" t="str">
        <f ca="1">IFERROR(__xludf.DUMMYFUNCTION("""COMPUTED_VALUE"""),"BAKES")</f>
        <v>BAKES</v>
      </c>
      <c r="I1174" s="46" t="str">
        <f ca="1">IFERROR(__xludf.DUMMYFUNCTION("""COMPUTED_VALUE"""),"STORE")</f>
        <v>STORE</v>
      </c>
      <c r="J1174" s="46" t="str">
        <f ca="1">IFERROR(__xludf.DUMMYFUNCTION("""COMPUTED_VALUE"""),"BAKES D7")</f>
        <v>BAKES D7</v>
      </c>
      <c r="K1174" s="46" t="str">
        <f ca="1">IFERROR(__xludf.DUMMYFUNCTION("""COMPUTED_VALUE"""),"WAITSTAFF")</f>
        <v>WAITSTAFF</v>
      </c>
      <c r="L1174" s="46" t="str">
        <f ca="1">IFERROR(__xludf.DUMMYFUNCTION("""COMPUTED_VALUE"""),"PTE")</f>
        <v>PTE</v>
      </c>
      <c r="M1174" s="46" t="str">
        <f ca="1">IFERROR(__xludf.DUMMYFUNCTION("""COMPUTED_VALUE"""),"Leave")</f>
        <v>Leave</v>
      </c>
      <c r="N1174" s="46" t="str">
        <f ca="1">IFERROR(__xludf.DUMMYFUNCTION("""COMPUTED_VALUE"""),"đủ")</f>
        <v>đủ</v>
      </c>
    </row>
    <row r="1175" spans="1:14">
      <c r="A1175" s="45">
        <f ca="1">IFERROR(__xludf.DUMMYFUNCTION("""COMPUTED_VALUE"""),45915.5833333333)</f>
        <v>45915.583333333299</v>
      </c>
      <c r="B1175" s="45">
        <f ca="1">IFERROR(__xludf.DUMMYFUNCTION("""COMPUTED_VALUE"""),45918.5833333333)</f>
        <v>45918.583333333299</v>
      </c>
      <c r="C1175" s="46">
        <f ca="1">IFERROR(__xludf.DUMMYFUNCTION("""COMPUTED_VALUE"""),1176)</f>
        <v>1176</v>
      </c>
      <c r="D1175" s="47" t="str">
        <f ca="1">IFERROR(__xludf.DUMMYFUNCTION("""COMPUTED_VALUE"""),"C0980")</f>
        <v>C0980</v>
      </c>
      <c r="E1175" s="46" t="str">
        <f ca="1">IFERROR(__xludf.DUMMYFUNCTION("""COMPUTED_VALUE"""),"BÀNH MINH CHÍ")</f>
        <v>BÀNH MINH CHÍ</v>
      </c>
      <c r="F1175" s="46" t="str">
        <f ca="1">IFERROR(__xludf.DUMMYFUNCTION("""COMPUTED_VALUE"""),"BANH MINH CHI")</f>
        <v>BANH MINH CHI</v>
      </c>
      <c r="G1175" s="45">
        <f ca="1">IFERROR(__xludf.DUMMYFUNCTION("""COMPUTED_VALUE"""),36188.625)</f>
        <v>36188.625</v>
      </c>
      <c r="H1175" s="45" t="str">
        <f ca="1">IFERROR(__xludf.DUMMYFUNCTION("""COMPUTED_VALUE"""),"MOONCAKE")</f>
        <v>MOONCAKE</v>
      </c>
      <c r="I1175" s="46" t="str">
        <f ca="1">IFERROR(__xludf.DUMMYFUNCTION("""COMPUTED_VALUE"""),"KITCHEN PASTRY")</f>
        <v>KITCHEN PASTRY</v>
      </c>
      <c r="J1175" s="46" t="str">
        <f ca="1">IFERROR(__xludf.DUMMYFUNCTION("""COMPUTED_VALUE"""),"KITCHEN PASTRY")</f>
        <v>KITCHEN PASTRY</v>
      </c>
      <c r="K1175" s="46" t="str">
        <f ca="1">IFERROR(__xludf.DUMMYFUNCTION("""COMPUTED_VALUE"""),"PASTRY")</f>
        <v>PASTRY</v>
      </c>
      <c r="L1175" s="46" t="str">
        <f ca="1">IFERROR(__xludf.DUMMYFUNCTION("""COMPUTED_VALUE"""),"PTE")</f>
        <v>PTE</v>
      </c>
      <c r="M1175" s="46" t="str">
        <f ca="1">IFERROR(__xludf.DUMMYFUNCTION("""COMPUTED_VALUE"""),"Leave")</f>
        <v>Leave</v>
      </c>
      <c r="N1175" s="46" t="str">
        <f ca="1">IFERROR(__xludf.DUMMYFUNCTION("""COMPUTED_VALUE"""),"đủ")</f>
        <v>đủ</v>
      </c>
    </row>
    <row r="1176" spans="1:14">
      <c r="A1176" s="45">
        <f ca="1">IFERROR(__xludf.DUMMYFUNCTION("""COMPUTED_VALUE"""),45922.5833333333)</f>
        <v>45922.583333333299</v>
      </c>
      <c r="B1176" s="45">
        <f ca="1">IFERROR(__xludf.DUMMYFUNCTION("""COMPUTED_VALUE"""),46112.5833333333)</f>
        <v>46112.583333333299</v>
      </c>
      <c r="C1176" s="46">
        <f ca="1">IFERROR(__xludf.DUMMYFUNCTION("""COMPUTED_VALUE"""),1177)</f>
        <v>1177</v>
      </c>
      <c r="D1176" s="47" t="str">
        <f ca="1">IFERROR(__xludf.DUMMYFUNCTION("""COMPUTED_VALUE"""),"C0991")</f>
        <v>C0991</v>
      </c>
      <c r="E1176" s="46" t="str">
        <f ca="1">IFERROR(__xludf.DUMMYFUNCTION("""COMPUTED_VALUE"""),"NGUYỄN MINH THOẠI")</f>
        <v>NGUYỄN MINH THOẠI</v>
      </c>
      <c r="F1176" s="46" t="str">
        <f ca="1">IFERROR(__xludf.DUMMYFUNCTION("""COMPUTED_VALUE"""),"NGUYEN MINH THOAI")</f>
        <v>NGUYEN MINH THOAI</v>
      </c>
      <c r="G1176" s="45">
        <f ca="1">IFERROR(__xludf.DUMMYFUNCTION("""COMPUTED_VALUE"""),37654.625)</f>
        <v>37654.625</v>
      </c>
      <c r="H1176" s="45" t="str">
        <f ca="1">IFERROR(__xludf.DUMMYFUNCTION("""COMPUTED_VALUE"""),"TLC")</f>
        <v>TLC</v>
      </c>
      <c r="I1176" s="46" t="str">
        <f ca="1">IFERROR(__xludf.DUMMYFUNCTION("""COMPUTED_VALUE"""),"STORE")</f>
        <v>STORE</v>
      </c>
      <c r="J1176" s="46" t="str">
        <f ca="1">IFERROR(__xludf.DUMMYFUNCTION("""COMPUTED_VALUE"""),"BLANK LOUNGE")</f>
        <v>BLANK LOUNGE</v>
      </c>
      <c r="K1176" s="46" t="str">
        <f ca="1">IFERROR(__xludf.DUMMYFUNCTION("""COMPUTED_VALUE"""),"WAITSTAFF")</f>
        <v>WAITSTAFF</v>
      </c>
      <c r="L1176" s="46" t="str">
        <f ca="1">IFERROR(__xludf.DUMMYFUNCTION("""COMPUTED_VALUE"""),"PTE")</f>
        <v>PTE</v>
      </c>
      <c r="M1176" s="46" t="str">
        <f ca="1">IFERROR(__xludf.DUMMYFUNCTION("""COMPUTED_VALUE"""),"Leave")</f>
        <v>Leave</v>
      </c>
      <c r="N1176" s="46" t="str">
        <f ca="1">IFERROR(__xludf.DUMMYFUNCTION("""COMPUTED_VALUE"""),"đủ")</f>
        <v>đủ</v>
      </c>
    </row>
    <row r="1177" spans="1:14">
      <c r="A1177" s="45">
        <f ca="1">IFERROR(__xludf.DUMMYFUNCTION("""COMPUTED_VALUE"""),45923.5833333333)</f>
        <v>45923.583333333299</v>
      </c>
      <c r="B1177" s="45"/>
      <c r="C1177" s="46">
        <f ca="1">IFERROR(__xludf.DUMMYFUNCTION("""COMPUTED_VALUE"""),1178)</f>
        <v>1178</v>
      </c>
      <c r="D1177" s="47" t="str">
        <f ca="1">IFERROR(__xludf.DUMMYFUNCTION("""COMPUTED_VALUE"""),"C0981")</f>
        <v>C0981</v>
      </c>
      <c r="E1177" s="46" t="str">
        <f ca="1">IFERROR(__xludf.DUMMYFUNCTION("""COMPUTED_VALUE"""),"NGUYỄN THỊ THANH NGÂN")</f>
        <v>NGUYỄN THỊ THANH NGÂN</v>
      </c>
      <c r="F1177" s="46" t="str">
        <f ca="1">IFERROR(__xludf.DUMMYFUNCTION("""COMPUTED_VALUE"""),"NGUYEN THI THANH NGAN")</f>
        <v>NGUYEN THI THANH NGAN</v>
      </c>
      <c r="G1177" s="45">
        <f ca="1">IFERROR(__xludf.DUMMYFUNCTION("""COMPUTED_VALUE"""),37782.5833333333)</f>
        <v>37782.583333333299</v>
      </c>
      <c r="H1177" s="45" t="str">
        <f ca="1">IFERROR(__xludf.DUMMYFUNCTION("""COMPUTED_VALUE"""),"MATTE")</f>
        <v>MATTE</v>
      </c>
      <c r="I1177" s="46" t="str">
        <f ca="1">IFERROR(__xludf.DUMMYFUNCTION("""COMPUTED_VALUE"""),"HO")</f>
        <v>HO</v>
      </c>
      <c r="J1177" s="46" t="str">
        <f ca="1">IFERROR(__xludf.DUMMYFUNCTION("""COMPUTED_VALUE"""),"BE")</f>
        <v>BE</v>
      </c>
      <c r="K1177" s="46" t="str">
        <f ca="1">IFERROR(__xludf.DUMMYFUNCTION("""COMPUTED_VALUE"""),"BE")</f>
        <v>BE</v>
      </c>
      <c r="L1177" s="46" t="str">
        <f ca="1">IFERROR(__xludf.DUMMYFUNCTION("""COMPUTED_VALUE"""),"FTE")</f>
        <v>FTE</v>
      </c>
      <c r="M1177" s="46" t="str">
        <f ca="1">IFERROR(__xludf.DUMMYFUNCTION("""COMPUTED_VALUE"""),"On")</f>
        <v>On</v>
      </c>
      <c r="N1177" s="46" t="str">
        <f ca="1">IFERROR(__xludf.DUMMYFUNCTION("""COMPUTED_VALUE"""),"Đủ")</f>
        <v>Đủ</v>
      </c>
    </row>
    <row r="1178" spans="1:14">
      <c r="A1178" s="45">
        <f ca="1">IFERROR(__xludf.DUMMYFUNCTION("""COMPUTED_VALUE"""),45922.5833333333)</f>
        <v>45922.583333333299</v>
      </c>
      <c r="B1178" s="45"/>
      <c r="C1178" s="46">
        <f ca="1">IFERROR(__xludf.DUMMYFUNCTION("""COMPUTED_VALUE"""),1179)</f>
        <v>1179</v>
      </c>
      <c r="D1178" s="47" t="str">
        <f ca="1">IFERROR(__xludf.DUMMYFUNCTION("""COMPUTED_VALUE"""),"C0999")</f>
        <v>C0999</v>
      </c>
      <c r="E1178" s="46" t="str">
        <f ca="1">IFERROR(__xludf.DUMMYFUNCTION("""COMPUTED_VALUE"""),"NGUYỄN PHÚC KHANG")</f>
        <v>NGUYỄN PHÚC KHANG</v>
      </c>
      <c r="F1178" s="46" t="str">
        <f ca="1">IFERROR(__xludf.DUMMYFUNCTION("""COMPUTED_VALUE"""),"NGUYEN PHUC KHANG")</f>
        <v>NGUYEN PHUC KHANG</v>
      </c>
      <c r="G1178" s="45">
        <f ca="1">IFERROR(__xludf.DUMMYFUNCTION("""COMPUTED_VALUE"""),38839.5833333333)</f>
        <v>38839.583333333299</v>
      </c>
      <c r="H1178" s="45" t="str">
        <f ca="1">IFERROR(__xludf.DUMMYFUNCTION("""COMPUTED_VALUE"""),"BAKES")</f>
        <v>BAKES</v>
      </c>
      <c r="I1178" s="46" t="str">
        <f ca="1">IFERROR(__xludf.DUMMYFUNCTION("""COMPUTED_VALUE"""),"STORE")</f>
        <v>STORE</v>
      </c>
      <c r="J1178" s="46" t="str">
        <f ca="1">IFERROR(__xludf.DUMMYFUNCTION("""COMPUTED_VALUE"""),"BAKES D2")</f>
        <v>BAKES D2</v>
      </c>
      <c r="K1178" s="46" t="str">
        <f ca="1">IFERROR(__xludf.DUMMYFUNCTION("""COMPUTED_VALUE"""),"WAITSTAFF")</f>
        <v>WAITSTAFF</v>
      </c>
      <c r="L1178" s="46" t="str">
        <f ca="1">IFERROR(__xludf.DUMMYFUNCTION("""COMPUTED_VALUE"""),"PTE")</f>
        <v>PTE</v>
      </c>
      <c r="M1178" s="46" t="str">
        <f ca="1">IFERROR(__xludf.DUMMYFUNCTION("""COMPUTED_VALUE"""),"On")</f>
        <v>On</v>
      </c>
      <c r="N1178" s="46" t="str">
        <f ca="1">IFERROR(__xludf.DUMMYFUNCTION("""COMPUTED_VALUE"""),"Đủ")</f>
        <v>Đủ</v>
      </c>
    </row>
    <row r="1179" spans="1:14">
      <c r="A1179" s="45">
        <f ca="1">IFERROR(__xludf.DUMMYFUNCTION("""COMPUTED_VALUE"""),45930.5833333333)</f>
        <v>45930.583333333299</v>
      </c>
      <c r="B1179" s="45">
        <f ca="1">IFERROR(__xludf.DUMMYFUNCTION("""COMPUTED_VALUE"""),46143.5833333333)</f>
        <v>46143.583333333299</v>
      </c>
      <c r="C1179" s="46">
        <f ca="1">IFERROR(__xludf.DUMMYFUNCTION("""COMPUTED_VALUE"""),1180)</f>
        <v>1180</v>
      </c>
      <c r="D1179" s="47" t="str">
        <f ca="1">IFERROR(__xludf.DUMMYFUNCTION("""COMPUTED_VALUE"""),"C0985")</f>
        <v>C0985</v>
      </c>
      <c r="E1179" s="46" t="str">
        <f ca="1">IFERROR(__xludf.DUMMYFUNCTION("""COMPUTED_VALUE"""),"DƯƠNG NHƯ NGỌC")</f>
        <v>DƯƠNG NHƯ NGỌC</v>
      </c>
      <c r="F1179" s="46" t="str">
        <f ca="1">IFERROR(__xludf.DUMMYFUNCTION("""COMPUTED_VALUE"""),"DUONG NHU NGOC")</f>
        <v>DUONG NHU NGOC</v>
      </c>
      <c r="G1179" s="45">
        <f ca="1">IFERROR(__xludf.DUMMYFUNCTION("""COMPUTED_VALUE"""),36183.625)</f>
        <v>36183.625</v>
      </c>
      <c r="H1179" s="45" t="str">
        <f ca="1">IFERROR(__xludf.DUMMYFUNCTION("""COMPUTED_VALUE"""),"TLC")</f>
        <v>TLC</v>
      </c>
      <c r="I1179" s="46" t="str">
        <f ca="1">IFERROR(__xludf.DUMMYFUNCTION("""COMPUTED_VALUE"""),"HO")</f>
        <v>HO</v>
      </c>
      <c r="J1179" s="46" t="str">
        <f ca="1">IFERROR(__xludf.DUMMYFUNCTION("""COMPUTED_VALUE"""),"HRD")</f>
        <v>HRD</v>
      </c>
      <c r="K1179" s="46" t="str">
        <f ca="1">IFERROR(__xludf.DUMMYFUNCTION("""COMPUTED_VALUE"""),"HRD")</f>
        <v>HRD</v>
      </c>
      <c r="L1179" s="46" t="str">
        <f ca="1">IFERROR(__xludf.DUMMYFUNCTION("""COMPUTED_VALUE"""),"SER")</f>
        <v>SER</v>
      </c>
      <c r="M1179" s="46" t="str">
        <f ca="1">IFERROR(__xludf.DUMMYFUNCTION("""COMPUTED_VALUE"""),"Leave")</f>
        <v>Leave</v>
      </c>
      <c r="N1179" s="46" t="str">
        <f ca="1">IFERROR(__xludf.DUMMYFUNCTION("""COMPUTED_VALUE"""),"Đủ")</f>
        <v>Đủ</v>
      </c>
    </row>
    <row r="1180" spans="1:14">
      <c r="A1180" s="45">
        <f ca="1">IFERROR(__xludf.DUMMYFUNCTION("""COMPUTED_VALUE"""),45924.5833333333)</f>
        <v>45924.583333333299</v>
      </c>
      <c r="B1180" s="45"/>
      <c r="C1180" s="46">
        <f ca="1">IFERROR(__xludf.DUMMYFUNCTION("""COMPUTED_VALUE"""),1181)</f>
        <v>1181</v>
      </c>
      <c r="D1180" s="47" t="str">
        <f ca="1">IFERROR(__xludf.DUMMYFUNCTION("""COMPUTED_VALUE"""),"C0982")</f>
        <v>C0982</v>
      </c>
      <c r="E1180" s="46" t="str">
        <f ca="1">IFERROR(__xludf.DUMMYFUNCTION("""COMPUTED_VALUE"""),"TRẦN THỊ MINH THƯ")</f>
        <v>TRẦN THỊ MINH THƯ</v>
      </c>
      <c r="F1180" s="46" t="str">
        <f ca="1">IFERROR(__xludf.DUMMYFUNCTION("""COMPUTED_VALUE"""),"TRAN THI MINH THU")</f>
        <v>TRAN THI MINH THU</v>
      </c>
      <c r="G1180" s="45">
        <f ca="1">IFERROR(__xludf.DUMMYFUNCTION("""COMPUTED_VALUE"""),32181.625)</f>
        <v>32181.625</v>
      </c>
      <c r="H1180" s="45" t="str">
        <f ca="1">IFERROR(__xludf.DUMMYFUNCTION("""COMPUTED_VALUE"""),"TLC")</f>
        <v>TLC</v>
      </c>
      <c r="I1180" s="46" t="str">
        <f ca="1">IFERROR(__xludf.DUMMYFUNCTION("""COMPUTED_VALUE"""),"HO")</f>
        <v>HO</v>
      </c>
      <c r="J1180" s="46" t="str">
        <f ca="1">IFERROR(__xludf.DUMMYFUNCTION("""COMPUTED_VALUE"""),"HRD")</f>
        <v>HRD</v>
      </c>
      <c r="K1180" s="46" t="str">
        <f ca="1">IFERROR(__xludf.DUMMYFUNCTION("""COMPUTED_VALUE"""),"HRD")</f>
        <v>HRD</v>
      </c>
      <c r="L1180" s="46" t="str">
        <f ca="1">IFERROR(__xludf.DUMMYFUNCTION("""COMPUTED_VALUE"""),"FTE")</f>
        <v>FTE</v>
      </c>
      <c r="M1180" s="46" t="str">
        <f ca="1">IFERROR(__xludf.DUMMYFUNCTION("""COMPUTED_VALUE"""),"On")</f>
        <v>On</v>
      </c>
      <c r="N1180" s="46" t="str">
        <f ca="1">IFERROR(__xludf.DUMMYFUNCTION("""COMPUTED_VALUE"""),"Đã chi lương")</f>
        <v>Đã chi lương</v>
      </c>
    </row>
    <row r="1181" spans="1:14">
      <c r="A1181" s="45">
        <f ca="1">IFERROR(__xludf.DUMMYFUNCTION("""COMPUTED_VALUE"""),45930.5833333333)</f>
        <v>45930.583333333299</v>
      </c>
      <c r="B1181" s="45"/>
      <c r="C1181" s="46">
        <f ca="1">IFERROR(__xludf.DUMMYFUNCTION("""COMPUTED_VALUE"""),1182)</f>
        <v>1182</v>
      </c>
      <c r="D1181" s="47" t="str">
        <f ca="1">IFERROR(__xludf.DUMMYFUNCTION("""COMPUTED_VALUE"""),"C0984")</f>
        <v>C0984</v>
      </c>
      <c r="E1181" s="46" t="str">
        <f ca="1">IFERROR(__xludf.DUMMYFUNCTION("""COMPUTED_VALUE"""),"VŨ TRẦN THỤC HOAN")</f>
        <v>VŨ TRẦN THỤC HOAN</v>
      </c>
      <c r="F1181" s="46" t="str">
        <f ca="1">IFERROR(__xludf.DUMMYFUNCTION("""COMPUTED_VALUE"""),"VU TRAN THUC HOAN")</f>
        <v>VU TRAN THUC HOAN</v>
      </c>
      <c r="G1181" s="45">
        <f ca="1">IFERROR(__xludf.DUMMYFUNCTION("""COMPUTED_VALUE"""),35639.5833333333)</f>
        <v>35639.583333333299</v>
      </c>
      <c r="H1181" s="45" t="str">
        <f ca="1">IFERROR(__xludf.DUMMYFUNCTION("""COMPUTED_VALUE"""),"CREATIVE")</f>
        <v>CREATIVE</v>
      </c>
      <c r="I1181" s="46" t="str">
        <f ca="1">IFERROR(__xludf.DUMMYFUNCTION("""COMPUTED_VALUE"""),"HO")</f>
        <v>HO</v>
      </c>
      <c r="J1181" s="46" t="str">
        <f ca="1">IFERROR(__xludf.DUMMYFUNCTION("""COMPUTED_VALUE"""),"IAT")</f>
        <v>IAT</v>
      </c>
      <c r="K1181" s="46" t="str">
        <f ca="1">IFERROR(__xludf.DUMMYFUNCTION("""COMPUTED_VALUE"""),"IAT")</f>
        <v>IAT</v>
      </c>
      <c r="L1181" s="46" t="str">
        <f ca="1">IFERROR(__xludf.DUMMYFUNCTION("""COMPUTED_VALUE"""),"FTE")</f>
        <v>FTE</v>
      </c>
      <c r="M1181" s="46" t="str">
        <f ca="1">IFERROR(__xludf.DUMMYFUNCTION("""COMPUTED_VALUE"""),"On")</f>
        <v>On</v>
      </c>
      <c r="N1181" s="46" t="str">
        <f ca="1">IFERROR(__xludf.DUMMYFUNCTION("""COMPUTED_VALUE"""),"Đủ")</f>
        <v>Đủ</v>
      </c>
    </row>
    <row r="1182" spans="1:14">
      <c r="A1182" s="45">
        <f ca="1">IFERROR(__xludf.DUMMYFUNCTION("""COMPUTED_VALUE"""),45930.5833333333)</f>
        <v>45930.583333333299</v>
      </c>
      <c r="B1182" s="45">
        <f ca="1">IFERROR(__xludf.DUMMYFUNCTION("""COMPUTED_VALUE"""),45992.625)</f>
        <v>45992.625</v>
      </c>
      <c r="C1182" s="46">
        <f ca="1">IFERROR(__xludf.DUMMYFUNCTION("""COMPUTED_VALUE"""),1183)</f>
        <v>1183</v>
      </c>
      <c r="D1182" s="47" t="str">
        <f ca="1">IFERROR(__xludf.DUMMYFUNCTION("""COMPUTED_VALUE"""),"C0983")</f>
        <v>C0983</v>
      </c>
      <c r="E1182" s="46" t="str">
        <f ca="1">IFERROR(__xludf.DUMMYFUNCTION("""COMPUTED_VALUE"""),"TẠ PHÚC HY")</f>
        <v>TẠ PHÚC HY</v>
      </c>
      <c r="F1182" s="46" t="str">
        <f ca="1">IFERROR(__xludf.DUMMYFUNCTION("""COMPUTED_VALUE"""),"TA PHUC HY")</f>
        <v>TA PHUC HY</v>
      </c>
      <c r="G1182" s="45">
        <f ca="1">IFERROR(__xludf.DUMMYFUNCTION("""COMPUTED_VALUE"""),36872.625)</f>
        <v>36872.625</v>
      </c>
      <c r="H1182" s="45" t="str">
        <f ca="1">IFERROR(__xludf.DUMMYFUNCTION("""COMPUTED_VALUE"""),"CREATIVE")</f>
        <v>CREATIVE</v>
      </c>
      <c r="I1182" s="46" t="str">
        <f ca="1">IFERROR(__xludf.DUMMYFUNCTION("""COMPUTED_VALUE"""),"HO")</f>
        <v>HO</v>
      </c>
      <c r="J1182" s="46" t="str">
        <f ca="1">IFERROR(__xludf.DUMMYFUNCTION("""COMPUTED_VALUE"""),"BDT")</f>
        <v>BDT</v>
      </c>
      <c r="K1182" s="46" t="str">
        <f ca="1">IFERROR(__xludf.DUMMYFUNCTION("""COMPUTED_VALUE"""),"BDT")</f>
        <v>BDT</v>
      </c>
      <c r="L1182" s="46" t="str">
        <f ca="1">IFERROR(__xludf.DUMMYFUNCTION("""COMPUTED_VALUE"""),"PRO")</f>
        <v>PRO</v>
      </c>
      <c r="M1182" s="46" t="str">
        <f ca="1">IFERROR(__xludf.DUMMYFUNCTION("""COMPUTED_VALUE"""),"Leave")</f>
        <v>Leave</v>
      </c>
      <c r="N1182" s="46" t="str">
        <f ca="1">IFERROR(__xludf.DUMMYFUNCTION("""COMPUTED_VALUE"""),"Đủ")</f>
        <v>Đủ</v>
      </c>
    </row>
    <row r="1183" spans="1:14">
      <c r="A1183" s="45">
        <f ca="1">IFERROR(__xludf.DUMMYFUNCTION("""COMPUTED_VALUE"""),45951.5833333333)</f>
        <v>45951.583333333299</v>
      </c>
      <c r="B1183" s="45"/>
      <c r="C1183" s="46">
        <f ca="1">IFERROR(__xludf.DUMMYFUNCTION("""COMPUTED_VALUE"""),1184)</f>
        <v>1184</v>
      </c>
      <c r="D1183" s="47" t="str">
        <f ca="1">IFERROR(__xludf.DUMMYFUNCTION("""COMPUTED_VALUE"""),"C1007")</f>
        <v>C1007</v>
      </c>
      <c r="E1183" s="46" t="str">
        <f ca="1">IFERROR(__xludf.DUMMYFUNCTION("""COMPUTED_VALUE"""),"HUỲNH PHẠM BẢO PHƯƠNG")</f>
        <v>HUỲNH PHẠM BẢO PHƯƠNG</v>
      </c>
      <c r="F1183" s="46" t="str">
        <f ca="1">IFERROR(__xludf.DUMMYFUNCTION("""COMPUTED_VALUE"""),"HUYNH PHAM BAO PHUONG")</f>
        <v>HUYNH PHAM BAO PHUONG</v>
      </c>
      <c r="G1183" s="45">
        <f ca="1">IFERROR(__xludf.DUMMYFUNCTION("""COMPUTED_VALUE"""),34160.5833333333)</f>
        <v>34160.583333333299</v>
      </c>
      <c r="H1183" s="45" t="str">
        <f ca="1">IFERROR(__xludf.DUMMYFUNCTION("""COMPUTED_VALUE"""),"TLC")</f>
        <v>TLC</v>
      </c>
      <c r="I1183" s="46" t="str">
        <f ca="1">IFERROR(__xludf.DUMMYFUNCTION("""COMPUTED_VALUE"""),"HO")</f>
        <v>HO</v>
      </c>
      <c r="J1183" s="46" t="str">
        <f ca="1">IFERROR(__xludf.DUMMYFUNCTION("""COMPUTED_VALUE"""),"CUS")</f>
        <v>CUS</v>
      </c>
      <c r="K1183" s="46" t="str">
        <f ca="1">IFERROR(__xludf.DUMMYFUNCTION("""COMPUTED_VALUE"""),"CUS")</f>
        <v>CUS</v>
      </c>
      <c r="L1183" s="46" t="str">
        <f ca="1">IFERROR(__xludf.DUMMYFUNCTION("""COMPUTED_VALUE"""),"FTE")</f>
        <v>FTE</v>
      </c>
      <c r="M1183" s="46" t="str">
        <f ca="1">IFERROR(__xludf.DUMMYFUNCTION("""COMPUTED_VALUE"""),"On")</f>
        <v>On</v>
      </c>
      <c r="N1183" s="46" t="str">
        <f ca="1">IFERROR(__xludf.DUMMYFUNCTION("""COMPUTED_VALUE"""),"Đủ")</f>
        <v>Đủ</v>
      </c>
    </row>
    <row r="1184" spans="1:14">
      <c r="A1184" s="45">
        <f ca="1">IFERROR(__xludf.DUMMYFUNCTION("""COMPUTED_VALUE"""),45944.5833333333)</f>
        <v>45944.583333333299</v>
      </c>
      <c r="B1184" s="45"/>
      <c r="C1184" s="46">
        <f ca="1">IFERROR(__xludf.DUMMYFUNCTION("""COMPUTED_VALUE"""),1185)</f>
        <v>1185</v>
      </c>
      <c r="D1184" s="47" t="str">
        <f ca="1">IFERROR(__xludf.DUMMYFUNCTION("""COMPUTED_VALUE"""),"C1010")</f>
        <v>C1010</v>
      </c>
      <c r="E1184" s="46" t="str">
        <f ca="1">IFERROR(__xludf.DUMMYFUNCTION("""COMPUTED_VALUE"""),"NGUYỄN THỊ THU TRANG")</f>
        <v>NGUYỄN THỊ THU TRANG</v>
      </c>
      <c r="F1184" s="46" t="str">
        <f ca="1">IFERROR(__xludf.DUMMYFUNCTION("""COMPUTED_VALUE"""),"NGUYEN THI THU TRANG")</f>
        <v>NGUYEN THI THU TRANG</v>
      </c>
      <c r="G1184" s="45">
        <f ca="1">IFERROR(__xludf.DUMMYFUNCTION("""COMPUTED_VALUE"""),36206.625)</f>
        <v>36206.625</v>
      </c>
      <c r="H1184" s="45" t="str">
        <f ca="1">IFERROR(__xludf.DUMMYFUNCTION("""COMPUTED_VALUE"""),"TLC")</f>
        <v>TLC</v>
      </c>
      <c r="I1184" s="46" t="str">
        <f ca="1">IFERROR(__xludf.DUMMYFUNCTION("""COMPUTED_VALUE"""),"HO")</f>
        <v>HO</v>
      </c>
      <c r="J1184" s="46" t="str">
        <f ca="1">IFERROR(__xludf.DUMMYFUNCTION("""COMPUTED_VALUE"""),"HRD")</f>
        <v>HRD</v>
      </c>
      <c r="K1184" s="46" t="str">
        <f ca="1">IFERROR(__xludf.DUMMYFUNCTION("""COMPUTED_VALUE"""),"HRD")</f>
        <v>HRD</v>
      </c>
      <c r="L1184" s="46" t="str">
        <f ca="1">IFERROR(__xludf.DUMMYFUNCTION("""COMPUTED_VALUE"""),"FTE")</f>
        <v>FTE</v>
      </c>
      <c r="M1184" s="46" t="str">
        <f ca="1">IFERROR(__xludf.DUMMYFUNCTION("""COMPUTED_VALUE"""),"On")</f>
        <v>On</v>
      </c>
      <c r="N1184" s="46" t="str">
        <f ca="1">IFERROR(__xludf.DUMMYFUNCTION("""COMPUTED_VALUE"""),"Đủ")</f>
        <v>Đủ</v>
      </c>
    </row>
    <row r="1185" spans="1:14">
      <c r="A1185" s="45">
        <f ca="1">IFERROR(__xludf.DUMMYFUNCTION("""COMPUTED_VALUE"""),45936.5833333333)</f>
        <v>45936.583333333299</v>
      </c>
      <c r="B1185" s="45">
        <f ca="1">IFERROR(__xludf.DUMMYFUNCTION("""COMPUTED_VALUE"""),46007.625)</f>
        <v>46007.625</v>
      </c>
      <c r="C1185" s="46">
        <f ca="1">IFERROR(__xludf.DUMMYFUNCTION("""COMPUTED_VALUE"""),1186)</f>
        <v>1186</v>
      </c>
      <c r="D1185" s="47" t="str">
        <f ca="1">IFERROR(__xludf.DUMMYFUNCTION("""COMPUTED_VALUE"""),"C1013")</f>
        <v>C1013</v>
      </c>
      <c r="E1185" s="46" t="str">
        <f ca="1">IFERROR(__xludf.DUMMYFUNCTION("""COMPUTED_VALUE"""),"NGUYỄN VŨ NGỌC HÀ")</f>
        <v>NGUYỄN VŨ NGỌC HÀ</v>
      </c>
      <c r="F1185" s="46" t="str">
        <f ca="1">IFERROR(__xludf.DUMMYFUNCTION("""COMPUTED_VALUE"""),"NGUYEN VU NGOC HA")</f>
        <v>NGUYEN VU NGOC HA</v>
      </c>
      <c r="G1185" s="45">
        <f ca="1">IFERROR(__xludf.DUMMYFUNCTION("""COMPUTED_VALUE"""),35877.625)</f>
        <v>35877.625</v>
      </c>
      <c r="H1185" s="45" t="str">
        <f ca="1">IFERROR(__xludf.DUMMYFUNCTION("""COMPUTED_VALUE"""),"MATTE")</f>
        <v>MATTE</v>
      </c>
      <c r="I1185" s="46" t="str">
        <f ca="1">IFERROR(__xludf.DUMMYFUNCTION("""COMPUTED_VALUE"""),"STORE")</f>
        <v>STORE</v>
      </c>
      <c r="J1185" s="46" t="str">
        <f ca="1">IFERROR(__xludf.DUMMYFUNCTION("""COMPUTED_VALUE"""),"MATTE D7")</f>
        <v>MATTE D7</v>
      </c>
      <c r="K1185" s="46" t="str">
        <f ca="1">IFERROR(__xludf.DUMMYFUNCTION("""COMPUTED_VALUE"""),"Management team")</f>
        <v>Management team</v>
      </c>
      <c r="L1185" s="46" t="str">
        <f ca="1">IFERROR(__xludf.DUMMYFUNCTION("""COMPUTED_VALUE"""),"PRO")</f>
        <v>PRO</v>
      </c>
      <c r="M1185" s="46" t="str">
        <f ca="1">IFERROR(__xludf.DUMMYFUNCTION("""COMPUTED_VALUE"""),"Leave")</f>
        <v>Leave</v>
      </c>
      <c r="N1185" s="46" t="str">
        <f ca="1">IFERROR(__xludf.DUMMYFUNCTION("""COMPUTED_VALUE"""),"Đủ")</f>
        <v>Đủ</v>
      </c>
    </row>
    <row r="1186" spans="1:14">
      <c r="A1186" s="45">
        <f ca="1">IFERROR(__xludf.DUMMYFUNCTION("""COMPUTED_VALUE"""),45937.5833333333)</f>
        <v>45937.583333333299</v>
      </c>
      <c r="B1186" s="45">
        <f ca="1">IFERROR(__xludf.DUMMYFUNCTION("""COMPUTED_VALUE"""),45994.625)</f>
        <v>45994.625</v>
      </c>
      <c r="C1186" s="46">
        <f ca="1">IFERROR(__xludf.DUMMYFUNCTION("""COMPUTED_VALUE"""),1187)</f>
        <v>1187</v>
      </c>
      <c r="D1186" s="47" t="str">
        <f ca="1">IFERROR(__xludf.DUMMYFUNCTION("""COMPUTED_VALUE"""),"C1011")</f>
        <v>C1011</v>
      </c>
      <c r="E1186" s="46" t="str">
        <f ca="1">IFERROR(__xludf.DUMMYFUNCTION("""COMPUTED_VALUE"""),"NGUYỄN PHAN MINH TRÂN")</f>
        <v>NGUYỄN PHAN MINH TRÂN</v>
      </c>
      <c r="F1186" s="46" t="str">
        <f ca="1">IFERROR(__xludf.DUMMYFUNCTION("""COMPUTED_VALUE"""),"NGUYEN PHAN MINH TRAN")</f>
        <v>NGUYEN PHAN MINH TRAN</v>
      </c>
      <c r="G1186" s="45">
        <f ca="1">IFERROR(__xludf.DUMMYFUNCTION("""COMPUTED_VALUE"""),38472.5833333333)</f>
        <v>38472.583333333299</v>
      </c>
      <c r="H1186" s="45" t="str">
        <f ca="1">IFERROR(__xludf.DUMMYFUNCTION("""COMPUTED_VALUE"""),"TLC")</f>
        <v>TLC</v>
      </c>
      <c r="I1186" s="46" t="str">
        <f ca="1">IFERROR(__xludf.DUMMYFUNCTION("""COMPUTED_VALUE"""),"HO")</f>
        <v>HO</v>
      </c>
      <c r="J1186" s="46" t="str">
        <f ca="1">IFERROR(__xludf.DUMMYFUNCTION("""COMPUTED_VALUE"""),"BE")</f>
        <v>BE</v>
      </c>
      <c r="K1186" s="46" t="str">
        <f ca="1">IFERROR(__xludf.DUMMYFUNCTION("""COMPUTED_VALUE"""),"BE")</f>
        <v>BE</v>
      </c>
      <c r="L1186" s="46" t="str">
        <f ca="1">IFERROR(__xludf.DUMMYFUNCTION("""COMPUTED_VALUE"""),"SER")</f>
        <v>SER</v>
      </c>
      <c r="M1186" s="46" t="str">
        <f ca="1">IFERROR(__xludf.DUMMYFUNCTION("""COMPUTED_VALUE"""),"Leave")</f>
        <v>Leave</v>
      </c>
      <c r="N1186" s="46" t="str">
        <f ca="1">IFERROR(__xludf.DUMMYFUNCTION("""COMPUTED_VALUE"""),"Đủ")</f>
        <v>Đủ</v>
      </c>
    </row>
    <row r="1187" spans="1:14">
      <c r="A1187" s="45">
        <f ca="1">IFERROR(__xludf.DUMMYFUNCTION("""COMPUTED_VALUE"""),45939.5833333333)</f>
        <v>45939.583333333299</v>
      </c>
      <c r="B1187" s="45"/>
      <c r="C1187" s="46">
        <f ca="1">IFERROR(__xludf.DUMMYFUNCTION("""COMPUTED_VALUE"""),1188)</f>
        <v>1188</v>
      </c>
      <c r="D1187" s="47" t="str">
        <f ca="1">IFERROR(__xludf.DUMMYFUNCTION("""COMPUTED_VALUE"""),"C0876")</f>
        <v>C0876</v>
      </c>
      <c r="E1187" s="46" t="str">
        <f ca="1">IFERROR(__xludf.DUMMYFUNCTION("""COMPUTED_VALUE"""),"NGUYỄN THÙY GIANG")</f>
        <v>NGUYỄN THÙY GIANG</v>
      </c>
      <c r="F1187" s="46" t="str">
        <f ca="1">IFERROR(__xludf.DUMMYFUNCTION("""COMPUTED_VALUE"""),"NGUYEN THUY GIANG")</f>
        <v>NGUYEN THUY GIANG</v>
      </c>
      <c r="G1187" s="45">
        <f ca="1">IFERROR(__xludf.DUMMYFUNCTION("""COMPUTED_VALUE"""),34958.5833333333)</f>
        <v>34958.583333333299</v>
      </c>
      <c r="H1187" s="45" t="str">
        <f ca="1">IFERROR(__xludf.DUMMYFUNCTION("""COMPUTED_VALUE"""),"KITCHEN PASTRY")</f>
        <v>KITCHEN PASTRY</v>
      </c>
      <c r="I1187" s="46" t="str">
        <f ca="1">IFERROR(__xludf.DUMMYFUNCTION("""COMPUTED_VALUE"""),"KITCHEN PASTRY")</f>
        <v>KITCHEN PASTRY</v>
      </c>
      <c r="J1187" s="46" t="str">
        <f ca="1">IFERROR(__xludf.DUMMYFUNCTION("""COMPUTED_VALUE"""),"KITCHEN PASTRY")</f>
        <v>KITCHEN PASTRY</v>
      </c>
      <c r="K1187" s="46" t="str">
        <f ca="1">IFERROR(__xludf.DUMMYFUNCTION("""COMPUTED_VALUE"""),"Management team")</f>
        <v>Management team</v>
      </c>
      <c r="L1187" s="46" t="str">
        <f ca="1">IFERROR(__xludf.DUMMYFUNCTION("""COMPUTED_VALUE"""),"FTE")</f>
        <v>FTE</v>
      </c>
      <c r="M1187" s="46" t="str">
        <f ca="1">IFERROR(__xludf.DUMMYFUNCTION("""COMPUTED_VALUE"""),"On")</f>
        <v>On</v>
      </c>
      <c r="N1187" s="46" t="str">
        <f ca="1">IFERROR(__xludf.DUMMYFUNCTION("""COMPUTED_VALUE"""),"Đủ")</f>
        <v>Đủ</v>
      </c>
    </row>
    <row r="1188" spans="1:14">
      <c r="A1188" s="45">
        <f ca="1">IFERROR(__xludf.DUMMYFUNCTION("""COMPUTED_VALUE"""),45940.5833333333)</f>
        <v>45940.583333333299</v>
      </c>
      <c r="B1188" s="45"/>
      <c r="C1188" s="46">
        <f ca="1">IFERROR(__xludf.DUMMYFUNCTION("""COMPUTED_VALUE"""),1189)</f>
        <v>1189</v>
      </c>
      <c r="D1188" s="47" t="str">
        <f ca="1">IFERROR(__xludf.DUMMYFUNCTION("""COMPUTED_VALUE"""),"C1019")</f>
        <v>C1019</v>
      </c>
      <c r="E1188" s="46" t="str">
        <f ca="1">IFERROR(__xludf.DUMMYFUNCTION("""COMPUTED_VALUE"""),"ĐỖ THỊ LINH KHA")</f>
        <v>ĐỖ THỊ LINH KHA</v>
      </c>
      <c r="F1188" s="46" t="str">
        <f ca="1">IFERROR(__xludf.DUMMYFUNCTION("""COMPUTED_VALUE"""),"DO THI LINH KHA")</f>
        <v>DO THI LINH KHA</v>
      </c>
      <c r="G1188" s="45">
        <f ca="1">IFERROR(__xludf.DUMMYFUNCTION("""COMPUTED_VALUE"""),37345.625)</f>
        <v>37345.625</v>
      </c>
      <c r="H1188" s="45" t="str">
        <f ca="1">IFERROR(__xludf.DUMMYFUNCTION("""COMPUTED_VALUE"""),"KITCHEN PASTRY")</f>
        <v>KITCHEN PASTRY</v>
      </c>
      <c r="I1188" s="46" t="str">
        <f ca="1">IFERROR(__xludf.DUMMYFUNCTION("""COMPUTED_VALUE"""),"KITCHEN PASTRY")</f>
        <v>KITCHEN PASTRY</v>
      </c>
      <c r="J1188" s="46" t="str">
        <f ca="1">IFERROR(__xludf.DUMMYFUNCTION("""COMPUTED_VALUE"""),"KITCHEN PASTRY")</f>
        <v>KITCHEN PASTRY</v>
      </c>
      <c r="K1188" s="46" t="str">
        <f ca="1">IFERROR(__xludf.DUMMYFUNCTION("""COMPUTED_VALUE"""),"PASTRY")</f>
        <v>PASTRY</v>
      </c>
      <c r="L1188" s="46" t="str">
        <f ca="1">IFERROR(__xludf.DUMMYFUNCTION("""COMPUTED_VALUE"""),"FTE")</f>
        <v>FTE</v>
      </c>
      <c r="M1188" s="46" t="str">
        <f ca="1">IFERROR(__xludf.DUMMYFUNCTION("""COMPUTED_VALUE"""),"On")</f>
        <v>On</v>
      </c>
      <c r="N1188" s="46" t="str">
        <f ca="1">IFERROR(__xludf.DUMMYFUNCTION("""COMPUTED_VALUE"""),"Đủ")</f>
        <v>Đủ</v>
      </c>
    </row>
    <row r="1189" spans="1:14">
      <c r="A1189" s="45">
        <f ca="1">IFERROR(__xludf.DUMMYFUNCTION("""COMPUTED_VALUE"""),45938.5833333333)</f>
        <v>45938.583333333299</v>
      </c>
      <c r="B1189" s="45">
        <f ca="1">IFERROR(__xludf.DUMMYFUNCTION("""COMPUTED_VALUE"""),46077.625)</f>
        <v>46077.625</v>
      </c>
      <c r="C1189" s="46">
        <f ca="1">IFERROR(__xludf.DUMMYFUNCTION("""COMPUTED_VALUE"""),1190)</f>
        <v>1190</v>
      </c>
      <c r="D1189" s="47" t="str">
        <f ca="1">IFERROR(__xludf.DUMMYFUNCTION("""COMPUTED_VALUE"""),"C1020")</f>
        <v>C1020</v>
      </c>
      <c r="E1189" s="46" t="str">
        <f ca="1">IFERROR(__xludf.DUMMYFUNCTION("""COMPUTED_VALUE"""),"LÊ THỊ NHƯ TRANG")</f>
        <v>LÊ THỊ NHƯ TRANG</v>
      </c>
      <c r="F1189" s="46" t="str">
        <f ca="1">IFERROR(__xludf.DUMMYFUNCTION("""COMPUTED_VALUE"""),"LE THI NHU TRANG")</f>
        <v>LE THI NHU TRANG</v>
      </c>
      <c r="G1189" s="45">
        <f ca="1">IFERROR(__xludf.DUMMYFUNCTION("""COMPUTED_VALUE"""),35545.5833333333)</f>
        <v>35545.583333333299</v>
      </c>
      <c r="H1189" s="45" t="str">
        <f ca="1">IFERROR(__xludf.DUMMYFUNCTION("""COMPUTED_VALUE"""),"KITCHEN PASTRY")</f>
        <v>KITCHEN PASTRY</v>
      </c>
      <c r="I1189" s="46" t="str">
        <f ca="1">IFERROR(__xludf.DUMMYFUNCTION("""COMPUTED_VALUE"""),"KITCHEN PASTRY")</f>
        <v>KITCHEN PASTRY</v>
      </c>
      <c r="J1189" s="46" t="str">
        <f ca="1">IFERROR(__xludf.DUMMYFUNCTION("""COMPUTED_VALUE"""),"KITCHEN PASTRY")</f>
        <v>KITCHEN PASTRY</v>
      </c>
      <c r="K1189" s="46" t="str">
        <f ca="1">IFERROR(__xludf.DUMMYFUNCTION("""COMPUTED_VALUE"""),"PASTRY")</f>
        <v>PASTRY</v>
      </c>
      <c r="L1189" s="46" t="str">
        <f ca="1">IFERROR(__xludf.DUMMYFUNCTION("""COMPUTED_VALUE"""),"FTE")</f>
        <v>FTE</v>
      </c>
      <c r="M1189" s="46" t="str">
        <f ca="1">IFERROR(__xludf.DUMMYFUNCTION("""COMPUTED_VALUE"""),"Leave")</f>
        <v>Leave</v>
      </c>
      <c r="N1189" s="46" t="str">
        <f ca="1">IFERROR(__xludf.DUMMYFUNCTION("""COMPUTED_VALUE"""),"Đủ")</f>
        <v>Đủ</v>
      </c>
    </row>
    <row r="1190" spans="1:14">
      <c r="A1190" s="45">
        <f ca="1">IFERROR(__xludf.DUMMYFUNCTION("""COMPUTED_VALUE"""),45939.5833333333)</f>
        <v>45939.583333333299</v>
      </c>
      <c r="B1190" s="45">
        <f ca="1">IFERROR(__xludf.DUMMYFUNCTION("""COMPUTED_VALUE"""),45965.625)</f>
        <v>45965.625</v>
      </c>
      <c r="C1190" s="46">
        <f ca="1">IFERROR(__xludf.DUMMYFUNCTION("""COMPUTED_VALUE"""),1191)</f>
        <v>1191</v>
      </c>
      <c r="D1190" s="47" t="str">
        <f ca="1">IFERROR(__xludf.DUMMYFUNCTION("""COMPUTED_VALUE"""),"C0814")</f>
        <v>C0814</v>
      </c>
      <c r="E1190" s="46" t="str">
        <f ca="1">IFERROR(__xludf.DUMMYFUNCTION("""COMPUTED_VALUE"""),"VÕ VIẾT ANH HÙNG")</f>
        <v>VÕ VIẾT ANH HÙNG</v>
      </c>
      <c r="F1190" s="46" t="str">
        <f ca="1">IFERROR(__xludf.DUMMYFUNCTION("""COMPUTED_VALUE"""),"VO VIET ANH HUNG")</f>
        <v>VO VIET ANH HUNG</v>
      </c>
      <c r="G1190" s="45"/>
      <c r="H1190" s="45" t="str">
        <f ca="1">IFERROR(__xludf.DUMMYFUNCTION("""COMPUTED_VALUE"""),"KITCHEN PASTRY")</f>
        <v>KITCHEN PASTRY</v>
      </c>
      <c r="I1190" s="46" t="str">
        <f ca="1">IFERROR(__xludf.DUMMYFUNCTION("""COMPUTED_VALUE"""),"KITCHEN PASTRY")</f>
        <v>KITCHEN PASTRY</v>
      </c>
      <c r="J1190" s="46" t="str">
        <f ca="1">IFERROR(__xludf.DUMMYFUNCTION("""COMPUTED_VALUE"""),"KITCHEN PASTRY")</f>
        <v>KITCHEN PASTRY</v>
      </c>
      <c r="K1190" s="46" t="str">
        <f ca="1">IFERROR(__xludf.DUMMYFUNCTION("""COMPUTED_VALUE"""),"PASTRY")</f>
        <v>PASTRY</v>
      </c>
      <c r="L1190" s="46" t="str">
        <f ca="1">IFERROR(__xludf.DUMMYFUNCTION("""COMPUTED_VALUE"""),"PRO")</f>
        <v>PRO</v>
      </c>
      <c r="M1190" s="46" t="str">
        <f ca="1">IFERROR(__xludf.DUMMYFUNCTION("""COMPUTED_VALUE"""),"Leave")</f>
        <v>Leave</v>
      </c>
      <c r="N1190" s="46" t="str">
        <f ca="1">IFERROR(__xludf.DUMMYFUNCTION("""COMPUTED_VALUE"""),"Đủ")</f>
        <v>Đủ</v>
      </c>
    </row>
    <row r="1191" spans="1:14">
      <c r="A1191" s="45">
        <f ca="1">IFERROR(__xludf.DUMMYFUNCTION("""COMPUTED_VALUE"""),45941.5833333333)</f>
        <v>45941.583333333299</v>
      </c>
      <c r="B1191" s="45"/>
      <c r="C1191" s="46">
        <f ca="1">IFERROR(__xludf.DUMMYFUNCTION("""COMPUTED_VALUE"""),1192)</f>
        <v>1192</v>
      </c>
      <c r="D1191" s="47" t="str">
        <f ca="1">IFERROR(__xludf.DUMMYFUNCTION("""COMPUTED_VALUE"""),"C1022")</f>
        <v>C1022</v>
      </c>
      <c r="E1191" s="46" t="str">
        <f ca="1">IFERROR(__xludf.DUMMYFUNCTION("""COMPUTED_VALUE"""),"MAI NHƯ THIÊN ANH")</f>
        <v>MAI NHƯ THIÊN ANH</v>
      </c>
      <c r="F1191" s="46" t="str">
        <f ca="1">IFERROR(__xludf.DUMMYFUNCTION("""COMPUTED_VALUE"""),"MAI NHU THIEN ANH")</f>
        <v>MAI NHU THIEN ANH</v>
      </c>
      <c r="G1191" s="45">
        <f ca="1">IFERROR(__xludf.DUMMYFUNCTION("""COMPUTED_VALUE"""),36178.625)</f>
        <v>36178.625</v>
      </c>
      <c r="H1191" s="45" t="str">
        <f ca="1">IFERROR(__xludf.DUMMYFUNCTION("""COMPUTED_VALUE"""),"KITCHEN PASTRY")</f>
        <v>KITCHEN PASTRY</v>
      </c>
      <c r="I1191" s="46" t="str">
        <f ca="1">IFERROR(__xludf.DUMMYFUNCTION("""COMPUTED_VALUE"""),"KITCHEN PASTRY")</f>
        <v>KITCHEN PASTRY</v>
      </c>
      <c r="J1191" s="46" t="str">
        <f ca="1">IFERROR(__xludf.DUMMYFUNCTION("""COMPUTED_VALUE"""),"KITCHEN PASTRY")</f>
        <v>KITCHEN PASTRY</v>
      </c>
      <c r="K1191" s="46" t="str">
        <f ca="1">IFERROR(__xludf.DUMMYFUNCTION("""COMPUTED_VALUE"""),"PASTRY")</f>
        <v>PASTRY</v>
      </c>
      <c r="L1191" s="46" t="str">
        <f ca="1">IFERROR(__xludf.DUMMYFUNCTION("""COMPUTED_VALUE"""),"FTE")</f>
        <v>FTE</v>
      </c>
      <c r="M1191" s="46" t="str">
        <f ca="1">IFERROR(__xludf.DUMMYFUNCTION("""COMPUTED_VALUE"""),"On")</f>
        <v>On</v>
      </c>
      <c r="N1191" s="46" t="str">
        <f ca="1">IFERROR(__xludf.DUMMYFUNCTION("""COMPUTED_VALUE"""),"Đủ")</f>
        <v>Đủ</v>
      </c>
    </row>
    <row r="1192" spans="1:14">
      <c r="A1192" s="45">
        <f ca="1">IFERROR(__xludf.DUMMYFUNCTION("""COMPUTED_VALUE"""),45943.5833333333)</f>
        <v>45943.583333333299</v>
      </c>
      <c r="B1192" s="45"/>
      <c r="C1192" s="46">
        <f ca="1">IFERROR(__xludf.DUMMYFUNCTION("""COMPUTED_VALUE"""),1193)</f>
        <v>1193</v>
      </c>
      <c r="D1192" s="47" t="str">
        <f ca="1">IFERROR(__xludf.DUMMYFUNCTION("""COMPUTED_VALUE"""),"C1023")</f>
        <v>C1023</v>
      </c>
      <c r="E1192" s="46" t="str">
        <f ca="1">IFERROR(__xludf.DUMMYFUNCTION("""COMPUTED_VALUE"""),"PHAN THỊ TRÀ MY")</f>
        <v>PHAN THỊ TRÀ MY</v>
      </c>
      <c r="F1192" s="46" t="str">
        <f ca="1">IFERROR(__xludf.DUMMYFUNCTION("""COMPUTED_VALUE"""),"PHAN THI TRA MY")</f>
        <v>PHAN THI TRA MY</v>
      </c>
      <c r="G1192" s="45">
        <f ca="1">IFERROR(__xludf.DUMMYFUNCTION("""COMPUTED_VALUE"""),34682.625)</f>
        <v>34682.625</v>
      </c>
      <c r="H1192" s="45" t="str">
        <f ca="1">IFERROR(__xludf.DUMMYFUNCTION("""COMPUTED_VALUE"""),"MATTE")</f>
        <v>MATTE</v>
      </c>
      <c r="I1192" s="46" t="str">
        <f ca="1">IFERROR(__xludf.DUMMYFUNCTION("""COMPUTED_VALUE"""),"STORE")</f>
        <v>STORE</v>
      </c>
      <c r="J1192" s="46" t="str">
        <f ca="1">IFERROR(__xludf.DUMMYFUNCTION("""COMPUTED_VALUE"""),"MATTE D1")</f>
        <v>MATTE D1</v>
      </c>
      <c r="K1192" s="46" t="str">
        <f ca="1">IFERROR(__xludf.DUMMYFUNCTION("""COMPUTED_VALUE"""),"BAR")</f>
        <v>BAR</v>
      </c>
      <c r="L1192" s="46" t="str">
        <f ca="1">IFERROR(__xludf.DUMMYFUNCTION("""COMPUTED_VALUE"""),"PTE")</f>
        <v>PTE</v>
      </c>
      <c r="M1192" s="46" t="str">
        <f ca="1">IFERROR(__xludf.DUMMYFUNCTION("""COMPUTED_VALUE"""),"On")</f>
        <v>On</v>
      </c>
      <c r="N1192" s="46" t="str">
        <f ca="1">IFERROR(__xludf.DUMMYFUNCTION("""COMPUTED_VALUE"""),"Đủ")</f>
        <v>Đủ</v>
      </c>
    </row>
    <row r="1193" spans="1:14">
      <c r="A1193" s="45">
        <f ca="1">IFERROR(__xludf.DUMMYFUNCTION("""COMPUTED_VALUE"""),45937.5833333333)</f>
        <v>45937.583333333299</v>
      </c>
      <c r="B1193" s="45">
        <f ca="1">IFERROR(__xludf.DUMMYFUNCTION("""COMPUTED_VALUE"""),46054.625)</f>
        <v>46054.625</v>
      </c>
      <c r="C1193" s="46">
        <f ca="1">IFERROR(__xludf.DUMMYFUNCTION("""COMPUTED_VALUE"""),1194)</f>
        <v>1194</v>
      </c>
      <c r="D1193" s="47" t="str">
        <f ca="1">IFERROR(__xludf.DUMMYFUNCTION("""COMPUTED_VALUE"""),"C1024")</f>
        <v>C1024</v>
      </c>
      <c r="E1193" s="46" t="str">
        <f ca="1">IFERROR(__xludf.DUMMYFUNCTION("""COMPUTED_VALUE"""),"LÊ HỒNG NHO")</f>
        <v>LÊ HỒNG NHO</v>
      </c>
      <c r="F1193" s="46" t="str">
        <f ca="1">IFERROR(__xludf.DUMMYFUNCTION("""COMPUTED_VALUE"""),"LE HONG NHO")</f>
        <v>LE HONG NHO</v>
      </c>
      <c r="G1193" s="45">
        <f ca="1">IFERROR(__xludf.DUMMYFUNCTION("""COMPUTED_VALUE"""),37991.625)</f>
        <v>37991.625</v>
      </c>
      <c r="H1193" s="45" t="str">
        <f ca="1">IFERROR(__xludf.DUMMYFUNCTION("""COMPUTED_VALUE"""),"MATTE")</f>
        <v>MATTE</v>
      </c>
      <c r="I1193" s="46" t="str">
        <f ca="1">IFERROR(__xludf.DUMMYFUNCTION("""COMPUTED_VALUE"""),"STORE")</f>
        <v>STORE</v>
      </c>
      <c r="J1193" s="46" t="str">
        <f ca="1">IFERROR(__xludf.DUMMYFUNCTION("""COMPUTED_VALUE"""),"MATTE D7")</f>
        <v>MATTE D7</v>
      </c>
      <c r="K1193" s="46" t="str">
        <f ca="1">IFERROR(__xludf.DUMMYFUNCTION("""COMPUTED_VALUE"""),"BAR")</f>
        <v>BAR</v>
      </c>
      <c r="L1193" s="46" t="str">
        <f ca="1">IFERROR(__xludf.DUMMYFUNCTION("""COMPUTED_VALUE"""),"PTE")</f>
        <v>PTE</v>
      </c>
      <c r="M1193" s="46" t="str">
        <f ca="1">IFERROR(__xludf.DUMMYFUNCTION("""COMPUTED_VALUE"""),"Leave")</f>
        <v>Leave</v>
      </c>
      <c r="N1193" s="46" t="str">
        <f ca="1">IFERROR(__xludf.DUMMYFUNCTION("""COMPUTED_VALUE"""),"Đủ")</f>
        <v>Đủ</v>
      </c>
    </row>
    <row r="1194" spans="1:14">
      <c r="A1194" s="45">
        <f ca="1">IFERROR(__xludf.DUMMYFUNCTION("""COMPUTED_VALUE"""),45940.5833333333)</f>
        <v>45940.583333333299</v>
      </c>
      <c r="B1194" s="45">
        <f ca="1">IFERROR(__xludf.DUMMYFUNCTION("""COMPUTED_VALUE"""),45961.5833333333)</f>
        <v>45961.583333333299</v>
      </c>
      <c r="C1194" s="46">
        <f ca="1">IFERROR(__xludf.DUMMYFUNCTION("""COMPUTED_VALUE"""),1195)</f>
        <v>1195</v>
      </c>
      <c r="D1194" s="47" t="str">
        <f ca="1">IFERROR(__xludf.DUMMYFUNCTION("""COMPUTED_VALUE"""),"C1025")</f>
        <v>C1025</v>
      </c>
      <c r="E1194" s="46" t="str">
        <f ca="1">IFERROR(__xludf.DUMMYFUNCTION("""COMPUTED_VALUE"""),"ĐÀO TRUNG HIẾU")</f>
        <v>ĐÀO TRUNG HIẾU</v>
      </c>
      <c r="F1194" s="46" t="str">
        <f ca="1">IFERROR(__xludf.DUMMYFUNCTION("""COMPUTED_VALUE"""),"DAO TRUNG HIEU")</f>
        <v>DAO TRUNG HIEU</v>
      </c>
      <c r="G1194" s="45">
        <f ca="1">IFERROR(__xludf.DUMMYFUNCTION("""COMPUTED_VALUE"""),36932.625)</f>
        <v>36932.625</v>
      </c>
      <c r="H1194" s="45" t="str">
        <f ca="1">IFERROR(__xludf.DUMMYFUNCTION("""COMPUTED_VALUE"""),"YESHI")</f>
        <v>YESHI</v>
      </c>
      <c r="I1194" s="46" t="str">
        <f ca="1">IFERROR(__xludf.DUMMYFUNCTION("""COMPUTED_VALUE"""),"STORE")</f>
        <v>STORE</v>
      </c>
      <c r="J1194" s="46" t="str">
        <f ca="1">IFERROR(__xludf.DUMMYFUNCTION("""COMPUTED_VALUE"""),"YESHI D2")</f>
        <v>YESHI D2</v>
      </c>
      <c r="K1194" s="46" t="str">
        <f ca="1">IFERROR(__xludf.DUMMYFUNCTION("""COMPUTED_VALUE"""),"BAR")</f>
        <v>BAR</v>
      </c>
      <c r="L1194" s="46" t="str">
        <f ca="1">IFERROR(__xludf.DUMMYFUNCTION("""COMPUTED_VALUE"""),"PRO")</f>
        <v>PRO</v>
      </c>
      <c r="M1194" s="46" t="str">
        <f ca="1">IFERROR(__xludf.DUMMYFUNCTION("""COMPUTED_VALUE"""),"Leave")</f>
        <v>Leave</v>
      </c>
      <c r="N1194" s="46" t="str">
        <f ca="1">IFERROR(__xludf.DUMMYFUNCTION("""COMPUTED_VALUE"""),"Đủ")</f>
        <v>Đủ</v>
      </c>
    </row>
    <row r="1195" spans="1:14">
      <c r="A1195" s="45">
        <f ca="1">IFERROR(__xludf.DUMMYFUNCTION("""COMPUTED_VALUE"""),45939.5833333333)</f>
        <v>45939.583333333299</v>
      </c>
      <c r="B1195" s="45">
        <f ca="1">IFERROR(__xludf.DUMMYFUNCTION("""COMPUTED_VALUE"""),46050.625)</f>
        <v>46050.625</v>
      </c>
      <c r="C1195" s="46">
        <f ca="1">IFERROR(__xludf.DUMMYFUNCTION("""COMPUTED_VALUE"""),1196)</f>
        <v>1196</v>
      </c>
      <c r="D1195" s="47" t="str">
        <f ca="1">IFERROR(__xludf.DUMMYFUNCTION("""COMPUTED_VALUE"""),"C1026")</f>
        <v>C1026</v>
      </c>
      <c r="E1195" s="46" t="str">
        <f ca="1">IFERROR(__xludf.DUMMYFUNCTION("""COMPUTED_VALUE"""),"TRẦN NGỌC KHÁNH")</f>
        <v>TRẦN NGỌC KHÁNH</v>
      </c>
      <c r="F1195" s="46" t="str">
        <f ca="1">IFERROR(__xludf.DUMMYFUNCTION("""COMPUTED_VALUE"""),"TRAN NGOC KHANH")</f>
        <v>TRAN NGOC KHANH</v>
      </c>
      <c r="G1195" s="45">
        <f ca="1">IFERROR(__xludf.DUMMYFUNCTION("""COMPUTED_VALUE"""),36504.625)</f>
        <v>36504.625</v>
      </c>
      <c r="H1195" s="45" t="str">
        <f ca="1">IFERROR(__xludf.DUMMYFUNCTION("""COMPUTED_VALUE"""),"MATTE")</f>
        <v>MATTE</v>
      </c>
      <c r="I1195" s="46" t="str">
        <f ca="1">IFERROR(__xludf.DUMMYFUNCTION("""COMPUTED_VALUE"""),"STORE")</f>
        <v>STORE</v>
      </c>
      <c r="J1195" s="46" t="str">
        <f ca="1">IFERROR(__xludf.DUMMYFUNCTION("""COMPUTED_VALUE"""),"MATTE D1")</f>
        <v>MATTE D1</v>
      </c>
      <c r="K1195" s="46" t="str">
        <f ca="1">IFERROR(__xludf.DUMMYFUNCTION("""COMPUTED_VALUE"""),"BAR")</f>
        <v>BAR</v>
      </c>
      <c r="L1195" s="46" t="str">
        <f ca="1">IFERROR(__xludf.DUMMYFUNCTION("""COMPUTED_VALUE"""),"FTE")</f>
        <v>FTE</v>
      </c>
      <c r="M1195" s="46" t="str">
        <f ca="1">IFERROR(__xludf.DUMMYFUNCTION("""COMPUTED_VALUE"""),"Leave")</f>
        <v>Leave</v>
      </c>
      <c r="N1195" s="46" t="str">
        <f ca="1">IFERROR(__xludf.DUMMYFUNCTION("""COMPUTED_VALUE"""),"Đủ")</f>
        <v>Đủ</v>
      </c>
    </row>
    <row r="1196" spans="1:14">
      <c r="A1196" s="45">
        <f ca="1">IFERROR(__xludf.DUMMYFUNCTION("""COMPUTED_VALUE"""),45933.5833333333)</f>
        <v>45933.583333333299</v>
      </c>
      <c r="B1196" s="45">
        <f ca="1">IFERROR(__xludf.DUMMYFUNCTION("""COMPUTED_VALUE"""),46189.5833333333)</f>
        <v>46189.583333333299</v>
      </c>
      <c r="C1196" s="46">
        <f ca="1">IFERROR(__xludf.DUMMYFUNCTION("""COMPUTED_VALUE"""),1197)</f>
        <v>1197</v>
      </c>
      <c r="D1196" s="47" t="str">
        <f ca="1">IFERROR(__xludf.DUMMYFUNCTION("""COMPUTED_VALUE"""),"C1012")</f>
        <v>C1012</v>
      </c>
      <c r="E1196" s="46" t="str">
        <f ca="1">IFERROR(__xludf.DUMMYFUNCTION("""COMPUTED_VALUE"""),"NGÔ THANH TÚ")</f>
        <v>NGÔ THANH TÚ</v>
      </c>
      <c r="F1196" s="46" t="str">
        <f ca="1">IFERROR(__xludf.DUMMYFUNCTION("""COMPUTED_VALUE"""),"NGO THANH TU")</f>
        <v>NGO THANH TU</v>
      </c>
      <c r="G1196" s="45">
        <f ca="1">IFERROR(__xludf.DUMMYFUNCTION("""COMPUTED_VALUE"""),38840.5833333333)</f>
        <v>38840.583333333299</v>
      </c>
      <c r="H1196" s="45" t="str">
        <f ca="1">IFERROR(__xludf.DUMMYFUNCTION("""COMPUTED_VALUE"""),"MATTE")</f>
        <v>MATTE</v>
      </c>
      <c r="I1196" s="46" t="str">
        <f ca="1">IFERROR(__xludf.DUMMYFUNCTION("""COMPUTED_VALUE"""),"HO")</f>
        <v>HO</v>
      </c>
      <c r="J1196" s="46" t="str">
        <f ca="1">IFERROR(__xludf.DUMMYFUNCTION("""COMPUTED_VALUE"""),"CUS")</f>
        <v>CUS</v>
      </c>
      <c r="K1196" s="46" t="str">
        <f ca="1">IFERROR(__xludf.DUMMYFUNCTION("""COMPUTED_VALUE"""),"CUS")</f>
        <v>CUS</v>
      </c>
      <c r="L1196" s="46" t="str">
        <f ca="1">IFERROR(__xludf.DUMMYFUNCTION("""COMPUTED_VALUE"""),"PTE")</f>
        <v>PTE</v>
      </c>
      <c r="M1196" s="46" t="str">
        <f ca="1">IFERROR(__xludf.DUMMYFUNCTION("""COMPUTED_VALUE"""),"Leave")</f>
        <v>Leave</v>
      </c>
      <c r="N1196" s="46" t="str">
        <f ca="1">IFERROR(__xludf.DUMMYFUNCTION("""COMPUTED_VALUE"""),"Đủ")</f>
        <v>Đủ</v>
      </c>
    </row>
    <row r="1197" spans="1:14">
      <c r="A1197" s="45">
        <f ca="1">IFERROR(__xludf.DUMMYFUNCTION("""COMPUTED_VALUE"""),45943.5833333333)</f>
        <v>45943.583333333299</v>
      </c>
      <c r="B1197" s="45"/>
      <c r="C1197" s="46">
        <f ca="1">IFERROR(__xludf.DUMMYFUNCTION("""COMPUTED_VALUE"""),1198)</f>
        <v>1198</v>
      </c>
      <c r="D1197" s="47" t="str">
        <f ca="1">IFERROR(__xludf.DUMMYFUNCTION("""COMPUTED_VALUE"""),"C1027")</f>
        <v>C1027</v>
      </c>
      <c r="E1197" s="46" t="str">
        <f ca="1">IFERROR(__xludf.DUMMYFUNCTION("""COMPUTED_VALUE"""),"VƯƠNG ĐÌNH THÙY ANH")</f>
        <v>VƯƠNG ĐÌNH THÙY ANH</v>
      </c>
      <c r="F1197" s="46" t="str">
        <f ca="1">IFERROR(__xludf.DUMMYFUNCTION("""COMPUTED_VALUE"""),"VUONG DINH THUY ANH")</f>
        <v>VUONG DINH THUY ANH</v>
      </c>
      <c r="G1197" s="45">
        <f ca="1">IFERROR(__xludf.DUMMYFUNCTION("""COMPUTED_VALUE"""),37988.625)</f>
        <v>37988.625</v>
      </c>
      <c r="H1197" s="45" t="str">
        <f ca="1">IFERROR(__xludf.DUMMYFUNCTION("""COMPUTED_VALUE"""),"MATTE")</f>
        <v>MATTE</v>
      </c>
      <c r="I1197" s="46" t="str">
        <f ca="1">IFERROR(__xludf.DUMMYFUNCTION("""COMPUTED_VALUE"""),"STORE")</f>
        <v>STORE</v>
      </c>
      <c r="J1197" s="46" t="str">
        <f ca="1">IFERROR(__xludf.DUMMYFUNCTION("""COMPUTED_VALUE"""),"MATTE D1")</f>
        <v>MATTE D1</v>
      </c>
      <c r="K1197" s="46" t="str">
        <f ca="1">IFERROR(__xludf.DUMMYFUNCTION("""COMPUTED_VALUE"""),"BAR")</f>
        <v>BAR</v>
      </c>
      <c r="L1197" s="46" t="str">
        <f ca="1">IFERROR(__xludf.DUMMYFUNCTION("""COMPUTED_VALUE"""),"FTE")</f>
        <v>FTE</v>
      </c>
      <c r="M1197" s="46" t="str">
        <f ca="1">IFERROR(__xludf.DUMMYFUNCTION("""COMPUTED_VALUE"""),"On")</f>
        <v>On</v>
      </c>
      <c r="N1197" s="46" t="str">
        <f ca="1">IFERROR(__xludf.DUMMYFUNCTION("""COMPUTED_VALUE"""),"Đủ")</f>
        <v>Đủ</v>
      </c>
    </row>
    <row r="1198" spans="1:14">
      <c r="A1198" s="45">
        <f ca="1">IFERROR(__xludf.DUMMYFUNCTION("""COMPUTED_VALUE"""),45943.5833333333)</f>
        <v>45943.583333333299</v>
      </c>
      <c r="B1198" s="45"/>
      <c r="C1198" s="46">
        <f ca="1">IFERROR(__xludf.DUMMYFUNCTION("""COMPUTED_VALUE"""),1199)</f>
        <v>1199</v>
      </c>
      <c r="D1198" s="47" t="str">
        <f ca="1">IFERROR(__xludf.DUMMYFUNCTION("""COMPUTED_VALUE"""),"C1028")</f>
        <v>C1028</v>
      </c>
      <c r="E1198" s="46" t="str">
        <f ca="1">IFERROR(__xludf.DUMMYFUNCTION("""COMPUTED_VALUE"""),"LÊ XUÂN MAI")</f>
        <v>LÊ XUÂN MAI</v>
      </c>
      <c r="F1198" s="46" t="str">
        <f ca="1">IFERROR(__xludf.DUMMYFUNCTION("""COMPUTED_VALUE"""),"LE XUAN MAI")</f>
        <v>LE XUAN MAI</v>
      </c>
      <c r="G1198" s="45">
        <f ca="1">IFERROR(__xludf.DUMMYFUNCTION("""COMPUTED_VALUE"""),37349.625)</f>
        <v>37349.625</v>
      </c>
      <c r="H1198" s="45" t="str">
        <f ca="1">IFERROR(__xludf.DUMMYFUNCTION("""COMPUTED_VALUE"""),"MATTE")</f>
        <v>MATTE</v>
      </c>
      <c r="I1198" s="46" t="str">
        <f ca="1">IFERROR(__xludf.DUMMYFUNCTION("""COMPUTED_VALUE"""),"STORE")</f>
        <v>STORE</v>
      </c>
      <c r="J1198" s="46" t="str">
        <f ca="1">IFERROR(__xludf.DUMMYFUNCTION("""COMPUTED_VALUE"""),"MATTE D3")</f>
        <v>MATTE D3</v>
      </c>
      <c r="K1198" s="46" t="str">
        <f ca="1">IFERROR(__xludf.DUMMYFUNCTION("""COMPUTED_VALUE"""),"BAR")</f>
        <v>BAR</v>
      </c>
      <c r="L1198" s="46" t="str">
        <f ca="1">IFERROR(__xludf.DUMMYFUNCTION("""COMPUTED_VALUE"""),"FTE")</f>
        <v>FTE</v>
      </c>
      <c r="M1198" s="46" t="str">
        <f ca="1">IFERROR(__xludf.DUMMYFUNCTION("""COMPUTED_VALUE"""),"On")</f>
        <v>On</v>
      </c>
      <c r="N1198" s="46" t="str">
        <f ca="1">IFERROR(__xludf.DUMMYFUNCTION("""COMPUTED_VALUE"""),"Đủ")</f>
        <v>Đủ</v>
      </c>
    </row>
    <row r="1199" spans="1:14">
      <c r="A1199" s="45">
        <f ca="1">IFERROR(__xludf.DUMMYFUNCTION("""COMPUTED_VALUE"""),45931.5833333333)</f>
        <v>45931.583333333299</v>
      </c>
      <c r="B1199" s="45"/>
      <c r="C1199" s="46">
        <f ca="1">IFERROR(__xludf.DUMMYFUNCTION("""COMPUTED_VALUE"""),1200)</f>
        <v>1200</v>
      </c>
      <c r="D1199" s="47" t="str">
        <f ca="1">IFERROR(__xludf.DUMMYFUNCTION("""COMPUTED_VALUE"""),"C1030")</f>
        <v>C1030</v>
      </c>
      <c r="E1199" s="46" t="str">
        <f ca="1">IFERROR(__xludf.DUMMYFUNCTION("""COMPUTED_VALUE"""),"TĂNG BẢO NHI")</f>
        <v>TĂNG BẢO NHI</v>
      </c>
      <c r="F1199" s="46" t="str">
        <f ca="1">IFERROR(__xludf.DUMMYFUNCTION("""COMPUTED_VALUE"""),"TANG BAO NHI")</f>
        <v>TANG BAO NHI</v>
      </c>
      <c r="G1199" s="45">
        <f ca="1">IFERROR(__xludf.DUMMYFUNCTION("""COMPUTED_VALUE"""),38863.5833333333)</f>
        <v>38863.583333333299</v>
      </c>
      <c r="H1199" s="45" t="str">
        <f ca="1">IFERROR(__xludf.DUMMYFUNCTION("""COMPUTED_VALUE"""),"YESHI")</f>
        <v>YESHI</v>
      </c>
      <c r="I1199" s="46" t="str">
        <f ca="1">IFERROR(__xludf.DUMMYFUNCTION("""COMPUTED_VALUE"""),"STORE")</f>
        <v>STORE</v>
      </c>
      <c r="J1199" s="46" t="str">
        <f ca="1">IFERROR(__xludf.DUMMYFUNCTION("""COMPUTED_VALUE"""),"YESHI D3")</f>
        <v>YESHI D3</v>
      </c>
      <c r="K1199" s="46" t="str">
        <f ca="1">IFERROR(__xludf.DUMMYFUNCTION("""COMPUTED_VALUE"""),"WAITSTAFF")</f>
        <v>WAITSTAFF</v>
      </c>
      <c r="L1199" s="46" t="str">
        <f ca="1">IFERROR(__xludf.DUMMYFUNCTION("""COMPUTED_VALUE"""),"PTE")</f>
        <v>PTE</v>
      </c>
      <c r="M1199" s="46" t="str">
        <f ca="1">IFERROR(__xludf.DUMMYFUNCTION("""COMPUTED_VALUE"""),"On")</f>
        <v>On</v>
      </c>
      <c r="N1199" s="46" t="str">
        <f ca="1">IFERROR(__xludf.DUMMYFUNCTION("""COMPUTED_VALUE"""),"Đủ")</f>
        <v>Đủ</v>
      </c>
    </row>
    <row r="1200" spans="1:14">
      <c r="A1200" s="45">
        <f ca="1">IFERROR(__xludf.DUMMYFUNCTION("""COMPUTED_VALUE"""),45931.5833333333)</f>
        <v>45931.583333333299</v>
      </c>
      <c r="B1200" s="45">
        <f ca="1">IFERROR(__xludf.DUMMYFUNCTION("""COMPUTED_VALUE"""),45933.5833333333)</f>
        <v>45933.583333333299</v>
      </c>
      <c r="C1200" s="46">
        <f ca="1">IFERROR(__xludf.DUMMYFUNCTION("""COMPUTED_VALUE"""),1201)</f>
        <v>1201</v>
      </c>
      <c r="D1200" s="47" t="str">
        <f ca="1">IFERROR(__xludf.DUMMYFUNCTION("""COMPUTED_VALUE"""),"C1031")</f>
        <v>C1031</v>
      </c>
      <c r="E1200" s="46" t="str">
        <f ca="1">IFERROR(__xludf.DUMMYFUNCTION("""COMPUTED_VALUE"""),"PHAN THỊ HỒNG ĐOAN")</f>
        <v>PHAN THỊ HỒNG ĐOAN</v>
      </c>
      <c r="F1200" s="46" t="str">
        <f ca="1">IFERROR(__xludf.DUMMYFUNCTION("""COMPUTED_VALUE"""),"PHAN THI HONG DOAN")</f>
        <v>PHAN THI HONG DOAN</v>
      </c>
      <c r="G1200" s="45">
        <f ca="1">IFERROR(__xludf.DUMMYFUNCTION("""COMPUTED_VALUE"""),36531.625)</f>
        <v>36531.625</v>
      </c>
      <c r="H1200" s="45" t="str">
        <f ca="1">IFERROR(__xludf.DUMMYFUNCTION("""COMPUTED_VALUE"""),"KITCHEN PASTRY")</f>
        <v>KITCHEN PASTRY</v>
      </c>
      <c r="I1200" s="46" t="str">
        <f ca="1">IFERROR(__xludf.DUMMYFUNCTION("""COMPUTED_VALUE"""),"KITCHEN PASTRY")</f>
        <v>KITCHEN PASTRY</v>
      </c>
      <c r="J1200" s="46" t="str">
        <f ca="1">IFERROR(__xludf.DUMMYFUNCTION("""COMPUTED_VALUE"""),"KITCHEN PASTRY")</f>
        <v>KITCHEN PASTRY</v>
      </c>
      <c r="K1200" s="46" t="str">
        <f ca="1">IFERROR(__xludf.DUMMYFUNCTION("""COMPUTED_VALUE"""),"PASTRY")</f>
        <v>PASTRY</v>
      </c>
      <c r="L1200" s="46" t="str">
        <f ca="1">IFERROR(__xludf.DUMMYFUNCTION("""COMPUTED_VALUE"""),"PRO")</f>
        <v>PRO</v>
      </c>
      <c r="M1200" s="46" t="str">
        <f ca="1">IFERROR(__xludf.DUMMYFUNCTION("""COMPUTED_VALUE"""),"Leave")</f>
        <v>Leave</v>
      </c>
      <c r="N1200" s="46" t="str">
        <f ca="1">IFERROR(__xludf.DUMMYFUNCTION("""COMPUTED_VALUE"""),"Đủ")</f>
        <v>Đủ</v>
      </c>
    </row>
    <row r="1201" spans="1:14">
      <c r="A1201" s="45">
        <f ca="1">IFERROR(__xludf.DUMMYFUNCTION("""COMPUTED_VALUE"""),45931.5833333333)</f>
        <v>45931.583333333299</v>
      </c>
      <c r="B1201" s="45">
        <f ca="1">IFERROR(__xludf.DUMMYFUNCTION("""COMPUTED_VALUE"""),45932.5833333333)</f>
        <v>45932.583333333299</v>
      </c>
      <c r="C1201" s="46">
        <f ca="1">IFERROR(__xludf.DUMMYFUNCTION("""COMPUTED_VALUE"""),1202)</f>
        <v>1202</v>
      </c>
      <c r="D1201" s="47" t="str">
        <f ca="1">IFERROR(__xludf.DUMMYFUNCTION("""COMPUTED_VALUE"""),"C1032")</f>
        <v>C1032</v>
      </c>
      <c r="E1201" s="46" t="str">
        <f ca="1">IFERROR(__xludf.DUMMYFUNCTION("""COMPUTED_VALUE"""),"QUÁCH THỊ DIỆU ÁI")</f>
        <v>QUÁCH THỊ DIỆU ÁI</v>
      </c>
      <c r="F1201" s="46" t="str">
        <f ca="1">IFERROR(__xludf.DUMMYFUNCTION("""COMPUTED_VALUE"""),"QUACH THI DIEU AI")</f>
        <v>QUACH THI DIEU AI</v>
      </c>
      <c r="G1201" s="45"/>
      <c r="H1201" s="45" t="str">
        <f ca="1">IFERROR(__xludf.DUMMYFUNCTION("""COMPUTED_VALUE"""),"KITCHEN PASTRY")</f>
        <v>KITCHEN PASTRY</v>
      </c>
      <c r="I1201" s="46" t="str">
        <f ca="1">IFERROR(__xludf.DUMMYFUNCTION("""COMPUTED_VALUE"""),"KITCHEN PASTRY")</f>
        <v>KITCHEN PASTRY</v>
      </c>
      <c r="J1201" s="46" t="str">
        <f ca="1">IFERROR(__xludf.DUMMYFUNCTION("""COMPUTED_VALUE"""),"KITCHEN PASTRY")</f>
        <v>KITCHEN PASTRY</v>
      </c>
      <c r="K1201" s="46" t="str">
        <f ca="1">IFERROR(__xludf.DUMMYFUNCTION("""COMPUTED_VALUE"""),"PASTRY")</f>
        <v>PASTRY</v>
      </c>
      <c r="L1201" s="46" t="str">
        <f ca="1">IFERROR(__xludf.DUMMYFUNCTION("""COMPUTED_VALUE"""),"PRO")</f>
        <v>PRO</v>
      </c>
      <c r="M1201" s="46" t="str">
        <f ca="1">IFERROR(__xludf.DUMMYFUNCTION("""COMPUTED_VALUE"""),"Leave")</f>
        <v>Leave</v>
      </c>
      <c r="N1201" s="46" t="str">
        <f ca="1">IFERROR(__xludf.DUMMYFUNCTION("""COMPUTED_VALUE"""),"chua nop")</f>
        <v>chua nop</v>
      </c>
    </row>
    <row r="1202" spans="1:14">
      <c r="A1202" s="45">
        <f ca="1">IFERROR(__xludf.DUMMYFUNCTION("""COMPUTED_VALUE"""),45931.5833333333)</f>
        <v>45931.583333333299</v>
      </c>
      <c r="B1202" s="45"/>
      <c r="C1202" s="46">
        <f ca="1">IFERROR(__xludf.DUMMYFUNCTION("""COMPUTED_VALUE"""),1203)</f>
        <v>1203</v>
      </c>
      <c r="D1202" s="47" t="str">
        <f ca="1">IFERROR(__xludf.DUMMYFUNCTION("""COMPUTED_VALUE"""),"C1033")</f>
        <v>C1033</v>
      </c>
      <c r="E1202" s="46" t="str">
        <f ca="1">IFERROR(__xludf.DUMMYFUNCTION("""COMPUTED_VALUE"""),"HUỲNH VŨ TRƯỜNG")</f>
        <v>HUỲNH VŨ TRƯỜNG</v>
      </c>
      <c r="F1202" s="46" t="str">
        <f ca="1">IFERROR(__xludf.DUMMYFUNCTION("""COMPUTED_VALUE"""),"HUYNH VU TRUONG")</f>
        <v>HUYNH VU TRUONG</v>
      </c>
      <c r="G1202" s="45">
        <f ca="1">IFERROR(__xludf.DUMMYFUNCTION("""COMPUTED_VALUE"""),38335.625)</f>
        <v>38335.625</v>
      </c>
      <c r="H1202" s="45" t="str">
        <f ca="1">IFERROR(__xludf.DUMMYFUNCTION("""COMPUTED_VALUE"""),"YESHI")</f>
        <v>YESHI</v>
      </c>
      <c r="I1202" s="46" t="str">
        <f ca="1">IFERROR(__xludf.DUMMYFUNCTION("""COMPUTED_VALUE"""),"STORE")</f>
        <v>STORE</v>
      </c>
      <c r="J1202" s="46" t="str">
        <f ca="1">IFERROR(__xludf.DUMMYFUNCTION("""COMPUTED_VALUE"""),"YESHI D3")</f>
        <v>YESHI D3</v>
      </c>
      <c r="K1202" s="46" t="str">
        <f ca="1">IFERROR(__xludf.DUMMYFUNCTION("""COMPUTED_VALUE"""),"KIT")</f>
        <v>KIT</v>
      </c>
      <c r="L1202" s="46" t="str">
        <f ca="1">IFERROR(__xludf.DUMMYFUNCTION("""COMPUTED_VALUE"""),"FTE")</f>
        <v>FTE</v>
      </c>
      <c r="M1202" s="46" t="str">
        <f ca="1">IFERROR(__xludf.DUMMYFUNCTION("""COMPUTED_VALUE"""),"On")</f>
        <v>On</v>
      </c>
      <c r="N1202" s="46" t="str">
        <f ca="1">IFERROR(__xludf.DUMMYFUNCTION("""COMPUTED_VALUE"""),"Đủ")</f>
        <v>Đủ</v>
      </c>
    </row>
    <row r="1203" spans="1:14">
      <c r="A1203" s="45">
        <f ca="1">IFERROR(__xludf.DUMMYFUNCTION("""COMPUTED_VALUE"""),45931.5833333333)</f>
        <v>45931.583333333299</v>
      </c>
      <c r="B1203" s="45">
        <f ca="1">IFERROR(__xludf.DUMMYFUNCTION("""COMPUTED_VALUE"""),46082.625)</f>
        <v>46082.625</v>
      </c>
      <c r="C1203" s="46">
        <f ca="1">IFERROR(__xludf.DUMMYFUNCTION("""COMPUTED_VALUE"""),1204)</f>
        <v>1204</v>
      </c>
      <c r="D1203" s="47" t="str">
        <f ca="1">IFERROR(__xludf.DUMMYFUNCTION("""COMPUTED_VALUE"""),"C1034")</f>
        <v>C1034</v>
      </c>
      <c r="E1203" s="46" t="str">
        <f ca="1">IFERROR(__xludf.DUMMYFUNCTION("""COMPUTED_VALUE"""),"TRẦN THÚY LÀNH")</f>
        <v>TRẦN THÚY LÀNH</v>
      </c>
      <c r="F1203" s="46" t="str">
        <f ca="1">IFERROR(__xludf.DUMMYFUNCTION("""COMPUTED_VALUE"""),"TRAN THUY LANH")</f>
        <v>TRAN THUY LANH</v>
      </c>
      <c r="G1203" s="45">
        <f ca="1">IFERROR(__xludf.DUMMYFUNCTION("""COMPUTED_VALUE"""),38395.625)</f>
        <v>38395.625</v>
      </c>
      <c r="H1203" s="45" t="str">
        <f ca="1">IFERROR(__xludf.DUMMYFUNCTION("""COMPUTED_VALUE"""),"YESHI")</f>
        <v>YESHI</v>
      </c>
      <c r="I1203" s="46" t="str">
        <f ca="1">IFERROR(__xludf.DUMMYFUNCTION("""COMPUTED_VALUE"""),"STORE")</f>
        <v>STORE</v>
      </c>
      <c r="J1203" s="46" t="str">
        <f ca="1">IFERROR(__xludf.DUMMYFUNCTION("""COMPUTED_VALUE"""),"YESHI D3")</f>
        <v>YESHI D3</v>
      </c>
      <c r="K1203" s="46" t="str">
        <f ca="1">IFERROR(__xludf.DUMMYFUNCTION("""COMPUTED_VALUE"""),"KIT")</f>
        <v>KIT</v>
      </c>
      <c r="L1203" s="46" t="str">
        <f ca="1">IFERROR(__xludf.DUMMYFUNCTION("""COMPUTED_VALUE"""),"FTE")</f>
        <v>FTE</v>
      </c>
      <c r="M1203" s="46" t="str">
        <f ca="1">IFERROR(__xludf.DUMMYFUNCTION("""COMPUTED_VALUE"""),"Leave")</f>
        <v>Leave</v>
      </c>
      <c r="N1203" s="46" t="str">
        <f ca="1">IFERROR(__xludf.DUMMYFUNCTION("""COMPUTED_VALUE"""),"Đủ")</f>
        <v>Đủ</v>
      </c>
    </row>
    <row r="1204" spans="1:14">
      <c r="A1204" s="45">
        <f ca="1">IFERROR(__xludf.DUMMYFUNCTION("""COMPUTED_VALUE"""),45946.5833333333)</f>
        <v>45946.583333333299</v>
      </c>
      <c r="B1204" s="45">
        <f ca="1">IFERROR(__xludf.DUMMYFUNCTION("""COMPUTED_VALUE"""),46134.5833333333)</f>
        <v>46134.583333333299</v>
      </c>
      <c r="C1204" s="46">
        <f ca="1">IFERROR(__xludf.DUMMYFUNCTION("""COMPUTED_VALUE"""),1205)</f>
        <v>1205</v>
      </c>
      <c r="D1204" s="47" t="str">
        <f ca="1">IFERROR(__xludf.DUMMYFUNCTION("""COMPUTED_VALUE"""),"C1035")</f>
        <v>C1035</v>
      </c>
      <c r="E1204" s="46" t="str">
        <f ca="1">IFERROR(__xludf.DUMMYFUNCTION("""COMPUTED_VALUE"""),"ĐỖ THÀNH THANH VY")</f>
        <v>ĐỖ THÀNH THANH VY</v>
      </c>
      <c r="F1204" s="46" t="str">
        <f ca="1">IFERROR(__xludf.DUMMYFUNCTION("""COMPUTED_VALUE"""),"DO THANH THANH VY")</f>
        <v>DO THANH THANH VY</v>
      </c>
      <c r="G1204" s="45">
        <f ca="1">IFERROR(__xludf.DUMMYFUNCTION("""COMPUTED_VALUE"""),38239.5833333333)</f>
        <v>38239.583333333299</v>
      </c>
      <c r="H1204" s="45" t="str">
        <f ca="1">IFERROR(__xludf.DUMMYFUNCTION("""COMPUTED_VALUE"""),"BAKES")</f>
        <v>BAKES</v>
      </c>
      <c r="I1204" s="46" t="str">
        <f ca="1">IFERROR(__xludf.DUMMYFUNCTION("""COMPUTED_VALUE"""),"HO")</f>
        <v>HO</v>
      </c>
      <c r="J1204" s="46" t="str">
        <f ca="1">IFERROR(__xludf.DUMMYFUNCTION("""COMPUTED_VALUE"""),"PRO")</f>
        <v>PRO</v>
      </c>
      <c r="K1204" s="46" t="str">
        <f ca="1">IFERROR(__xludf.DUMMYFUNCTION("""COMPUTED_VALUE"""),"PRO")</f>
        <v>PRO</v>
      </c>
      <c r="L1204" s="46" t="str">
        <f ca="1">IFERROR(__xludf.DUMMYFUNCTION("""COMPUTED_VALUE"""),"FTE")</f>
        <v>FTE</v>
      </c>
      <c r="M1204" s="46" t="str">
        <f ca="1">IFERROR(__xludf.DUMMYFUNCTION("""COMPUTED_VALUE"""),"Leave")</f>
        <v>Leave</v>
      </c>
      <c r="N1204" s="46" t="str">
        <f ca="1">IFERROR(__xludf.DUMMYFUNCTION("""COMPUTED_VALUE"""),"Đủ")</f>
        <v>Đủ</v>
      </c>
    </row>
    <row r="1205" spans="1:14">
      <c r="A1205" s="45">
        <f ca="1">IFERROR(__xludf.DUMMYFUNCTION("""COMPUTED_VALUE"""),45947.5833333333)</f>
        <v>45947.583333333299</v>
      </c>
      <c r="B1205" s="45">
        <f ca="1">IFERROR(__xludf.DUMMYFUNCTION("""COMPUTED_VALUE"""),45959.5833333333)</f>
        <v>45959.583333333299</v>
      </c>
      <c r="C1205" s="46">
        <f ca="1">IFERROR(__xludf.DUMMYFUNCTION("""COMPUTED_VALUE"""),1206)</f>
        <v>1206</v>
      </c>
      <c r="D1205" s="47" t="str">
        <f ca="1">IFERROR(__xludf.DUMMYFUNCTION("""COMPUTED_VALUE"""),"C1036")</f>
        <v>C1036</v>
      </c>
      <c r="E1205" s="46" t="str">
        <f ca="1">IFERROR(__xludf.DUMMYFUNCTION("""COMPUTED_VALUE"""),"NGUYỄN THỊ KIM LOAN")</f>
        <v>NGUYỄN THỊ KIM LOAN</v>
      </c>
      <c r="F1205" s="46" t="str">
        <f ca="1">IFERROR(__xludf.DUMMYFUNCTION("""COMPUTED_VALUE"""),"NGUYEN THI KIM LOAN")</f>
        <v>NGUYEN THI KIM LOAN</v>
      </c>
      <c r="G1205" s="45">
        <f ca="1">IFERROR(__xludf.DUMMYFUNCTION("""COMPUTED_VALUE"""),33465.5833333333)</f>
        <v>33465.583333333299</v>
      </c>
      <c r="H1205" s="45" t="str">
        <f ca="1">IFERROR(__xludf.DUMMYFUNCTION("""COMPUTED_VALUE"""),"KITCHEN PASTRY")</f>
        <v>KITCHEN PASTRY</v>
      </c>
      <c r="I1205" s="46" t="str">
        <f ca="1">IFERROR(__xludf.DUMMYFUNCTION("""COMPUTED_VALUE"""),"KITCHEN PASTRY")</f>
        <v>KITCHEN PASTRY</v>
      </c>
      <c r="J1205" s="46" t="str">
        <f ca="1">IFERROR(__xludf.DUMMYFUNCTION("""COMPUTED_VALUE"""),"KITCHEN PASTRY")</f>
        <v>KITCHEN PASTRY</v>
      </c>
      <c r="K1205" s="46" t="str">
        <f ca="1">IFERROR(__xludf.DUMMYFUNCTION("""COMPUTED_VALUE"""),"PASTRY")</f>
        <v>PASTRY</v>
      </c>
      <c r="L1205" s="46" t="str">
        <f ca="1">IFERROR(__xludf.DUMMYFUNCTION("""COMPUTED_VALUE"""),"PRO")</f>
        <v>PRO</v>
      </c>
      <c r="M1205" s="46" t="str">
        <f ca="1">IFERROR(__xludf.DUMMYFUNCTION("""COMPUTED_VALUE"""),"Leave")</f>
        <v>Leave</v>
      </c>
      <c r="N1205" s="46" t="str">
        <f ca="1">IFERROR(__xludf.DUMMYFUNCTION("""COMPUTED_VALUE"""),"Đủ")</f>
        <v>Đủ</v>
      </c>
    </row>
    <row r="1206" spans="1:14">
      <c r="A1206" s="45">
        <f ca="1">IFERROR(__xludf.DUMMYFUNCTION("""COMPUTED_VALUE"""),45944.5833333333)</f>
        <v>45944.583333333299</v>
      </c>
      <c r="B1206" s="45">
        <f ca="1">IFERROR(__xludf.DUMMYFUNCTION("""COMPUTED_VALUE"""),45969.625)</f>
        <v>45969.625</v>
      </c>
      <c r="C1206" s="46">
        <f ca="1">IFERROR(__xludf.DUMMYFUNCTION("""COMPUTED_VALUE"""),1207)</f>
        <v>1207</v>
      </c>
      <c r="D1206" s="47" t="str">
        <f ca="1">IFERROR(__xludf.DUMMYFUNCTION("""COMPUTED_VALUE"""),"C1037")</f>
        <v>C1037</v>
      </c>
      <c r="E1206" s="46" t="str">
        <f ca="1">IFERROR(__xludf.DUMMYFUNCTION("""COMPUTED_VALUE"""),"NGUYỄN THỊ THU THẢO")</f>
        <v>NGUYỄN THỊ THU THẢO</v>
      </c>
      <c r="F1206" s="46" t="str">
        <f ca="1">IFERROR(__xludf.DUMMYFUNCTION("""COMPUTED_VALUE"""),"NGUYEN THI THU THAO")</f>
        <v>NGUYEN THI THU THAO</v>
      </c>
      <c r="G1206" s="45">
        <f ca="1">IFERROR(__xludf.DUMMYFUNCTION("""COMPUTED_VALUE"""),38343.625)</f>
        <v>38343.625</v>
      </c>
      <c r="H1206" s="45" t="str">
        <f ca="1">IFERROR(__xludf.DUMMYFUNCTION("""COMPUTED_VALUE"""),"MATTE")</f>
        <v>MATTE</v>
      </c>
      <c r="I1206" s="46" t="str">
        <f ca="1">IFERROR(__xludf.DUMMYFUNCTION("""COMPUTED_VALUE"""),"STORE")</f>
        <v>STORE</v>
      </c>
      <c r="J1206" s="46" t="str">
        <f ca="1">IFERROR(__xludf.DUMMYFUNCTION("""COMPUTED_VALUE"""),"MATTE D7")</f>
        <v>MATTE D7</v>
      </c>
      <c r="K1206" s="46" t="str">
        <f ca="1">IFERROR(__xludf.DUMMYFUNCTION("""COMPUTED_VALUE"""),"BAR")</f>
        <v>BAR</v>
      </c>
      <c r="L1206" s="46" t="str">
        <f ca="1">IFERROR(__xludf.DUMMYFUNCTION("""COMPUTED_VALUE"""),"PTEP")</f>
        <v>PTEP</v>
      </c>
      <c r="M1206" s="46" t="str">
        <f ca="1">IFERROR(__xludf.DUMMYFUNCTION("""COMPUTED_VALUE"""),"Leave")</f>
        <v>Leave</v>
      </c>
      <c r="N1206" s="46" t="str">
        <f ca="1">IFERROR(__xludf.DUMMYFUNCTION("""COMPUTED_VALUE"""),"Đủ")</f>
        <v>Đủ</v>
      </c>
    </row>
    <row r="1207" spans="1:14">
      <c r="A1207" s="45">
        <f ca="1">IFERROR(__xludf.DUMMYFUNCTION("""COMPUTED_VALUE"""),45931.5833333333)</f>
        <v>45931.583333333299</v>
      </c>
      <c r="B1207" s="45">
        <f ca="1">IFERROR(__xludf.DUMMYFUNCTION("""COMPUTED_VALUE"""),45992.625)</f>
        <v>45992.625</v>
      </c>
      <c r="C1207" s="46">
        <f ca="1">IFERROR(__xludf.DUMMYFUNCTION("""COMPUTED_VALUE"""),1208)</f>
        <v>1208</v>
      </c>
      <c r="D1207" s="47" t="str">
        <f ca="1">IFERROR(__xludf.DUMMYFUNCTION("""COMPUTED_VALUE"""),"C1038")</f>
        <v>C1038</v>
      </c>
      <c r="E1207" s="46" t="str">
        <f ca="1">IFERROR(__xludf.DUMMYFUNCTION("""COMPUTED_VALUE"""),"NGUYỄN ANH SANG")</f>
        <v>NGUYỄN ANH SANG</v>
      </c>
      <c r="F1207" s="46" t="str">
        <f ca="1">IFERROR(__xludf.DUMMYFUNCTION("""COMPUTED_VALUE"""),"NGUYEN ANH SANG")</f>
        <v>NGUYEN ANH SANG</v>
      </c>
      <c r="G1207" s="45">
        <f ca="1">IFERROR(__xludf.DUMMYFUNCTION("""COMPUTED_VALUE"""),37575.625)</f>
        <v>37575.625</v>
      </c>
      <c r="H1207" s="45" t="str">
        <f ca="1">IFERROR(__xludf.DUMMYFUNCTION("""COMPUTED_VALUE"""),"MOONCAKE")</f>
        <v>MOONCAKE</v>
      </c>
      <c r="I1207" s="46" t="str">
        <f ca="1">IFERROR(__xludf.DUMMYFUNCTION("""COMPUTED_VALUE"""),"KITCHEN PASTRY")</f>
        <v>KITCHEN PASTRY</v>
      </c>
      <c r="J1207" s="46" t="str">
        <f ca="1">IFERROR(__xludf.DUMMYFUNCTION("""COMPUTED_VALUE"""),"KITCHEN PASTRY")</f>
        <v>KITCHEN PASTRY</v>
      </c>
      <c r="K1207" s="46" t="str">
        <f ca="1">IFERROR(__xludf.DUMMYFUNCTION("""COMPUTED_VALUE"""),"PASTRY")</f>
        <v>PASTRY</v>
      </c>
      <c r="L1207" s="46" t="str">
        <f ca="1">IFERROR(__xludf.DUMMYFUNCTION("""COMPUTED_VALUE"""),"SER")</f>
        <v>SER</v>
      </c>
      <c r="M1207" s="46" t="str">
        <f ca="1">IFERROR(__xludf.DUMMYFUNCTION("""COMPUTED_VALUE"""),"Leave")</f>
        <v>Leave</v>
      </c>
      <c r="N1207" s="46" t="str">
        <f ca="1">IFERROR(__xludf.DUMMYFUNCTION("""COMPUTED_VALUE"""),"Đủ")</f>
        <v>Đủ</v>
      </c>
    </row>
    <row r="1208" spans="1:14">
      <c r="A1208" s="45">
        <f ca="1">IFERROR(__xludf.DUMMYFUNCTION("""COMPUTED_VALUE"""),45931.5833333333)</f>
        <v>45931.583333333299</v>
      </c>
      <c r="B1208" s="45">
        <f ca="1">IFERROR(__xludf.DUMMYFUNCTION("""COMPUTED_VALUE"""),45992.625)</f>
        <v>45992.625</v>
      </c>
      <c r="C1208" s="46">
        <f ca="1">IFERROR(__xludf.DUMMYFUNCTION("""COMPUTED_VALUE"""),1209)</f>
        <v>1209</v>
      </c>
      <c r="D1208" s="47" t="str">
        <f ca="1">IFERROR(__xludf.DUMMYFUNCTION("""COMPUTED_VALUE"""),"C1039")</f>
        <v>C1039</v>
      </c>
      <c r="E1208" s="46" t="str">
        <f ca="1">IFERROR(__xludf.DUMMYFUNCTION("""COMPUTED_VALUE"""),"LÊ TRẦN KIM TRANG")</f>
        <v>LÊ TRẦN KIM TRANG</v>
      </c>
      <c r="F1208" s="46" t="str">
        <f ca="1">IFERROR(__xludf.DUMMYFUNCTION("""COMPUTED_VALUE"""),"LE TRAN KIM TRANG")</f>
        <v>LE TRAN KIM TRANG</v>
      </c>
      <c r="G1208" s="45">
        <f ca="1">IFERROR(__xludf.DUMMYFUNCTION("""COMPUTED_VALUE"""),38159.5833333333)</f>
        <v>38159.583333333299</v>
      </c>
      <c r="H1208" s="45" t="str">
        <f ca="1">IFERROR(__xludf.DUMMYFUNCTION("""COMPUTED_VALUE"""),"MOONCAKE")</f>
        <v>MOONCAKE</v>
      </c>
      <c r="I1208" s="46" t="str">
        <f ca="1">IFERROR(__xludf.DUMMYFUNCTION("""COMPUTED_VALUE"""),"KITCHEN PASTRY")</f>
        <v>KITCHEN PASTRY</v>
      </c>
      <c r="J1208" s="46" t="str">
        <f ca="1">IFERROR(__xludf.DUMMYFUNCTION("""COMPUTED_VALUE"""),"KITCHEN PASTRY")</f>
        <v>KITCHEN PASTRY</v>
      </c>
      <c r="K1208" s="46" t="str">
        <f ca="1">IFERROR(__xludf.DUMMYFUNCTION("""COMPUTED_VALUE"""),"PASTRY")</f>
        <v>PASTRY</v>
      </c>
      <c r="L1208" s="46" t="str">
        <f ca="1">IFERROR(__xludf.DUMMYFUNCTION("""COMPUTED_VALUE"""),"SER")</f>
        <v>SER</v>
      </c>
      <c r="M1208" s="46" t="str">
        <f ca="1">IFERROR(__xludf.DUMMYFUNCTION("""COMPUTED_VALUE"""),"Leave")</f>
        <v>Leave</v>
      </c>
      <c r="N1208" s="46" t="str">
        <f ca="1">IFERROR(__xludf.DUMMYFUNCTION("""COMPUTED_VALUE"""),"Đủ")</f>
        <v>Đủ</v>
      </c>
    </row>
    <row r="1209" spans="1:14">
      <c r="A1209" s="45">
        <f ca="1">IFERROR(__xludf.DUMMYFUNCTION("""COMPUTED_VALUE"""),45931.5833333333)</f>
        <v>45931.583333333299</v>
      </c>
      <c r="B1209" s="45">
        <f ca="1">IFERROR(__xludf.DUMMYFUNCTION("""COMPUTED_VALUE"""),45958.5833333333)</f>
        <v>45958.583333333299</v>
      </c>
      <c r="C1209" s="46">
        <f ca="1">IFERROR(__xludf.DUMMYFUNCTION("""COMPUTED_VALUE"""),1210)</f>
        <v>1210</v>
      </c>
      <c r="D1209" s="47" t="str">
        <f ca="1">IFERROR(__xludf.DUMMYFUNCTION("""COMPUTED_VALUE"""),"C0173")</f>
        <v>C0173</v>
      </c>
      <c r="E1209" s="46" t="str">
        <f ca="1">IFERROR(__xludf.DUMMYFUNCTION("""COMPUTED_VALUE"""),"ĐÀO NGỌC HIỀN")</f>
        <v>ĐÀO NGỌC HIỀN</v>
      </c>
      <c r="F1209" s="46" t="str">
        <f ca="1">IFERROR(__xludf.DUMMYFUNCTION("""COMPUTED_VALUE"""),"DAO NGOC HIEN")</f>
        <v>DAO NGOC HIEN</v>
      </c>
      <c r="G1209" s="45">
        <f ca="1">IFERROR(__xludf.DUMMYFUNCTION("""COMPUTED_VALUE"""),37882.5833333333)</f>
        <v>37882.583333333299</v>
      </c>
      <c r="H1209" s="45" t="str">
        <f ca="1">IFERROR(__xludf.DUMMYFUNCTION("""COMPUTED_VALUE"""),"MOONCAKE")</f>
        <v>MOONCAKE</v>
      </c>
      <c r="I1209" s="46" t="str">
        <f ca="1">IFERROR(__xludf.DUMMYFUNCTION("""COMPUTED_VALUE"""),"KITCHEN PASTRY")</f>
        <v>KITCHEN PASTRY</v>
      </c>
      <c r="J1209" s="46" t="str">
        <f ca="1">IFERROR(__xludf.DUMMYFUNCTION("""COMPUTED_VALUE"""),"KITCHEN PASTRY")</f>
        <v>KITCHEN PASTRY</v>
      </c>
      <c r="K1209" s="46" t="str">
        <f ca="1">IFERROR(__xludf.DUMMYFUNCTION("""COMPUTED_VALUE"""),"PASTRY")</f>
        <v>PASTRY</v>
      </c>
      <c r="L1209" s="46" t="str">
        <f ca="1">IFERROR(__xludf.DUMMYFUNCTION("""COMPUTED_VALUE"""),"SER")</f>
        <v>SER</v>
      </c>
      <c r="M1209" s="46" t="str">
        <f ca="1">IFERROR(__xludf.DUMMYFUNCTION("""COMPUTED_VALUE"""),"Leave")</f>
        <v>Leave</v>
      </c>
      <c r="N1209" s="46" t="str">
        <f ca="1">IFERROR(__xludf.DUMMYFUNCTION("""COMPUTED_VALUE"""),"Đủ")</f>
        <v>Đủ</v>
      </c>
    </row>
    <row r="1210" spans="1:14">
      <c r="A1210" s="45">
        <f ca="1">IFERROR(__xludf.DUMMYFUNCTION("""COMPUTED_VALUE"""),45957.5833333333)</f>
        <v>45957.583333333299</v>
      </c>
      <c r="B1210" s="45">
        <f ca="1">IFERROR(__xludf.DUMMYFUNCTION("""COMPUTED_VALUE"""),45961.5833333333)</f>
        <v>45961.583333333299</v>
      </c>
      <c r="C1210" s="46">
        <f ca="1">IFERROR(__xludf.DUMMYFUNCTION("""COMPUTED_VALUE"""),1211)</f>
        <v>1211</v>
      </c>
      <c r="D1210" s="47" t="str">
        <f ca="1">IFERROR(__xludf.DUMMYFUNCTION("""COMPUTED_VALUE"""),"C1042")</f>
        <v>C1042</v>
      </c>
      <c r="E1210" s="46" t="str">
        <f ca="1">IFERROR(__xludf.DUMMYFUNCTION("""COMPUTED_VALUE"""),"BÙI MINH ĐÔNG ANH")</f>
        <v>BÙI MINH ĐÔNG ANH</v>
      </c>
      <c r="F1210" s="46" t="str">
        <f ca="1">IFERROR(__xludf.DUMMYFUNCTION("""COMPUTED_VALUE"""),"BUI MINH DONG ANH")</f>
        <v>BUI MINH DONG ANH</v>
      </c>
      <c r="G1210" s="45">
        <f ca="1">IFERROR(__xludf.DUMMYFUNCTION("""COMPUTED_VALUE"""),37266.625)</f>
        <v>37266.625</v>
      </c>
      <c r="H1210" s="45" t="str">
        <f ca="1">IFERROR(__xludf.DUMMYFUNCTION("""COMPUTED_VALUE"""),"BAKES")</f>
        <v>BAKES</v>
      </c>
      <c r="I1210" s="46" t="str">
        <f ca="1">IFERROR(__xludf.DUMMYFUNCTION("""COMPUTED_VALUE"""),"STORE")</f>
        <v>STORE</v>
      </c>
      <c r="J1210" s="46" t="str">
        <f ca="1">IFERROR(__xludf.DUMMYFUNCTION("""COMPUTED_VALUE"""),"BAKES HCR")</f>
        <v>BAKES HCR</v>
      </c>
      <c r="K1210" s="46" t="str">
        <f ca="1">IFERROR(__xludf.DUMMYFUNCTION("""COMPUTED_VALUE"""),"CASHIER")</f>
        <v>CASHIER</v>
      </c>
      <c r="L1210" s="46" t="str">
        <f ca="1">IFERROR(__xludf.DUMMYFUNCTION("""COMPUTED_VALUE"""),"PRO")</f>
        <v>PRO</v>
      </c>
      <c r="M1210" s="46" t="str">
        <f ca="1">IFERROR(__xludf.DUMMYFUNCTION("""COMPUTED_VALUE"""),"Leave")</f>
        <v>Leave</v>
      </c>
      <c r="N1210" s="46" t="str">
        <f ca="1">IFERROR(__xludf.DUMMYFUNCTION("""COMPUTED_VALUE"""),"Đủ")</f>
        <v>Đủ</v>
      </c>
    </row>
    <row r="1211" spans="1:14">
      <c r="A1211" s="45">
        <f ca="1">IFERROR(__xludf.DUMMYFUNCTION("""COMPUTED_VALUE"""),45959.5833333333)</f>
        <v>45959.583333333299</v>
      </c>
      <c r="B1211" s="45"/>
      <c r="C1211" s="46">
        <f ca="1">IFERROR(__xludf.DUMMYFUNCTION("""COMPUTED_VALUE"""),1212)</f>
        <v>1212</v>
      </c>
      <c r="D1211" s="47" t="str">
        <f ca="1">IFERROR(__xludf.DUMMYFUNCTION("""COMPUTED_VALUE"""),"C1044")</f>
        <v>C1044</v>
      </c>
      <c r="E1211" s="46" t="str">
        <f ca="1">IFERROR(__xludf.DUMMYFUNCTION("""COMPUTED_VALUE"""),"TRẦN HUỲNH THANH VÂN")</f>
        <v>TRẦN HUỲNH THANH VÂN</v>
      </c>
      <c r="F1211" s="46" t="str">
        <f ca="1">IFERROR(__xludf.DUMMYFUNCTION("""COMPUTED_VALUE"""),"TRAN HUYNH THANH VAN")</f>
        <v>TRAN HUYNH THANH VAN</v>
      </c>
      <c r="G1211" s="45">
        <f ca="1">IFERROR(__xludf.DUMMYFUNCTION("""COMPUTED_VALUE"""),38623.5833333333)</f>
        <v>38623.583333333299</v>
      </c>
      <c r="H1211" s="45" t="str">
        <f ca="1">IFERROR(__xludf.DUMMYFUNCTION("""COMPUTED_VALUE"""),"YESHI")</f>
        <v>YESHI</v>
      </c>
      <c r="I1211" s="46" t="str">
        <f ca="1">IFERROR(__xludf.DUMMYFUNCTION("""COMPUTED_VALUE"""),"STORE")</f>
        <v>STORE</v>
      </c>
      <c r="J1211" s="46" t="str">
        <f ca="1">IFERROR(__xludf.DUMMYFUNCTION("""COMPUTED_VALUE"""),"YESHI D2")</f>
        <v>YESHI D2</v>
      </c>
      <c r="K1211" s="46" t="str">
        <f ca="1">IFERROR(__xludf.DUMMYFUNCTION("""COMPUTED_VALUE"""),"WAITSTAFF")</f>
        <v>WAITSTAFF</v>
      </c>
      <c r="L1211" s="46" t="str">
        <f ca="1">IFERROR(__xludf.DUMMYFUNCTION("""COMPUTED_VALUE"""),"PTE")</f>
        <v>PTE</v>
      </c>
      <c r="M1211" s="46" t="str">
        <f ca="1">IFERROR(__xludf.DUMMYFUNCTION("""COMPUTED_VALUE"""),"On")</f>
        <v>On</v>
      </c>
      <c r="N1211" s="46" t="str">
        <f ca="1">IFERROR(__xludf.DUMMYFUNCTION("""COMPUTED_VALUE"""),"Đủ")</f>
        <v>Đủ</v>
      </c>
    </row>
    <row r="1212" spans="1:14">
      <c r="A1212" s="45">
        <f ca="1">IFERROR(__xludf.DUMMYFUNCTION("""COMPUTED_VALUE"""),45958.5833333333)</f>
        <v>45958.583333333299</v>
      </c>
      <c r="B1212" s="45"/>
      <c r="C1212" s="46">
        <f ca="1">IFERROR(__xludf.DUMMYFUNCTION("""COMPUTED_VALUE"""),1213)</f>
        <v>1213</v>
      </c>
      <c r="D1212" s="47" t="str">
        <f ca="1">IFERROR(__xludf.DUMMYFUNCTION("""COMPUTED_VALUE"""),"C1045")</f>
        <v>C1045</v>
      </c>
      <c r="E1212" s="46" t="str">
        <f ca="1">IFERROR(__xludf.DUMMYFUNCTION("""COMPUTED_VALUE"""),"TRƯƠNG THỊ MỸ ANH")</f>
        <v>TRƯƠNG THỊ MỸ ANH</v>
      </c>
      <c r="F1212" s="46" t="str">
        <f ca="1">IFERROR(__xludf.DUMMYFUNCTION("""COMPUTED_VALUE"""),"TRUONG THI MY ANH")</f>
        <v>TRUONG THI MY ANH</v>
      </c>
      <c r="G1212" s="45">
        <f ca="1">IFERROR(__xludf.DUMMYFUNCTION("""COMPUTED_VALUE"""),37415.5833333333)</f>
        <v>37415.583333333299</v>
      </c>
      <c r="H1212" s="45" t="str">
        <f ca="1">IFERROR(__xludf.DUMMYFUNCTION("""COMPUTED_VALUE"""),"YESHI")</f>
        <v>YESHI</v>
      </c>
      <c r="I1212" s="46" t="str">
        <f ca="1">IFERROR(__xludf.DUMMYFUNCTION("""COMPUTED_VALUE"""),"STORE")</f>
        <v>STORE</v>
      </c>
      <c r="J1212" s="46" t="str">
        <f ca="1">IFERROR(__xludf.DUMMYFUNCTION("""COMPUTED_VALUE"""),"YESHI D2")</f>
        <v>YESHI D2</v>
      </c>
      <c r="K1212" s="46" t="str">
        <f ca="1">IFERROR(__xludf.DUMMYFUNCTION("""COMPUTED_VALUE"""),"BAR")</f>
        <v>BAR</v>
      </c>
      <c r="L1212" s="46" t="str">
        <f ca="1">IFERROR(__xludf.DUMMYFUNCTION("""COMPUTED_VALUE"""),"FTE")</f>
        <v>FTE</v>
      </c>
      <c r="M1212" s="46" t="str">
        <f ca="1">IFERROR(__xludf.DUMMYFUNCTION("""COMPUTED_VALUE"""),"On")</f>
        <v>On</v>
      </c>
      <c r="N1212" s="46" t="str">
        <f ca="1">IFERROR(__xludf.DUMMYFUNCTION("""COMPUTED_VALUE"""),"Đủ")</f>
        <v>Đủ</v>
      </c>
    </row>
    <row r="1213" spans="1:14">
      <c r="A1213" s="45">
        <f ca="1">IFERROR(__xludf.DUMMYFUNCTION("""COMPUTED_VALUE"""),45959.5833333333)</f>
        <v>45959.583333333299</v>
      </c>
      <c r="B1213" s="45">
        <f ca="1">IFERROR(__xludf.DUMMYFUNCTION("""COMPUTED_VALUE"""),46153.5833333333)</f>
        <v>46153.583333333299</v>
      </c>
      <c r="C1213" s="46">
        <f ca="1">IFERROR(__xludf.DUMMYFUNCTION("""COMPUTED_VALUE"""),1214)</f>
        <v>1214</v>
      </c>
      <c r="D1213" s="47" t="str">
        <f ca="1">IFERROR(__xludf.DUMMYFUNCTION("""COMPUTED_VALUE"""),"C1046")</f>
        <v>C1046</v>
      </c>
      <c r="E1213" s="46" t="str">
        <f ca="1">IFERROR(__xludf.DUMMYFUNCTION("""COMPUTED_VALUE"""),"LÝ MỸ NHI")</f>
        <v>LÝ MỸ NHI</v>
      </c>
      <c r="F1213" s="46" t="str">
        <f ca="1">IFERROR(__xludf.DUMMYFUNCTION("""COMPUTED_VALUE"""),"LY MY NHI")</f>
        <v>LY MY NHI</v>
      </c>
      <c r="G1213" s="45">
        <f ca="1">IFERROR(__xludf.DUMMYFUNCTION("""COMPUTED_VALUE"""),37617.625)</f>
        <v>37617.625</v>
      </c>
      <c r="H1213" s="45" t="str">
        <f ca="1">IFERROR(__xludf.DUMMYFUNCTION("""COMPUTED_VALUE"""),"BAKES")</f>
        <v>BAKES</v>
      </c>
      <c r="I1213" s="46" t="str">
        <f ca="1">IFERROR(__xludf.DUMMYFUNCTION("""COMPUTED_VALUE"""),"STORE")</f>
        <v>STORE</v>
      </c>
      <c r="J1213" s="46" t="str">
        <f ca="1">IFERROR(__xludf.DUMMYFUNCTION("""COMPUTED_VALUE"""),"BAKES HCR")</f>
        <v>BAKES HCR</v>
      </c>
      <c r="K1213" s="46" t="str">
        <f ca="1">IFERROR(__xludf.DUMMYFUNCTION("""COMPUTED_VALUE"""),"BAR")</f>
        <v>BAR</v>
      </c>
      <c r="L1213" s="46" t="str">
        <f ca="1">IFERROR(__xludf.DUMMYFUNCTION("""COMPUTED_VALUE"""),"FTE")</f>
        <v>FTE</v>
      </c>
      <c r="M1213" s="46" t="str">
        <f ca="1">IFERROR(__xludf.DUMMYFUNCTION("""COMPUTED_VALUE"""),"Leave")</f>
        <v>Leave</v>
      </c>
      <c r="N1213" s="46" t="str">
        <f ca="1">IFERROR(__xludf.DUMMYFUNCTION("""COMPUTED_VALUE"""),"Đủ")</f>
        <v>Đủ</v>
      </c>
    </row>
    <row r="1214" spans="1:14">
      <c r="A1214" s="45">
        <f ca="1">IFERROR(__xludf.DUMMYFUNCTION("""COMPUTED_VALUE"""),45964.625)</f>
        <v>45964.625</v>
      </c>
      <c r="B1214" s="45">
        <f ca="1">IFERROR(__xludf.DUMMYFUNCTION("""COMPUTED_VALUE"""),46054.625)</f>
        <v>46054.625</v>
      </c>
      <c r="C1214" s="46">
        <f ca="1">IFERROR(__xludf.DUMMYFUNCTION("""COMPUTED_VALUE"""),1215)</f>
        <v>1215</v>
      </c>
      <c r="D1214" s="47" t="str">
        <f ca="1">IFERROR(__xludf.DUMMYFUNCTION("""COMPUTED_VALUE"""),"C1047")</f>
        <v>C1047</v>
      </c>
      <c r="E1214" s="46" t="str">
        <f ca="1">IFERROR(__xludf.DUMMYFUNCTION("""COMPUTED_VALUE"""),"VŨ HOÀNG YẾN NHI")</f>
        <v>VŨ HOÀNG YẾN NHI</v>
      </c>
      <c r="F1214" s="46" t="str">
        <f ca="1">IFERROR(__xludf.DUMMYFUNCTION("""COMPUTED_VALUE"""),"VU HOANG YEN NHI")</f>
        <v>VU HOANG YEN NHI</v>
      </c>
      <c r="G1214" s="45">
        <f ca="1">IFERROR(__xludf.DUMMYFUNCTION("""COMPUTED_VALUE"""),39381.5833333333)</f>
        <v>39381.583333333299</v>
      </c>
      <c r="H1214" s="45" t="str">
        <f ca="1">IFERROR(__xludf.DUMMYFUNCTION("""COMPUTED_VALUE"""),"BAKES")</f>
        <v>BAKES</v>
      </c>
      <c r="I1214" s="46" t="str">
        <f ca="1">IFERROR(__xludf.DUMMYFUNCTION("""COMPUTED_VALUE"""),"STORE")</f>
        <v>STORE</v>
      </c>
      <c r="J1214" s="46" t="str">
        <f ca="1">IFERROR(__xludf.DUMMYFUNCTION("""COMPUTED_VALUE"""),"BAKES HCR")</f>
        <v>BAKES HCR</v>
      </c>
      <c r="K1214" s="46" t="str">
        <f ca="1">IFERROR(__xludf.DUMMYFUNCTION("""COMPUTED_VALUE"""),"WAITSTAFF")</f>
        <v>WAITSTAFF</v>
      </c>
      <c r="L1214" s="46" t="str">
        <f ca="1">IFERROR(__xludf.DUMMYFUNCTION("""COMPUTED_VALUE"""),"PTE")</f>
        <v>PTE</v>
      </c>
      <c r="M1214" s="46" t="str">
        <f ca="1">IFERROR(__xludf.DUMMYFUNCTION("""COMPUTED_VALUE"""),"Leave")</f>
        <v>Leave</v>
      </c>
      <c r="N1214" s="46" t="str">
        <f ca="1">IFERROR(__xludf.DUMMYFUNCTION("""COMPUTED_VALUE"""),"Đủ")</f>
        <v>Đủ</v>
      </c>
    </row>
    <row r="1215" spans="1:14">
      <c r="A1215" s="45">
        <f ca="1">IFERROR(__xludf.DUMMYFUNCTION("""COMPUTED_VALUE"""),45950.5833333333)</f>
        <v>45950.583333333299</v>
      </c>
      <c r="B1215" s="45">
        <f ca="1">IFERROR(__xludf.DUMMYFUNCTION("""COMPUTED_VALUE"""),45989.625)</f>
        <v>45989.625</v>
      </c>
      <c r="C1215" s="46">
        <f ca="1">IFERROR(__xludf.DUMMYFUNCTION("""COMPUTED_VALUE"""),1216)</f>
        <v>1216</v>
      </c>
      <c r="D1215" s="47" t="str">
        <f ca="1">IFERROR(__xludf.DUMMYFUNCTION("""COMPUTED_VALUE"""),"C0788")</f>
        <v>C0788</v>
      </c>
      <c r="E1215" s="46" t="str">
        <f ca="1">IFERROR(__xludf.DUMMYFUNCTION("""COMPUTED_VALUE"""),"VÕ THẢO NHƯ")</f>
        <v>VÕ THẢO NHƯ</v>
      </c>
      <c r="F1215" s="46" t="str">
        <f ca="1">IFERROR(__xludf.DUMMYFUNCTION("""COMPUTED_VALUE"""),"VO THAO NHU")</f>
        <v>VO THAO NHU</v>
      </c>
      <c r="G1215" s="45">
        <f ca="1">IFERROR(__xludf.DUMMYFUNCTION("""COMPUTED_VALUE"""),36831.625)</f>
        <v>36831.625</v>
      </c>
      <c r="H1215" s="45" t="str">
        <f ca="1">IFERROR(__xludf.DUMMYFUNCTION("""COMPUTED_VALUE"""),"YESHI")</f>
        <v>YESHI</v>
      </c>
      <c r="I1215" s="46" t="str">
        <f ca="1">IFERROR(__xludf.DUMMYFUNCTION("""COMPUTED_VALUE"""),"STORE")</f>
        <v>STORE</v>
      </c>
      <c r="J1215" s="46" t="str">
        <f ca="1">IFERROR(__xludf.DUMMYFUNCTION("""COMPUTED_VALUE"""),"YESHI D3")</f>
        <v>YESHI D3</v>
      </c>
      <c r="K1215" s="46" t="str">
        <f ca="1">IFERROR(__xludf.DUMMYFUNCTION("""COMPUTED_VALUE"""),"WAITSTAFF")</f>
        <v>WAITSTAFF</v>
      </c>
      <c r="L1215" s="46" t="str">
        <f ca="1">IFERROR(__xludf.DUMMYFUNCTION("""COMPUTED_VALUE"""),"PTEP")</f>
        <v>PTEP</v>
      </c>
      <c r="M1215" s="46" t="str">
        <f ca="1">IFERROR(__xludf.DUMMYFUNCTION("""COMPUTED_VALUE"""),"Leave")</f>
        <v>Leave</v>
      </c>
      <c r="N1215" s="46" t="str">
        <f ca="1">IFERROR(__xludf.DUMMYFUNCTION("""COMPUTED_VALUE"""),"đủ")</f>
        <v>đủ</v>
      </c>
    </row>
    <row r="1216" spans="1:14">
      <c r="A1216" s="45">
        <f ca="1">IFERROR(__xludf.DUMMYFUNCTION("""COMPUTED_VALUE"""),45972.625)</f>
        <v>45972.625</v>
      </c>
      <c r="B1216" s="45"/>
      <c r="C1216" s="46">
        <f ca="1">IFERROR(__xludf.DUMMYFUNCTION("""COMPUTED_VALUE"""),1217)</f>
        <v>1217</v>
      </c>
      <c r="D1216" s="47" t="str">
        <f ca="1">IFERROR(__xludf.DUMMYFUNCTION("""COMPUTED_VALUE"""),"C1049")</f>
        <v>C1049</v>
      </c>
      <c r="E1216" s="46" t="str">
        <f ca="1">IFERROR(__xludf.DUMMYFUNCTION("""COMPUTED_VALUE"""),"MAI LAN NGỌC")</f>
        <v>MAI LAN NGỌC</v>
      </c>
      <c r="F1216" s="46" t="str">
        <f ca="1">IFERROR(__xludf.DUMMYFUNCTION("""COMPUTED_VALUE"""),"MAI LAN NGOC")</f>
        <v>MAI LAN NGOC</v>
      </c>
      <c r="G1216" s="45">
        <f ca="1">IFERROR(__xludf.DUMMYFUNCTION("""COMPUTED_VALUE"""),37122.5833333333)</f>
        <v>37122.583333333299</v>
      </c>
      <c r="H1216" s="45" t="str">
        <f ca="1">IFERROR(__xludf.DUMMYFUNCTION("""COMPUTED_VALUE"""),"CREATIVE")</f>
        <v>CREATIVE</v>
      </c>
      <c r="I1216" s="46" t="str">
        <f ca="1">IFERROR(__xludf.DUMMYFUNCTION("""COMPUTED_VALUE"""),"HO")</f>
        <v>HO</v>
      </c>
      <c r="J1216" s="46" t="str">
        <f ca="1">IFERROR(__xludf.DUMMYFUNCTION("""COMPUTED_VALUE"""),"BDT")</f>
        <v>BDT</v>
      </c>
      <c r="K1216" s="46" t="str">
        <f ca="1">IFERROR(__xludf.DUMMYFUNCTION("""COMPUTED_VALUE"""),"BDT")</f>
        <v>BDT</v>
      </c>
      <c r="L1216" s="46" t="str">
        <f ca="1">IFERROR(__xludf.DUMMYFUNCTION("""COMPUTED_VALUE"""),"FTE")</f>
        <v>FTE</v>
      </c>
      <c r="M1216" s="46" t="str">
        <f ca="1">IFERROR(__xludf.DUMMYFUNCTION("""COMPUTED_VALUE"""),"On")</f>
        <v>On</v>
      </c>
      <c r="N1216" s="46" t="str">
        <f ca="1">IFERROR(__xludf.DUMMYFUNCTION("""COMPUTED_VALUE"""),"Đủ")</f>
        <v>Đủ</v>
      </c>
    </row>
    <row r="1217" spans="1:14">
      <c r="A1217" s="45">
        <f ca="1">IFERROR(__xludf.DUMMYFUNCTION("""COMPUTED_VALUE"""),45860.5833333333)</f>
        <v>45860.583333333299</v>
      </c>
      <c r="B1217" s="45"/>
      <c r="C1217" s="46">
        <f ca="1">IFERROR(__xludf.DUMMYFUNCTION("""COMPUTED_VALUE"""),1218)</f>
        <v>1218</v>
      </c>
      <c r="D1217" s="47" t="str">
        <f ca="1">IFERROR(__xludf.DUMMYFUNCTION("""COMPUTED_VALUE"""),"C0852")</f>
        <v>C0852</v>
      </c>
      <c r="E1217" s="46" t="str">
        <f ca="1">IFERROR(__xludf.DUMMYFUNCTION("""COMPUTED_VALUE"""),"ĐỖ HUỲNH NHƯ")</f>
        <v>ĐỖ HUỲNH NHƯ</v>
      </c>
      <c r="F1217" s="46" t="str">
        <f ca="1">IFERROR(__xludf.DUMMYFUNCTION("""COMPUTED_VALUE"""),"DO HUYNH NHU")</f>
        <v>DO HUYNH NHU</v>
      </c>
      <c r="G1217" s="45">
        <f ca="1">IFERROR(__xludf.DUMMYFUNCTION("""COMPUTED_VALUE"""),36021.5833333333)</f>
        <v>36021.583333333299</v>
      </c>
      <c r="H1217" s="45" t="str">
        <f ca="1">IFERROR(__xludf.DUMMYFUNCTION("""COMPUTED_VALUE"""),"KITCHEN PASTRY")</f>
        <v>KITCHEN PASTRY</v>
      </c>
      <c r="I1217" s="46" t="str">
        <f ca="1">IFERROR(__xludf.DUMMYFUNCTION("""COMPUTED_VALUE"""),"KITCHEN PASTRY")</f>
        <v>KITCHEN PASTRY</v>
      </c>
      <c r="J1217" s="46" t="str">
        <f ca="1">IFERROR(__xludf.DUMMYFUNCTION("""COMPUTED_VALUE"""),"KITCHEN PASTRY")</f>
        <v>KITCHEN PASTRY</v>
      </c>
      <c r="K1217" s="46" t="str">
        <f ca="1">IFERROR(__xludf.DUMMYFUNCTION("""COMPUTED_VALUE"""),"PASTRY")</f>
        <v>PASTRY</v>
      </c>
      <c r="L1217" s="46" t="str">
        <f ca="1">IFERROR(__xludf.DUMMYFUNCTION("""COMPUTED_VALUE"""),"FTE")</f>
        <v>FTE</v>
      </c>
      <c r="M1217" s="46" t="str">
        <f ca="1">IFERROR(__xludf.DUMMYFUNCTION("""COMPUTED_VALUE"""),"On")</f>
        <v>On</v>
      </c>
      <c r="N1217" s="46" t="str">
        <f ca="1">IFERROR(__xludf.DUMMYFUNCTION("""COMPUTED_VALUE"""),"Đủ")</f>
        <v>Đủ</v>
      </c>
    </row>
    <row r="1218" spans="1:14">
      <c r="A1218" s="45">
        <f ca="1">IFERROR(__xludf.DUMMYFUNCTION("""COMPUTED_VALUE"""),45971.625)</f>
        <v>45971.625</v>
      </c>
      <c r="B1218" s="45">
        <f ca="1">IFERROR(__xludf.DUMMYFUNCTION("""COMPUTED_VALUE"""),46018.625)</f>
        <v>46018.625</v>
      </c>
      <c r="C1218" s="46">
        <f ca="1">IFERROR(__xludf.DUMMYFUNCTION("""COMPUTED_VALUE"""),1219)</f>
        <v>1219</v>
      </c>
      <c r="D1218" s="47" t="str">
        <f ca="1">IFERROR(__xludf.DUMMYFUNCTION("""COMPUTED_VALUE"""),"C1053")</f>
        <v>C1053</v>
      </c>
      <c r="E1218" s="46" t="str">
        <f ca="1">IFERROR(__xludf.DUMMYFUNCTION("""COMPUTED_VALUE"""),"VÕ HOÀNG ANH THƯ")</f>
        <v>VÕ HOÀNG ANH THƯ</v>
      </c>
      <c r="F1218" s="46" t="str">
        <f ca="1">IFERROR(__xludf.DUMMYFUNCTION("""COMPUTED_VALUE"""),"VO HOANG ANH THU")</f>
        <v>VO HOANG ANH THU</v>
      </c>
      <c r="G1218" s="45">
        <f ca="1">IFERROR(__xludf.DUMMYFUNCTION("""COMPUTED_VALUE"""),38106.5833333333)</f>
        <v>38106.583333333299</v>
      </c>
      <c r="H1218" s="45" t="str">
        <f ca="1">IFERROR(__xludf.DUMMYFUNCTION("""COMPUTED_VALUE"""),"MATTE")</f>
        <v>MATTE</v>
      </c>
      <c r="I1218" s="46" t="str">
        <f ca="1">IFERROR(__xludf.DUMMYFUNCTION("""COMPUTED_VALUE"""),"STORE")</f>
        <v>STORE</v>
      </c>
      <c r="J1218" s="46" t="str">
        <f ca="1">IFERROR(__xludf.DUMMYFUNCTION("""COMPUTED_VALUE"""),"MATTE D1")</f>
        <v>MATTE D1</v>
      </c>
      <c r="K1218" s="46" t="str">
        <f ca="1">IFERROR(__xludf.DUMMYFUNCTION("""COMPUTED_VALUE"""),"BAR")</f>
        <v>BAR</v>
      </c>
      <c r="L1218" s="46" t="str">
        <f ca="1">IFERROR(__xludf.DUMMYFUNCTION("""COMPUTED_VALUE"""),"PTEP")</f>
        <v>PTEP</v>
      </c>
      <c r="M1218" s="46" t="str">
        <f ca="1">IFERROR(__xludf.DUMMYFUNCTION("""COMPUTED_VALUE"""),"Leave")</f>
        <v>Leave</v>
      </c>
      <c r="N1218" s="46" t="str">
        <f ca="1">IFERROR(__xludf.DUMMYFUNCTION("""COMPUTED_VALUE"""),"chua nop")</f>
        <v>chua nop</v>
      </c>
    </row>
    <row r="1219" spans="1:14">
      <c r="A1219" s="45">
        <f ca="1">IFERROR(__xludf.DUMMYFUNCTION("""COMPUTED_VALUE"""),45965.625)</f>
        <v>45965.625</v>
      </c>
      <c r="B1219" s="45"/>
      <c r="C1219" s="46">
        <f ca="1">IFERROR(__xludf.DUMMYFUNCTION("""COMPUTED_VALUE"""),1220)</f>
        <v>1220</v>
      </c>
      <c r="D1219" s="47" t="str">
        <f ca="1">IFERROR(__xludf.DUMMYFUNCTION("""COMPUTED_VALUE"""),"C1054")</f>
        <v>C1054</v>
      </c>
      <c r="E1219" s="46" t="str">
        <f ca="1">IFERROR(__xludf.DUMMYFUNCTION("""COMPUTED_VALUE"""),"NGUYỄN NHẬT HOÀNG KIM")</f>
        <v>NGUYỄN NHẬT HOÀNG KIM</v>
      </c>
      <c r="F1219" s="46" t="str">
        <f ca="1">IFERROR(__xludf.DUMMYFUNCTION("""COMPUTED_VALUE"""),"NGUYEN NHAT HOANG KIM")</f>
        <v>NGUYEN NHAT HOANG KIM</v>
      </c>
      <c r="G1219" s="45">
        <f ca="1">IFERROR(__xludf.DUMMYFUNCTION("""COMPUTED_VALUE"""),37851.5833333333)</f>
        <v>37851.583333333299</v>
      </c>
      <c r="H1219" s="45" t="str">
        <f ca="1">IFERROR(__xludf.DUMMYFUNCTION("""COMPUTED_VALUE"""),"YESHI")</f>
        <v>YESHI</v>
      </c>
      <c r="I1219" s="46" t="str">
        <f ca="1">IFERROR(__xludf.DUMMYFUNCTION("""COMPUTED_VALUE"""),"STORE")</f>
        <v>STORE</v>
      </c>
      <c r="J1219" s="46" t="str">
        <f ca="1">IFERROR(__xludf.DUMMYFUNCTION("""COMPUTED_VALUE"""),"YESHI D2")</f>
        <v>YESHI D2</v>
      </c>
      <c r="K1219" s="46" t="str">
        <f ca="1">IFERROR(__xludf.DUMMYFUNCTION("""COMPUTED_VALUE"""),"WAITSTAFF")</f>
        <v>WAITSTAFF</v>
      </c>
      <c r="L1219" s="46" t="str">
        <f ca="1">IFERROR(__xludf.DUMMYFUNCTION("""COMPUTED_VALUE"""),"FTE")</f>
        <v>FTE</v>
      </c>
      <c r="M1219" s="46" t="str">
        <f ca="1">IFERROR(__xludf.DUMMYFUNCTION("""COMPUTED_VALUE"""),"On")</f>
        <v>On</v>
      </c>
      <c r="N1219" s="46" t="str">
        <f ca="1">IFERROR(__xludf.DUMMYFUNCTION("""COMPUTED_VALUE"""),"Đủ")</f>
        <v>Đủ</v>
      </c>
    </row>
    <row r="1220" spans="1:14">
      <c r="A1220" s="45">
        <f ca="1">IFERROR(__xludf.DUMMYFUNCTION("""COMPUTED_VALUE"""),45965.625)</f>
        <v>45965.625</v>
      </c>
      <c r="B1220" s="45">
        <f ca="1">IFERROR(__xludf.DUMMYFUNCTION("""COMPUTED_VALUE"""),46160.5833333333)</f>
        <v>46160.583333333299</v>
      </c>
      <c r="C1220" s="46">
        <f ca="1">IFERROR(__xludf.DUMMYFUNCTION("""COMPUTED_VALUE"""),1221)</f>
        <v>1221</v>
      </c>
      <c r="D1220" s="47" t="str">
        <f ca="1">IFERROR(__xludf.DUMMYFUNCTION("""COMPUTED_VALUE"""),"C1055")</f>
        <v>C1055</v>
      </c>
      <c r="E1220" s="46" t="str">
        <f ca="1">IFERROR(__xludf.DUMMYFUNCTION("""COMPUTED_VALUE"""),"NGUYỄN NGUYÊN LINH MỸ")</f>
        <v>NGUYỄN NGUYÊN LINH MỸ</v>
      </c>
      <c r="F1220" s="46" t="str">
        <f ca="1">IFERROR(__xludf.DUMMYFUNCTION("""COMPUTED_VALUE"""),"NGUYEN NGUYEN LINH MY")</f>
        <v>NGUYEN NGUYEN LINH MY</v>
      </c>
      <c r="G1220" s="45">
        <f ca="1">IFERROR(__xludf.DUMMYFUNCTION("""COMPUTED_VALUE"""),34133.5833333333)</f>
        <v>34133.583333333299</v>
      </c>
      <c r="H1220" s="45" t="str">
        <f ca="1">IFERROR(__xludf.DUMMYFUNCTION("""COMPUTED_VALUE"""),"MATTE")</f>
        <v>MATTE</v>
      </c>
      <c r="I1220" s="46" t="str">
        <f ca="1">IFERROR(__xludf.DUMMYFUNCTION("""COMPUTED_VALUE"""),"STORE")</f>
        <v>STORE</v>
      </c>
      <c r="J1220" s="46" t="str">
        <f ca="1">IFERROR(__xludf.DUMMYFUNCTION("""COMPUTED_VALUE"""),"MATTE D1")</f>
        <v>MATTE D1</v>
      </c>
      <c r="K1220" s="46" t="str">
        <f ca="1">IFERROR(__xludf.DUMMYFUNCTION("""COMPUTED_VALUE"""),"BAR")</f>
        <v>BAR</v>
      </c>
      <c r="L1220" s="46" t="str">
        <f ca="1">IFERROR(__xludf.DUMMYFUNCTION("""COMPUTED_VALUE"""),"PTE")</f>
        <v>PTE</v>
      </c>
      <c r="M1220" s="46" t="str">
        <f ca="1">IFERROR(__xludf.DUMMYFUNCTION("""COMPUTED_VALUE"""),"Leave")</f>
        <v>Leave</v>
      </c>
      <c r="N1220" s="46" t="str">
        <f ca="1">IFERROR(__xludf.DUMMYFUNCTION("""COMPUTED_VALUE"""),"Đủ")</f>
        <v>Đủ</v>
      </c>
    </row>
    <row r="1221" spans="1:14">
      <c r="A1221" s="45">
        <f ca="1">IFERROR(__xludf.DUMMYFUNCTION("""COMPUTED_VALUE"""),45965.625)</f>
        <v>45965.625</v>
      </c>
      <c r="B1221" s="45">
        <f ca="1">IFERROR(__xludf.DUMMYFUNCTION("""COMPUTED_VALUE"""),46065.625)</f>
        <v>46065.625</v>
      </c>
      <c r="C1221" s="46">
        <f ca="1">IFERROR(__xludf.DUMMYFUNCTION("""COMPUTED_VALUE"""),1222)</f>
        <v>1222</v>
      </c>
      <c r="D1221" s="47" t="str">
        <f ca="1">IFERROR(__xludf.DUMMYFUNCTION("""COMPUTED_VALUE"""),"C1048")</f>
        <v>C1048</v>
      </c>
      <c r="E1221" s="46" t="str">
        <f ca="1">IFERROR(__xludf.DUMMYFUNCTION("""COMPUTED_VALUE"""),"ĐẶNG TRẦN ÁNH THƯ")</f>
        <v>ĐẶNG TRẦN ÁNH THƯ</v>
      </c>
      <c r="F1221" s="46" t="str">
        <f ca="1">IFERROR(__xludf.DUMMYFUNCTION("""COMPUTED_VALUE"""),"DANG TRAN ANH THU")</f>
        <v>DANG TRAN ANH THU</v>
      </c>
      <c r="G1221" s="45">
        <f ca="1">IFERROR(__xludf.DUMMYFUNCTION("""COMPUTED_VALUE"""),36227.625)</f>
        <v>36227.625</v>
      </c>
      <c r="H1221" s="45" t="str">
        <f ca="1">IFERROR(__xludf.DUMMYFUNCTION("""COMPUTED_VALUE"""),"BAKES")</f>
        <v>BAKES</v>
      </c>
      <c r="I1221" s="46" t="str">
        <f ca="1">IFERROR(__xludf.DUMMYFUNCTION("""COMPUTED_VALUE"""),"HO")</f>
        <v>HO</v>
      </c>
      <c r="J1221" s="46" t="str">
        <f ca="1">IFERROR(__xludf.DUMMYFUNCTION("""COMPUTED_VALUE"""),"SAL")</f>
        <v>SAL</v>
      </c>
      <c r="K1221" s="46" t="str">
        <f ca="1">IFERROR(__xludf.DUMMYFUNCTION("""COMPUTED_VALUE"""),"SAL")</f>
        <v>SAL</v>
      </c>
      <c r="L1221" s="46" t="str">
        <f ca="1">IFERROR(__xludf.DUMMYFUNCTION("""COMPUTED_VALUE"""),"PRO")</f>
        <v>PRO</v>
      </c>
      <c r="M1221" s="46" t="str">
        <f ca="1">IFERROR(__xludf.DUMMYFUNCTION("""COMPUTED_VALUE"""),"Leave")</f>
        <v>Leave</v>
      </c>
      <c r="N1221" s="46" t="str">
        <f ca="1">IFERROR(__xludf.DUMMYFUNCTION("""COMPUTED_VALUE"""),"Đủ")</f>
        <v>Đủ</v>
      </c>
    </row>
    <row r="1222" spans="1:14">
      <c r="A1222" s="45">
        <f ca="1">IFERROR(__xludf.DUMMYFUNCTION("""COMPUTED_VALUE"""),45965.625)</f>
        <v>45965.625</v>
      </c>
      <c r="B1222" s="45">
        <f ca="1">IFERROR(__xludf.DUMMYFUNCTION("""COMPUTED_VALUE"""),46004.625)</f>
        <v>46004.625</v>
      </c>
      <c r="C1222" s="46">
        <f ca="1">IFERROR(__xludf.DUMMYFUNCTION("""COMPUTED_VALUE"""),1223)</f>
        <v>1223</v>
      </c>
      <c r="D1222" s="47" t="str">
        <f ca="1">IFERROR(__xludf.DUMMYFUNCTION("""COMPUTED_VALUE"""),"C1058")</f>
        <v>C1058</v>
      </c>
      <c r="E1222" s="46" t="str">
        <f ca="1">IFERROR(__xludf.DUMMYFUNCTION("""COMPUTED_VALUE"""),"NGÔ HOÀNG GIA")</f>
        <v>NGÔ HOÀNG GIA</v>
      </c>
      <c r="F1222" s="46" t="str">
        <f ca="1">IFERROR(__xludf.DUMMYFUNCTION("""COMPUTED_VALUE"""),"NGO HOANG GIA")</f>
        <v>NGO HOANG GIA</v>
      </c>
      <c r="G1222" s="45">
        <f ca="1">IFERROR(__xludf.DUMMYFUNCTION("""COMPUTED_VALUE"""),34318.625)</f>
        <v>34318.625</v>
      </c>
      <c r="H1222" s="45" t="str">
        <f ca="1">IFERROR(__xludf.DUMMYFUNCTION("""COMPUTED_VALUE"""),"KITCHEN PASTRY")</f>
        <v>KITCHEN PASTRY</v>
      </c>
      <c r="I1222" s="46" t="str">
        <f ca="1">IFERROR(__xludf.DUMMYFUNCTION("""COMPUTED_VALUE"""),"KITCHEN PASTRY")</f>
        <v>KITCHEN PASTRY</v>
      </c>
      <c r="J1222" s="46" t="str">
        <f ca="1">IFERROR(__xludf.DUMMYFUNCTION("""COMPUTED_VALUE"""),"KITCHEN PASTRY")</f>
        <v>KITCHEN PASTRY</v>
      </c>
      <c r="K1222" s="46" t="str">
        <f ca="1">IFERROR(__xludf.DUMMYFUNCTION("""COMPUTED_VALUE"""),"Management team")</f>
        <v>Management team</v>
      </c>
      <c r="L1222" s="46" t="str">
        <f ca="1">IFERROR(__xludf.DUMMYFUNCTION("""COMPUTED_VALUE"""),"PRO")</f>
        <v>PRO</v>
      </c>
      <c r="M1222" s="46" t="str">
        <f ca="1">IFERROR(__xludf.DUMMYFUNCTION("""COMPUTED_VALUE"""),"Leave")</f>
        <v>Leave</v>
      </c>
      <c r="N1222" s="46" t="str">
        <f ca="1">IFERROR(__xludf.DUMMYFUNCTION("""COMPUTED_VALUE"""),"Đủ")</f>
        <v>Đủ</v>
      </c>
    </row>
    <row r="1223" spans="1:14">
      <c r="A1223" s="45">
        <f ca="1">IFERROR(__xludf.DUMMYFUNCTION("""COMPUTED_VALUE"""),45971.625)</f>
        <v>45971.625</v>
      </c>
      <c r="B1223" s="45">
        <f ca="1">IFERROR(__xludf.DUMMYFUNCTION("""COMPUTED_VALUE"""),46174.5833333333)</f>
        <v>46174.583333333299</v>
      </c>
      <c r="C1223" s="46">
        <f ca="1">IFERROR(__xludf.DUMMYFUNCTION("""COMPUTED_VALUE"""),1224)</f>
        <v>1224</v>
      </c>
      <c r="D1223" s="47" t="str">
        <f ca="1">IFERROR(__xludf.DUMMYFUNCTION("""COMPUTED_VALUE"""),"C0855")</f>
        <v>C0855</v>
      </c>
      <c r="E1223" s="46" t="str">
        <f ca="1">IFERROR(__xludf.DUMMYFUNCTION("""COMPUTED_VALUE"""),"NGUYỄN HOÀNG QUỲNH NHƯ")</f>
        <v>NGUYỄN HOÀNG QUỲNH NHƯ</v>
      </c>
      <c r="F1223" s="46" t="str">
        <f ca="1">IFERROR(__xludf.DUMMYFUNCTION("""COMPUTED_VALUE"""),"NGUYEN HOANG QUYNH NHU")</f>
        <v>NGUYEN HOANG QUYNH NHU</v>
      </c>
      <c r="G1223" s="45">
        <f ca="1">IFERROR(__xludf.DUMMYFUNCTION("""COMPUTED_VALUE"""),38246.5833333333)</f>
        <v>38246.583333333299</v>
      </c>
      <c r="H1223" s="45" t="str">
        <f ca="1">IFERROR(__xludf.DUMMYFUNCTION("""COMPUTED_VALUE"""),"KITCHEN PASTRY")</f>
        <v>KITCHEN PASTRY</v>
      </c>
      <c r="I1223" s="46" t="str">
        <f ca="1">IFERROR(__xludf.DUMMYFUNCTION("""COMPUTED_VALUE"""),"KITCHEN PASTRY")</f>
        <v>KITCHEN PASTRY</v>
      </c>
      <c r="J1223" s="46" t="str">
        <f ca="1">IFERROR(__xludf.DUMMYFUNCTION("""COMPUTED_VALUE"""),"KITCHEN PASTRY")</f>
        <v>KITCHEN PASTRY</v>
      </c>
      <c r="K1223" s="46" t="str">
        <f ca="1">IFERROR(__xludf.DUMMYFUNCTION("""COMPUTED_VALUE"""),"PASTRY")</f>
        <v>PASTRY</v>
      </c>
      <c r="L1223" s="46" t="str">
        <f ca="1">IFERROR(__xludf.DUMMYFUNCTION("""COMPUTED_VALUE"""),"FTE")</f>
        <v>FTE</v>
      </c>
      <c r="M1223" s="46" t="str">
        <f ca="1">IFERROR(__xludf.DUMMYFUNCTION("""COMPUTED_VALUE"""),"Leave")</f>
        <v>Leave</v>
      </c>
      <c r="N1223" s="46" t="str">
        <f ca="1">IFERROR(__xludf.DUMMYFUNCTION("""COMPUTED_VALUE"""),"Đủ")</f>
        <v>Đủ</v>
      </c>
    </row>
    <row r="1224" spans="1:14">
      <c r="A1224" s="45">
        <f ca="1">IFERROR(__xludf.DUMMYFUNCTION("""COMPUTED_VALUE"""),45972.625)</f>
        <v>45972.625</v>
      </c>
      <c r="B1224" s="45">
        <f ca="1">IFERROR(__xludf.DUMMYFUNCTION("""COMPUTED_VALUE"""),46182.5833333333)</f>
        <v>46182.583333333299</v>
      </c>
      <c r="C1224" s="46">
        <f ca="1">IFERROR(__xludf.DUMMYFUNCTION("""COMPUTED_VALUE"""),1225)</f>
        <v>1225</v>
      </c>
      <c r="D1224" s="47" t="str">
        <f ca="1">IFERROR(__xludf.DUMMYFUNCTION("""COMPUTED_VALUE"""),"C0904")</f>
        <v>C0904</v>
      </c>
      <c r="E1224" s="46" t="str">
        <f ca="1">IFERROR(__xludf.DUMMYFUNCTION("""COMPUTED_VALUE"""),"NGUYỄN THỊ MỸ HUYỀN")</f>
        <v>NGUYỄN THỊ MỸ HUYỀN</v>
      </c>
      <c r="F1224" s="46" t="str">
        <f ca="1">IFERROR(__xludf.DUMMYFUNCTION("""COMPUTED_VALUE"""),"NGUYEN THI MY HUYEN")</f>
        <v>NGUYEN THI MY HUYEN</v>
      </c>
      <c r="G1224" s="45">
        <f ca="1">IFERROR(__xludf.DUMMYFUNCTION("""COMPUTED_VALUE"""),39389.5833333333)</f>
        <v>39389.583333333299</v>
      </c>
      <c r="H1224" s="45" t="str">
        <f ca="1">IFERROR(__xludf.DUMMYFUNCTION("""COMPUTED_VALUE"""),"KITCHEN PASTRY")</f>
        <v>KITCHEN PASTRY</v>
      </c>
      <c r="I1224" s="46" t="str">
        <f ca="1">IFERROR(__xludf.DUMMYFUNCTION("""COMPUTED_VALUE"""),"KITCHEN PASTRY")</f>
        <v>KITCHEN PASTRY</v>
      </c>
      <c r="J1224" s="46" t="str">
        <f ca="1">IFERROR(__xludf.DUMMYFUNCTION("""COMPUTED_VALUE"""),"KITCHEN PASTRY")</f>
        <v>KITCHEN PASTRY</v>
      </c>
      <c r="K1224" s="46" t="str">
        <f ca="1">IFERROR(__xludf.DUMMYFUNCTION("""COMPUTED_VALUE"""),"PASTRY")</f>
        <v>PASTRY</v>
      </c>
      <c r="L1224" s="46" t="str">
        <f ca="1">IFERROR(__xludf.DUMMYFUNCTION("""COMPUTED_VALUE"""),"FTE")</f>
        <v>FTE</v>
      </c>
      <c r="M1224" s="46" t="str">
        <f ca="1">IFERROR(__xludf.DUMMYFUNCTION("""COMPUTED_VALUE"""),"Leave")</f>
        <v>Leave</v>
      </c>
      <c r="N1224" s="46" t="str">
        <f ca="1">IFERROR(__xludf.DUMMYFUNCTION("""COMPUTED_VALUE"""),"Đủ")</f>
        <v>Đủ</v>
      </c>
    </row>
    <row r="1225" spans="1:14">
      <c r="A1225" s="45">
        <f ca="1">IFERROR(__xludf.DUMMYFUNCTION("""COMPUTED_VALUE"""),45964.625)</f>
        <v>45964.625</v>
      </c>
      <c r="B1225" s="45"/>
      <c r="C1225" s="46">
        <f ca="1">IFERROR(__xludf.DUMMYFUNCTION("""COMPUTED_VALUE"""),1226)</f>
        <v>1226</v>
      </c>
      <c r="D1225" s="47" t="str">
        <f ca="1">IFERROR(__xludf.DUMMYFUNCTION("""COMPUTED_VALUE"""),"C1065")</f>
        <v>C1065</v>
      </c>
      <c r="E1225" s="46" t="str">
        <f ca="1">IFERROR(__xludf.DUMMYFUNCTION("""COMPUTED_VALUE"""),"ĐÀO NGUYỄN THANH TRÚC")</f>
        <v>ĐÀO NGUYỄN THANH TRÚC</v>
      </c>
      <c r="F1225" s="46" t="str">
        <f ca="1">IFERROR(__xludf.DUMMYFUNCTION("""COMPUTED_VALUE"""),"DAO NGUYEN THANH TRUC")</f>
        <v>DAO NGUYEN THANH TRUC</v>
      </c>
      <c r="G1225" s="45">
        <f ca="1">IFERROR(__xludf.DUMMYFUNCTION("""COMPUTED_VALUE"""),38995.5833333333)</f>
        <v>38995.583333333299</v>
      </c>
      <c r="H1225" s="45" t="str">
        <f ca="1">IFERROR(__xludf.DUMMYFUNCTION("""COMPUTED_VALUE"""),"BAKES")</f>
        <v>BAKES</v>
      </c>
      <c r="I1225" s="46" t="str">
        <f ca="1">IFERROR(__xludf.DUMMYFUNCTION("""COMPUTED_VALUE"""),"STORE")</f>
        <v>STORE</v>
      </c>
      <c r="J1225" s="46" t="str">
        <f ca="1">IFERROR(__xludf.DUMMYFUNCTION("""COMPUTED_VALUE"""),"BAKES D7")</f>
        <v>BAKES D7</v>
      </c>
      <c r="K1225" s="46" t="str">
        <f ca="1">IFERROR(__xludf.DUMMYFUNCTION("""COMPUTED_VALUE"""),"CASHIER")</f>
        <v>CASHIER</v>
      </c>
      <c r="L1225" s="46" t="str">
        <f ca="1">IFERROR(__xludf.DUMMYFUNCTION("""COMPUTED_VALUE"""),"PTE")</f>
        <v>PTE</v>
      </c>
      <c r="M1225" s="46" t="str">
        <f ca="1">IFERROR(__xludf.DUMMYFUNCTION("""COMPUTED_VALUE"""),"On")</f>
        <v>On</v>
      </c>
      <c r="N1225" s="46" t="str">
        <f ca="1">IFERROR(__xludf.DUMMYFUNCTION("""COMPUTED_VALUE"""),"Đủ")</f>
        <v>Đủ</v>
      </c>
    </row>
    <row r="1226" spans="1:14">
      <c r="A1226" s="45">
        <f ca="1">IFERROR(__xludf.DUMMYFUNCTION("""COMPUTED_VALUE"""),45978.625)</f>
        <v>45978.625</v>
      </c>
      <c r="B1226" s="45"/>
      <c r="C1226" s="46">
        <f ca="1">IFERROR(__xludf.DUMMYFUNCTION("""COMPUTED_VALUE"""),1227)</f>
        <v>1227</v>
      </c>
      <c r="D1226" s="47" t="str">
        <f ca="1">IFERROR(__xludf.DUMMYFUNCTION("""COMPUTED_VALUE"""),"C1067")</f>
        <v>C1067</v>
      </c>
      <c r="E1226" s="46" t="str">
        <f ca="1">IFERROR(__xludf.DUMMYFUNCTION("""COMPUTED_VALUE"""),"PHAN VĂN KHẢI")</f>
        <v>PHAN VĂN KHẢI</v>
      </c>
      <c r="F1226" s="46" t="str">
        <f ca="1">IFERROR(__xludf.DUMMYFUNCTION("""COMPUTED_VALUE"""),"PHAN VAN KHAI")</f>
        <v>PHAN VAN KHAI</v>
      </c>
      <c r="G1226" s="45">
        <f ca="1">IFERROR(__xludf.DUMMYFUNCTION("""COMPUTED_VALUE"""),38475.5833333333)</f>
        <v>38475.583333333299</v>
      </c>
      <c r="H1226" s="45" t="str">
        <f ca="1">IFERROR(__xludf.DUMMYFUNCTION("""COMPUTED_VALUE"""),"TLC")</f>
        <v>TLC</v>
      </c>
      <c r="I1226" s="46" t="str">
        <f ca="1">IFERROR(__xludf.DUMMYFUNCTION("""COMPUTED_VALUE"""),"STORE")</f>
        <v>STORE</v>
      </c>
      <c r="J1226" s="46" t="str">
        <f ca="1">IFERROR(__xludf.DUMMYFUNCTION("""COMPUTED_VALUE"""),"BLANK LOUNGE")</f>
        <v>BLANK LOUNGE</v>
      </c>
      <c r="K1226" s="46" t="str">
        <f ca="1">IFERROR(__xludf.DUMMYFUNCTION("""COMPUTED_VALUE"""),"BAR")</f>
        <v>BAR</v>
      </c>
      <c r="L1226" s="46" t="str">
        <f ca="1">IFERROR(__xludf.DUMMYFUNCTION("""COMPUTED_VALUE"""),"PTE")</f>
        <v>PTE</v>
      </c>
      <c r="M1226" s="46" t="str">
        <f ca="1">IFERROR(__xludf.DUMMYFUNCTION("""COMPUTED_VALUE"""),"On")</f>
        <v>On</v>
      </c>
      <c r="N1226" s="46" t="str">
        <f ca="1">IFERROR(__xludf.DUMMYFUNCTION("""COMPUTED_VALUE"""),"Đủ")</f>
        <v>Đủ</v>
      </c>
    </row>
    <row r="1227" spans="1:14">
      <c r="A1227" s="45">
        <f ca="1">IFERROR(__xludf.DUMMYFUNCTION("""COMPUTED_VALUE"""),45972.625)</f>
        <v>45972.625</v>
      </c>
      <c r="B1227" s="45">
        <f ca="1">IFERROR(__xludf.DUMMYFUNCTION("""COMPUTED_VALUE"""),46148.5833333333)</f>
        <v>46148.583333333299</v>
      </c>
      <c r="C1227" s="46">
        <f ca="1">IFERROR(__xludf.DUMMYFUNCTION("""COMPUTED_VALUE"""),1228)</f>
        <v>1228</v>
      </c>
      <c r="D1227" s="47" t="str">
        <f ca="1">IFERROR(__xludf.DUMMYFUNCTION("""COMPUTED_VALUE"""),"C1060")</f>
        <v>C1060</v>
      </c>
      <c r="E1227" s="46" t="str">
        <f ca="1">IFERROR(__xludf.DUMMYFUNCTION("""COMPUTED_VALUE"""),"NGUYỄN ĐẶNG NHƯ Ý")</f>
        <v>NGUYỄN ĐẶNG NHƯ Ý</v>
      </c>
      <c r="F1227" s="46" t="str">
        <f ca="1">IFERROR(__xludf.DUMMYFUNCTION("""COMPUTED_VALUE"""),"NGUYEN DANG NHU Y")</f>
        <v>NGUYEN DANG NHU Y</v>
      </c>
      <c r="G1227" s="45">
        <f ca="1">IFERROR(__xludf.DUMMYFUNCTION("""COMPUTED_VALUE"""),37182.5833333333)</f>
        <v>37182.583333333299</v>
      </c>
      <c r="H1227" s="45" t="str">
        <f ca="1">IFERROR(__xludf.DUMMYFUNCTION("""COMPUTED_VALUE"""),"MATTE")</f>
        <v>MATTE</v>
      </c>
      <c r="I1227" s="46" t="str">
        <f ca="1">IFERROR(__xludf.DUMMYFUNCTION("""COMPUTED_VALUE"""),"HO")</f>
        <v>HO</v>
      </c>
      <c r="J1227" s="46" t="str">
        <f ca="1">IFERROR(__xludf.DUMMYFUNCTION("""COMPUTED_VALUE"""),"BE")</f>
        <v>BE</v>
      </c>
      <c r="K1227" s="46" t="str">
        <f ca="1">IFERROR(__xludf.DUMMYFUNCTION("""COMPUTED_VALUE"""),"BE")</f>
        <v>BE</v>
      </c>
      <c r="L1227" s="46" t="str">
        <f ca="1">IFERROR(__xludf.DUMMYFUNCTION("""COMPUTED_VALUE"""),"SER")</f>
        <v>SER</v>
      </c>
      <c r="M1227" s="46" t="str">
        <f ca="1">IFERROR(__xludf.DUMMYFUNCTION("""COMPUTED_VALUE"""),"Leave")</f>
        <v>Leave</v>
      </c>
      <c r="N1227" s="46" t="str">
        <f ca="1">IFERROR(__xludf.DUMMYFUNCTION("""COMPUTED_VALUE"""),"Đủ")</f>
        <v>Đủ</v>
      </c>
    </row>
    <row r="1228" spans="1:14">
      <c r="A1228" s="45">
        <f ca="1">IFERROR(__xludf.DUMMYFUNCTION("""COMPUTED_VALUE"""),45972.625)</f>
        <v>45972.625</v>
      </c>
      <c r="B1228" s="45"/>
      <c r="C1228" s="46">
        <f ca="1">IFERROR(__xludf.DUMMYFUNCTION("""COMPUTED_VALUE"""),1229)</f>
        <v>1229</v>
      </c>
      <c r="D1228" s="47" t="str">
        <f ca="1">IFERROR(__xludf.DUMMYFUNCTION("""COMPUTED_VALUE"""),"C1068")</f>
        <v>C1068</v>
      </c>
      <c r="E1228" s="46" t="str">
        <f ca="1">IFERROR(__xludf.DUMMYFUNCTION("""COMPUTED_VALUE"""),"ĐẶNG THỊ XUÂN MAI")</f>
        <v>ĐẶNG THỊ XUÂN MAI</v>
      </c>
      <c r="F1228" s="46" t="str">
        <f ca="1">IFERROR(__xludf.DUMMYFUNCTION("""COMPUTED_VALUE"""),"DANG THI XUAN MAI")</f>
        <v>DANG THI XUAN MAI</v>
      </c>
      <c r="G1228" s="45">
        <f ca="1">IFERROR(__xludf.DUMMYFUNCTION("""COMPUTED_VALUE"""),36844.625)</f>
        <v>36844.625</v>
      </c>
      <c r="H1228" s="45" t="str">
        <f ca="1">IFERROR(__xludf.DUMMYFUNCTION("""COMPUTED_VALUE"""),"YESHI")</f>
        <v>YESHI</v>
      </c>
      <c r="I1228" s="46" t="str">
        <f ca="1">IFERROR(__xludf.DUMMYFUNCTION("""COMPUTED_VALUE"""),"HO")</f>
        <v>HO</v>
      </c>
      <c r="J1228" s="46" t="str">
        <f ca="1">IFERROR(__xludf.DUMMYFUNCTION("""COMPUTED_VALUE"""),"CUS")</f>
        <v>CUS</v>
      </c>
      <c r="K1228" s="46" t="str">
        <f ca="1">IFERROR(__xludf.DUMMYFUNCTION("""COMPUTED_VALUE"""),"CUS")</f>
        <v>CUS</v>
      </c>
      <c r="L1228" s="46" t="str">
        <f ca="1">IFERROR(__xludf.DUMMYFUNCTION("""COMPUTED_VALUE"""),"FTE")</f>
        <v>FTE</v>
      </c>
      <c r="M1228" s="46" t="str">
        <f ca="1">IFERROR(__xludf.DUMMYFUNCTION("""COMPUTED_VALUE"""),"On")</f>
        <v>On</v>
      </c>
      <c r="N1228" s="46" t="str">
        <f ca="1">IFERROR(__xludf.DUMMYFUNCTION("""COMPUTED_VALUE"""),"Đủ")</f>
        <v>Đủ</v>
      </c>
    </row>
    <row r="1229" spans="1:14">
      <c r="A1229" s="45">
        <f ca="1">IFERROR(__xludf.DUMMYFUNCTION("""COMPUTED_VALUE"""),45978.625)</f>
        <v>45978.625</v>
      </c>
      <c r="B1229" s="45"/>
      <c r="C1229" s="46">
        <f ca="1">IFERROR(__xludf.DUMMYFUNCTION("""COMPUTED_VALUE"""),1230)</f>
        <v>1230</v>
      </c>
      <c r="D1229" s="47" t="str">
        <f ca="1">IFERROR(__xludf.DUMMYFUNCTION("""COMPUTED_VALUE"""),"C1081")</f>
        <v>C1081</v>
      </c>
      <c r="E1229" s="46" t="str">
        <f ca="1">IFERROR(__xludf.DUMMYFUNCTION("""COMPUTED_VALUE"""),"TRẦN NGUYỄN THẢO VY")</f>
        <v>TRẦN NGUYỄN THẢO VY</v>
      </c>
      <c r="F1229" s="46" t="str">
        <f ca="1">IFERROR(__xludf.DUMMYFUNCTION("""COMPUTED_VALUE"""),"TRAN NGUYEN THAO VY")</f>
        <v>TRAN NGUYEN THAO VY</v>
      </c>
      <c r="G1229" s="45">
        <f ca="1">IFERROR(__xludf.DUMMYFUNCTION("""COMPUTED_VALUE"""),37339.625)</f>
        <v>37339.625</v>
      </c>
      <c r="H1229" s="45" t="str">
        <f ca="1">IFERROR(__xludf.DUMMYFUNCTION("""COMPUTED_VALUE"""),"KITCHEN PASTRY")</f>
        <v>KITCHEN PASTRY</v>
      </c>
      <c r="I1229" s="46" t="str">
        <f ca="1">IFERROR(__xludf.DUMMYFUNCTION("""COMPUTED_VALUE"""),"KITCHEN PASTRY")</f>
        <v>KITCHEN PASTRY</v>
      </c>
      <c r="J1229" s="46" t="str">
        <f ca="1">IFERROR(__xludf.DUMMYFUNCTION("""COMPUTED_VALUE"""),"KITCHEN PASTRY")</f>
        <v>KITCHEN PASTRY</v>
      </c>
      <c r="K1229" s="46" t="str">
        <f ca="1">IFERROR(__xludf.DUMMYFUNCTION("""COMPUTED_VALUE"""),"PASTRY")</f>
        <v>PASTRY</v>
      </c>
      <c r="L1229" s="46" t="str">
        <f ca="1">IFERROR(__xludf.DUMMYFUNCTION("""COMPUTED_VALUE"""),"FTE")</f>
        <v>FTE</v>
      </c>
      <c r="M1229" s="46" t="str">
        <f ca="1">IFERROR(__xludf.DUMMYFUNCTION("""COMPUTED_VALUE"""),"On")</f>
        <v>On</v>
      </c>
      <c r="N1229" s="46" t="str">
        <f ca="1">IFERROR(__xludf.DUMMYFUNCTION("""COMPUTED_VALUE"""),"Đủ")</f>
        <v>Đủ</v>
      </c>
    </row>
    <row r="1230" spans="1:14">
      <c r="A1230" s="45">
        <f ca="1">IFERROR(__xludf.DUMMYFUNCTION("""COMPUTED_VALUE"""),45972.625)</f>
        <v>45972.625</v>
      </c>
      <c r="B1230" s="45">
        <f ca="1">IFERROR(__xludf.DUMMYFUNCTION("""COMPUTED_VALUE"""),46056.625)</f>
        <v>46056.625</v>
      </c>
      <c r="C1230" s="46">
        <f ca="1">IFERROR(__xludf.DUMMYFUNCTION("""COMPUTED_VALUE"""),1231)</f>
        <v>1231</v>
      </c>
      <c r="D1230" s="47" t="str">
        <f ca="1">IFERROR(__xludf.DUMMYFUNCTION("""COMPUTED_VALUE"""),"C0376")</f>
        <v>C0376</v>
      </c>
      <c r="E1230" s="46" t="str">
        <f ca="1">IFERROR(__xludf.DUMMYFUNCTION("""COMPUTED_VALUE"""),"LÊ HOÀNG GIA LINH")</f>
        <v>LÊ HOÀNG GIA LINH</v>
      </c>
      <c r="F1230" s="46" t="str">
        <f ca="1">IFERROR(__xludf.DUMMYFUNCTION("""COMPUTED_VALUE"""),"LE HOANG GIA LINH")</f>
        <v>LE HOANG GIA LINH</v>
      </c>
      <c r="G1230" s="45">
        <f ca="1">IFERROR(__xludf.DUMMYFUNCTION("""COMPUTED_VALUE"""),37949.625)</f>
        <v>37949.625</v>
      </c>
      <c r="H1230" s="45" t="str">
        <f ca="1">IFERROR(__xludf.DUMMYFUNCTION("""COMPUTED_VALUE"""),"TET")</f>
        <v>TET</v>
      </c>
      <c r="I1230" s="46" t="str">
        <f ca="1">IFERROR(__xludf.DUMMYFUNCTION("""COMPUTED_VALUE"""),"KITCHEN PASTRY")</f>
        <v>KITCHEN PASTRY</v>
      </c>
      <c r="J1230" s="46" t="str">
        <f ca="1">IFERROR(__xludf.DUMMYFUNCTION("""COMPUTED_VALUE"""),"KITCHEN PASTRY")</f>
        <v>KITCHEN PASTRY</v>
      </c>
      <c r="K1230" s="46" t="str">
        <f ca="1">IFERROR(__xludf.DUMMYFUNCTION("""COMPUTED_VALUE"""),"PASTRY")</f>
        <v>PASTRY</v>
      </c>
      <c r="L1230" s="46" t="str">
        <f ca="1">IFERROR(__xludf.DUMMYFUNCTION("""COMPUTED_VALUE"""),"PTE")</f>
        <v>PTE</v>
      </c>
      <c r="M1230" s="46" t="str">
        <f ca="1">IFERROR(__xludf.DUMMYFUNCTION("""COMPUTED_VALUE"""),"Leave")</f>
        <v>Leave</v>
      </c>
      <c r="N1230" s="46" t="str">
        <f ca="1">IFERROR(__xludf.DUMMYFUNCTION("""COMPUTED_VALUE"""),"Đủ")</f>
        <v>Đủ</v>
      </c>
    </row>
    <row r="1231" spans="1:14">
      <c r="A1231" s="45">
        <f ca="1">IFERROR(__xludf.DUMMYFUNCTION("""COMPUTED_VALUE"""),45971.625)</f>
        <v>45971.625</v>
      </c>
      <c r="B1231" s="45">
        <f ca="1">IFERROR(__xludf.DUMMYFUNCTION("""COMPUTED_VALUE"""),46056.625)</f>
        <v>46056.625</v>
      </c>
      <c r="C1231" s="46">
        <f ca="1">IFERROR(__xludf.DUMMYFUNCTION("""COMPUTED_VALUE"""),1232)</f>
        <v>1232</v>
      </c>
      <c r="D1231" s="47" t="str">
        <f ca="1">IFERROR(__xludf.DUMMYFUNCTION("""COMPUTED_VALUE"""),"C0778")</f>
        <v>C0778</v>
      </c>
      <c r="E1231" s="46" t="str">
        <f ca="1">IFERROR(__xludf.DUMMYFUNCTION("""COMPUTED_VALUE"""),"NGUYỄN VŨ YẾN PHƯƠNG")</f>
        <v>NGUYỄN VŨ YẾN PHƯƠNG</v>
      </c>
      <c r="F1231" s="46" t="str">
        <f ca="1">IFERROR(__xludf.DUMMYFUNCTION("""COMPUTED_VALUE"""),"NGUYEN VU YEN PHUONG")</f>
        <v>NGUYEN VU YEN PHUONG</v>
      </c>
      <c r="G1231" s="45">
        <f ca="1">IFERROR(__xludf.DUMMYFUNCTION("""COMPUTED_VALUE"""),34719.625)</f>
        <v>34719.625</v>
      </c>
      <c r="H1231" s="45" t="str">
        <f ca="1">IFERROR(__xludf.DUMMYFUNCTION("""COMPUTED_VALUE"""),"TET")</f>
        <v>TET</v>
      </c>
      <c r="I1231" s="46" t="str">
        <f ca="1">IFERROR(__xludf.DUMMYFUNCTION("""COMPUTED_VALUE"""),"KITCHEN PASTRY")</f>
        <v>KITCHEN PASTRY</v>
      </c>
      <c r="J1231" s="46" t="str">
        <f ca="1">IFERROR(__xludf.DUMMYFUNCTION("""COMPUTED_VALUE"""),"KITCHEN PASTRY")</f>
        <v>KITCHEN PASTRY</v>
      </c>
      <c r="K1231" s="46" t="str">
        <f ca="1">IFERROR(__xludf.DUMMYFUNCTION("""COMPUTED_VALUE"""),"PASTRY")</f>
        <v>PASTRY</v>
      </c>
      <c r="L1231" s="46" t="str">
        <f ca="1">IFERROR(__xludf.DUMMYFUNCTION("""COMPUTED_VALUE"""),"PTE")</f>
        <v>PTE</v>
      </c>
      <c r="M1231" s="46" t="str">
        <f ca="1">IFERROR(__xludf.DUMMYFUNCTION("""COMPUTED_VALUE"""),"Leave")</f>
        <v>Leave</v>
      </c>
      <c r="N1231" s="46" t="str">
        <f ca="1">IFERROR(__xludf.DUMMYFUNCTION("""COMPUTED_VALUE"""),"Đủ")</f>
        <v>Đủ</v>
      </c>
    </row>
    <row r="1232" spans="1:14">
      <c r="A1232" s="45">
        <f ca="1">IFERROR(__xludf.DUMMYFUNCTION("""COMPUTED_VALUE"""),45979.625)</f>
        <v>45979.625</v>
      </c>
      <c r="B1232" s="45">
        <f ca="1">IFERROR(__xludf.DUMMYFUNCTION("""COMPUTED_VALUE"""),46054.625)</f>
        <v>46054.625</v>
      </c>
      <c r="C1232" s="46">
        <f ca="1">IFERROR(__xludf.DUMMYFUNCTION("""COMPUTED_VALUE"""),1233)</f>
        <v>1233</v>
      </c>
      <c r="D1232" s="47" t="str">
        <f ca="1">IFERROR(__xludf.DUMMYFUNCTION("""COMPUTED_VALUE"""),"C1085")</f>
        <v>C1085</v>
      </c>
      <c r="E1232" s="46" t="str">
        <f ca="1">IFERROR(__xludf.DUMMYFUNCTION("""COMPUTED_VALUE"""),"PHẠM THỊ NGỌC MAI")</f>
        <v>PHẠM THỊ NGỌC MAI</v>
      </c>
      <c r="F1232" s="46" t="str">
        <f ca="1">IFERROR(__xludf.DUMMYFUNCTION("""COMPUTED_VALUE"""),"PHAM THI NGOC MAI")</f>
        <v>PHAM THI NGOC MAI</v>
      </c>
      <c r="G1232" s="45">
        <f ca="1">IFERROR(__xludf.DUMMYFUNCTION("""COMPUTED_VALUE"""),36719.5833333333)</f>
        <v>36719.583333333299</v>
      </c>
      <c r="H1232" s="45" t="str">
        <f ca="1">IFERROR(__xludf.DUMMYFUNCTION("""COMPUTED_VALUE"""),"MATTE")</f>
        <v>MATTE</v>
      </c>
      <c r="I1232" s="46" t="str">
        <f ca="1">IFERROR(__xludf.DUMMYFUNCTION("""COMPUTED_VALUE"""),"STORE")</f>
        <v>STORE</v>
      </c>
      <c r="J1232" s="46" t="str">
        <f ca="1">IFERROR(__xludf.DUMMYFUNCTION("""COMPUTED_VALUE"""),"MATTE D3")</f>
        <v>MATTE D3</v>
      </c>
      <c r="K1232" s="46" t="str">
        <f ca="1">IFERROR(__xludf.DUMMYFUNCTION("""COMPUTED_VALUE"""),"BAR")</f>
        <v>BAR</v>
      </c>
      <c r="L1232" s="46" t="str">
        <f ca="1">IFERROR(__xludf.DUMMYFUNCTION("""COMPUTED_VALUE"""),"PRO")</f>
        <v>PRO</v>
      </c>
      <c r="M1232" s="46" t="str">
        <f ca="1">IFERROR(__xludf.DUMMYFUNCTION("""COMPUTED_VALUE"""),"Leave")</f>
        <v>Leave</v>
      </c>
      <c r="N1232" s="46" t="str">
        <f ca="1">IFERROR(__xludf.DUMMYFUNCTION("""COMPUTED_VALUE"""),"Đủ")</f>
        <v>Đủ</v>
      </c>
    </row>
    <row r="1233" spans="1:14">
      <c r="A1233" s="45">
        <f ca="1">IFERROR(__xludf.DUMMYFUNCTION("""COMPUTED_VALUE"""),45975.625)</f>
        <v>45975.625</v>
      </c>
      <c r="B1233" s="45">
        <f ca="1">IFERROR(__xludf.DUMMYFUNCTION("""COMPUTED_VALUE"""),45992.625)</f>
        <v>45992.625</v>
      </c>
      <c r="C1233" s="46">
        <f ca="1">IFERROR(__xludf.DUMMYFUNCTION("""COMPUTED_VALUE"""),1234)</f>
        <v>1234</v>
      </c>
      <c r="D1233" s="47" t="str">
        <f ca="1">IFERROR(__xludf.DUMMYFUNCTION("""COMPUTED_VALUE"""),"C1084")</f>
        <v>C1084</v>
      </c>
      <c r="E1233" s="46" t="str">
        <f ca="1">IFERROR(__xludf.DUMMYFUNCTION("""COMPUTED_VALUE"""),"NGUYỄN VŨ LONG")</f>
        <v>NGUYỄN VŨ LONG</v>
      </c>
      <c r="F1233" s="46" t="str">
        <f ca="1">IFERROR(__xludf.DUMMYFUNCTION("""COMPUTED_VALUE"""),"NGUYEN VU LONG")</f>
        <v>NGUYEN VU LONG</v>
      </c>
      <c r="G1233" s="45">
        <f ca="1">IFERROR(__xludf.DUMMYFUNCTION("""COMPUTED_VALUE"""),37555.5833333333)</f>
        <v>37555.583333333299</v>
      </c>
      <c r="H1233" s="45" t="str">
        <f ca="1">IFERROR(__xludf.DUMMYFUNCTION("""COMPUTED_VALUE"""),"KITCHEN PASTRY")</f>
        <v>KITCHEN PASTRY</v>
      </c>
      <c r="I1233" s="46" t="str">
        <f ca="1">IFERROR(__xludf.DUMMYFUNCTION("""COMPUTED_VALUE"""),"KITCHEN PASTRY")</f>
        <v>KITCHEN PASTRY</v>
      </c>
      <c r="J1233" s="46" t="str">
        <f ca="1">IFERROR(__xludf.DUMMYFUNCTION("""COMPUTED_VALUE"""),"KITCHEN PASTRY")</f>
        <v>KITCHEN PASTRY</v>
      </c>
      <c r="K1233" s="46" t="str">
        <f ca="1">IFERROR(__xludf.DUMMYFUNCTION("""COMPUTED_VALUE"""),"BAKER")</f>
        <v>BAKER</v>
      </c>
      <c r="L1233" s="46" t="str">
        <f ca="1">IFERROR(__xludf.DUMMYFUNCTION("""COMPUTED_VALUE"""),"PRO")</f>
        <v>PRO</v>
      </c>
      <c r="M1233" s="46" t="str">
        <f ca="1">IFERROR(__xludf.DUMMYFUNCTION("""COMPUTED_VALUE"""),"Leave")</f>
        <v>Leave</v>
      </c>
      <c r="N1233" s="46" t="str">
        <f ca="1">IFERROR(__xludf.DUMMYFUNCTION("""COMPUTED_VALUE"""),"Đủ")</f>
        <v>Đủ</v>
      </c>
    </row>
    <row r="1234" spans="1:14">
      <c r="A1234" s="45">
        <f ca="1">IFERROR(__xludf.DUMMYFUNCTION("""COMPUTED_VALUE"""),45976.625)</f>
        <v>45976.625</v>
      </c>
      <c r="B1234" s="45">
        <f ca="1">IFERROR(__xludf.DUMMYFUNCTION("""COMPUTED_VALUE"""),46174.5833333333)</f>
        <v>46174.583333333299</v>
      </c>
      <c r="C1234" s="46">
        <f ca="1">IFERROR(__xludf.DUMMYFUNCTION("""COMPUTED_VALUE"""),1235)</f>
        <v>1235</v>
      </c>
      <c r="D1234" s="47" t="str">
        <f ca="1">IFERROR(__xludf.DUMMYFUNCTION("""COMPUTED_VALUE"""),"C1070")</f>
        <v>C1070</v>
      </c>
      <c r="E1234" s="46" t="str">
        <f ca="1">IFERROR(__xludf.DUMMYFUNCTION("""COMPUTED_VALUE"""),"LÊ BẢO NGỌC")</f>
        <v>LÊ BẢO NGỌC</v>
      </c>
      <c r="F1234" s="46" t="str">
        <f ca="1">IFERROR(__xludf.DUMMYFUNCTION("""COMPUTED_VALUE"""),"LE BAO NGOC")</f>
        <v>LE BAO NGOC</v>
      </c>
      <c r="G1234" s="45">
        <f ca="1">IFERROR(__xludf.DUMMYFUNCTION("""COMPUTED_VALUE"""),38662.625)</f>
        <v>38662.625</v>
      </c>
      <c r="H1234" s="45" t="str">
        <f ca="1">IFERROR(__xludf.DUMMYFUNCTION("""COMPUTED_VALUE"""),"YESHI")</f>
        <v>YESHI</v>
      </c>
      <c r="I1234" s="46" t="str">
        <f ca="1">IFERROR(__xludf.DUMMYFUNCTION("""COMPUTED_VALUE"""),"STORE")</f>
        <v>STORE</v>
      </c>
      <c r="J1234" s="46" t="str">
        <f ca="1">IFERROR(__xludf.DUMMYFUNCTION("""COMPUTED_VALUE"""),"YESHI D2")</f>
        <v>YESHI D2</v>
      </c>
      <c r="K1234" s="46" t="str">
        <f ca="1">IFERROR(__xludf.DUMMYFUNCTION("""COMPUTED_VALUE"""),"BAR")</f>
        <v>BAR</v>
      </c>
      <c r="L1234" s="46" t="str">
        <f ca="1">IFERROR(__xludf.DUMMYFUNCTION("""COMPUTED_VALUE"""),"PTE")</f>
        <v>PTE</v>
      </c>
      <c r="M1234" s="46" t="str">
        <f ca="1">IFERROR(__xludf.DUMMYFUNCTION("""COMPUTED_VALUE"""),"Leave")</f>
        <v>Leave</v>
      </c>
      <c r="N1234" s="46" t="str">
        <f ca="1">IFERROR(__xludf.DUMMYFUNCTION("""COMPUTED_VALUE"""),"Đủ")</f>
        <v>Đủ</v>
      </c>
    </row>
    <row r="1235" spans="1:14">
      <c r="A1235" s="45">
        <f ca="1">IFERROR(__xludf.DUMMYFUNCTION("""COMPUTED_VALUE"""),45981.625)</f>
        <v>45981.625</v>
      </c>
      <c r="B1235" s="45">
        <f ca="1">IFERROR(__xludf.DUMMYFUNCTION("""COMPUTED_VALUE"""),46056.625)</f>
        <v>46056.625</v>
      </c>
      <c r="C1235" s="46">
        <f ca="1">IFERROR(__xludf.DUMMYFUNCTION("""COMPUTED_VALUE"""),1236)</f>
        <v>1236</v>
      </c>
      <c r="D1235" s="47" t="str">
        <f ca="1">IFERROR(__xludf.DUMMYFUNCTION("""COMPUTED_VALUE"""),"C0824")</f>
        <v>C0824</v>
      </c>
      <c r="E1235" s="46" t="str">
        <f ca="1">IFERROR(__xludf.DUMMYFUNCTION("""COMPUTED_VALUE"""),"TRẦN MINH ĐỨC")</f>
        <v>TRẦN MINH ĐỨC</v>
      </c>
      <c r="F1235" s="46" t="str">
        <f ca="1">IFERROR(__xludf.DUMMYFUNCTION("""COMPUTED_VALUE"""),"TRAN MINH DUC")</f>
        <v>TRAN MINH DUC</v>
      </c>
      <c r="G1235" s="45">
        <f ca="1">IFERROR(__xludf.DUMMYFUNCTION("""COMPUTED_VALUE"""),38356.625)</f>
        <v>38356.625</v>
      </c>
      <c r="H1235" s="45" t="str">
        <f ca="1">IFERROR(__xludf.DUMMYFUNCTION("""COMPUTED_VALUE"""),"TET")</f>
        <v>TET</v>
      </c>
      <c r="I1235" s="46" t="str">
        <f ca="1">IFERROR(__xludf.DUMMYFUNCTION("""COMPUTED_VALUE"""),"KITCHEN PASTRY")</f>
        <v>KITCHEN PASTRY</v>
      </c>
      <c r="J1235" s="46" t="str">
        <f ca="1">IFERROR(__xludf.DUMMYFUNCTION("""COMPUTED_VALUE"""),"KITCHEN PASTRY")</f>
        <v>KITCHEN PASTRY</v>
      </c>
      <c r="K1235" s="46" t="str">
        <f ca="1">IFERROR(__xludf.DUMMYFUNCTION("""COMPUTED_VALUE"""),"PASTRY")</f>
        <v>PASTRY</v>
      </c>
      <c r="L1235" s="46" t="str">
        <f ca="1">IFERROR(__xludf.DUMMYFUNCTION("""COMPUTED_VALUE"""),"PTE")</f>
        <v>PTE</v>
      </c>
      <c r="M1235" s="46" t="str">
        <f ca="1">IFERROR(__xludf.DUMMYFUNCTION("""COMPUTED_VALUE"""),"Leave")</f>
        <v>Leave</v>
      </c>
      <c r="N1235" s="46" t="str">
        <f ca="1">IFERROR(__xludf.DUMMYFUNCTION("""COMPUTED_VALUE"""),"Đủ")</f>
        <v>Đủ</v>
      </c>
    </row>
    <row r="1236" spans="1:14">
      <c r="A1236" s="45">
        <f ca="1">IFERROR(__xludf.DUMMYFUNCTION("""COMPUTED_VALUE"""),45981.625)</f>
        <v>45981.625</v>
      </c>
      <c r="B1236" s="45">
        <f ca="1">IFERROR(__xludf.DUMMYFUNCTION("""COMPUTED_VALUE"""),46017.625)</f>
        <v>46017.625</v>
      </c>
      <c r="C1236" s="46">
        <f ca="1">IFERROR(__xludf.DUMMYFUNCTION("""COMPUTED_VALUE"""),1237)</f>
        <v>1237</v>
      </c>
      <c r="D1236" s="47" t="str">
        <f ca="1">IFERROR(__xludf.DUMMYFUNCTION("""COMPUTED_VALUE"""),"C0966")</f>
        <v>C0966</v>
      </c>
      <c r="E1236" s="46" t="str">
        <f ca="1">IFERROR(__xludf.DUMMYFUNCTION("""COMPUTED_VALUE"""),"ĐINH THỊ KHÁNH PHƯƠNG")</f>
        <v>ĐINH THỊ KHÁNH PHƯƠNG</v>
      </c>
      <c r="F1236" s="46" t="str">
        <f ca="1">IFERROR(__xludf.DUMMYFUNCTION("""COMPUTED_VALUE"""),"DINH THI KHANH PHUONG")</f>
        <v>DINH THI KHANH PHUONG</v>
      </c>
      <c r="G1236" s="45">
        <f ca="1">IFERROR(__xludf.DUMMYFUNCTION("""COMPUTED_VALUE"""),30229.5833333333)</f>
        <v>30229.583333333299</v>
      </c>
      <c r="H1236" s="45" t="str">
        <f ca="1">IFERROR(__xludf.DUMMYFUNCTION("""COMPUTED_VALUE"""),"XMAS")</f>
        <v>XMAS</v>
      </c>
      <c r="I1236" s="46" t="str">
        <f ca="1">IFERROR(__xludf.DUMMYFUNCTION("""COMPUTED_VALUE"""),"KITCHEN PASTRY")</f>
        <v>KITCHEN PASTRY</v>
      </c>
      <c r="J1236" s="46" t="str">
        <f ca="1">IFERROR(__xludf.DUMMYFUNCTION("""COMPUTED_VALUE"""),"KITCHEN PASTRY")</f>
        <v>KITCHEN PASTRY</v>
      </c>
      <c r="K1236" s="46" t="str">
        <f ca="1">IFERROR(__xludf.DUMMYFUNCTION("""COMPUTED_VALUE"""),"PASTRY")</f>
        <v>PASTRY</v>
      </c>
      <c r="L1236" s="46" t="str">
        <f ca="1">IFERROR(__xludf.DUMMYFUNCTION("""COMPUTED_VALUE"""),"PTEP")</f>
        <v>PTEP</v>
      </c>
      <c r="M1236" s="46" t="str">
        <f ca="1">IFERROR(__xludf.DUMMYFUNCTION("""COMPUTED_VALUE"""),"Leave")</f>
        <v>Leave</v>
      </c>
      <c r="N1236" s="46" t="str">
        <f ca="1">IFERROR(__xludf.DUMMYFUNCTION("""COMPUTED_VALUE"""),"Đủ")</f>
        <v>Đủ</v>
      </c>
    </row>
    <row r="1237" spans="1:14">
      <c r="A1237" s="45">
        <f ca="1">IFERROR(__xludf.DUMMYFUNCTION("""COMPUTED_VALUE"""),45975.625)</f>
        <v>45975.625</v>
      </c>
      <c r="B1237" s="45">
        <f ca="1">IFERROR(__xludf.DUMMYFUNCTION("""COMPUTED_VALUE"""),46067.625)</f>
        <v>46067.625</v>
      </c>
      <c r="C1237" s="46">
        <f ca="1">IFERROR(__xludf.DUMMYFUNCTION("""COMPUTED_VALUE"""),1238)</f>
        <v>1238</v>
      </c>
      <c r="D1237" s="47" t="str">
        <f ca="1">IFERROR(__xludf.DUMMYFUNCTION("""COMPUTED_VALUE"""),"C0915")</f>
        <v>C0915</v>
      </c>
      <c r="E1237" s="46" t="str">
        <f ca="1">IFERROR(__xludf.DUMMYFUNCTION("""COMPUTED_VALUE"""),"NGUYỄN THỊ THU HỒNG")</f>
        <v>NGUYỄN THỊ THU HỒNG</v>
      </c>
      <c r="F1237" s="46" t="str">
        <f ca="1">IFERROR(__xludf.DUMMYFUNCTION("""COMPUTED_VALUE"""),"NGUYEN THI THU HONG")</f>
        <v>NGUYEN THI THU HONG</v>
      </c>
      <c r="G1237" s="45">
        <f ca="1">IFERROR(__xludf.DUMMYFUNCTION("""COMPUTED_VALUE"""),37749.5833333333)</f>
        <v>37749.583333333299</v>
      </c>
      <c r="H1237" s="45" t="str">
        <f ca="1">IFERROR(__xludf.DUMMYFUNCTION("""COMPUTED_VALUE"""),"TET")</f>
        <v>TET</v>
      </c>
      <c r="I1237" s="46" t="str">
        <f ca="1">IFERROR(__xludf.DUMMYFUNCTION("""COMPUTED_VALUE"""),"KITCHEN PASTRY")</f>
        <v>KITCHEN PASTRY</v>
      </c>
      <c r="J1237" s="46" t="str">
        <f ca="1">IFERROR(__xludf.DUMMYFUNCTION("""COMPUTED_VALUE"""),"KITCHEN PASTRY")</f>
        <v>KITCHEN PASTRY</v>
      </c>
      <c r="K1237" s="46" t="str">
        <f ca="1">IFERROR(__xludf.DUMMYFUNCTION("""COMPUTED_VALUE"""),"PACKAGING")</f>
        <v>PACKAGING</v>
      </c>
      <c r="L1237" s="46" t="str">
        <f ca="1">IFERROR(__xludf.DUMMYFUNCTION("""COMPUTED_VALUE"""),"PTE")</f>
        <v>PTE</v>
      </c>
      <c r="M1237" s="46" t="str">
        <f ca="1">IFERROR(__xludf.DUMMYFUNCTION("""COMPUTED_VALUE"""),"Leave")</f>
        <v>Leave</v>
      </c>
      <c r="N1237" s="46" t="str">
        <f ca="1">IFERROR(__xludf.DUMMYFUNCTION("""COMPUTED_VALUE"""),"Đủ")</f>
        <v>Đủ</v>
      </c>
    </row>
    <row r="1238" spans="1:14">
      <c r="A1238" s="45">
        <f ca="1">IFERROR(__xludf.DUMMYFUNCTION("""COMPUTED_VALUE"""),45975.625)</f>
        <v>45975.625</v>
      </c>
      <c r="B1238" s="45">
        <f ca="1">IFERROR(__xludf.DUMMYFUNCTION("""COMPUTED_VALUE"""),46067.625)</f>
        <v>46067.625</v>
      </c>
      <c r="C1238" s="46">
        <f ca="1">IFERROR(__xludf.DUMMYFUNCTION("""COMPUTED_VALUE"""),1239)</f>
        <v>1239</v>
      </c>
      <c r="D1238" s="47" t="str">
        <f ca="1">IFERROR(__xludf.DUMMYFUNCTION("""COMPUTED_VALUE"""),"C0843")</f>
        <v>C0843</v>
      </c>
      <c r="E1238" s="46" t="str">
        <f ca="1">IFERROR(__xludf.DUMMYFUNCTION("""COMPUTED_VALUE"""),"DƯƠNG QUỲNH NHƯ")</f>
        <v>DƯƠNG QUỲNH NHƯ</v>
      </c>
      <c r="F1238" s="46" t="str">
        <f ca="1">IFERROR(__xludf.DUMMYFUNCTION("""COMPUTED_VALUE"""),"DUONG QUYNH NHU")</f>
        <v>DUONG QUYNH NHU</v>
      </c>
      <c r="G1238" s="45">
        <f ca="1">IFERROR(__xludf.DUMMYFUNCTION("""COMPUTED_VALUE"""),38258.5833333333)</f>
        <v>38258.583333333299</v>
      </c>
      <c r="H1238" s="45" t="str">
        <f ca="1">IFERROR(__xludf.DUMMYFUNCTION("""COMPUTED_VALUE"""),"TET")</f>
        <v>TET</v>
      </c>
      <c r="I1238" s="46" t="str">
        <f ca="1">IFERROR(__xludf.DUMMYFUNCTION("""COMPUTED_VALUE"""),"KITCHEN PASTRY")</f>
        <v>KITCHEN PASTRY</v>
      </c>
      <c r="J1238" s="46" t="str">
        <f ca="1">IFERROR(__xludf.DUMMYFUNCTION("""COMPUTED_VALUE"""),"KITCHEN PASTRY")</f>
        <v>KITCHEN PASTRY</v>
      </c>
      <c r="K1238" s="46" t="str">
        <f ca="1">IFERROR(__xludf.DUMMYFUNCTION("""COMPUTED_VALUE"""),"PACKAGING")</f>
        <v>PACKAGING</v>
      </c>
      <c r="L1238" s="46" t="str">
        <f ca="1">IFERROR(__xludf.DUMMYFUNCTION("""COMPUTED_VALUE"""),"PTE")</f>
        <v>PTE</v>
      </c>
      <c r="M1238" s="46" t="str">
        <f ca="1">IFERROR(__xludf.DUMMYFUNCTION("""COMPUTED_VALUE"""),"Leave")</f>
        <v>Leave</v>
      </c>
      <c r="N1238" s="46" t="str">
        <f ca="1">IFERROR(__xludf.DUMMYFUNCTION("""COMPUTED_VALUE"""),"Đủ")</f>
        <v>Đủ</v>
      </c>
    </row>
    <row r="1239" spans="1:14">
      <c r="A1239" s="45">
        <f ca="1">IFERROR(__xludf.DUMMYFUNCTION("""COMPUTED_VALUE"""),45982.625)</f>
        <v>45982.625</v>
      </c>
      <c r="B1239" s="45">
        <f ca="1">IFERROR(__xludf.DUMMYFUNCTION("""COMPUTED_VALUE"""),46060.625)</f>
        <v>46060.625</v>
      </c>
      <c r="C1239" s="46">
        <f ca="1">IFERROR(__xludf.DUMMYFUNCTION("""COMPUTED_VALUE"""),1240)</f>
        <v>1240</v>
      </c>
      <c r="D1239" s="47" t="str">
        <f ca="1">IFERROR(__xludf.DUMMYFUNCTION("""COMPUTED_VALUE"""),"C1098")</f>
        <v>C1098</v>
      </c>
      <c r="E1239" s="46" t="str">
        <f ca="1">IFERROR(__xludf.DUMMYFUNCTION("""COMPUTED_VALUE"""),"MAI NGỌC TRÂM")</f>
        <v>MAI NGỌC TRÂM</v>
      </c>
      <c r="F1239" s="46" t="str">
        <f ca="1">IFERROR(__xludf.DUMMYFUNCTION("""COMPUTED_VALUE"""),"MAI NGOC TRAM")</f>
        <v>MAI NGOC TRAM</v>
      </c>
      <c r="G1239" s="45">
        <f ca="1">IFERROR(__xludf.DUMMYFUNCTION("""COMPUTED_VALUE"""),34795.5833333333)</f>
        <v>34795.583333333299</v>
      </c>
      <c r="H1239" s="45" t="str">
        <f ca="1">IFERROR(__xludf.DUMMYFUNCTION("""COMPUTED_VALUE"""),"BAKES")</f>
        <v>BAKES</v>
      </c>
      <c r="I1239" s="46" t="str">
        <f ca="1">IFERROR(__xludf.DUMMYFUNCTION("""COMPUTED_VALUE"""),"HO")</f>
        <v>HO</v>
      </c>
      <c r="J1239" s="46" t="str">
        <f ca="1">IFERROR(__xludf.DUMMYFUNCTION("""COMPUTED_VALUE"""),"SAL")</f>
        <v>SAL</v>
      </c>
      <c r="K1239" s="46" t="str">
        <f ca="1">IFERROR(__xludf.DUMMYFUNCTION("""COMPUTED_VALUE"""),"SAL")</f>
        <v>SAL</v>
      </c>
      <c r="L1239" s="46" t="str">
        <f ca="1">IFERROR(__xludf.DUMMYFUNCTION("""COMPUTED_VALUE"""),"SER")</f>
        <v>SER</v>
      </c>
      <c r="M1239" s="46" t="str">
        <f ca="1">IFERROR(__xludf.DUMMYFUNCTION("""COMPUTED_VALUE"""),"Leave")</f>
        <v>Leave</v>
      </c>
      <c r="N1239" s="46" t="str">
        <f ca="1">IFERROR(__xludf.DUMMYFUNCTION("""COMPUTED_VALUE"""),"Đã chi lương")</f>
        <v>Đã chi lương</v>
      </c>
    </row>
    <row r="1240" spans="1:14">
      <c r="A1240" s="45">
        <f ca="1">IFERROR(__xludf.DUMMYFUNCTION("""COMPUTED_VALUE"""),45981.625)</f>
        <v>45981.625</v>
      </c>
      <c r="B1240" s="45">
        <f ca="1">IFERROR(__xludf.DUMMYFUNCTION("""COMPUTED_VALUE"""),45993.625)</f>
        <v>45993.625</v>
      </c>
      <c r="C1240" s="46">
        <f ca="1">IFERROR(__xludf.DUMMYFUNCTION("""COMPUTED_VALUE"""),1241)</f>
        <v>1241</v>
      </c>
      <c r="D1240" s="47" t="str">
        <f ca="1">IFERROR(__xludf.DUMMYFUNCTION("""COMPUTED_VALUE"""),"C1091")</f>
        <v>C1091</v>
      </c>
      <c r="E1240" s="46" t="str">
        <f ca="1">IFERROR(__xludf.DUMMYFUNCTION("""COMPUTED_VALUE"""),"VÕ BÍCH QUYÊN")</f>
        <v>VÕ BÍCH QUYÊN</v>
      </c>
      <c r="F1240" s="46" t="str">
        <f ca="1">IFERROR(__xludf.DUMMYFUNCTION("""COMPUTED_VALUE"""),"VO BICH QUYEN")</f>
        <v>VO BICH QUYEN</v>
      </c>
      <c r="G1240" s="45">
        <f ca="1">IFERROR(__xludf.DUMMYFUNCTION("""COMPUTED_VALUE"""),37510.5833333333)</f>
        <v>37510.583333333299</v>
      </c>
      <c r="H1240" s="45" t="str">
        <f ca="1">IFERROR(__xludf.DUMMYFUNCTION("""COMPUTED_VALUE"""),"BAKES")</f>
        <v>BAKES</v>
      </c>
      <c r="I1240" s="46" t="str">
        <f ca="1">IFERROR(__xludf.DUMMYFUNCTION("""COMPUTED_VALUE"""),"STORE")</f>
        <v>STORE</v>
      </c>
      <c r="J1240" s="46" t="str">
        <f ca="1">IFERROR(__xludf.DUMMYFUNCTION("""COMPUTED_VALUE"""),"BAKES HCR")</f>
        <v>BAKES HCR</v>
      </c>
      <c r="K1240" s="46" t="str">
        <f ca="1">IFERROR(__xludf.DUMMYFUNCTION("""COMPUTED_VALUE"""),"CASHIER")</f>
        <v>CASHIER</v>
      </c>
      <c r="L1240" s="46" t="str">
        <f ca="1">IFERROR(__xludf.DUMMYFUNCTION("""COMPUTED_VALUE"""),"PRO")</f>
        <v>PRO</v>
      </c>
      <c r="M1240" s="46" t="str">
        <f ca="1">IFERROR(__xludf.DUMMYFUNCTION("""COMPUTED_VALUE"""),"Leave")</f>
        <v>Leave</v>
      </c>
      <c r="N1240" s="46" t="str">
        <f ca="1">IFERROR(__xludf.DUMMYFUNCTION("""COMPUTED_VALUE"""),"Đủ")</f>
        <v>Đủ</v>
      </c>
    </row>
    <row r="1241" spans="1:14">
      <c r="A1241" s="45">
        <f ca="1">IFERROR(__xludf.DUMMYFUNCTION("""COMPUTED_VALUE"""),45978.625)</f>
        <v>45978.625</v>
      </c>
      <c r="B1241" s="45"/>
      <c r="C1241" s="46">
        <f ca="1">IFERROR(__xludf.DUMMYFUNCTION("""COMPUTED_VALUE"""),1242)</f>
        <v>1242</v>
      </c>
      <c r="D1241" s="47" t="str">
        <f ca="1">IFERROR(__xludf.DUMMYFUNCTION("""COMPUTED_VALUE"""),"C1096")</f>
        <v>C1096</v>
      </c>
      <c r="E1241" s="46" t="str">
        <f ca="1">IFERROR(__xludf.DUMMYFUNCTION("""COMPUTED_VALUE"""),"LÊ HỒNG NGỌC")</f>
        <v>LÊ HỒNG NGỌC</v>
      </c>
      <c r="F1241" s="46" t="str">
        <f ca="1">IFERROR(__xludf.DUMMYFUNCTION("""COMPUTED_VALUE"""),"LE HONG NGOC")</f>
        <v>LE HONG NGOC</v>
      </c>
      <c r="G1241" s="45">
        <f ca="1">IFERROR(__xludf.DUMMYFUNCTION("""COMPUTED_VALUE"""),36838.625)</f>
        <v>36838.625</v>
      </c>
      <c r="H1241" s="45" t="str">
        <f ca="1">IFERROR(__xludf.DUMMYFUNCTION("""COMPUTED_VALUE"""),"MATTE")</f>
        <v>MATTE</v>
      </c>
      <c r="I1241" s="46" t="str">
        <f ca="1">IFERROR(__xludf.DUMMYFUNCTION("""COMPUTED_VALUE"""),"STORE")</f>
        <v>STORE</v>
      </c>
      <c r="J1241" s="46" t="str">
        <f ca="1">IFERROR(__xludf.DUMMYFUNCTION("""COMPUTED_VALUE"""),"MATTE D2")</f>
        <v>MATTE D2</v>
      </c>
      <c r="K1241" s="46" t="str">
        <f ca="1">IFERROR(__xludf.DUMMYFUNCTION("""COMPUTED_VALUE"""),"Management team")</f>
        <v>Management team</v>
      </c>
      <c r="L1241" s="46" t="str">
        <f ca="1">IFERROR(__xludf.DUMMYFUNCTION("""COMPUTED_VALUE"""),"FTE")</f>
        <v>FTE</v>
      </c>
      <c r="M1241" s="46" t="str">
        <f ca="1">IFERROR(__xludf.DUMMYFUNCTION("""COMPUTED_VALUE"""),"On")</f>
        <v>On</v>
      </c>
      <c r="N1241" s="46" t="str">
        <f ca="1">IFERROR(__xludf.DUMMYFUNCTION("""COMPUTED_VALUE"""),"Đủ")</f>
        <v>Đủ</v>
      </c>
    </row>
    <row r="1242" spans="1:14">
      <c r="A1242" s="45">
        <f ca="1">IFERROR(__xludf.DUMMYFUNCTION("""COMPUTED_VALUE"""),45979.625)</f>
        <v>45979.625</v>
      </c>
      <c r="B1242" s="45">
        <f ca="1">IFERROR(__xludf.DUMMYFUNCTION("""COMPUTED_VALUE"""),46067.625)</f>
        <v>46067.625</v>
      </c>
      <c r="C1242" s="46">
        <f ca="1">IFERROR(__xludf.DUMMYFUNCTION("""COMPUTED_VALUE"""),1243)</f>
        <v>1243</v>
      </c>
      <c r="D1242" s="47" t="str">
        <f ca="1">IFERROR(__xludf.DUMMYFUNCTION("""COMPUTED_VALUE"""),"C1088")</f>
        <v>C1088</v>
      </c>
      <c r="E1242" s="46" t="str">
        <f ca="1">IFERROR(__xludf.DUMMYFUNCTION("""COMPUTED_VALUE"""),"TRẦN MINH HOÀNG")</f>
        <v>TRẦN MINH HOÀNG</v>
      </c>
      <c r="F1242" s="46" t="str">
        <f ca="1">IFERROR(__xludf.DUMMYFUNCTION("""COMPUTED_VALUE"""),"TRAN MINH HOANG")</f>
        <v>TRAN MINH HOANG</v>
      </c>
      <c r="G1242" s="45">
        <f ca="1">IFERROR(__xludf.DUMMYFUNCTION("""COMPUTED_VALUE"""),35845.625)</f>
        <v>35845.625</v>
      </c>
      <c r="H1242" s="45" t="str">
        <f ca="1">IFERROR(__xludf.DUMMYFUNCTION("""COMPUTED_VALUE"""),"BAKES")</f>
        <v>BAKES</v>
      </c>
      <c r="I1242" s="46" t="str">
        <f ca="1">IFERROR(__xludf.DUMMYFUNCTION("""COMPUTED_VALUE"""),"HO")</f>
        <v>HO</v>
      </c>
      <c r="J1242" s="46" t="str">
        <f ca="1">IFERROR(__xludf.DUMMYFUNCTION("""COMPUTED_VALUE"""),"PET")</f>
        <v>PET</v>
      </c>
      <c r="K1242" s="46" t="str">
        <f ca="1">IFERROR(__xludf.DUMMYFUNCTION("""COMPUTED_VALUE"""),"PET")</f>
        <v>PET</v>
      </c>
      <c r="L1242" s="46" t="str">
        <f ca="1">IFERROR(__xludf.DUMMYFUNCTION("""COMPUTED_VALUE"""),"FTE")</f>
        <v>FTE</v>
      </c>
      <c r="M1242" s="46" t="str">
        <f ca="1">IFERROR(__xludf.DUMMYFUNCTION("""COMPUTED_VALUE"""),"Leave")</f>
        <v>Leave</v>
      </c>
      <c r="N1242" s="46" t="str">
        <f ca="1">IFERROR(__xludf.DUMMYFUNCTION("""COMPUTED_VALUE"""),"Đủ")</f>
        <v>Đủ</v>
      </c>
    </row>
    <row r="1243" spans="1:14">
      <c r="A1243" s="45">
        <f ca="1">IFERROR(__xludf.DUMMYFUNCTION("""COMPUTED_VALUE"""),45979.625)</f>
        <v>45979.625</v>
      </c>
      <c r="B1243" s="45"/>
      <c r="C1243" s="46">
        <f ca="1">IFERROR(__xludf.DUMMYFUNCTION("""COMPUTED_VALUE"""),1244)</f>
        <v>1244</v>
      </c>
      <c r="D1243" s="47" t="str">
        <f ca="1">IFERROR(__xludf.DUMMYFUNCTION("""COMPUTED_VALUE"""),"C1099")</f>
        <v>C1099</v>
      </c>
      <c r="E1243" s="46" t="str">
        <f ca="1">IFERROR(__xludf.DUMMYFUNCTION("""COMPUTED_VALUE"""),"NGUYỄN VĂN KHANG")</f>
        <v>NGUYỄN VĂN KHANG</v>
      </c>
      <c r="F1243" s="46" t="str">
        <f ca="1">IFERROR(__xludf.DUMMYFUNCTION("""COMPUTED_VALUE"""),"NGUYEN VAN KHANG")</f>
        <v>NGUYEN VAN KHANG</v>
      </c>
      <c r="G1243" s="45">
        <f ca="1">IFERROR(__xludf.DUMMYFUNCTION("""COMPUTED_VALUE"""),37497.5833333333)</f>
        <v>37497.583333333299</v>
      </c>
      <c r="H1243" s="45" t="str">
        <f ca="1">IFERROR(__xludf.DUMMYFUNCTION("""COMPUTED_VALUE"""),"TLC")</f>
        <v>TLC</v>
      </c>
      <c r="I1243" s="46" t="str">
        <f ca="1">IFERROR(__xludf.DUMMYFUNCTION("""COMPUTED_VALUE"""),"HO")</f>
        <v>HO</v>
      </c>
      <c r="J1243" s="46" t="str">
        <f ca="1">IFERROR(__xludf.DUMMYFUNCTION("""COMPUTED_VALUE"""),"SAL")</f>
        <v>SAL</v>
      </c>
      <c r="K1243" s="46" t="str">
        <f ca="1">IFERROR(__xludf.DUMMYFUNCTION("""COMPUTED_VALUE"""),"SAL")</f>
        <v>SAL</v>
      </c>
      <c r="L1243" s="46" t="str">
        <f ca="1">IFERROR(__xludf.DUMMYFUNCTION("""COMPUTED_VALUE"""),"FTE")</f>
        <v>FTE</v>
      </c>
      <c r="M1243" s="46" t="str">
        <f ca="1">IFERROR(__xludf.DUMMYFUNCTION("""COMPUTED_VALUE"""),"On")</f>
        <v>On</v>
      </c>
      <c r="N1243" s="46" t="str">
        <f ca="1">IFERROR(__xludf.DUMMYFUNCTION("""COMPUTED_VALUE"""),"Đủ")</f>
        <v>Đủ</v>
      </c>
    </row>
    <row r="1244" spans="1:14">
      <c r="A1244" s="45">
        <f ca="1">IFERROR(__xludf.DUMMYFUNCTION("""COMPUTED_VALUE"""),45986.625)</f>
        <v>45986.625</v>
      </c>
      <c r="B1244" s="45">
        <f ca="1">IFERROR(__xludf.DUMMYFUNCTION("""COMPUTED_VALUE"""),46047.625)</f>
        <v>46047.625</v>
      </c>
      <c r="C1244" s="46">
        <f ca="1">IFERROR(__xludf.DUMMYFUNCTION("""COMPUTED_VALUE"""),1245)</f>
        <v>1245</v>
      </c>
      <c r="D1244" s="47" t="str">
        <f ca="1">IFERROR(__xludf.DUMMYFUNCTION("""COMPUTED_VALUE"""),"C1093")</f>
        <v>C1093</v>
      </c>
      <c r="E1244" s="46" t="str">
        <f ca="1">IFERROR(__xludf.DUMMYFUNCTION("""COMPUTED_VALUE"""),"TRẦN THIÊN Ý NHƯ")</f>
        <v>TRẦN THIÊN Ý NHƯ</v>
      </c>
      <c r="F1244" s="46" t="str">
        <f ca="1">IFERROR(__xludf.DUMMYFUNCTION("""COMPUTED_VALUE"""),"TRAN THIEN Y NHU")</f>
        <v>TRAN THIEN Y NHU</v>
      </c>
      <c r="G1244" s="45">
        <f ca="1">IFERROR(__xludf.DUMMYFUNCTION("""COMPUTED_VALUE"""),37988.625)</f>
        <v>37988.625</v>
      </c>
      <c r="H1244" s="45" t="str">
        <f ca="1">IFERROR(__xludf.DUMMYFUNCTION("""COMPUTED_VALUE"""),"MATTE")</f>
        <v>MATTE</v>
      </c>
      <c r="I1244" s="46" t="str">
        <f ca="1">IFERROR(__xludf.DUMMYFUNCTION("""COMPUTED_VALUE"""),"STORE")</f>
        <v>STORE</v>
      </c>
      <c r="J1244" s="46" t="str">
        <f ca="1">IFERROR(__xludf.DUMMYFUNCTION("""COMPUTED_VALUE"""),"MATTE D7")</f>
        <v>MATTE D7</v>
      </c>
      <c r="K1244" s="46" t="str">
        <f ca="1">IFERROR(__xludf.DUMMYFUNCTION("""COMPUTED_VALUE"""),"BAR")</f>
        <v>BAR</v>
      </c>
      <c r="L1244" s="46" t="str">
        <f ca="1">IFERROR(__xludf.DUMMYFUNCTION("""COMPUTED_VALUE"""),"PTEP")</f>
        <v>PTEP</v>
      </c>
      <c r="M1244" s="46" t="str">
        <f ca="1">IFERROR(__xludf.DUMMYFUNCTION("""COMPUTED_VALUE"""),"Leave")</f>
        <v>Leave</v>
      </c>
      <c r="N1244" s="46" t="str">
        <f ca="1">IFERROR(__xludf.DUMMYFUNCTION("""COMPUTED_VALUE"""),"Đủ")</f>
        <v>Đủ</v>
      </c>
    </row>
    <row r="1245" spans="1:14">
      <c r="A1245" s="45">
        <f ca="1">IFERROR(__xludf.DUMMYFUNCTION("""COMPUTED_VALUE"""),45982.625)</f>
        <v>45982.625</v>
      </c>
      <c r="B1245" s="45"/>
      <c r="C1245" s="46">
        <f ca="1">IFERROR(__xludf.DUMMYFUNCTION("""COMPUTED_VALUE"""),1246)</f>
        <v>1246</v>
      </c>
      <c r="D1245" s="47" t="str">
        <f ca="1">IFERROR(__xludf.DUMMYFUNCTION("""COMPUTED_VALUE"""),"C1090")</f>
        <v>C1090</v>
      </c>
      <c r="E1245" s="46" t="str">
        <f ca="1">IFERROR(__xludf.DUMMYFUNCTION("""COMPUTED_VALUE"""),"PHẠM TRẦN NGỌC THANH ")</f>
        <v xml:space="preserve">PHẠM TRẦN NGỌC THANH </v>
      </c>
      <c r="F1245" s="46" t="str">
        <f ca="1">IFERROR(__xludf.DUMMYFUNCTION("""COMPUTED_VALUE"""),"PHAM TRAN NGOC THANH ")</f>
        <v xml:space="preserve">PHAM TRAN NGOC THANH </v>
      </c>
      <c r="G1245" s="45">
        <f ca="1">IFERROR(__xludf.DUMMYFUNCTION("""COMPUTED_VALUE"""),38090.5833333333)</f>
        <v>38090.583333333299</v>
      </c>
      <c r="H1245" s="45" t="str">
        <f ca="1">IFERROR(__xludf.DUMMYFUNCTION("""COMPUTED_VALUE"""),"BAKES")</f>
        <v>BAKES</v>
      </c>
      <c r="I1245" s="46" t="str">
        <f ca="1">IFERROR(__xludf.DUMMYFUNCTION("""COMPUTED_VALUE"""),"STORE")</f>
        <v>STORE</v>
      </c>
      <c r="J1245" s="46" t="str">
        <f ca="1">IFERROR(__xludf.DUMMYFUNCTION("""COMPUTED_VALUE"""),"BAKES HCR")</f>
        <v>BAKES HCR</v>
      </c>
      <c r="K1245" s="46" t="str">
        <f ca="1">IFERROR(__xludf.DUMMYFUNCTION("""COMPUTED_VALUE"""),"CASHIER")</f>
        <v>CASHIER</v>
      </c>
      <c r="L1245" s="46" t="str">
        <f ca="1">IFERROR(__xludf.DUMMYFUNCTION("""COMPUTED_VALUE"""),"PTE")</f>
        <v>PTE</v>
      </c>
      <c r="M1245" s="46" t="str">
        <f ca="1">IFERROR(__xludf.DUMMYFUNCTION("""COMPUTED_VALUE"""),"On")</f>
        <v>On</v>
      </c>
      <c r="N1245" s="46" t="str">
        <f ca="1">IFERROR(__xludf.DUMMYFUNCTION("""COMPUTED_VALUE"""),"Đủ")</f>
        <v>Đủ</v>
      </c>
    </row>
    <row r="1246" spans="1:14">
      <c r="A1246" s="45">
        <f ca="1">IFERROR(__xludf.DUMMYFUNCTION("""COMPUTED_VALUE"""),45981.625)</f>
        <v>45981.625</v>
      </c>
      <c r="B1246" s="45"/>
      <c r="C1246" s="46">
        <f ca="1">IFERROR(__xludf.DUMMYFUNCTION("""COMPUTED_VALUE"""),1247)</f>
        <v>1247</v>
      </c>
      <c r="D1246" s="47" t="str">
        <f ca="1">IFERROR(__xludf.DUMMYFUNCTION("""COMPUTED_VALUE"""),"C0918")</f>
        <v>C0918</v>
      </c>
      <c r="E1246" s="46" t="str">
        <f ca="1">IFERROR(__xludf.DUMMYFUNCTION("""COMPUTED_VALUE"""),"VÕ HỒNG NHƯ MAI")</f>
        <v>VÕ HỒNG NHƯ MAI</v>
      </c>
      <c r="F1246" s="46" t="str">
        <f ca="1">IFERROR(__xludf.DUMMYFUNCTION("""COMPUTED_VALUE"""),"VO HONG NHU MAI")</f>
        <v>VO HONG NHU MAI</v>
      </c>
      <c r="G1246" s="45">
        <f ca="1">IFERROR(__xludf.DUMMYFUNCTION("""COMPUTED_VALUE"""),34716.625)</f>
        <v>34716.625</v>
      </c>
      <c r="H1246" s="45" t="str">
        <f ca="1">IFERROR(__xludf.DUMMYFUNCTION("""COMPUTED_VALUE"""),"KITCHEN PASTRY")</f>
        <v>KITCHEN PASTRY</v>
      </c>
      <c r="I1246" s="46" t="str">
        <f ca="1">IFERROR(__xludf.DUMMYFUNCTION("""COMPUTED_VALUE"""),"KITCHEN PASTRY")</f>
        <v>KITCHEN PASTRY</v>
      </c>
      <c r="J1246" s="46" t="str">
        <f ca="1">IFERROR(__xludf.DUMMYFUNCTION("""COMPUTED_VALUE"""),"KITCHEN PASTRY")</f>
        <v>KITCHEN PASTRY</v>
      </c>
      <c r="K1246" s="46" t="str">
        <f ca="1">IFERROR(__xludf.DUMMYFUNCTION("""COMPUTED_VALUE"""),"PASTRY")</f>
        <v>PASTRY</v>
      </c>
      <c r="L1246" s="46" t="str">
        <f ca="1">IFERROR(__xludf.DUMMYFUNCTION("""COMPUTED_VALUE"""),"FTE")</f>
        <v>FTE</v>
      </c>
      <c r="M1246" s="46" t="str">
        <f ca="1">IFERROR(__xludf.DUMMYFUNCTION("""COMPUTED_VALUE"""),"On")</f>
        <v>On</v>
      </c>
      <c r="N1246" s="46" t="str">
        <f ca="1">IFERROR(__xludf.DUMMYFUNCTION("""COMPUTED_VALUE"""),"Đủ")</f>
        <v>Đủ</v>
      </c>
    </row>
    <row r="1247" spans="1:14">
      <c r="A1247" s="45">
        <f ca="1">IFERROR(__xludf.DUMMYFUNCTION("""COMPUTED_VALUE"""),45989.625)</f>
        <v>45989.625</v>
      </c>
      <c r="B1247" s="45">
        <f ca="1">IFERROR(__xludf.DUMMYFUNCTION("""COMPUTED_VALUE"""),46017.625)</f>
        <v>46017.625</v>
      </c>
      <c r="C1247" s="46">
        <f ca="1">IFERROR(__xludf.DUMMYFUNCTION("""COMPUTED_VALUE"""),1248)</f>
        <v>1248</v>
      </c>
      <c r="D1247" s="47" t="str">
        <f ca="1">IFERROR(__xludf.DUMMYFUNCTION("""COMPUTED_VALUE"""),"C1100")</f>
        <v>C1100</v>
      </c>
      <c r="E1247" s="46" t="str">
        <f ca="1">IFERROR(__xludf.DUMMYFUNCTION("""COMPUTED_VALUE"""),"NGUYỄN ĐOÀN XUÂN NGUYÊN")</f>
        <v>NGUYỄN ĐOÀN XUÂN NGUYÊN</v>
      </c>
      <c r="F1247" s="46" t="str">
        <f ca="1">IFERROR(__xludf.DUMMYFUNCTION("""COMPUTED_VALUE"""),"NGUYEN DOAN XUAN NGUYEN")</f>
        <v>NGUYEN DOAN XUAN NGUYEN</v>
      </c>
      <c r="G1247" s="45">
        <f ca="1">IFERROR(__xludf.DUMMYFUNCTION("""COMPUTED_VALUE"""),39435.625)</f>
        <v>39435.625</v>
      </c>
      <c r="H1247" s="45" t="str">
        <f ca="1">IFERROR(__xludf.DUMMYFUNCTION("""COMPUTED_VALUE"""),"XMAS")</f>
        <v>XMAS</v>
      </c>
      <c r="I1247" s="46" t="str">
        <f ca="1">IFERROR(__xludf.DUMMYFUNCTION("""COMPUTED_VALUE"""),"KITCHEN PASTRY")</f>
        <v>KITCHEN PASTRY</v>
      </c>
      <c r="J1247" s="46" t="str">
        <f ca="1">IFERROR(__xludf.DUMMYFUNCTION("""COMPUTED_VALUE"""),"KITCHEN PASTRY")</f>
        <v>KITCHEN PASTRY</v>
      </c>
      <c r="K1247" s="46" t="str">
        <f ca="1">IFERROR(__xludf.DUMMYFUNCTION("""COMPUTED_VALUE"""),"PASTRY")</f>
        <v>PASTRY</v>
      </c>
      <c r="L1247" s="46" t="str">
        <f ca="1">IFERROR(__xludf.DUMMYFUNCTION("""COMPUTED_VALUE"""),"PTEP")</f>
        <v>PTEP</v>
      </c>
      <c r="M1247" s="46" t="str">
        <f ca="1">IFERROR(__xludf.DUMMYFUNCTION("""COMPUTED_VALUE"""),"Leave")</f>
        <v>Leave</v>
      </c>
      <c r="N1247" s="46" t="str">
        <f ca="1">IFERROR(__xludf.DUMMYFUNCTION("""COMPUTED_VALUE"""),"chua nop")</f>
        <v>chua nop</v>
      </c>
    </row>
    <row r="1248" spans="1:14">
      <c r="A1248" s="45">
        <f ca="1">IFERROR(__xludf.DUMMYFUNCTION("""COMPUTED_VALUE"""),45989.625)</f>
        <v>45989.625</v>
      </c>
      <c r="B1248" s="45">
        <f ca="1">IFERROR(__xludf.DUMMYFUNCTION("""COMPUTED_VALUE"""),45998.625)</f>
        <v>45998.625</v>
      </c>
      <c r="C1248" s="46">
        <f ca="1">IFERROR(__xludf.DUMMYFUNCTION("""COMPUTED_VALUE"""),1249)</f>
        <v>1249</v>
      </c>
      <c r="D1248" s="47" t="str">
        <f ca="1">IFERROR(__xludf.DUMMYFUNCTION("""COMPUTED_VALUE"""),"C1101")</f>
        <v>C1101</v>
      </c>
      <c r="E1248" s="46" t="str">
        <f ca="1">IFERROR(__xludf.DUMMYFUNCTION("""COMPUTED_VALUE"""),"NGUYỄN THỊ PHƯƠNG MAI")</f>
        <v>NGUYỄN THỊ PHƯƠNG MAI</v>
      </c>
      <c r="F1248" s="46" t="str">
        <f ca="1">IFERROR(__xludf.DUMMYFUNCTION("""COMPUTED_VALUE"""),"NGUYEN THI PHUONG MAI")</f>
        <v>NGUYEN THI PHUONG MAI</v>
      </c>
      <c r="G1248" s="45">
        <f ca="1">IFERROR(__xludf.DUMMYFUNCTION("""COMPUTED_VALUE"""),36673.5833333333)</f>
        <v>36673.583333333299</v>
      </c>
      <c r="H1248" s="45" t="str">
        <f ca="1">IFERROR(__xludf.DUMMYFUNCTION("""COMPUTED_VALUE"""),"XMAS")</f>
        <v>XMAS</v>
      </c>
      <c r="I1248" s="46" t="str">
        <f ca="1">IFERROR(__xludf.DUMMYFUNCTION("""COMPUTED_VALUE"""),"KITCHEN PASTRY")</f>
        <v>KITCHEN PASTRY</v>
      </c>
      <c r="J1248" s="46" t="str">
        <f ca="1">IFERROR(__xludf.DUMMYFUNCTION("""COMPUTED_VALUE"""),"KITCHEN PASTRY")</f>
        <v>KITCHEN PASTRY</v>
      </c>
      <c r="K1248" s="46" t="str">
        <f ca="1">IFERROR(__xludf.DUMMYFUNCTION("""COMPUTED_VALUE"""),"PASTRY")</f>
        <v>PASTRY</v>
      </c>
      <c r="L1248" s="46" t="str">
        <f ca="1">IFERROR(__xludf.DUMMYFUNCTION("""COMPUTED_VALUE"""),"PTEP")</f>
        <v>PTEP</v>
      </c>
      <c r="M1248" s="46" t="str">
        <f ca="1">IFERROR(__xludf.DUMMYFUNCTION("""COMPUTED_VALUE"""),"Leave")</f>
        <v>Leave</v>
      </c>
      <c r="N1248" s="46" t="str">
        <f ca="1">IFERROR(__xludf.DUMMYFUNCTION("""COMPUTED_VALUE"""),"Đủ")</f>
        <v>Đủ</v>
      </c>
    </row>
    <row r="1249" spans="1:14">
      <c r="A1249" s="45">
        <f ca="1">IFERROR(__xludf.DUMMYFUNCTION("""COMPUTED_VALUE"""),45990.625)</f>
        <v>45990.625</v>
      </c>
      <c r="B1249" s="45">
        <f ca="1">IFERROR(__xludf.DUMMYFUNCTION("""COMPUTED_VALUE"""),45999.625)</f>
        <v>45999.625</v>
      </c>
      <c r="C1249" s="46">
        <f ca="1">IFERROR(__xludf.DUMMYFUNCTION("""COMPUTED_VALUE"""),1250)</f>
        <v>1250</v>
      </c>
      <c r="D1249" s="47" t="str">
        <f ca="1">IFERROR(__xludf.DUMMYFUNCTION("""COMPUTED_VALUE"""),"C1102")</f>
        <v>C1102</v>
      </c>
      <c r="E1249" s="46" t="str">
        <f ca="1">IFERROR(__xludf.DUMMYFUNCTION("""COMPUTED_VALUE"""),"NGUYỄN THỊ KIM SÁCH")</f>
        <v>NGUYỄN THỊ KIM SÁCH</v>
      </c>
      <c r="F1249" s="46" t="str">
        <f ca="1">IFERROR(__xludf.DUMMYFUNCTION("""COMPUTED_VALUE"""),"NGUYEN THI KIM SACH")</f>
        <v>NGUYEN THI KIM SACH</v>
      </c>
      <c r="G1249" s="45">
        <f ca="1">IFERROR(__xludf.DUMMYFUNCTION("""COMPUTED_VALUE"""),37075.5833333333)</f>
        <v>37075.583333333299</v>
      </c>
      <c r="H1249" s="45" t="str">
        <f ca="1">IFERROR(__xludf.DUMMYFUNCTION("""COMPUTED_VALUE"""),"XMAS")</f>
        <v>XMAS</v>
      </c>
      <c r="I1249" s="46" t="str">
        <f ca="1">IFERROR(__xludf.DUMMYFUNCTION("""COMPUTED_VALUE"""),"KITCHEN PASTRY")</f>
        <v>KITCHEN PASTRY</v>
      </c>
      <c r="J1249" s="46" t="str">
        <f ca="1">IFERROR(__xludf.DUMMYFUNCTION("""COMPUTED_VALUE"""),"KITCHEN PASTRY")</f>
        <v>KITCHEN PASTRY</v>
      </c>
      <c r="K1249" s="46" t="str">
        <f ca="1">IFERROR(__xludf.DUMMYFUNCTION("""COMPUTED_VALUE"""),"PASTRY")</f>
        <v>PASTRY</v>
      </c>
      <c r="L1249" s="46" t="str">
        <f ca="1">IFERROR(__xludf.DUMMYFUNCTION("""COMPUTED_VALUE"""),"PTEP")</f>
        <v>PTEP</v>
      </c>
      <c r="M1249" s="46" t="str">
        <f ca="1">IFERROR(__xludf.DUMMYFUNCTION("""COMPUTED_VALUE"""),"Leave")</f>
        <v>Leave</v>
      </c>
      <c r="N1249" s="46" t="str">
        <f ca="1">IFERROR(__xludf.DUMMYFUNCTION("""COMPUTED_VALUE"""),"Đủ")</f>
        <v>Đủ</v>
      </c>
    </row>
    <row r="1250" spans="1:14">
      <c r="A1250" s="45">
        <f ca="1">IFERROR(__xludf.DUMMYFUNCTION("""COMPUTED_VALUE"""),45981.625)</f>
        <v>45981.625</v>
      </c>
      <c r="B1250" s="45">
        <f ca="1">IFERROR(__xludf.DUMMYFUNCTION("""COMPUTED_VALUE"""),46017.625)</f>
        <v>46017.625</v>
      </c>
      <c r="C1250" s="46">
        <f ca="1">IFERROR(__xludf.DUMMYFUNCTION("""COMPUTED_VALUE"""),1251)</f>
        <v>1251</v>
      </c>
      <c r="D1250" s="47" t="str">
        <f ca="1">IFERROR(__xludf.DUMMYFUNCTION("""COMPUTED_VALUE"""),"C0963")</f>
        <v>C0963</v>
      </c>
      <c r="E1250" s="46" t="str">
        <f ca="1">IFERROR(__xludf.DUMMYFUNCTION("""COMPUTED_VALUE"""),"VÕ THỊ THÚY NGA")</f>
        <v>VÕ THỊ THÚY NGA</v>
      </c>
      <c r="F1250" s="46" t="str">
        <f ca="1">IFERROR(__xludf.DUMMYFUNCTION("""COMPUTED_VALUE"""),"VO THI THUY NGA")</f>
        <v>VO THI THUY NGA</v>
      </c>
      <c r="G1250" s="45">
        <f ca="1">IFERROR(__xludf.DUMMYFUNCTION("""COMPUTED_VALUE"""),36287.5833333333)</f>
        <v>36287.583333333299</v>
      </c>
      <c r="H1250" s="45" t="str">
        <f ca="1">IFERROR(__xludf.DUMMYFUNCTION("""COMPUTED_VALUE"""),"XMAS")</f>
        <v>XMAS</v>
      </c>
      <c r="I1250" s="46" t="str">
        <f ca="1">IFERROR(__xludf.DUMMYFUNCTION("""COMPUTED_VALUE"""),"KITCHEN PASTRY")</f>
        <v>KITCHEN PASTRY</v>
      </c>
      <c r="J1250" s="46" t="str">
        <f ca="1">IFERROR(__xludf.DUMMYFUNCTION("""COMPUTED_VALUE"""),"KITCHEN PASTRY")</f>
        <v>KITCHEN PASTRY</v>
      </c>
      <c r="K1250" s="46" t="str">
        <f ca="1">IFERROR(__xludf.DUMMYFUNCTION("""COMPUTED_VALUE"""),"PASTRY")</f>
        <v>PASTRY</v>
      </c>
      <c r="L1250" s="46" t="str">
        <f ca="1">IFERROR(__xludf.DUMMYFUNCTION("""COMPUTED_VALUE"""),"PTEP")</f>
        <v>PTEP</v>
      </c>
      <c r="M1250" s="46" t="str">
        <f ca="1">IFERROR(__xludf.DUMMYFUNCTION("""COMPUTED_VALUE"""),"Leave")</f>
        <v>Leave</v>
      </c>
      <c r="N1250" s="46" t="str">
        <f ca="1">IFERROR(__xludf.DUMMYFUNCTION("""COMPUTED_VALUE"""),"Đủ")</f>
        <v>Đủ</v>
      </c>
    </row>
    <row r="1251" spans="1:14">
      <c r="A1251" s="45">
        <f ca="1">IFERROR(__xludf.DUMMYFUNCTION("""COMPUTED_VALUE"""),45988.625)</f>
        <v>45988.625</v>
      </c>
      <c r="B1251" s="45">
        <f ca="1">IFERROR(__xludf.DUMMYFUNCTION("""COMPUTED_VALUE"""),46067.625)</f>
        <v>46067.625</v>
      </c>
      <c r="C1251" s="46">
        <f ca="1">IFERROR(__xludf.DUMMYFUNCTION("""COMPUTED_VALUE"""),1252)</f>
        <v>1252</v>
      </c>
      <c r="D1251" s="47" t="str">
        <f ca="1">IFERROR(__xludf.DUMMYFUNCTION("""COMPUTED_VALUE"""),"C0888")</f>
        <v>C0888</v>
      </c>
      <c r="E1251" s="46" t="str">
        <f ca="1">IFERROR(__xludf.DUMMYFUNCTION("""COMPUTED_VALUE"""),"THÁI HUỲNH TRÚC TÂM")</f>
        <v>THÁI HUỲNH TRÚC TÂM</v>
      </c>
      <c r="F1251" s="46" t="str">
        <f ca="1">IFERROR(__xludf.DUMMYFUNCTION("""COMPUTED_VALUE"""),"THAI HUYNH TRUC TAM")</f>
        <v>THAI HUYNH TRUC TAM</v>
      </c>
      <c r="G1251" s="45">
        <f ca="1">IFERROR(__xludf.DUMMYFUNCTION("""COMPUTED_VALUE"""),35714.5833333333)</f>
        <v>35714.583333333299</v>
      </c>
      <c r="H1251" s="45" t="str">
        <f ca="1">IFERROR(__xludf.DUMMYFUNCTION("""COMPUTED_VALUE"""),"TET")</f>
        <v>TET</v>
      </c>
      <c r="I1251" s="46" t="str">
        <f ca="1">IFERROR(__xludf.DUMMYFUNCTION("""COMPUTED_VALUE"""),"KITCHEN PASTRY")</f>
        <v>KITCHEN PASTRY</v>
      </c>
      <c r="J1251" s="46" t="str">
        <f ca="1">IFERROR(__xludf.DUMMYFUNCTION("""COMPUTED_VALUE"""),"KITCHEN PASTRY")</f>
        <v>KITCHEN PASTRY</v>
      </c>
      <c r="K1251" s="46" t="str">
        <f ca="1">IFERROR(__xludf.DUMMYFUNCTION("""COMPUTED_VALUE"""),"PACKAGING")</f>
        <v>PACKAGING</v>
      </c>
      <c r="L1251" s="46" t="str">
        <f ca="1">IFERROR(__xludf.DUMMYFUNCTION("""COMPUTED_VALUE"""),"PTE")</f>
        <v>PTE</v>
      </c>
      <c r="M1251" s="46" t="str">
        <f ca="1">IFERROR(__xludf.DUMMYFUNCTION("""COMPUTED_VALUE"""),"Leave")</f>
        <v>Leave</v>
      </c>
      <c r="N1251" s="46" t="str">
        <f ca="1">IFERROR(__xludf.DUMMYFUNCTION("""COMPUTED_VALUE"""),"Đủ")</f>
        <v>Đủ</v>
      </c>
    </row>
    <row r="1252" spans="1:14">
      <c r="A1252" s="45">
        <f ca="1">IFERROR(__xludf.DUMMYFUNCTION("""COMPUTED_VALUE"""),45988.625)</f>
        <v>45988.625</v>
      </c>
      <c r="B1252" s="45">
        <f ca="1">IFERROR(__xludf.DUMMYFUNCTION("""COMPUTED_VALUE"""),46067.625)</f>
        <v>46067.625</v>
      </c>
      <c r="C1252" s="46">
        <f ca="1">IFERROR(__xludf.DUMMYFUNCTION("""COMPUTED_VALUE"""),1253)</f>
        <v>1253</v>
      </c>
      <c r="D1252" s="47" t="str">
        <f ca="1">IFERROR(__xludf.DUMMYFUNCTION("""COMPUTED_VALUE"""),"C0867")</f>
        <v>C0867</v>
      </c>
      <c r="E1252" s="46" t="str">
        <f ca="1">IFERROR(__xludf.DUMMYFUNCTION("""COMPUTED_VALUE"""),"TRẦN HỒ QUỲNH HƯƠNG")</f>
        <v>TRẦN HỒ QUỲNH HƯƠNG</v>
      </c>
      <c r="F1252" s="46" t="str">
        <f ca="1">IFERROR(__xludf.DUMMYFUNCTION("""COMPUTED_VALUE"""),"TRAN HO QUYNH HUONG")</f>
        <v>TRAN HO QUYNH HUONG</v>
      </c>
      <c r="G1252" s="45">
        <f ca="1">IFERROR(__xludf.DUMMYFUNCTION("""COMPUTED_VALUE"""),37120.5833333333)</f>
        <v>37120.583333333299</v>
      </c>
      <c r="H1252" s="45" t="str">
        <f ca="1">IFERROR(__xludf.DUMMYFUNCTION("""COMPUTED_VALUE"""),"TET")</f>
        <v>TET</v>
      </c>
      <c r="I1252" s="46" t="str">
        <f ca="1">IFERROR(__xludf.DUMMYFUNCTION("""COMPUTED_VALUE"""),"KITCHEN PASTRY")</f>
        <v>KITCHEN PASTRY</v>
      </c>
      <c r="J1252" s="46" t="str">
        <f ca="1">IFERROR(__xludf.DUMMYFUNCTION("""COMPUTED_VALUE"""),"KITCHEN PASTRY")</f>
        <v>KITCHEN PASTRY</v>
      </c>
      <c r="K1252" s="46" t="str">
        <f ca="1">IFERROR(__xludf.DUMMYFUNCTION("""COMPUTED_VALUE"""),"PACKAGING")</f>
        <v>PACKAGING</v>
      </c>
      <c r="L1252" s="46" t="str">
        <f ca="1">IFERROR(__xludf.DUMMYFUNCTION("""COMPUTED_VALUE"""),"PTE")</f>
        <v>PTE</v>
      </c>
      <c r="M1252" s="46" t="str">
        <f ca="1">IFERROR(__xludf.DUMMYFUNCTION("""COMPUTED_VALUE"""),"Leave")</f>
        <v>Leave</v>
      </c>
      <c r="N1252" s="46" t="str">
        <f ca="1">IFERROR(__xludf.DUMMYFUNCTION("""COMPUTED_VALUE"""),"Đủ")</f>
        <v>Đủ</v>
      </c>
    </row>
    <row r="1253" spans="1:14">
      <c r="A1253" s="45">
        <f ca="1">IFERROR(__xludf.DUMMYFUNCTION("""COMPUTED_VALUE"""),45989.625)</f>
        <v>45989.625</v>
      </c>
      <c r="B1253" s="45"/>
      <c r="C1253" s="46">
        <f ca="1">IFERROR(__xludf.DUMMYFUNCTION("""COMPUTED_VALUE"""),1254)</f>
        <v>1254</v>
      </c>
      <c r="D1253" s="47" t="str">
        <f ca="1">IFERROR(__xludf.DUMMYFUNCTION("""COMPUTED_VALUE"""),"C1105")</f>
        <v>C1105</v>
      </c>
      <c r="E1253" s="46" t="str">
        <f ca="1">IFERROR(__xludf.DUMMYFUNCTION("""COMPUTED_VALUE"""),"LÔ QUỐC HÒA")</f>
        <v>LÔ QUỐC HÒA</v>
      </c>
      <c r="F1253" s="46" t="str">
        <f ca="1">IFERROR(__xludf.DUMMYFUNCTION("""COMPUTED_VALUE"""),"LO QUOC HOA")</f>
        <v>LO QUOC HOA</v>
      </c>
      <c r="G1253" s="45">
        <f ca="1">IFERROR(__xludf.DUMMYFUNCTION("""COMPUTED_VALUE"""),36190.625)</f>
        <v>36190.625</v>
      </c>
      <c r="H1253" s="45" t="str">
        <f ca="1">IFERROR(__xludf.DUMMYFUNCTION("""COMPUTED_VALUE"""),"BAKES")</f>
        <v>BAKES</v>
      </c>
      <c r="I1253" s="46" t="str">
        <f ca="1">IFERROR(__xludf.DUMMYFUNCTION("""COMPUTED_VALUE"""),"STORE")</f>
        <v>STORE</v>
      </c>
      <c r="J1253" s="46" t="str">
        <f ca="1">IFERROR(__xludf.DUMMYFUNCTION("""COMPUTED_VALUE"""),"BAKES D2")</f>
        <v>BAKES D2</v>
      </c>
      <c r="K1253" s="46" t="str">
        <f ca="1">IFERROR(__xludf.DUMMYFUNCTION("""COMPUTED_VALUE"""),"Management team")</f>
        <v>Management team</v>
      </c>
      <c r="L1253" s="46" t="str">
        <f ca="1">IFERROR(__xludf.DUMMYFUNCTION("""COMPUTED_VALUE"""),"FTE")</f>
        <v>FTE</v>
      </c>
      <c r="M1253" s="46" t="str">
        <f ca="1">IFERROR(__xludf.DUMMYFUNCTION("""COMPUTED_VALUE"""),"On")</f>
        <v>On</v>
      </c>
      <c r="N1253" s="46" t="str">
        <f ca="1">IFERROR(__xludf.DUMMYFUNCTION("""COMPUTED_VALUE"""),"Đủ")</f>
        <v>Đủ</v>
      </c>
    </row>
    <row r="1254" spans="1:14">
      <c r="A1254" s="45">
        <f ca="1">IFERROR(__xludf.DUMMYFUNCTION("""COMPUTED_VALUE"""),45999.625)</f>
        <v>45999.625</v>
      </c>
      <c r="B1254" s="45"/>
      <c r="C1254" s="46">
        <f ca="1">IFERROR(__xludf.DUMMYFUNCTION("""COMPUTED_VALUE"""),1255)</f>
        <v>1255</v>
      </c>
      <c r="D1254" s="47" t="str">
        <f ca="1">IFERROR(__xludf.DUMMYFUNCTION("""COMPUTED_VALUE"""),"C1095")</f>
        <v>C1095</v>
      </c>
      <c r="E1254" s="46" t="str">
        <f ca="1">IFERROR(__xludf.DUMMYFUNCTION("""COMPUTED_VALUE"""),"TRẦN LÊ THẢO NGUYÊN")</f>
        <v>TRẦN LÊ THẢO NGUYÊN</v>
      </c>
      <c r="F1254" s="46" t="str">
        <f ca="1">IFERROR(__xludf.DUMMYFUNCTION("""COMPUTED_VALUE"""),"TRAN LE THAO NGUYEN")</f>
        <v>TRAN LE THAO NGUYEN</v>
      </c>
      <c r="G1254" s="45">
        <f ca="1">IFERROR(__xludf.DUMMYFUNCTION("""COMPUTED_VALUE"""),36365.5833333333)</f>
        <v>36365.583333333299</v>
      </c>
      <c r="H1254" s="45" t="str">
        <f ca="1">IFERROR(__xludf.DUMMYFUNCTION("""COMPUTED_VALUE"""),"MATTE")</f>
        <v>MATTE</v>
      </c>
      <c r="I1254" s="46" t="str">
        <f ca="1">IFERROR(__xludf.DUMMYFUNCTION("""COMPUTED_VALUE"""),"STORE")</f>
        <v>STORE</v>
      </c>
      <c r="J1254" s="46" t="str">
        <f ca="1">IFERROR(__xludf.DUMMYFUNCTION("""COMPUTED_VALUE"""),"MATTE D1")</f>
        <v>MATTE D1</v>
      </c>
      <c r="K1254" s="46" t="str">
        <f ca="1">IFERROR(__xludf.DUMMYFUNCTION("""COMPUTED_VALUE"""),"Management team")</f>
        <v>Management team</v>
      </c>
      <c r="L1254" s="46" t="str">
        <f ca="1">IFERROR(__xludf.DUMMYFUNCTION("""COMPUTED_VALUE"""),"FTE")</f>
        <v>FTE</v>
      </c>
      <c r="M1254" s="46" t="str">
        <f ca="1">IFERROR(__xludf.DUMMYFUNCTION("""COMPUTED_VALUE"""),"On")</f>
        <v>On</v>
      </c>
      <c r="N1254" s="46" t="str">
        <f ca="1">IFERROR(__xludf.DUMMYFUNCTION("""COMPUTED_VALUE"""),"Đủ")</f>
        <v>Đủ</v>
      </c>
    </row>
    <row r="1255" spans="1:14">
      <c r="A1255" s="45">
        <f ca="1">IFERROR(__xludf.DUMMYFUNCTION("""COMPUTED_VALUE"""),45992.625)</f>
        <v>45992.625</v>
      </c>
      <c r="B1255" s="45">
        <f ca="1">IFERROR(__xludf.DUMMYFUNCTION("""COMPUTED_VALUE"""),46082.625)</f>
        <v>46082.625</v>
      </c>
      <c r="C1255" s="46">
        <f ca="1">IFERROR(__xludf.DUMMYFUNCTION("""COMPUTED_VALUE"""),1256)</f>
        <v>1256</v>
      </c>
      <c r="D1255" s="47" t="str">
        <f ca="1">IFERROR(__xludf.DUMMYFUNCTION("""COMPUTED_VALUE"""),"C1103")</f>
        <v>C1103</v>
      </c>
      <c r="E1255" s="46" t="str">
        <f ca="1">IFERROR(__xludf.DUMMYFUNCTION("""COMPUTED_VALUE"""),"TRẦN XUÂN CƯỜNG")</f>
        <v>TRẦN XUÂN CƯỜNG</v>
      </c>
      <c r="F1255" s="46" t="str">
        <f ca="1">IFERROR(__xludf.DUMMYFUNCTION("""COMPUTED_VALUE"""),"TRAN XUAN CUONG")</f>
        <v>TRAN XUAN CUONG</v>
      </c>
      <c r="G1255" s="45">
        <f ca="1">IFERROR(__xludf.DUMMYFUNCTION("""COMPUTED_VALUE"""),39302.5833333333)</f>
        <v>39302.583333333299</v>
      </c>
      <c r="H1255" s="45" t="str">
        <f ca="1">IFERROR(__xludf.DUMMYFUNCTION("""COMPUTED_VALUE"""),"BAKES")</f>
        <v>BAKES</v>
      </c>
      <c r="I1255" s="46" t="str">
        <f ca="1">IFERROR(__xludf.DUMMYFUNCTION("""COMPUTED_VALUE"""),"STORE")</f>
        <v>STORE</v>
      </c>
      <c r="J1255" s="46" t="str">
        <f ca="1">IFERROR(__xludf.DUMMYFUNCTION("""COMPUTED_VALUE"""),"BAKES D2")</f>
        <v>BAKES D2</v>
      </c>
      <c r="K1255" s="46" t="str">
        <f ca="1">IFERROR(__xludf.DUMMYFUNCTION("""COMPUTED_VALUE"""),"WAITSTAFF")</f>
        <v>WAITSTAFF</v>
      </c>
      <c r="L1255" s="46" t="str">
        <f ca="1">IFERROR(__xludf.DUMMYFUNCTION("""COMPUTED_VALUE"""),"PTEP")</f>
        <v>PTEP</v>
      </c>
      <c r="M1255" s="46" t="str">
        <f ca="1">IFERROR(__xludf.DUMMYFUNCTION("""COMPUTED_VALUE"""),"Leave")</f>
        <v>Leave</v>
      </c>
      <c r="N1255" s="46" t="str">
        <f ca="1">IFERROR(__xludf.DUMMYFUNCTION("""COMPUTED_VALUE"""),"chua nop")</f>
        <v>chua nop</v>
      </c>
    </row>
    <row r="1256" spans="1:14">
      <c r="A1256" s="45">
        <f ca="1">IFERROR(__xludf.DUMMYFUNCTION("""COMPUTED_VALUE"""),45993.625)</f>
        <v>45993.625</v>
      </c>
      <c r="B1256" s="45"/>
      <c r="C1256" s="46">
        <f ca="1">IFERROR(__xludf.DUMMYFUNCTION("""COMPUTED_VALUE"""),1257)</f>
        <v>1257</v>
      </c>
      <c r="D1256" s="47" t="str">
        <f ca="1">IFERROR(__xludf.DUMMYFUNCTION("""COMPUTED_VALUE"""),"C1104")</f>
        <v>C1104</v>
      </c>
      <c r="E1256" s="46" t="str">
        <f ca="1">IFERROR(__xludf.DUMMYFUNCTION("""COMPUTED_VALUE"""),"NGUYỄN THỊ MINH TUYẾN")</f>
        <v>NGUYỄN THỊ MINH TUYẾN</v>
      </c>
      <c r="F1256" s="46" t="str">
        <f ca="1">IFERROR(__xludf.DUMMYFUNCTION("""COMPUTED_VALUE"""),"NGUYEN THI MINH TUYEN")</f>
        <v>NGUYEN THI MINH TUYEN</v>
      </c>
      <c r="G1256" s="45">
        <f ca="1">IFERROR(__xludf.DUMMYFUNCTION("""COMPUTED_VALUE"""),34428.5833333333)</f>
        <v>34428.583333333299</v>
      </c>
      <c r="H1256" s="45" t="str">
        <f ca="1">IFERROR(__xludf.DUMMYFUNCTION("""COMPUTED_VALUE"""),"TLC")</f>
        <v>TLC</v>
      </c>
      <c r="I1256" s="46" t="str">
        <f ca="1">IFERROR(__xludf.DUMMYFUNCTION("""COMPUTED_VALUE"""),"HO")</f>
        <v>HO</v>
      </c>
      <c r="J1256" s="46" t="str">
        <f ca="1">IFERROR(__xludf.DUMMYFUNCTION("""COMPUTED_VALUE"""),"PRO")</f>
        <v>PRO</v>
      </c>
      <c r="K1256" s="46" t="str">
        <f ca="1">IFERROR(__xludf.DUMMYFUNCTION("""COMPUTED_VALUE"""),"PRO")</f>
        <v>PRO</v>
      </c>
      <c r="L1256" s="46" t="str">
        <f ca="1">IFERROR(__xludf.DUMMYFUNCTION("""COMPUTED_VALUE"""),"FTE")</f>
        <v>FTE</v>
      </c>
      <c r="M1256" s="46" t="str">
        <f ca="1">IFERROR(__xludf.DUMMYFUNCTION("""COMPUTED_VALUE"""),"On")</f>
        <v>On</v>
      </c>
      <c r="N1256" s="46" t="str">
        <f ca="1">IFERROR(__xludf.DUMMYFUNCTION("""COMPUTED_VALUE"""),"Đủ")</f>
        <v>Đủ</v>
      </c>
    </row>
    <row r="1257" spans="1:14">
      <c r="A1257" s="45">
        <f ca="1">IFERROR(__xludf.DUMMYFUNCTION("""COMPUTED_VALUE"""),45992.625)</f>
        <v>45992.625</v>
      </c>
      <c r="B1257" s="45">
        <f ca="1">IFERROR(__xludf.DUMMYFUNCTION("""COMPUTED_VALUE"""),46027.625)</f>
        <v>46027.625</v>
      </c>
      <c r="C1257" s="46">
        <f ca="1">IFERROR(__xludf.DUMMYFUNCTION("""COMPUTED_VALUE"""),1258)</f>
        <v>1258</v>
      </c>
      <c r="D1257" s="47" t="str">
        <f ca="1">IFERROR(__xludf.DUMMYFUNCTION("""COMPUTED_VALUE"""),"C0955")</f>
        <v>C0955</v>
      </c>
      <c r="E1257" s="46" t="str">
        <f ca="1">IFERROR(__xludf.DUMMYFUNCTION("""COMPUTED_VALUE"""),"LÊ THU HUYỀN")</f>
        <v>LÊ THU HUYỀN</v>
      </c>
      <c r="F1257" s="46" t="str">
        <f ca="1">IFERROR(__xludf.DUMMYFUNCTION("""COMPUTED_VALUE"""),"LE THU HUYEN")</f>
        <v>LE THU HUYEN</v>
      </c>
      <c r="G1257" s="45">
        <f ca="1">IFERROR(__xludf.DUMMYFUNCTION("""COMPUTED_VALUE"""),33121.5833333333)</f>
        <v>33121.583333333299</v>
      </c>
      <c r="H1257" s="45" t="str">
        <f ca="1">IFERROR(__xludf.DUMMYFUNCTION("""COMPUTED_VALUE"""),"TET")</f>
        <v>TET</v>
      </c>
      <c r="I1257" s="46" t="str">
        <f ca="1">IFERROR(__xludf.DUMMYFUNCTION("""COMPUTED_VALUE"""),"KITCHEN PASTRY")</f>
        <v>KITCHEN PASTRY</v>
      </c>
      <c r="J1257" s="46" t="str">
        <f ca="1">IFERROR(__xludf.DUMMYFUNCTION("""COMPUTED_VALUE"""),"KITCHEN PASTRY")</f>
        <v>KITCHEN PASTRY</v>
      </c>
      <c r="K1257" s="46" t="str">
        <f ca="1">IFERROR(__xludf.DUMMYFUNCTION("""COMPUTED_VALUE"""),"PACKAGING")</f>
        <v>PACKAGING</v>
      </c>
      <c r="L1257" s="46" t="str">
        <f ca="1">IFERROR(__xludf.DUMMYFUNCTION("""COMPUTED_VALUE"""),"PTEP")</f>
        <v>PTEP</v>
      </c>
      <c r="M1257" s="46" t="str">
        <f ca="1">IFERROR(__xludf.DUMMYFUNCTION("""COMPUTED_VALUE"""),"Leave")</f>
        <v>Leave</v>
      </c>
      <c r="N1257" s="46" t="str">
        <f ca="1">IFERROR(__xludf.DUMMYFUNCTION("""COMPUTED_VALUE"""),"Đủ")</f>
        <v>Đủ</v>
      </c>
    </row>
    <row r="1258" spans="1:14">
      <c r="A1258" s="45">
        <f ca="1">IFERROR(__xludf.DUMMYFUNCTION("""COMPUTED_VALUE"""),45993.625)</f>
        <v>45993.625</v>
      </c>
      <c r="B1258" s="45">
        <f ca="1">IFERROR(__xludf.DUMMYFUNCTION("""COMPUTED_VALUE"""),46056.625)</f>
        <v>46056.625</v>
      </c>
      <c r="C1258" s="46">
        <f ca="1">IFERROR(__xludf.DUMMYFUNCTION("""COMPUTED_VALUE"""),1259)</f>
        <v>1259</v>
      </c>
      <c r="D1258" s="47" t="str">
        <f ca="1">IFERROR(__xludf.DUMMYFUNCTION("""COMPUTED_VALUE"""),"C0845")</f>
        <v>C0845</v>
      </c>
      <c r="E1258" s="46" t="str">
        <f ca="1">IFERROR(__xludf.DUMMYFUNCTION("""COMPUTED_VALUE"""),"NGUYỄN THỊ TRÚC LINH")</f>
        <v>NGUYỄN THỊ TRÚC LINH</v>
      </c>
      <c r="F1258" s="46" t="str">
        <f ca="1">IFERROR(__xludf.DUMMYFUNCTION("""COMPUTED_VALUE"""),"NGUYEN THI TRUC LINH")</f>
        <v>NGUYEN THI TRUC LINH</v>
      </c>
      <c r="G1258" s="45">
        <f ca="1">IFERROR(__xludf.DUMMYFUNCTION("""COMPUTED_VALUE"""),38518.5833333333)</f>
        <v>38518.583333333299</v>
      </c>
      <c r="H1258" s="45" t="str">
        <f ca="1">IFERROR(__xludf.DUMMYFUNCTION("""COMPUTED_VALUE"""),"TET")</f>
        <v>TET</v>
      </c>
      <c r="I1258" s="46" t="str">
        <f ca="1">IFERROR(__xludf.DUMMYFUNCTION("""COMPUTED_VALUE"""),"KITCHEN PASTRY")</f>
        <v>KITCHEN PASTRY</v>
      </c>
      <c r="J1258" s="46" t="str">
        <f ca="1">IFERROR(__xludf.DUMMYFUNCTION("""COMPUTED_VALUE"""),"KITCHEN PASTRY")</f>
        <v>KITCHEN PASTRY</v>
      </c>
      <c r="K1258" s="46" t="str">
        <f ca="1">IFERROR(__xludf.DUMMYFUNCTION("""COMPUTED_VALUE"""),"PASTRY")</f>
        <v>PASTRY</v>
      </c>
      <c r="L1258" s="46" t="str">
        <f ca="1">IFERROR(__xludf.DUMMYFUNCTION("""COMPUTED_VALUE"""),"PTEP")</f>
        <v>PTEP</v>
      </c>
      <c r="M1258" s="46" t="str">
        <f ca="1">IFERROR(__xludf.DUMMYFUNCTION("""COMPUTED_VALUE"""),"Leave")</f>
        <v>Leave</v>
      </c>
      <c r="N1258" s="46" t="str">
        <f ca="1">IFERROR(__xludf.DUMMYFUNCTION("""COMPUTED_VALUE"""),"đủ")</f>
        <v>đủ</v>
      </c>
    </row>
    <row r="1259" spans="1:14">
      <c r="A1259" s="45">
        <f ca="1">IFERROR(__xludf.DUMMYFUNCTION("""COMPUTED_VALUE"""),45992.625)</f>
        <v>45992.625</v>
      </c>
      <c r="B1259" s="45">
        <f ca="1">IFERROR(__xludf.DUMMYFUNCTION("""COMPUTED_VALUE"""),46056.625)</f>
        <v>46056.625</v>
      </c>
      <c r="C1259" s="46">
        <f ca="1">IFERROR(__xludf.DUMMYFUNCTION("""COMPUTED_VALUE"""),1260)</f>
        <v>1260</v>
      </c>
      <c r="D1259" s="47" t="str">
        <f ca="1">IFERROR(__xludf.DUMMYFUNCTION("""COMPUTED_VALUE"""),"C0870")</f>
        <v>C0870</v>
      </c>
      <c r="E1259" s="46" t="str">
        <f ca="1">IFERROR(__xludf.DUMMYFUNCTION("""COMPUTED_VALUE"""),"LÊ HOÀNG ANH KIỆT")</f>
        <v>LÊ HOÀNG ANH KIỆT</v>
      </c>
      <c r="F1259" s="46" t="str">
        <f ca="1">IFERROR(__xludf.DUMMYFUNCTION("""COMPUTED_VALUE"""),"LE HOANG ANH KIET")</f>
        <v>LE HOANG ANH KIET</v>
      </c>
      <c r="G1259" s="45">
        <f ca="1">IFERROR(__xludf.DUMMYFUNCTION("""COMPUTED_VALUE"""),37818.5833333333)</f>
        <v>37818.583333333299</v>
      </c>
      <c r="H1259" s="45" t="str">
        <f ca="1">IFERROR(__xludf.DUMMYFUNCTION("""COMPUTED_VALUE"""),"TET")</f>
        <v>TET</v>
      </c>
      <c r="I1259" s="46" t="str">
        <f ca="1">IFERROR(__xludf.DUMMYFUNCTION("""COMPUTED_VALUE"""),"KITCHEN PASTRY")</f>
        <v>KITCHEN PASTRY</v>
      </c>
      <c r="J1259" s="46" t="str">
        <f ca="1">IFERROR(__xludf.DUMMYFUNCTION("""COMPUTED_VALUE"""),"KITCHEN PASTRY")</f>
        <v>KITCHEN PASTRY</v>
      </c>
      <c r="K1259" s="46" t="str">
        <f ca="1">IFERROR(__xludf.DUMMYFUNCTION("""COMPUTED_VALUE"""),"PASTRY")</f>
        <v>PASTRY</v>
      </c>
      <c r="L1259" s="46" t="str">
        <f ca="1">IFERROR(__xludf.DUMMYFUNCTION("""COMPUTED_VALUE"""),"PTE")</f>
        <v>PTE</v>
      </c>
      <c r="M1259" s="46" t="str">
        <f ca="1">IFERROR(__xludf.DUMMYFUNCTION("""COMPUTED_VALUE"""),"Leave")</f>
        <v>Leave</v>
      </c>
      <c r="N1259" s="46" t="str">
        <f ca="1">IFERROR(__xludf.DUMMYFUNCTION("""COMPUTED_VALUE"""),"đủ")</f>
        <v>đủ</v>
      </c>
    </row>
    <row r="1260" spans="1:14">
      <c r="A1260" s="45">
        <f ca="1">IFERROR(__xludf.DUMMYFUNCTION("""COMPUTED_VALUE"""),45992.625)</f>
        <v>45992.625</v>
      </c>
      <c r="B1260" s="45">
        <f ca="1">IFERROR(__xludf.DUMMYFUNCTION("""COMPUTED_VALUE"""),46067.625)</f>
        <v>46067.625</v>
      </c>
      <c r="C1260" s="46">
        <f ca="1">IFERROR(__xludf.DUMMYFUNCTION("""COMPUTED_VALUE"""),1261)</f>
        <v>1261</v>
      </c>
      <c r="D1260" s="47" t="str">
        <f ca="1">IFERROR(__xludf.DUMMYFUNCTION("""COMPUTED_VALUE"""),"C1111")</f>
        <v>C1111</v>
      </c>
      <c r="E1260" s="46" t="str">
        <f ca="1">IFERROR(__xludf.DUMMYFUNCTION("""COMPUTED_VALUE"""),"HUỲNH DƯƠNG GIA HÂN")</f>
        <v>HUỲNH DƯƠNG GIA HÂN</v>
      </c>
      <c r="F1260" s="46" t="str">
        <f ca="1">IFERROR(__xludf.DUMMYFUNCTION("""COMPUTED_VALUE"""),"HUYNH DUONG GIA HAN")</f>
        <v>HUYNH DUONG GIA HAN</v>
      </c>
      <c r="G1260" s="45">
        <f ca="1">IFERROR(__xludf.DUMMYFUNCTION("""COMPUTED_VALUE"""),38327.625)</f>
        <v>38327.625</v>
      </c>
      <c r="H1260" s="45" t="str">
        <f ca="1">IFERROR(__xludf.DUMMYFUNCTION("""COMPUTED_VALUE"""),"TET")</f>
        <v>TET</v>
      </c>
      <c r="I1260" s="46" t="str">
        <f ca="1">IFERROR(__xludf.DUMMYFUNCTION("""COMPUTED_VALUE"""),"KITCHEN PASTRY")</f>
        <v>KITCHEN PASTRY</v>
      </c>
      <c r="J1260" s="46" t="str">
        <f ca="1">IFERROR(__xludf.DUMMYFUNCTION("""COMPUTED_VALUE"""),"KITCHEN PASTRY")</f>
        <v>KITCHEN PASTRY</v>
      </c>
      <c r="K1260" s="46" t="str">
        <f ca="1">IFERROR(__xludf.DUMMYFUNCTION("""COMPUTED_VALUE"""),"PACKAGING")</f>
        <v>PACKAGING</v>
      </c>
      <c r="L1260" s="46" t="str">
        <f ca="1">IFERROR(__xludf.DUMMYFUNCTION("""COMPUTED_VALUE"""),"PTE")</f>
        <v>PTE</v>
      </c>
      <c r="M1260" s="46" t="str">
        <f ca="1">IFERROR(__xludf.DUMMYFUNCTION("""COMPUTED_VALUE"""),"Leave")</f>
        <v>Leave</v>
      </c>
      <c r="N1260" s="46" t="str">
        <f ca="1">IFERROR(__xludf.DUMMYFUNCTION("""COMPUTED_VALUE"""),"Đủ")</f>
        <v>Đủ</v>
      </c>
    </row>
    <row r="1261" spans="1:14">
      <c r="A1261" s="45">
        <f ca="1">IFERROR(__xludf.DUMMYFUNCTION("""COMPUTED_VALUE"""),45992.625)</f>
        <v>45992.625</v>
      </c>
      <c r="B1261" s="45">
        <f ca="1">IFERROR(__xludf.DUMMYFUNCTION("""COMPUTED_VALUE"""),46067.625)</f>
        <v>46067.625</v>
      </c>
      <c r="C1261" s="46">
        <f ca="1">IFERROR(__xludf.DUMMYFUNCTION("""COMPUTED_VALUE"""),1262)</f>
        <v>1262</v>
      </c>
      <c r="D1261" s="47" t="str">
        <f ca="1">IFERROR(__xludf.DUMMYFUNCTION("""COMPUTED_VALUE"""),"C1112")</f>
        <v>C1112</v>
      </c>
      <c r="E1261" s="46" t="str">
        <f ca="1">IFERROR(__xludf.DUMMYFUNCTION("""COMPUTED_VALUE"""),"NGUYỄN THỊ HUYỀN")</f>
        <v>NGUYỄN THỊ HUYỀN</v>
      </c>
      <c r="F1261" s="46" t="str">
        <f ca="1">IFERROR(__xludf.DUMMYFUNCTION("""COMPUTED_VALUE"""),"NGUYEN THI HUYEN")</f>
        <v>NGUYEN THI HUYEN</v>
      </c>
      <c r="G1261" s="45">
        <f ca="1">IFERROR(__xludf.DUMMYFUNCTION("""COMPUTED_VALUE"""),37652.625)</f>
        <v>37652.625</v>
      </c>
      <c r="H1261" s="45" t="str">
        <f ca="1">IFERROR(__xludf.DUMMYFUNCTION("""COMPUTED_VALUE"""),"TET")</f>
        <v>TET</v>
      </c>
      <c r="I1261" s="46" t="str">
        <f ca="1">IFERROR(__xludf.DUMMYFUNCTION("""COMPUTED_VALUE"""),"KITCHEN PASTRY")</f>
        <v>KITCHEN PASTRY</v>
      </c>
      <c r="J1261" s="46" t="str">
        <f ca="1">IFERROR(__xludf.DUMMYFUNCTION("""COMPUTED_VALUE"""),"KITCHEN PASTRY")</f>
        <v>KITCHEN PASTRY</v>
      </c>
      <c r="K1261" s="46" t="str">
        <f ca="1">IFERROR(__xludf.DUMMYFUNCTION("""COMPUTED_VALUE"""),"PACKAGING")</f>
        <v>PACKAGING</v>
      </c>
      <c r="L1261" s="46" t="str">
        <f ca="1">IFERROR(__xludf.DUMMYFUNCTION("""COMPUTED_VALUE"""),"PTE")</f>
        <v>PTE</v>
      </c>
      <c r="M1261" s="46" t="str">
        <f ca="1">IFERROR(__xludf.DUMMYFUNCTION("""COMPUTED_VALUE"""),"Leave")</f>
        <v>Leave</v>
      </c>
      <c r="N1261" s="46" t="str">
        <f ca="1">IFERROR(__xludf.DUMMYFUNCTION("""COMPUTED_VALUE"""),"Đủ")</f>
        <v>Đủ</v>
      </c>
    </row>
    <row r="1262" spans="1:14">
      <c r="A1262" s="45">
        <f ca="1">IFERROR(__xludf.DUMMYFUNCTION("""COMPUTED_VALUE"""),45992.625)</f>
        <v>45992.625</v>
      </c>
      <c r="B1262" s="45">
        <f ca="1">IFERROR(__xludf.DUMMYFUNCTION("""COMPUTED_VALUE"""),46067.625)</f>
        <v>46067.625</v>
      </c>
      <c r="C1262" s="46">
        <f ca="1">IFERROR(__xludf.DUMMYFUNCTION("""COMPUTED_VALUE"""),1263)</f>
        <v>1263</v>
      </c>
      <c r="D1262" s="47" t="str">
        <f ca="1">IFERROR(__xludf.DUMMYFUNCTION("""COMPUTED_VALUE"""),"C1113")</f>
        <v>C1113</v>
      </c>
      <c r="E1262" s="46" t="str">
        <f ca="1">IFERROR(__xludf.DUMMYFUNCTION("""COMPUTED_VALUE"""),"ĐẶNG LÊ HỒNG PHÚC")</f>
        <v>ĐẶNG LÊ HỒNG PHÚC</v>
      </c>
      <c r="F1262" s="46" t="str">
        <f ca="1">IFERROR(__xludf.DUMMYFUNCTION("""COMPUTED_VALUE"""),"DANG LE HONG PHUC")</f>
        <v>DANG LE HONG PHUC</v>
      </c>
      <c r="G1262" s="45">
        <f ca="1">IFERROR(__xludf.DUMMYFUNCTION("""COMPUTED_VALUE"""),45815.5833333333)</f>
        <v>45815.583333333299</v>
      </c>
      <c r="H1262" s="45" t="str">
        <f ca="1">IFERROR(__xludf.DUMMYFUNCTION("""COMPUTED_VALUE"""),"TET")</f>
        <v>TET</v>
      </c>
      <c r="I1262" s="46" t="str">
        <f ca="1">IFERROR(__xludf.DUMMYFUNCTION("""COMPUTED_VALUE"""),"KITCHEN PASTRY")</f>
        <v>KITCHEN PASTRY</v>
      </c>
      <c r="J1262" s="46" t="str">
        <f ca="1">IFERROR(__xludf.DUMMYFUNCTION("""COMPUTED_VALUE"""),"KITCHEN PASTRY")</f>
        <v>KITCHEN PASTRY</v>
      </c>
      <c r="K1262" s="46" t="str">
        <f ca="1">IFERROR(__xludf.DUMMYFUNCTION("""COMPUTED_VALUE"""),"PACKAGING")</f>
        <v>PACKAGING</v>
      </c>
      <c r="L1262" s="46" t="str">
        <f ca="1">IFERROR(__xludf.DUMMYFUNCTION("""COMPUTED_VALUE"""),"PTE")</f>
        <v>PTE</v>
      </c>
      <c r="M1262" s="46" t="str">
        <f ca="1">IFERROR(__xludf.DUMMYFUNCTION("""COMPUTED_VALUE"""),"Leave")</f>
        <v>Leave</v>
      </c>
      <c r="N1262" s="46" t="str">
        <f ca="1">IFERROR(__xludf.DUMMYFUNCTION("""COMPUTED_VALUE"""),"Đủ")</f>
        <v>Đủ</v>
      </c>
    </row>
    <row r="1263" spans="1:14">
      <c r="A1263" s="45">
        <f ca="1">IFERROR(__xludf.DUMMYFUNCTION("""COMPUTED_VALUE"""),45993.625)</f>
        <v>45993.625</v>
      </c>
      <c r="B1263" s="45">
        <f ca="1">IFERROR(__xludf.DUMMYFUNCTION("""COMPUTED_VALUE"""),46004.625)</f>
        <v>46004.625</v>
      </c>
      <c r="C1263" s="46">
        <f ca="1">IFERROR(__xludf.DUMMYFUNCTION("""COMPUTED_VALUE"""),1264)</f>
        <v>1264</v>
      </c>
      <c r="D1263" s="47" t="str">
        <f ca="1">IFERROR(__xludf.DUMMYFUNCTION("""COMPUTED_VALUE"""),"C1115")</f>
        <v>C1115</v>
      </c>
      <c r="E1263" s="46" t="str">
        <f ca="1">IFERROR(__xludf.DUMMYFUNCTION("""COMPUTED_VALUE"""),"ĐINH NGUYỄN HOÀNG THẢO NHI")</f>
        <v>ĐINH NGUYỄN HOÀNG THẢO NHI</v>
      </c>
      <c r="F1263" s="46" t="str">
        <f ca="1">IFERROR(__xludf.DUMMYFUNCTION("""COMPUTED_VALUE"""),"DINH NGUYEN HOANG THAO NHI")</f>
        <v>DINH NGUYEN HOANG THAO NHI</v>
      </c>
      <c r="G1263" s="45">
        <f ca="1">IFERROR(__xludf.DUMMYFUNCTION("""COMPUTED_VALUE"""),37714.625)</f>
        <v>37714.625</v>
      </c>
      <c r="H1263" s="45" t="str">
        <f ca="1">IFERROR(__xludf.DUMMYFUNCTION("""COMPUTED_VALUE"""),"MATTE")</f>
        <v>MATTE</v>
      </c>
      <c r="I1263" s="46" t="str">
        <f ca="1">IFERROR(__xludf.DUMMYFUNCTION("""COMPUTED_VALUE"""),"STORE")</f>
        <v>STORE</v>
      </c>
      <c r="J1263" s="46" t="str">
        <f ca="1">IFERROR(__xludf.DUMMYFUNCTION("""COMPUTED_VALUE"""),"MATTE D3")</f>
        <v>MATTE D3</v>
      </c>
      <c r="K1263" s="46" t="str">
        <f ca="1">IFERROR(__xludf.DUMMYFUNCTION("""COMPUTED_VALUE"""),"BAR")</f>
        <v>BAR</v>
      </c>
      <c r="L1263" s="46" t="str">
        <f ca="1">IFERROR(__xludf.DUMMYFUNCTION("""COMPUTED_VALUE"""),"PTEP")</f>
        <v>PTEP</v>
      </c>
      <c r="M1263" s="46" t="str">
        <f ca="1">IFERROR(__xludf.DUMMYFUNCTION("""COMPUTED_VALUE"""),"Leave")</f>
        <v>Leave</v>
      </c>
      <c r="N1263" s="46" t="str">
        <f ca="1">IFERROR(__xludf.DUMMYFUNCTION("""COMPUTED_VALUE"""),"Đủ")</f>
        <v>Đủ</v>
      </c>
    </row>
    <row r="1264" spans="1:14">
      <c r="A1264" s="45">
        <f ca="1">IFERROR(__xludf.DUMMYFUNCTION("""COMPUTED_VALUE"""),45993.625)</f>
        <v>45993.625</v>
      </c>
      <c r="B1264" s="45">
        <f ca="1">IFERROR(__xludf.DUMMYFUNCTION("""COMPUTED_VALUE"""),46017.625)</f>
        <v>46017.625</v>
      </c>
      <c r="C1264" s="46">
        <f ca="1">IFERROR(__xludf.DUMMYFUNCTION("""COMPUTED_VALUE"""),1265)</f>
        <v>1265</v>
      </c>
      <c r="D1264" s="47" t="str">
        <f ca="1">IFERROR(__xludf.DUMMYFUNCTION("""COMPUTED_VALUE"""),"C0387")</f>
        <v>C0387</v>
      </c>
      <c r="E1264" s="46" t="str">
        <f ca="1">IFERROR(__xludf.DUMMYFUNCTION("""COMPUTED_VALUE"""),"TRẦN VŨ NGỌC THẢO")</f>
        <v>TRẦN VŨ NGỌC THẢO</v>
      </c>
      <c r="F1264" s="46" t="str">
        <f ca="1">IFERROR(__xludf.DUMMYFUNCTION("""COMPUTED_VALUE"""),"TRAN VU NGOC THAO")</f>
        <v>TRAN VU NGOC THAO</v>
      </c>
      <c r="G1264" s="45">
        <f ca="1">IFERROR(__xludf.DUMMYFUNCTION("""COMPUTED_VALUE"""),33163.5833333333)</f>
        <v>33163.583333333299</v>
      </c>
      <c r="H1264" s="45" t="str">
        <f ca="1">IFERROR(__xludf.DUMMYFUNCTION("""COMPUTED_VALUE"""),"XMAS")</f>
        <v>XMAS</v>
      </c>
      <c r="I1264" s="46" t="str">
        <f ca="1">IFERROR(__xludf.DUMMYFUNCTION("""COMPUTED_VALUE"""),"KITCHEN PASTRY")</f>
        <v>KITCHEN PASTRY</v>
      </c>
      <c r="J1264" s="46" t="str">
        <f ca="1">IFERROR(__xludf.DUMMYFUNCTION("""COMPUTED_VALUE"""),"KITCHEN PASTRY")</f>
        <v>KITCHEN PASTRY</v>
      </c>
      <c r="K1264" s="46" t="str">
        <f ca="1">IFERROR(__xludf.DUMMYFUNCTION("""COMPUTED_VALUE"""),"PASTRY")</f>
        <v>PASTRY</v>
      </c>
      <c r="L1264" s="46" t="str">
        <f ca="1">IFERROR(__xludf.DUMMYFUNCTION("""COMPUTED_VALUE"""),"PTEP")</f>
        <v>PTEP</v>
      </c>
      <c r="M1264" s="46" t="str">
        <f ca="1">IFERROR(__xludf.DUMMYFUNCTION("""COMPUTED_VALUE"""),"Leave")</f>
        <v>Leave</v>
      </c>
      <c r="N1264" s="46" t="str">
        <f ca="1">IFERROR(__xludf.DUMMYFUNCTION("""COMPUTED_VALUE"""),"Đủ")</f>
        <v>Đủ</v>
      </c>
    </row>
    <row r="1265" spans="1:14">
      <c r="A1265" s="45">
        <f ca="1">IFERROR(__xludf.DUMMYFUNCTION("""COMPUTED_VALUE"""),45997.625)</f>
        <v>45997.625</v>
      </c>
      <c r="B1265" s="45">
        <f ca="1">IFERROR(__xludf.DUMMYFUNCTION("""COMPUTED_VALUE"""),46010.625)</f>
        <v>46010.625</v>
      </c>
      <c r="C1265" s="46">
        <f ca="1">IFERROR(__xludf.DUMMYFUNCTION("""COMPUTED_VALUE"""),1266)</f>
        <v>1266</v>
      </c>
      <c r="D1265" s="47" t="str">
        <f ca="1">IFERROR(__xludf.DUMMYFUNCTION("""COMPUTED_VALUE"""),"C1122")</f>
        <v>C1122</v>
      </c>
      <c r="E1265" s="46" t="str">
        <f ca="1">IFERROR(__xludf.DUMMYFUNCTION("""COMPUTED_VALUE"""),"HUỲNH THỊ THẢO TRANG")</f>
        <v>HUỲNH THỊ THẢO TRANG</v>
      </c>
      <c r="F1265" s="46" t="str">
        <f ca="1">IFERROR(__xludf.DUMMYFUNCTION("""COMPUTED_VALUE"""),"HUYNH THI THAO TRANG")</f>
        <v>HUYNH THI THAO TRANG</v>
      </c>
      <c r="G1265" s="45">
        <f ca="1">IFERROR(__xludf.DUMMYFUNCTION("""COMPUTED_VALUE"""),38872.5833333333)</f>
        <v>38872.583333333299</v>
      </c>
      <c r="H1265" s="45" t="str">
        <f ca="1">IFERROR(__xludf.DUMMYFUNCTION("""COMPUTED_VALUE"""),"MATTE")</f>
        <v>MATTE</v>
      </c>
      <c r="I1265" s="46" t="str">
        <f ca="1">IFERROR(__xludf.DUMMYFUNCTION("""COMPUTED_VALUE"""),"STORE")</f>
        <v>STORE</v>
      </c>
      <c r="J1265" s="46" t="str">
        <f ca="1">IFERROR(__xludf.DUMMYFUNCTION("""COMPUTED_VALUE"""),"MATTE D7")</f>
        <v>MATTE D7</v>
      </c>
      <c r="K1265" s="46" t="str">
        <f ca="1">IFERROR(__xludf.DUMMYFUNCTION("""COMPUTED_VALUE"""),"BAR")</f>
        <v>BAR</v>
      </c>
      <c r="L1265" s="46" t="str">
        <f ca="1">IFERROR(__xludf.DUMMYFUNCTION("""COMPUTED_VALUE"""),"PTEP")</f>
        <v>PTEP</v>
      </c>
      <c r="M1265" s="46" t="str">
        <f ca="1">IFERROR(__xludf.DUMMYFUNCTION("""COMPUTED_VALUE"""),"Leave")</f>
        <v>Leave</v>
      </c>
      <c r="N1265" s="46" t="str">
        <f ca="1">IFERROR(__xludf.DUMMYFUNCTION("""COMPUTED_VALUE"""),"Đủ")</f>
        <v>Đủ</v>
      </c>
    </row>
    <row r="1266" spans="1:14">
      <c r="A1266" s="45">
        <f ca="1">IFERROR(__xludf.DUMMYFUNCTION("""COMPUTED_VALUE"""),45999.625)</f>
        <v>45999.625</v>
      </c>
      <c r="B1266" s="45">
        <f ca="1">IFERROR(__xludf.DUMMYFUNCTION("""COMPUTED_VALUE"""),46062.625)</f>
        <v>46062.625</v>
      </c>
      <c r="C1266" s="46">
        <f ca="1">IFERROR(__xludf.DUMMYFUNCTION("""COMPUTED_VALUE"""),1267)</f>
        <v>1267</v>
      </c>
      <c r="D1266" s="47" t="str">
        <f ca="1">IFERROR(__xludf.DUMMYFUNCTION("""COMPUTED_VALUE"""),"C1125")</f>
        <v>C1125</v>
      </c>
      <c r="E1266" s="46" t="str">
        <f ca="1">IFERROR(__xludf.DUMMYFUNCTION("""COMPUTED_VALUE"""),"HUỲNH NGÔ ANH THƯ")</f>
        <v>HUỲNH NGÔ ANH THƯ</v>
      </c>
      <c r="F1266" s="46" t="str">
        <f ca="1">IFERROR(__xludf.DUMMYFUNCTION("""COMPUTED_VALUE"""),"HUYNH NGO ANH THU")</f>
        <v>HUYNH NGO ANH THU</v>
      </c>
      <c r="G1266" s="45">
        <f ca="1">IFERROR(__xludf.DUMMYFUNCTION("""COMPUTED_VALUE"""),38246.5833333333)</f>
        <v>38246.583333333299</v>
      </c>
      <c r="H1266" s="45" t="str">
        <f ca="1">IFERROR(__xludf.DUMMYFUNCTION("""COMPUTED_VALUE"""),"MATTE")</f>
        <v>MATTE</v>
      </c>
      <c r="I1266" s="46" t="str">
        <f ca="1">IFERROR(__xludf.DUMMYFUNCTION("""COMPUTED_VALUE"""),"STORE")</f>
        <v>STORE</v>
      </c>
      <c r="J1266" s="46" t="str">
        <f ca="1">IFERROR(__xludf.DUMMYFUNCTION("""COMPUTED_VALUE"""),"MATTE D3")</f>
        <v>MATTE D3</v>
      </c>
      <c r="K1266" s="46" t="str">
        <f ca="1">IFERROR(__xludf.DUMMYFUNCTION("""COMPUTED_VALUE"""),"BAR")</f>
        <v>BAR</v>
      </c>
      <c r="L1266" s="46" t="str">
        <f ca="1">IFERROR(__xludf.DUMMYFUNCTION("""COMPUTED_VALUE"""),"PTEP")</f>
        <v>PTEP</v>
      </c>
      <c r="M1266" s="46" t="str">
        <f ca="1">IFERROR(__xludf.DUMMYFUNCTION("""COMPUTED_VALUE"""),"Leave")</f>
        <v>Leave</v>
      </c>
      <c r="N1266" s="46" t="str">
        <f ca="1">IFERROR(__xludf.DUMMYFUNCTION("""COMPUTED_VALUE"""),"Đủ")</f>
        <v>Đủ</v>
      </c>
    </row>
    <row r="1267" spans="1:14">
      <c r="A1267" s="45">
        <f ca="1">IFERROR(__xludf.DUMMYFUNCTION("""COMPUTED_VALUE"""),45996.625)</f>
        <v>45996.625</v>
      </c>
      <c r="B1267" s="45">
        <f ca="1">IFERROR(__xludf.DUMMYFUNCTION("""COMPUTED_VALUE"""),46067.625)</f>
        <v>46067.625</v>
      </c>
      <c r="C1267" s="46">
        <f ca="1">IFERROR(__xludf.DUMMYFUNCTION("""COMPUTED_VALUE"""),1268)</f>
        <v>1268</v>
      </c>
      <c r="D1267" s="47" t="str">
        <f ca="1">IFERROR(__xludf.DUMMYFUNCTION("""COMPUTED_VALUE"""),"C1127")</f>
        <v>C1127</v>
      </c>
      <c r="E1267" s="46" t="str">
        <f ca="1">IFERROR(__xludf.DUMMYFUNCTION("""COMPUTED_VALUE"""),"NGUYỄN NGỌC NHƯ Ý")</f>
        <v>NGUYỄN NGỌC NHƯ Ý</v>
      </c>
      <c r="F1267" s="46" t="str">
        <f ca="1">IFERROR(__xludf.DUMMYFUNCTION("""COMPUTED_VALUE"""),"NGUYEN NGOC NHU Y")</f>
        <v>NGUYEN NGOC NHU Y</v>
      </c>
      <c r="G1267" s="45">
        <f ca="1">IFERROR(__xludf.DUMMYFUNCTION("""COMPUTED_VALUE"""),37645.625)</f>
        <v>37645.625</v>
      </c>
      <c r="H1267" s="45" t="str">
        <f ca="1">IFERROR(__xludf.DUMMYFUNCTION("""COMPUTED_VALUE"""),"TET")</f>
        <v>TET</v>
      </c>
      <c r="I1267" s="46" t="str">
        <f ca="1">IFERROR(__xludf.DUMMYFUNCTION("""COMPUTED_VALUE"""),"KITCHEN PASTRY")</f>
        <v>KITCHEN PASTRY</v>
      </c>
      <c r="J1267" s="46" t="str">
        <f ca="1">IFERROR(__xludf.DUMMYFUNCTION("""COMPUTED_VALUE"""),"KITCHEN PASTRY")</f>
        <v>KITCHEN PASTRY</v>
      </c>
      <c r="K1267" s="46" t="str">
        <f ca="1">IFERROR(__xludf.DUMMYFUNCTION("""COMPUTED_VALUE"""),"PACKAGING")</f>
        <v>PACKAGING</v>
      </c>
      <c r="L1267" s="46" t="str">
        <f ca="1">IFERROR(__xludf.DUMMYFUNCTION("""COMPUTED_VALUE"""),"PTEP")</f>
        <v>PTEP</v>
      </c>
      <c r="M1267" s="46" t="str">
        <f ca="1">IFERROR(__xludf.DUMMYFUNCTION("""COMPUTED_VALUE"""),"Leave")</f>
        <v>Leave</v>
      </c>
      <c r="N1267" s="46" t="str">
        <f ca="1">IFERROR(__xludf.DUMMYFUNCTION("""COMPUTED_VALUE"""),"Đủ")</f>
        <v>Đủ</v>
      </c>
    </row>
    <row r="1268" spans="1:14">
      <c r="A1268" s="45">
        <f ca="1">IFERROR(__xludf.DUMMYFUNCTION("""COMPUTED_VALUE"""),45996.625)</f>
        <v>45996.625</v>
      </c>
      <c r="B1268" s="45">
        <f ca="1">IFERROR(__xludf.DUMMYFUNCTION("""COMPUTED_VALUE"""),46017.625)</f>
        <v>46017.625</v>
      </c>
      <c r="C1268" s="46">
        <f ca="1">IFERROR(__xludf.DUMMYFUNCTION("""COMPUTED_VALUE"""),1269)</f>
        <v>1269</v>
      </c>
      <c r="D1268" s="47" t="str">
        <f ca="1">IFERROR(__xludf.DUMMYFUNCTION("""COMPUTED_VALUE"""),"C0823")</f>
        <v>C0823</v>
      </c>
      <c r="E1268" s="46" t="str">
        <f ca="1">IFERROR(__xludf.DUMMYFUNCTION("""COMPUTED_VALUE"""),"NGUYỄN ĐÌNH MINH HOÀNG")</f>
        <v>NGUYỄN ĐÌNH MINH HOÀNG</v>
      </c>
      <c r="F1268" s="46" t="str">
        <f ca="1">IFERROR(__xludf.DUMMYFUNCTION("""COMPUTED_VALUE"""),"NGUYEN DINH MINH HOANG")</f>
        <v>NGUYEN DINH MINH HOANG</v>
      </c>
      <c r="G1268" s="45">
        <f ca="1">IFERROR(__xludf.DUMMYFUNCTION("""COMPUTED_VALUE"""),38773.625)</f>
        <v>38773.625</v>
      </c>
      <c r="H1268" s="45" t="str">
        <f ca="1">IFERROR(__xludf.DUMMYFUNCTION("""COMPUTED_VALUE"""),"XMAS")</f>
        <v>XMAS</v>
      </c>
      <c r="I1268" s="46" t="str">
        <f ca="1">IFERROR(__xludf.DUMMYFUNCTION("""COMPUTED_VALUE"""),"KITCHEN PASTRY")</f>
        <v>KITCHEN PASTRY</v>
      </c>
      <c r="J1268" s="46" t="str">
        <f ca="1">IFERROR(__xludf.DUMMYFUNCTION("""COMPUTED_VALUE"""),"KITCHEN PASTRY")</f>
        <v>KITCHEN PASTRY</v>
      </c>
      <c r="K1268" s="46" t="str">
        <f ca="1">IFERROR(__xludf.DUMMYFUNCTION("""COMPUTED_VALUE"""),"PASTRY")</f>
        <v>PASTRY</v>
      </c>
      <c r="L1268" s="46" t="str">
        <f ca="1">IFERROR(__xludf.DUMMYFUNCTION("""COMPUTED_VALUE"""),"PTEP")</f>
        <v>PTEP</v>
      </c>
      <c r="M1268" s="46" t="str">
        <f ca="1">IFERROR(__xludf.DUMMYFUNCTION("""COMPUTED_VALUE"""),"Leave")</f>
        <v>Leave</v>
      </c>
      <c r="N1268" s="46" t="str">
        <f ca="1">IFERROR(__xludf.DUMMYFUNCTION("""COMPUTED_VALUE"""),"Đủ")</f>
        <v>Đủ</v>
      </c>
    </row>
    <row r="1269" spans="1:14">
      <c r="A1269" s="45">
        <f ca="1">IFERROR(__xludf.DUMMYFUNCTION("""COMPUTED_VALUE"""),45997.625)</f>
        <v>45997.625</v>
      </c>
      <c r="B1269" s="45"/>
      <c r="C1269" s="46">
        <f ca="1">IFERROR(__xludf.DUMMYFUNCTION("""COMPUTED_VALUE"""),1270)</f>
        <v>1270</v>
      </c>
      <c r="D1269" s="47" t="str">
        <f ca="1">IFERROR(__xludf.DUMMYFUNCTION("""COMPUTED_VALUE"""),"C1129")</f>
        <v>C1129</v>
      </c>
      <c r="E1269" s="46" t="str">
        <f ca="1">IFERROR(__xludf.DUMMYFUNCTION("""COMPUTED_VALUE"""),"NGUYỄN HUY HOÀNG")</f>
        <v>NGUYỄN HUY HOÀNG</v>
      </c>
      <c r="F1269" s="46" t="str">
        <f ca="1">IFERROR(__xludf.DUMMYFUNCTION("""COMPUTED_VALUE"""),"NGUYEN HUY HOANG")</f>
        <v>NGUYEN HUY HOANG</v>
      </c>
      <c r="G1269" s="45">
        <f ca="1">IFERROR(__xludf.DUMMYFUNCTION("""COMPUTED_VALUE"""),37645.625)</f>
        <v>37645.625</v>
      </c>
      <c r="H1269" s="45" t="str">
        <f ca="1">IFERROR(__xludf.DUMMYFUNCTION("""COMPUTED_VALUE"""),"TLC")</f>
        <v>TLC</v>
      </c>
      <c r="I1269" s="46" t="str">
        <f ca="1">IFERROR(__xludf.DUMMYFUNCTION("""COMPUTED_VALUE"""),"STORE")</f>
        <v>STORE</v>
      </c>
      <c r="J1269" s="46" t="str">
        <f ca="1">IFERROR(__xludf.DUMMYFUNCTION("""COMPUTED_VALUE"""),"BLANK LOUNGE")</f>
        <v>BLANK LOUNGE</v>
      </c>
      <c r="K1269" s="46" t="str">
        <f ca="1">IFERROR(__xludf.DUMMYFUNCTION("""COMPUTED_VALUE"""),"KIT")</f>
        <v>KIT</v>
      </c>
      <c r="L1269" s="46" t="str">
        <f ca="1">IFERROR(__xludf.DUMMYFUNCTION("""COMPUTED_VALUE"""),"PTE")</f>
        <v>PTE</v>
      </c>
      <c r="M1269" s="46" t="str">
        <f ca="1">IFERROR(__xludf.DUMMYFUNCTION("""COMPUTED_VALUE"""),"On")</f>
        <v>On</v>
      </c>
      <c r="N1269" s="46" t="str">
        <f ca="1">IFERROR(__xludf.DUMMYFUNCTION("""COMPUTED_VALUE"""),"Đủ")</f>
        <v>Đủ</v>
      </c>
    </row>
    <row r="1270" spans="1:14">
      <c r="A1270" s="45">
        <f ca="1">IFERROR(__xludf.DUMMYFUNCTION("""COMPUTED_VALUE"""),46001.625)</f>
        <v>46001.625</v>
      </c>
      <c r="B1270" s="45">
        <f ca="1">IFERROR(__xludf.DUMMYFUNCTION("""COMPUTED_VALUE"""),46017.625)</f>
        <v>46017.625</v>
      </c>
      <c r="C1270" s="46">
        <f ca="1">IFERROR(__xludf.DUMMYFUNCTION("""COMPUTED_VALUE"""),1271)</f>
        <v>1271</v>
      </c>
      <c r="D1270" s="47" t="str">
        <f ca="1">IFERROR(__xludf.DUMMYFUNCTION("""COMPUTED_VALUE"""),"C1135")</f>
        <v>C1135</v>
      </c>
      <c r="E1270" s="46" t="str">
        <f ca="1">IFERROR(__xludf.DUMMYFUNCTION("""COMPUTED_VALUE"""),"ĐỖ KHÁNH TÙNG")</f>
        <v>ĐỖ KHÁNH TÙNG</v>
      </c>
      <c r="F1270" s="46" t="str">
        <f ca="1">IFERROR(__xludf.DUMMYFUNCTION("""COMPUTED_VALUE"""),"DO KHANH TUNG")</f>
        <v>DO KHANH TUNG</v>
      </c>
      <c r="G1270" s="45">
        <f ca="1">IFERROR(__xludf.DUMMYFUNCTION("""COMPUTED_VALUE"""),36889.625)</f>
        <v>36889.625</v>
      </c>
      <c r="H1270" s="45" t="str">
        <f ca="1">IFERROR(__xludf.DUMMYFUNCTION("""COMPUTED_VALUE"""),"XMAS")</f>
        <v>XMAS</v>
      </c>
      <c r="I1270" s="46" t="str">
        <f ca="1">IFERROR(__xludf.DUMMYFUNCTION("""COMPUTED_VALUE"""),"KITCHEN PASTRY")</f>
        <v>KITCHEN PASTRY</v>
      </c>
      <c r="J1270" s="46" t="str">
        <f ca="1">IFERROR(__xludf.DUMMYFUNCTION("""COMPUTED_VALUE"""),"KITCHEN PASTRY")</f>
        <v>KITCHEN PASTRY</v>
      </c>
      <c r="K1270" s="46" t="str">
        <f ca="1">IFERROR(__xludf.DUMMYFUNCTION("""COMPUTED_VALUE"""),"PASTRY")</f>
        <v>PASTRY</v>
      </c>
      <c r="L1270" s="46" t="str">
        <f ca="1">IFERROR(__xludf.DUMMYFUNCTION("""COMPUTED_VALUE"""),"PTEP")</f>
        <v>PTEP</v>
      </c>
      <c r="M1270" s="46" t="str">
        <f ca="1">IFERROR(__xludf.DUMMYFUNCTION("""COMPUTED_VALUE"""),"Leave")</f>
        <v>Leave</v>
      </c>
      <c r="N1270" s="46" t="str">
        <f ca="1">IFERROR(__xludf.DUMMYFUNCTION("""COMPUTED_VALUE"""),"Đủ")</f>
        <v>Đủ</v>
      </c>
    </row>
    <row r="1271" spans="1:14">
      <c r="A1271" s="45">
        <f ca="1">IFERROR(__xludf.DUMMYFUNCTION("""COMPUTED_VALUE"""),46001.625)</f>
        <v>46001.625</v>
      </c>
      <c r="B1271" s="45">
        <f ca="1">IFERROR(__xludf.DUMMYFUNCTION("""COMPUTED_VALUE"""),46017.625)</f>
        <v>46017.625</v>
      </c>
      <c r="C1271" s="46">
        <f ca="1">IFERROR(__xludf.DUMMYFUNCTION("""COMPUTED_VALUE"""),1272)</f>
        <v>1272</v>
      </c>
      <c r="D1271" s="47" t="str">
        <f ca="1">IFERROR(__xludf.DUMMYFUNCTION("""COMPUTED_VALUE"""),"C1136")</f>
        <v>C1136</v>
      </c>
      <c r="E1271" s="46" t="str">
        <f ca="1">IFERROR(__xludf.DUMMYFUNCTION("""COMPUTED_VALUE"""),"NGUYỄN MAI NGUYÊN")</f>
        <v>NGUYỄN MAI NGUYÊN</v>
      </c>
      <c r="F1271" s="46" t="str">
        <f ca="1">IFERROR(__xludf.DUMMYFUNCTION("""COMPUTED_VALUE"""),"NGUYEN MAI NGUYEN")</f>
        <v>NGUYEN MAI NGUYEN</v>
      </c>
      <c r="G1271" s="45">
        <f ca="1">IFERROR(__xludf.DUMMYFUNCTION("""COMPUTED_VALUE"""),37593.625)</f>
        <v>37593.625</v>
      </c>
      <c r="H1271" s="45" t="str">
        <f ca="1">IFERROR(__xludf.DUMMYFUNCTION("""COMPUTED_VALUE"""),"XMAS")</f>
        <v>XMAS</v>
      </c>
      <c r="I1271" s="46" t="str">
        <f ca="1">IFERROR(__xludf.DUMMYFUNCTION("""COMPUTED_VALUE"""),"KITCHEN PASTRY")</f>
        <v>KITCHEN PASTRY</v>
      </c>
      <c r="J1271" s="46" t="str">
        <f ca="1">IFERROR(__xludf.DUMMYFUNCTION("""COMPUTED_VALUE"""),"KITCHEN PASTRY")</f>
        <v>KITCHEN PASTRY</v>
      </c>
      <c r="K1271" s="46" t="str">
        <f ca="1">IFERROR(__xludf.DUMMYFUNCTION("""COMPUTED_VALUE"""),"PASTRY")</f>
        <v>PASTRY</v>
      </c>
      <c r="L1271" s="46" t="str">
        <f ca="1">IFERROR(__xludf.DUMMYFUNCTION("""COMPUTED_VALUE"""),"PTEP")</f>
        <v>PTEP</v>
      </c>
      <c r="M1271" s="46" t="str">
        <f ca="1">IFERROR(__xludf.DUMMYFUNCTION("""COMPUTED_VALUE"""),"Leave")</f>
        <v>Leave</v>
      </c>
      <c r="N1271" s="46" t="str">
        <f ca="1">IFERROR(__xludf.DUMMYFUNCTION("""COMPUTED_VALUE"""),"Đủ")</f>
        <v>Đủ</v>
      </c>
    </row>
    <row r="1272" spans="1:14">
      <c r="A1272" s="45">
        <f ca="1">IFERROR(__xludf.DUMMYFUNCTION("""COMPUTED_VALUE"""),46002.625)</f>
        <v>46002.625</v>
      </c>
      <c r="B1272" s="45">
        <f ca="1">IFERROR(__xludf.DUMMYFUNCTION("""COMPUTED_VALUE"""),46054.625)</f>
        <v>46054.625</v>
      </c>
      <c r="C1272" s="46">
        <f ca="1">IFERROR(__xludf.DUMMYFUNCTION("""COMPUTED_VALUE"""),1273)</f>
        <v>1273</v>
      </c>
      <c r="D1272" s="47" t="str">
        <f ca="1">IFERROR(__xludf.DUMMYFUNCTION("""COMPUTED_VALUE"""),"C1138")</f>
        <v>C1138</v>
      </c>
      <c r="E1272" s="46" t="str">
        <f ca="1">IFERROR(__xludf.DUMMYFUNCTION("""COMPUTED_VALUE"""),"HỒ ĐĂNG PHƯƠNG THẢO")</f>
        <v>HỒ ĐĂNG PHƯƠNG THẢO</v>
      </c>
      <c r="F1272" s="46" t="str">
        <f ca="1">IFERROR(__xludf.DUMMYFUNCTION("""COMPUTED_VALUE"""),"HO DANG PHUONG THAO")</f>
        <v>HO DANG PHUONG THAO</v>
      </c>
      <c r="G1272" s="45">
        <f ca="1">IFERROR(__xludf.DUMMYFUNCTION("""COMPUTED_VALUE"""),34262.5833333333)</f>
        <v>34262.583333333299</v>
      </c>
      <c r="H1272" s="45" t="str">
        <f ca="1">IFERROR(__xludf.DUMMYFUNCTION("""COMPUTED_VALUE"""),"BAKES")</f>
        <v>BAKES</v>
      </c>
      <c r="I1272" s="46" t="str">
        <f ca="1">IFERROR(__xludf.DUMMYFUNCTION("""COMPUTED_VALUE"""),"STORE")</f>
        <v>STORE</v>
      </c>
      <c r="J1272" s="46" t="str">
        <f ca="1">IFERROR(__xludf.DUMMYFUNCTION("""COMPUTED_VALUE"""),"BAKES D2")</f>
        <v>BAKES D2</v>
      </c>
      <c r="K1272" s="46" t="str">
        <f ca="1">IFERROR(__xludf.DUMMYFUNCTION("""COMPUTED_VALUE"""),"CASHIER")</f>
        <v>CASHIER</v>
      </c>
      <c r="L1272" s="46" t="str">
        <f ca="1">IFERROR(__xludf.DUMMYFUNCTION("""COMPUTED_VALUE"""),"PTEP")</f>
        <v>PTEP</v>
      </c>
      <c r="M1272" s="46" t="str">
        <f ca="1">IFERROR(__xludf.DUMMYFUNCTION("""COMPUTED_VALUE"""),"Leave")</f>
        <v>Leave</v>
      </c>
      <c r="N1272" s="46" t="str">
        <f ca="1">IFERROR(__xludf.DUMMYFUNCTION("""COMPUTED_VALUE"""),"Đủ")</f>
        <v>Đủ</v>
      </c>
    </row>
    <row r="1273" spans="1:14">
      <c r="A1273" s="45">
        <f ca="1">IFERROR(__xludf.DUMMYFUNCTION("""COMPUTED_VALUE"""),46002.625)</f>
        <v>46002.625</v>
      </c>
      <c r="B1273" s="45">
        <f ca="1">IFERROR(__xludf.DUMMYFUNCTION("""COMPUTED_VALUE"""),46054.625)</f>
        <v>46054.625</v>
      </c>
      <c r="C1273" s="46">
        <f ca="1">IFERROR(__xludf.DUMMYFUNCTION("""COMPUTED_VALUE"""),1274)</f>
        <v>1274</v>
      </c>
      <c r="D1273" s="47" t="str">
        <f ca="1">IFERROR(__xludf.DUMMYFUNCTION("""COMPUTED_VALUE"""),"C1133")</f>
        <v>C1133</v>
      </c>
      <c r="E1273" s="46" t="str">
        <f ca="1">IFERROR(__xludf.DUMMYFUNCTION("""COMPUTED_VALUE"""),"NGUYỄN THANH KIM NGÂN")</f>
        <v>NGUYỄN THANH KIM NGÂN</v>
      </c>
      <c r="F1273" s="46" t="str">
        <f ca="1">IFERROR(__xludf.DUMMYFUNCTION("""COMPUTED_VALUE"""),"NGUYEN THANH KIM NGAN")</f>
        <v>NGUYEN THANH KIM NGAN</v>
      </c>
      <c r="G1273" s="45">
        <f ca="1">IFERROR(__xludf.DUMMYFUNCTION("""COMPUTED_VALUE"""),39394.625)</f>
        <v>39394.625</v>
      </c>
      <c r="H1273" s="45" t="str">
        <f ca="1">IFERROR(__xludf.DUMMYFUNCTION("""COMPUTED_VALUE"""),"YESHI")</f>
        <v>YESHI</v>
      </c>
      <c r="I1273" s="46" t="str">
        <f ca="1">IFERROR(__xludf.DUMMYFUNCTION("""COMPUTED_VALUE"""),"STORE")</f>
        <v>STORE</v>
      </c>
      <c r="J1273" s="46" t="str">
        <f ca="1">IFERROR(__xludf.DUMMYFUNCTION("""COMPUTED_VALUE"""),"YESHI D3")</f>
        <v>YESHI D3</v>
      </c>
      <c r="K1273" s="46" t="str">
        <f ca="1">IFERROR(__xludf.DUMMYFUNCTION("""COMPUTED_VALUE"""),"WAITSTAFF")</f>
        <v>WAITSTAFF</v>
      </c>
      <c r="L1273" s="46" t="str">
        <f ca="1">IFERROR(__xludf.DUMMYFUNCTION("""COMPUTED_VALUE"""),"PTEP")</f>
        <v>PTEP</v>
      </c>
      <c r="M1273" s="46" t="str">
        <f ca="1">IFERROR(__xludf.DUMMYFUNCTION("""COMPUTED_VALUE"""),"Leave")</f>
        <v>Leave</v>
      </c>
      <c r="N1273" s="46" t="str">
        <f ca="1">IFERROR(__xludf.DUMMYFUNCTION("""COMPUTED_VALUE"""),"Đủ")</f>
        <v>Đủ</v>
      </c>
    </row>
    <row r="1274" spans="1:14">
      <c r="A1274" s="45">
        <f ca="1">IFERROR(__xludf.DUMMYFUNCTION("""COMPUTED_VALUE"""),46003.625)</f>
        <v>46003.625</v>
      </c>
      <c r="B1274" s="45">
        <f ca="1">IFERROR(__xludf.DUMMYFUNCTION("""COMPUTED_VALUE"""),46088.625)</f>
        <v>46088.625</v>
      </c>
      <c r="C1274" s="46">
        <f ca="1">IFERROR(__xludf.DUMMYFUNCTION("""COMPUTED_VALUE"""),1275)</f>
        <v>1275</v>
      </c>
      <c r="D1274" s="47" t="str">
        <f ca="1">IFERROR(__xludf.DUMMYFUNCTION("""COMPUTED_VALUE"""),"C1141")</f>
        <v>C1141</v>
      </c>
      <c r="E1274" s="46" t="str">
        <f ca="1">IFERROR(__xludf.DUMMYFUNCTION("""COMPUTED_VALUE"""),"KIM NHẬT THÀNH")</f>
        <v>KIM NHẬT THÀNH</v>
      </c>
      <c r="F1274" s="46" t="str">
        <f ca="1">IFERROR(__xludf.DUMMYFUNCTION("""COMPUTED_VALUE"""),"KIM NHAT THANH")</f>
        <v>KIM NHAT THANH</v>
      </c>
      <c r="G1274" s="45">
        <f ca="1">IFERROR(__xludf.DUMMYFUNCTION("""COMPUTED_VALUE"""),37146.5833333333)</f>
        <v>37146.583333333299</v>
      </c>
      <c r="H1274" s="45" t="str">
        <f ca="1">IFERROR(__xludf.DUMMYFUNCTION("""COMPUTED_VALUE"""),"TET")</f>
        <v>TET</v>
      </c>
      <c r="I1274" s="46" t="str">
        <f ca="1">IFERROR(__xludf.DUMMYFUNCTION("""COMPUTED_VALUE"""),"KITCHEN PASTRY")</f>
        <v>KITCHEN PASTRY</v>
      </c>
      <c r="J1274" s="46" t="str">
        <f ca="1">IFERROR(__xludf.DUMMYFUNCTION("""COMPUTED_VALUE"""),"KITCHEN PASTRY")</f>
        <v>KITCHEN PASTRY</v>
      </c>
      <c r="K1274" s="46" t="str">
        <f ca="1">IFERROR(__xludf.DUMMYFUNCTION("""COMPUTED_VALUE"""),"PASTRY")</f>
        <v>PASTRY</v>
      </c>
      <c r="L1274" s="46" t="str">
        <f ca="1">IFERROR(__xludf.DUMMYFUNCTION("""COMPUTED_VALUE"""),"PTEP")</f>
        <v>PTEP</v>
      </c>
      <c r="M1274" s="46" t="str">
        <f ca="1">IFERROR(__xludf.DUMMYFUNCTION("""COMPUTED_VALUE"""),"Leave")</f>
        <v>Leave</v>
      </c>
      <c r="N1274" s="46" t="str">
        <f ca="1">IFERROR(__xludf.DUMMYFUNCTION("""COMPUTED_VALUE"""),"Đủ")</f>
        <v>Đủ</v>
      </c>
    </row>
    <row r="1275" spans="1:14">
      <c r="A1275" s="45">
        <f ca="1">IFERROR(__xludf.DUMMYFUNCTION("""COMPUTED_VALUE"""),46002.625)</f>
        <v>46002.625</v>
      </c>
      <c r="B1275" s="45">
        <f ca="1">IFERROR(__xludf.DUMMYFUNCTION("""COMPUTED_VALUE"""),46088.625)</f>
        <v>46088.625</v>
      </c>
      <c r="C1275" s="46">
        <f ca="1">IFERROR(__xludf.DUMMYFUNCTION("""COMPUTED_VALUE"""),1276)</f>
        <v>1276</v>
      </c>
      <c r="D1275" s="47" t="str">
        <f ca="1">IFERROR(__xludf.DUMMYFUNCTION("""COMPUTED_VALUE"""),"C0809")</f>
        <v>C0809</v>
      </c>
      <c r="E1275" s="46" t="str">
        <f ca="1">IFERROR(__xludf.DUMMYFUNCTION("""COMPUTED_VALUE"""),"NGUYỄN VĂN SINH")</f>
        <v>NGUYỄN VĂN SINH</v>
      </c>
      <c r="F1275" s="46" t="str">
        <f ca="1">IFERROR(__xludf.DUMMYFUNCTION("""COMPUTED_VALUE"""),"NGUYEN VAN SINH")</f>
        <v>NGUYEN VAN SINH</v>
      </c>
      <c r="G1275" s="45">
        <f ca="1">IFERROR(__xludf.DUMMYFUNCTION("""COMPUTED_VALUE"""),37368.5833333333)</f>
        <v>37368.583333333299</v>
      </c>
      <c r="H1275" s="45" t="str">
        <f ca="1">IFERROR(__xludf.DUMMYFUNCTION("""COMPUTED_VALUE"""),"TET")</f>
        <v>TET</v>
      </c>
      <c r="I1275" s="46" t="str">
        <f ca="1">IFERROR(__xludf.DUMMYFUNCTION("""COMPUTED_VALUE"""),"KITCHEN PASTRY")</f>
        <v>KITCHEN PASTRY</v>
      </c>
      <c r="J1275" s="46" t="str">
        <f ca="1">IFERROR(__xludf.DUMMYFUNCTION("""COMPUTED_VALUE"""),"KITCHEN PASTRY")</f>
        <v>KITCHEN PASTRY</v>
      </c>
      <c r="K1275" s="46" t="str">
        <f ca="1">IFERROR(__xludf.DUMMYFUNCTION("""COMPUTED_VALUE"""),"PASTRY")</f>
        <v>PASTRY</v>
      </c>
      <c r="L1275" s="46" t="str">
        <f ca="1">IFERROR(__xludf.DUMMYFUNCTION("""COMPUTED_VALUE"""),"PTEP")</f>
        <v>PTEP</v>
      </c>
      <c r="M1275" s="46" t="str">
        <f ca="1">IFERROR(__xludf.DUMMYFUNCTION("""COMPUTED_VALUE"""),"Leave")</f>
        <v>Leave</v>
      </c>
      <c r="N1275" s="46" t="str">
        <f ca="1">IFERROR(__xludf.DUMMYFUNCTION("""COMPUTED_VALUE"""),"Đủ")</f>
        <v>Đủ</v>
      </c>
    </row>
    <row r="1276" spans="1:14">
      <c r="A1276" s="45">
        <f ca="1">IFERROR(__xludf.DUMMYFUNCTION("""COMPUTED_VALUE"""),46002.625)</f>
        <v>46002.625</v>
      </c>
      <c r="B1276" s="45">
        <f ca="1">IFERROR(__xludf.DUMMYFUNCTION("""COMPUTED_VALUE"""),46088.625)</f>
        <v>46088.625</v>
      </c>
      <c r="C1276" s="46">
        <f ca="1">IFERROR(__xludf.DUMMYFUNCTION("""COMPUTED_VALUE"""),1277)</f>
        <v>1277</v>
      </c>
      <c r="D1276" s="47" t="str">
        <f ca="1">IFERROR(__xludf.DUMMYFUNCTION("""COMPUTED_VALUE"""),"C1041")</f>
        <v>C1041</v>
      </c>
      <c r="E1276" s="46" t="str">
        <f ca="1">IFERROR(__xludf.DUMMYFUNCTION("""COMPUTED_VALUE"""),"TRẦN BÁ BỘI")</f>
        <v>TRẦN BÁ BỘI</v>
      </c>
      <c r="F1276" s="46" t="str">
        <f ca="1">IFERROR(__xludf.DUMMYFUNCTION("""COMPUTED_VALUE"""),"TRAN BA BOI")</f>
        <v>TRAN BA BOI</v>
      </c>
      <c r="G1276" s="45">
        <f ca="1">IFERROR(__xludf.DUMMYFUNCTION("""COMPUTED_VALUE"""),38603.5833333333)</f>
        <v>38603.583333333299</v>
      </c>
      <c r="H1276" s="45" t="str">
        <f ca="1">IFERROR(__xludf.DUMMYFUNCTION("""COMPUTED_VALUE"""),"TET")</f>
        <v>TET</v>
      </c>
      <c r="I1276" s="46" t="str">
        <f ca="1">IFERROR(__xludf.DUMMYFUNCTION("""COMPUTED_VALUE"""),"KITCHEN PASTRY")</f>
        <v>KITCHEN PASTRY</v>
      </c>
      <c r="J1276" s="46" t="str">
        <f ca="1">IFERROR(__xludf.DUMMYFUNCTION("""COMPUTED_VALUE"""),"KITCHEN PASTRY")</f>
        <v>KITCHEN PASTRY</v>
      </c>
      <c r="K1276" s="46" t="str">
        <f ca="1">IFERROR(__xludf.DUMMYFUNCTION("""COMPUTED_VALUE"""),"PASTRY")</f>
        <v>PASTRY</v>
      </c>
      <c r="L1276" s="46" t="str">
        <f ca="1">IFERROR(__xludf.DUMMYFUNCTION("""COMPUTED_VALUE"""),"PTEP")</f>
        <v>PTEP</v>
      </c>
      <c r="M1276" s="46" t="str">
        <f ca="1">IFERROR(__xludf.DUMMYFUNCTION("""COMPUTED_VALUE"""),"Leave")</f>
        <v>Leave</v>
      </c>
      <c r="N1276" s="46" t="str">
        <f ca="1">IFERROR(__xludf.DUMMYFUNCTION("""COMPUTED_VALUE"""),"Đủ")</f>
        <v>Đủ</v>
      </c>
    </row>
    <row r="1277" spans="1:14">
      <c r="A1277" s="45">
        <f ca="1">IFERROR(__xludf.DUMMYFUNCTION("""COMPUTED_VALUE"""),46003.625)</f>
        <v>46003.625</v>
      </c>
      <c r="B1277" s="45">
        <f ca="1">IFERROR(__xludf.DUMMYFUNCTION("""COMPUTED_VALUE"""),46102.5833333333)</f>
        <v>46102.583333333299</v>
      </c>
      <c r="C1277" s="46">
        <f ca="1">IFERROR(__xludf.DUMMYFUNCTION("""COMPUTED_VALUE"""),1278)</f>
        <v>1278</v>
      </c>
      <c r="D1277" s="47" t="str">
        <f ca="1">IFERROR(__xludf.DUMMYFUNCTION("""COMPUTED_VALUE"""),"C1154")</f>
        <v>C1154</v>
      </c>
      <c r="E1277" s="46" t="str">
        <f ca="1">IFERROR(__xludf.DUMMYFUNCTION("""COMPUTED_VALUE"""),"TRẦN HỒNG NGỌC")</f>
        <v>TRẦN HỒNG NGỌC</v>
      </c>
      <c r="F1277" s="46" t="str">
        <f ca="1">IFERROR(__xludf.DUMMYFUNCTION("""COMPUTED_VALUE"""),"TRAN HONG NGOC")</f>
        <v>TRAN HONG NGOC</v>
      </c>
      <c r="G1277" s="45">
        <f ca="1">IFERROR(__xludf.DUMMYFUNCTION("""COMPUTED_VALUE"""),38202.5833333333)</f>
        <v>38202.583333333299</v>
      </c>
      <c r="H1277" s="45" t="str">
        <f ca="1">IFERROR(__xludf.DUMMYFUNCTION("""COMPUTED_VALUE"""),"BAKES")</f>
        <v>BAKES</v>
      </c>
      <c r="I1277" s="46" t="str">
        <f ca="1">IFERROR(__xludf.DUMMYFUNCTION("""COMPUTED_VALUE"""),"STORE")</f>
        <v>STORE</v>
      </c>
      <c r="J1277" s="46" t="str">
        <f ca="1">IFERROR(__xludf.DUMMYFUNCTION("""COMPUTED_VALUE"""),"BAKES HCR")</f>
        <v>BAKES HCR</v>
      </c>
      <c r="K1277" s="46" t="str">
        <f ca="1">IFERROR(__xludf.DUMMYFUNCTION("""COMPUTED_VALUE"""),"WAITSTAFF")</f>
        <v>WAITSTAFF</v>
      </c>
      <c r="L1277" s="46" t="str">
        <f ca="1">IFERROR(__xludf.DUMMYFUNCTION("""COMPUTED_VALUE"""),"PTEP")</f>
        <v>PTEP</v>
      </c>
      <c r="M1277" s="46" t="str">
        <f ca="1">IFERROR(__xludf.DUMMYFUNCTION("""COMPUTED_VALUE"""),"Leave")</f>
        <v>Leave</v>
      </c>
      <c r="N1277" s="46" t="str">
        <f ca="1">IFERROR(__xludf.DUMMYFUNCTION("""COMPUTED_VALUE"""),"Đủ")</f>
        <v>Đủ</v>
      </c>
    </row>
    <row r="1278" spans="1:14">
      <c r="A1278" s="45">
        <f ca="1">IFERROR(__xludf.DUMMYFUNCTION("""COMPUTED_VALUE"""),46007.625)</f>
        <v>46007.625</v>
      </c>
      <c r="B1278" s="45">
        <f ca="1">IFERROR(__xludf.DUMMYFUNCTION("""COMPUTED_VALUE"""),46041.625)</f>
        <v>46041.625</v>
      </c>
      <c r="C1278" s="46">
        <f ca="1">IFERROR(__xludf.DUMMYFUNCTION("""COMPUTED_VALUE"""),1279)</f>
        <v>1279</v>
      </c>
      <c r="D1278" s="47" t="str">
        <f ca="1">IFERROR(__xludf.DUMMYFUNCTION("""COMPUTED_VALUE"""),"C1151")</f>
        <v>C1151</v>
      </c>
      <c r="E1278" s="46" t="str">
        <f ca="1">IFERROR(__xludf.DUMMYFUNCTION("""COMPUTED_VALUE"""),"NGUYỄN TUẤN SANG")</f>
        <v>NGUYỄN TUẤN SANG</v>
      </c>
      <c r="F1278" s="46" t="str">
        <f ca="1">IFERROR(__xludf.DUMMYFUNCTION("""COMPUTED_VALUE"""),"NGUYEN TUAN SANG")</f>
        <v>NGUYEN TUAN SANG</v>
      </c>
      <c r="G1278" s="45">
        <f ca="1">IFERROR(__xludf.DUMMYFUNCTION("""COMPUTED_VALUE"""),37538.5833333333)</f>
        <v>37538.583333333299</v>
      </c>
      <c r="H1278" s="45" t="str">
        <f ca="1">IFERROR(__xludf.DUMMYFUNCTION("""COMPUTED_VALUE"""),"BAKES")</f>
        <v>BAKES</v>
      </c>
      <c r="I1278" s="46" t="str">
        <f ca="1">IFERROR(__xludf.DUMMYFUNCTION("""COMPUTED_VALUE"""),"HO")</f>
        <v>HO</v>
      </c>
      <c r="J1278" s="46" t="str">
        <f ca="1">IFERROR(__xludf.DUMMYFUNCTION("""COMPUTED_VALUE"""),"BE")</f>
        <v>BE</v>
      </c>
      <c r="K1278" s="46" t="str">
        <f ca="1">IFERROR(__xludf.DUMMYFUNCTION("""COMPUTED_VALUE"""),"BE")</f>
        <v>BE</v>
      </c>
      <c r="L1278" s="46" t="str">
        <f ca="1">IFERROR(__xludf.DUMMYFUNCTION("""COMPUTED_VALUE"""),"PRO")</f>
        <v>PRO</v>
      </c>
      <c r="M1278" s="46" t="str">
        <f ca="1">IFERROR(__xludf.DUMMYFUNCTION("""COMPUTED_VALUE"""),"Leave")</f>
        <v>Leave</v>
      </c>
      <c r="N1278" s="46" t="str">
        <f ca="1">IFERROR(__xludf.DUMMYFUNCTION("""COMPUTED_VALUE"""),"Đủ")</f>
        <v>Đủ</v>
      </c>
    </row>
    <row r="1279" spans="1:14">
      <c r="A1279" s="45">
        <f ca="1">IFERROR(__xludf.DUMMYFUNCTION("""COMPUTED_VALUE"""),46006.625)</f>
        <v>46006.625</v>
      </c>
      <c r="B1279" s="45"/>
      <c r="C1279" s="46">
        <f ca="1">IFERROR(__xludf.DUMMYFUNCTION("""COMPUTED_VALUE"""),1280)</f>
        <v>1280</v>
      </c>
      <c r="D1279" s="47" t="str">
        <f ca="1">IFERROR(__xludf.DUMMYFUNCTION("""COMPUTED_VALUE"""),"C1150")</f>
        <v>C1150</v>
      </c>
      <c r="E1279" s="46" t="str">
        <f ca="1">IFERROR(__xludf.DUMMYFUNCTION("""COMPUTED_VALUE"""),"NGUYỄN ĐĂNG KHOA")</f>
        <v>NGUYỄN ĐĂNG KHOA</v>
      </c>
      <c r="F1279" s="46" t="str">
        <f ca="1">IFERROR(__xludf.DUMMYFUNCTION("""COMPUTED_VALUE"""),"NGUYEN DANG KHOA")</f>
        <v>NGUYEN DANG KHOA</v>
      </c>
      <c r="G1279" s="45">
        <f ca="1">IFERROR(__xludf.DUMMYFUNCTION("""COMPUTED_VALUE"""),35480.625)</f>
        <v>35480.625</v>
      </c>
      <c r="H1279" s="45" t="str">
        <f ca="1">IFERROR(__xludf.DUMMYFUNCTION("""COMPUTED_VALUE"""),"MATTE")</f>
        <v>MATTE</v>
      </c>
      <c r="I1279" s="46" t="str">
        <f ca="1">IFERROR(__xludf.DUMMYFUNCTION("""COMPUTED_VALUE"""),"STORE")</f>
        <v>STORE</v>
      </c>
      <c r="J1279" s="46" t="str">
        <f ca="1">IFERROR(__xludf.DUMMYFUNCTION("""COMPUTED_VALUE"""),"MATTE D7")</f>
        <v>MATTE D7</v>
      </c>
      <c r="K1279" s="46" t="str">
        <f ca="1">IFERROR(__xludf.DUMMYFUNCTION("""COMPUTED_VALUE"""),"Management team")</f>
        <v>Management team</v>
      </c>
      <c r="L1279" s="46" t="str">
        <f ca="1">IFERROR(__xludf.DUMMYFUNCTION("""COMPUTED_VALUE"""),"FTE")</f>
        <v>FTE</v>
      </c>
      <c r="M1279" s="46" t="str">
        <f ca="1">IFERROR(__xludf.DUMMYFUNCTION("""COMPUTED_VALUE"""),"On")</f>
        <v>On</v>
      </c>
      <c r="N1279" s="46" t="str">
        <f ca="1">IFERROR(__xludf.DUMMYFUNCTION("""COMPUTED_VALUE"""),"Đủ")</f>
        <v>Đủ</v>
      </c>
    </row>
    <row r="1280" spans="1:14">
      <c r="A1280" s="45">
        <f ca="1">IFERROR(__xludf.DUMMYFUNCTION("""COMPUTED_VALUE"""),46007.625)</f>
        <v>46007.625</v>
      </c>
      <c r="B1280" s="45">
        <f ca="1">IFERROR(__xludf.DUMMYFUNCTION("""COMPUTED_VALUE"""),46027.625)</f>
        <v>46027.625</v>
      </c>
      <c r="C1280" s="46">
        <f ca="1">IFERROR(__xludf.DUMMYFUNCTION("""COMPUTED_VALUE"""),1281)</f>
        <v>1281</v>
      </c>
      <c r="D1280" s="47" t="str">
        <f ca="1">IFERROR(__xludf.DUMMYFUNCTION("""COMPUTED_VALUE"""),"C1153")</f>
        <v>C1153</v>
      </c>
      <c r="E1280" s="46" t="str">
        <f ca="1">IFERROR(__xludf.DUMMYFUNCTION("""COMPUTED_VALUE"""),"NGUYỄN HẢI Ý NHI")</f>
        <v>NGUYỄN HẢI Ý NHI</v>
      </c>
      <c r="F1280" s="46" t="str">
        <f ca="1">IFERROR(__xludf.DUMMYFUNCTION("""COMPUTED_VALUE"""),"NGUYEN HAI Y NHI")</f>
        <v>NGUYEN HAI Y NHI</v>
      </c>
      <c r="G1280" s="45">
        <f ca="1">IFERROR(__xludf.DUMMYFUNCTION("""COMPUTED_VALUE"""),38182.5833333333)</f>
        <v>38182.583333333299</v>
      </c>
      <c r="H1280" s="45" t="str">
        <f ca="1">IFERROR(__xludf.DUMMYFUNCTION("""COMPUTED_VALUE"""),"BAKES")</f>
        <v>BAKES</v>
      </c>
      <c r="I1280" s="46" t="str">
        <f ca="1">IFERROR(__xludf.DUMMYFUNCTION("""COMPUTED_VALUE"""),"HO")</f>
        <v>HO</v>
      </c>
      <c r="J1280" s="46" t="str">
        <f ca="1">IFERROR(__xludf.DUMMYFUNCTION("""COMPUTED_VALUE"""),"PET")</f>
        <v>PET</v>
      </c>
      <c r="K1280" s="46" t="str">
        <f ca="1">IFERROR(__xludf.DUMMYFUNCTION("""COMPUTED_VALUE"""),"PET")</f>
        <v>PET</v>
      </c>
      <c r="L1280" s="46" t="str">
        <f ca="1">IFERROR(__xludf.DUMMYFUNCTION("""COMPUTED_VALUE"""),"PRO")</f>
        <v>PRO</v>
      </c>
      <c r="M1280" s="46" t="str">
        <f ca="1">IFERROR(__xludf.DUMMYFUNCTION("""COMPUTED_VALUE"""),"Leave")</f>
        <v>Leave</v>
      </c>
      <c r="N1280" s="46" t="str">
        <f ca="1">IFERROR(__xludf.DUMMYFUNCTION("""COMPUTED_VALUE"""),"Đủ")</f>
        <v>Đủ</v>
      </c>
    </row>
    <row r="1281" spans="1:14">
      <c r="A1281" s="45">
        <f ca="1">IFERROR(__xludf.DUMMYFUNCTION("""COMPUTED_VALUE"""),46007.625)</f>
        <v>46007.625</v>
      </c>
      <c r="B1281" s="45">
        <f ca="1">IFERROR(__xludf.DUMMYFUNCTION("""COMPUTED_VALUE"""),46082.625)</f>
        <v>46082.625</v>
      </c>
      <c r="C1281" s="46">
        <f ca="1">IFERROR(__xludf.DUMMYFUNCTION("""COMPUTED_VALUE"""),1282)</f>
        <v>1282</v>
      </c>
      <c r="D1281" s="47" t="str">
        <f ca="1">IFERROR(__xludf.DUMMYFUNCTION("""COMPUTED_VALUE"""),"C1152")</f>
        <v>C1152</v>
      </c>
      <c r="E1281" s="46" t="str">
        <f ca="1">IFERROR(__xludf.DUMMYFUNCTION("""COMPUTED_VALUE"""),"ĐẶNG QUANG HIỆP")</f>
        <v>ĐẶNG QUANG HIỆP</v>
      </c>
      <c r="F1281" s="46" t="str">
        <f ca="1">IFERROR(__xludf.DUMMYFUNCTION("""COMPUTED_VALUE"""),"DANG QUANG HIEP")</f>
        <v>DANG QUANG HIEP</v>
      </c>
      <c r="G1281" s="45">
        <f ca="1">IFERROR(__xludf.DUMMYFUNCTION("""COMPUTED_VALUE"""),37945.625)</f>
        <v>37945.625</v>
      </c>
      <c r="H1281" s="45" t="str">
        <f ca="1">IFERROR(__xludf.DUMMYFUNCTION("""COMPUTED_VALUE"""),"MATTE")</f>
        <v>MATTE</v>
      </c>
      <c r="I1281" s="46" t="str">
        <f ca="1">IFERROR(__xludf.DUMMYFUNCTION("""COMPUTED_VALUE"""),"STORE")</f>
        <v>STORE</v>
      </c>
      <c r="J1281" s="46" t="str">
        <f ca="1">IFERROR(__xludf.DUMMYFUNCTION("""COMPUTED_VALUE"""),"MATTE D1")</f>
        <v>MATTE D1</v>
      </c>
      <c r="K1281" s="46" t="str">
        <f ca="1">IFERROR(__xludf.DUMMYFUNCTION("""COMPUTED_VALUE"""),"BAR")</f>
        <v>BAR</v>
      </c>
      <c r="L1281" s="46" t="str">
        <f ca="1">IFERROR(__xludf.DUMMYFUNCTION("""COMPUTED_VALUE"""),"PTEP")</f>
        <v>PTEP</v>
      </c>
      <c r="M1281" s="46" t="str">
        <f ca="1">IFERROR(__xludf.DUMMYFUNCTION("""COMPUTED_VALUE"""),"Leave")</f>
        <v>Leave</v>
      </c>
      <c r="N1281" s="46" t="str">
        <f ca="1">IFERROR(__xludf.DUMMYFUNCTION("""COMPUTED_VALUE"""),"Đủ")</f>
        <v>Đủ</v>
      </c>
    </row>
    <row r="1282" spans="1:14">
      <c r="A1282" s="45">
        <f ca="1">IFERROR(__xludf.DUMMYFUNCTION("""COMPUTED_VALUE"""),46006.625)</f>
        <v>46006.625</v>
      </c>
      <c r="B1282" s="45">
        <f ca="1">IFERROR(__xludf.DUMMYFUNCTION("""COMPUTED_VALUE"""),46082.625)</f>
        <v>46082.625</v>
      </c>
      <c r="C1282" s="46">
        <f ca="1">IFERROR(__xludf.DUMMYFUNCTION("""COMPUTED_VALUE"""),1283)</f>
        <v>1283</v>
      </c>
      <c r="D1282" s="47" t="str">
        <f ca="1">IFERROR(__xludf.DUMMYFUNCTION("""COMPUTED_VALUE"""),"C1144")</f>
        <v>C1144</v>
      </c>
      <c r="E1282" s="46" t="str">
        <f ca="1">IFERROR(__xludf.DUMMYFUNCTION("""COMPUTED_VALUE"""),"CHUNG ĐẶNG MINH HOÀNG")</f>
        <v>CHUNG ĐẶNG MINH HOÀNG</v>
      </c>
      <c r="F1282" s="46" t="str">
        <f ca="1">IFERROR(__xludf.DUMMYFUNCTION("""COMPUTED_VALUE"""),"CHUNG DANG MINH HOANG")</f>
        <v>CHUNG DANG MINH HOANG</v>
      </c>
      <c r="G1282" s="45">
        <f ca="1">IFERROR(__xludf.DUMMYFUNCTION("""COMPUTED_VALUE"""),37571.625)</f>
        <v>37571.625</v>
      </c>
      <c r="H1282" s="45" t="str">
        <f ca="1">IFERROR(__xludf.DUMMYFUNCTION("""COMPUTED_VALUE"""),"KITCHEN PASTRY")</f>
        <v>KITCHEN PASTRY</v>
      </c>
      <c r="I1282" s="46" t="str">
        <f ca="1">IFERROR(__xludf.DUMMYFUNCTION("""COMPUTED_VALUE"""),"KITCHEN PASTRY")</f>
        <v>KITCHEN PASTRY</v>
      </c>
      <c r="J1282" s="46" t="str">
        <f ca="1">IFERROR(__xludf.DUMMYFUNCTION("""COMPUTED_VALUE"""),"KITCHEN PASTRY")</f>
        <v>KITCHEN PASTRY</v>
      </c>
      <c r="K1282" s="46" t="str">
        <f ca="1">IFERROR(__xludf.DUMMYFUNCTION("""COMPUTED_VALUE"""),"BAKER")</f>
        <v>BAKER</v>
      </c>
      <c r="L1282" s="46" t="str">
        <f ca="1">IFERROR(__xludf.DUMMYFUNCTION("""COMPUTED_VALUE"""),"PTEP")</f>
        <v>PTEP</v>
      </c>
      <c r="M1282" s="46" t="str">
        <f ca="1">IFERROR(__xludf.DUMMYFUNCTION("""COMPUTED_VALUE"""),"Leave")</f>
        <v>Leave</v>
      </c>
      <c r="N1282" s="46" t="str">
        <f ca="1">IFERROR(__xludf.DUMMYFUNCTION("""COMPUTED_VALUE"""),"Đủ")</f>
        <v>Đủ</v>
      </c>
    </row>
    <row r="1283" spans="1:14">
      <c r="A1283" s="45">
        <f ca="1">IFERROR(__xludf.DUMMYFUNCTION("""COMPUTED_VALUE"""),46007.625)</f>
        <v>46007.625</v>
      </c>
      <c r="B1283" s="45">
        <f ca="1">IFERROR(__xludf.DUMMYFUNCTION("""COMPUTED_VALUE"""),46106.5833333333)</f>
        <v>46106.583333333299</v>
      </c>
      <c r="C1283" s="46">
        <f ca="1">IFERROR(__xludf.DUMMYFUNCTION("""COMPUTED_VALUE"""),1284)</f>
        <v>1284</v>
      </c>
      <c r="D1283" s="47" t="str">
        <f ca="1">IFERROR(__xludf.DUMMYFUNCTION("""COMPUTED_VALUE"""),"C1146")</f>
        <v>C1146</v>
      </c>
      <c r="E1283" s="46" t="str">
        <f ca="1">IFERROR(__xludf.DUMMYFUNCTION("""COMPUTED_VALUE"""),"LÊ QUỲNH GIẢNG UYÊN")</f>
        <v>LÊ QUỲNH GIẢNG UYÊN</v>
      </c>
      <c r="F1283" s="46" t="str">
        <f ca="1">IFERROR(__xludf.DUMMYFUNCTION("""COMPUTED_VALUE"""),"LE QUYNH GIANG UYEN")</f>
        <v>LE QUYNH GIANG UYEN</v>
      </c>
      <c r="G1283" s="45">
        <f ca="1">IFERROR(__xludf.DUMMYFUNCTION("""COMPUTED_VALUE"""),38337.625)</f>
        <v>38337.625</v>
      </c>
      <c r="H1283" s="45" t="str">
        <f ca="1">IFERROR(__xludf.DUMMYFUNCTION("""COMPUTED_VALUE"""),"BAKES")</f>
        <v>BAKES</v>
      </c>
      <c r="I1283" s="46" t="str">
        <f ca="1">IFERROR(__xludf.DUMMYFUNCTION("""COMPUTED_VALUE"""),"HO")</f>
        <v>HO</v>
      </c>
      <c r="J1283" s="46" t="str">
        <f ca="1">IFERROR(__xludf.DUMMYFUNCTION("""COMPUTED_VALUE"""),"BE")</f>
        <v>BE</v>
      </c>
      <c r="K1283" s="46" t="str">
        <f ca="1">IFERROR(__xludf.DUMMYFUNCTION("""COMPUTED_VALUE"""),"BE")</f>
        <v>BE</v>
      </c>
      <c r="L1283" s="46" t="str">
        <f ca="1">IFERROR(__xludf.DUMMYFUNCTION("""COMPUTED_VALUE"""),"SER")</f>
        <v>SER</v>
      </c>
      <c r="M1283" s="46" t="str">
        <f ca="1">IFERROR(__xludf.DUMMYFUNCTION("""COMPUTED_VALUE"""),"Leave")</f>
        <v>Leave</v>
      </c>
      <c r="N1283" s="46" t="str">
        <f ca="1">IFERROR(__xludf.DUMMYFUNCTION("""COMPUTED_VALUE"""),"Đủ")</f>
        <v>Đủ</v>
      </c>
    </row>
    <row r="1284" spans="1:14">
      <c r="A1284" s="45">
        <f ca="1">IFERROR(__xludf.DUMMYFUNCTION("""COMPUTED_VALUE"""),46006.625)</f>
        <v>46006.625</v>
      </c>
      <c r="B1284" s="45">
        <f ca="1">IFERROR(__xludf.DUMMYFUNCTION("""COMPUTED_VALUE"""),46069.625)</f>
        <v>46069.625</v>
      </c>
      <c r="C1284" s="46">
        <f ca="1">IFERROR(__xludf.DUMMYFUNCTION("""COMPUTED_VALUE"""),1285)</f>
        <v>1285</v>
      </c>
      <c r="D1284" s="47" t="str">
        <f ca="1">IFERROR(__xludf.DUMMYFUNCTION("""COMPUTED_VALUE"""),"C1148")</f>
        <v>C1148</v>
      </c>
      <c r="E1284" s="46" t="str">
        <f ca="1">IFERROR(__xludf.DUMMYFUNCTION("""COMPUTED_VALUE"""),"NGUYỄN MINH NHỰT")</f>
        <v>NGUYỄN MINH NHỰT</v>
      </c>
      <c r="F1284" s="46" t="str">
        <f ca="1">IFERROR(__xludf.DUMMYFUNCTION("""COMPUTED_VALUE"""),"NGUYEN MINH NHUT")</f>
        <v>NGUYEN MINH NHUT</v>
      </c>
      <c r="G1284" s="45">
        <f ca="1">IFERROR(__xludf.DUMMYFUNCTION("""COMPUTED_VALUE"""),37534.5833333333)</f>
        <v>37534.583333333299</v>
      </c>
      <c r="H1284" s="45" t="str">
        <f ca="1">IFERROR(__xludf.DUMMYFUNCTION("""COMPUTED_VALUE"""),"MATTE")</f>
        <v>MATTE</v>
      </c>
      <c r="I1284" s="46" t="str">
        <f ca="1">IFERROR(__xludf.DUMMYFUNCTION("""COMPUTED_VALUE"""),"STORE")</f>
        <v>STORE</v>
      </c>
      <c r="J1284" s="46" t="str">
        <f ca="1">IFERROR(__xludf.DUMMYFUNCTION("""COMPUTED_VALUE"""),"MATTE D3")</f>
        <v>MATTE D3</v>
      </c>
      <c r="K1284" s="46" t="str">
        <f ca="1">IFERROR(__xludf.DUMMYFUNCTION("""COMPUTED_VALUE"""),"Management team")</f>
        <v>Management team</v>
      </c>
      <c r="L1284" s="46" t="str">
        <f ca="1">IFERROR(__xludf.DUMMYFUNCTION("""COMPUTED_VALUE"""),"PRO")</f>
        <v>PRO</v>
      </c>
      <c r="M1284" s="46" t="str">
        <f ca="1">IFERROR(__xludf.DUMMYFUNCTION("""COMPUTED_VALUE"""),"Leave")</f>
        <v>Leave</v>
      </c>
      <c r="N1284" s="46" t="str">
        <f ca="1">IFERROR(__xludf.DUMMYFUNCTION("""COMPUTED_VALUE"""),"Đủ")</f>
        <v>Đủ</v>
      </c>
    </row>
    <row r="1285" spans="1:14">
      <c r="A1285" s="45">
        <f ca="1">IFERROR(__xludf.DUMMYFUNCTION("""COMPUTED_VALUE"""),46013.625)</f>
        <v>46013.625</v>
      </c>
      <c r="B1285" s="45">
        <f ca="1">IFERROR(__xludf.DUMMYFUNCTION("""COMPUTED_VALUE"""),46062.625)</f>
        <v>46062.625</v>
      </c>
      <c r="C1285" s="46">
        <f ca="1">IFERROR(__xludf.DUMMYFUNCTION("""COMPUTED_VALUE"""),1286)</f>
        <v>1286</v>
      </c>
      <c r="D1285" s="47" t="str">
        <f ca="1">IFERROR(__xludf.DUMMYFUNCTION("""COMPUTED_VALUE"""),"C1159")</f>
        <v>C1159</v>
      </c>
      <c r="E1285" s="46" t="str">
        <f ca="1">IFERROR(__xludf.DUMMYFUNCTION("""COMPUTED_VALUE"""),"TRẦN THỊ CẨM TÚ")</f>
        <v>TRẦN THỊ CẨM TÚ</v>
      </c>
      <c r="F1285" s="46" t="str">
        <f ca="1">IFERROR(__xludf.DUMMYFUNCTION("""COMPUTED_VALUE"""),"TRAN THI CAM TU")</f>
        <v>TRAN THI CAM TU</v>
      </c>
      <c r="G1285" s="45">
        <f ca="1">IFERROR(__xludf.DUMMYFUNCTION("""COMPUTED_VALUE"""),38814.5833333333)</f>
        <v>38814.583333333299</v>
      </c>
      <c r="H1285" s="45" t="str">
        <f ca="1">IFERROR(__xludf.DUMMYFUNCTION("""COMPUTED_VALUE"""),"BAKES")</f>
        <v>BAKES</v>
      </c>
      <c r="I1285" s="46" t="str">
        <f ca="1">IFERROR(__xludf.DUMMYFUNCTION("""COMPUTED_VALUE"""),"STORE")</f>
        <v>STORE</v>
      </c>
      <c r="J1285" s="46" t="str">
        <f ca="1">IFERROR(__xludf.DUMMYFUNCTION("""COMPUTED_VALUE"""),"BAKES D7")</f>
        <v>BAKES D7</v>
      </c>
      <c r="K1285" s="46" t="str">
        <f ca="1">IFERROR(__xludf.DUMMYFUNCTION("""COMPUTED_VALUE"""),"BAR")</f>
        <v>BAR</v>
      </c>
      <c r="L1285" s="46" t="str">
        <f ca="1">IFERROR(__xludf.DUMMYFUNCTION("""COMPUTED_VALUE"""),"PTEP")</f>
        <v>PTEP</v>
      </c>
      <c r="M1285" s="46" t="str">
        <f ca="1">IFERROR(__xludf.DUMMYFUNCTION("""COMPUTED_VALUE"""),"Leave")</f>
        <v>Leave</v>
      </c>
      <c r="N1285" s="46" t="str">
        <f ca="1">IFERROR(__xludf.DUMMYFUNCTION("""COMPUTED_VALUE"""),"Đủ")</f>
        <v>Đủ</v>
      </c>
    </row>
    <row r="1286" spans="1:14">
      <c r="A1286" s="45">
        <f ca="1">IFERROR(__xludf.DUMMYFUNCTION("""COMPUTED_VALUE"""),46013.625)</f>
        <v>46013.625</v>
      </c>
      <c r="B1286" s="45">
        <f ca="1">IFERROR(__xludf.DUMMYFUNCTION("""COMPUTED_VALUE"""),46153.5833333333)</f>
        <v>46153.583333333299</v>
      </c>
      <c r="C1286" s="46">
        <f ca="1">IFERROR(__xludf.DUMMYFUNCTION("""COMPUTED_VALUE"""),1287)</f>
        <v>1287</v>
      </c>
      <c r="D1286" s="47" t="str">
        <f ca="1">IFERROR(__xludf.DUMMYFUNCTION("""COMPUTED_VALUE"""),"C1147")</f>
        <v>C1147</v>
      </c>
      <c r="E1286" s="46" t="str">
        <f ca="1">IFERROR(__xludf.DUMMYFUNCTION("""COMPUTED_VALUE"""),"ĐẶNG THỊ NGỌC TRÂM")</f>
        <v>ĐẶNG THỊ NGỌC TRÂM</v>
      </c>
      <c r="F1286" s="46" t="str">
        <f ca="1">IFERROR(__xludf.DUMMYFUNCTION("""COMPUTED_VALUE"""),"DANG THI NGOC TRAM")</f>
        <v>DANG THI NGOC TRAM</v>
      </c>
      <c r="G1286" s="45">
        <f ca="1">IFERROR(__xludf.DUMMYFUNCTION("""COMPUTED_VALUE"""),36829.625)</f>
        <v>36829.625</v>
      </c>
      <c r="H1286" s="45" t="str">
        <f ca="1">IFERROR(__xludf.DUMMYFUNCTION("""COMPUTED_VALUE"""),"MATTE")</f>
        <v>MATTE</v>
      </c>
      <c r="I1286" s="46" t="str">
        <f ca="1">IFERROR(__xludf.DUMMYFUNCTION("""COMPUTED_VALUE"""),"STORE")</f>
        <v>STORE</v>
      </c>
      <c r="J1286" s="46" t="str">
        <f ca="1">IFERROR(__xludf.DUMMYFUNCTION("""COMPUTED_VALUE"""),"MATTE D7")</f>
        <v>MATTE D7</v>
      </c>
      <c r="K1286" s="46" t="str">
        <f ca="1">IFERROR(__xludf.DUMMYFUNCTION("""COMPUTED_VALUE"""),"Management team")</f>
        <v>Management team</v>
      </c>
      <c r="L1286" s="46" t="str">
        <f ca="1">IFERROR(__xludf.DUMMYFUNCTION("""COMPUTED_VALUE"""),"FTE")</f>
        <v>FTE</v>
      </c>
      <c r="M1286" s="46" t="str">
        <f ca="1">IFERROR(__xludf.DUMMYFUNCTION("""COMPUTED_VALUE"""),"Leave")</f>
        <v>Leave</v>
      </c>
      <c r="N1286" s="46" t="str">
        <f ca="1">IFERROR(__xludf.DUMMYFUNCTION("""COMPUTED_VALUE"""),"Đủ")</f>
        <v>Đủ</v>
      </c>
    </row>
    <row r="1287" spans="1:14">
      <c r="A1287" s="45">
        <f ca="1">IFERROR(__xludf.DUMMYFUNCTION("""COMPUTED_VALUE"""),46013.625)</f>
        <v>46013.625</v>
      </c>
      <c r="B1287" s="45">
        <f ca="1">IFERROR(__xludf.DUMMYFUNCTION("""COMPUTED_VALUE"""),46219.5833333333)</f>
        <v>46219.583333333299</v>
      </c>
      <c r="C1287" s="46">
        <f ca="1">IFERROR(__xludf.DUMMYFUNCTION("""COMPUTED_VALUE"""),1288)</f>
        <v>1288</v>
      </c>
      <c r="D1287" s="47" t="str">
        <f ca="1">IFERROR(__xludf.DUMMYFUNCTION("""COMPUTED_VALUE"""),"C1156")</f>
        <v>C1156</v>
      </c>
      <c r="E1287" s="46" t="str">
        <f ca="1">IFERROR(__xludf.DUMMYFUNCTION("""COMPUTED_VALUE"""),"TRƯƠNG HOÀNG VŨ")</f>
        <v>TRƯƠNG HOÀNG VŨ</v>
      </c>
      <c r="F1287" s="46" t="str">
        <f ca="1">IFERROR(__xludf.DUMMYFUNCTION("""COMPUTED_VALUE"""),"TRUONG HOANG VU")</f>
        <v>TRUONG HOANG VU</v>
      </c>
      <c r="G1287" s="45">
        <f ca="1">IFERROR(__xludf.DUMMYFUNCTION("""COMPUTED_VALUE"""),39182.5833333333)</f>
        <v>39182.583333333299</v>
      </c>
      <c r="H1287" s="45" t="str">
        <f ca="1">IFERROR(__xludf.DUMMYFUNCTION("""COMPUTED_VALUE"""),"BAKES")</f>
        <v>BAKES</v>
      </c>
      <c r="I1287" s="46" t="str">
        <f ca="1">IFERROR(__xludf.DUMMYFUNCTION("""COMPUTED_VALUE"""),"STORE")</f>
        <v>STORE</v>
      </c>
      <c r="J1287" s="46" t="str">
        <f ca="1">IFERROR(__xludf.DUMMYFUNCTION("""COMPUTED_VALUE"""),"BAKES D2")</f>
        <v>BAKES D2</v>
      </c>
      <c r="K1287" s="46" t="str">
        <f ca="1">IFERROR(__xludf.DUMMYFUNCTION("""COMPUTED_VALUE"""),"WAITSTAFF")</f>
        <v>WAITSTAFF</v>
      </c>
      <c r="L1287" s="46" t="str">
        <f ca="1">IFERROR(__xludf.DUMMYFUNCTION("""COMPUTED_VALUE"""),"PTE")</f>
        <v>PTE</v>
      </c>
      <c r="M1287" s="46" t="str">
        <f ca="1">IFERROR(__xludf.DUMMYFUNCTION("""COMPUTED_VALUE"""),"Leave")</f>
        <v>Leave</v>
      </c>
      <c r="N1287" s="46" t="str">
        <f ca="1">IFERROR(__xludf.DUMMYFUNCTION("""COMPUTED_VALUE"""),"Đủ")</f>
        <v>Đủ</v>
      </c>
    </row>
    <row r="1288" spans="1:14">
      <c r="A1288" s="45">
        <f ca="1">IFERROR(__xludf.DUMMYFUNCTION("""COMPUTED_VALUE"""),46017.625)</f>
        <v>46017.625</v>
      </c>
      <c r="B1288" s="45">
        <f ca="1">IFERROR(__xludf.DUMMYFUNCTION("""COMPUTED_VALUE"""),46143.5833333333)</f>
        <v>46143.583333333299</v>
      </c>
      <c r="C1288" s="46">
        <f ca="1">IFERROR(__xludf.DUMMYFUNCTION("""COMPUTED_VALUE"""),1289)</f>
        <v>1289</v>
      </c>
      <c r="D1288" s="47" t="str">
        <f ca="1">IFERROR(__xludf.DUMMYFUNCTION("""COMPUTED_VALUE"""),"C1157")</f>
        <v>C1157</v>
      </c>
      <c r="E1288" s="46" t="str">
        <f ca="1">IFERROR(__xludf.DUMMYFUNCTION("""COMPUTED_VALUE"""),"PHẠM ĐÌNH PHÁT")</f>
        <v>PHẠM ĐÌNH PHÁT</v>
      </c>
      <c r="F1288" s="46" t="str">
        <f ca="1">IFERROR(__xludf.DUMMYFUNCTION("""COMPUTED_VALUE"""),"PHAM DINH PHAT")</f>
        <v>PHAM DINH PHAT</v>
      </c>
      <c r="G1288" s="45">
        <f ca="1">IFERROR(__xludf.DUMMYFUNCTION("""COMPUTED_VALUE"""),39177.5833333333)</f>
        <v>39177.583333333299</v>
      </c>
      <c r="H1288" s="45" t="str">
        <f ca="1">IFERROR(__xludf.DUMMYFUNCTION("""COMPUTED_VALUE"""),"BAKES")</f>
        <v>BAKES</v>
      </c>
      <c r="I1288" s="46" t="str">
        <f ca="1">IFERROR(__xludf.DUMMYFUNCTION("""COMPUTED_VALUE"""),"STORE")</f>
        <v>STORE</v>
      </c>
      <c r="J1288" s="46" t="str">
        <f ca="1">IFERROR(__xludf.DUMMYFUNCTION("""COMPUTED_VALUE"""),"BAKES D2")</f>
        <v>BAKES D2</v>
      </c>
      <c r="K1288" s="46" t="str">
        <f ca="1">IFERROR(__xludf.DUMMYFUNCTION("""COMPUTED_VALUE"""),"WAITSTAFF")</f>
        <v>WAITSTAFF</v>
      </c>
      <c r="L1288" s="46" t="str">
        <f ca="1">IFERROR(__xludf.DUMMYFUNCTION("""COMPUTED_VALUE"""),"PTE")</f>
        <v>PTE</v>
      </c>
      <c r="M1288" s="46" t="str">
        <f ca="1">IFERROR(__xludf.DUMMYFUNCTION("""COMPUTED_VALUE"""),"Leave")</f>
        <v>Leave</v>
      </c>
      <c r="N1288" s="46" t="str">
        <f ca="1">IFERROR(__xludf.DUMMYFUNCTION("""COMPUTED_VALUE"""),"Đủ")</f>
        <v>Đủ</v>
      </c>
    </row>
    <row r="1289" spans="1:14">
      <c r="A1289" s="45">
        <f ca="1">IFERROR(__xludf.DUMMYFUNCTION("""COMPUTED_VALUE"""),46020.625)</f>
        <v>46020.625</v>
      </c>
      <c r="B1289" s="45"/>
      <c r="C1289" s="46">
        <f ca="1">IFERROR(__xludf.DUMMYFUNCTION("""COMPUTED_VALUE"""),1290)</f>
        <v>1290</v>
      </c>
      <c r="D1289" s="47" t="str">
        <f ca="1">IFERROR(__xludf.DUMMYFUNCTION("""COMPUTED_VALUE"""),"C1161")</f>
        <v>C1161</v>
      </c>
      <c r="E1289" s="46" t="str">
        <f ca="1">IFERROR(__xludf.DUMMYFUNCTION("""COMPUTED_VALUE"""),"TRẦN NHƯ QUỲNH")</f>
        <v>TRẦN NHƯ QUỲNH</v>
      </c>
      <c r="F1289" s="46" t="str">
        <f ca="1">IFERROR(__xludf.DUMMYFUNCTION("""COMPUTED_VALUE"""),"TRAN NHU QUYNH")</f>
        <v>TRAN NHU QUYNH</v>
      </c>
      <c r="G1289" s="45">
        <f ca="1">IFERROR(__xludf.DUMMYFUNCTION("""COMPUTED_VALUE"""),38517.5833333333)</f>
        <v>38517.583333333299</v>
      </c>
      <c r="H1289" s="45" t="str">
        <f ca="1">IFERROR(__xludf.DUMMYFUNCTION("""COMPUTED_VALUE"""),"MATTE")</f>
        <v>MATTE</v>
      </c>
      <c r="I1289" s="46" t="str">
        <f ca="1">IFERROR(__xludf.DUMMYFUNCTION("""COMPUTED_VALUE"""),"STORE")</f>
        <v>STORE</v>
      </c>
      <c r="J1289" s="46" t="str">
        <f ca="1">IFERROR(__xludf.DUMMYFUNCTION("""COMPUTED_VALUE"""),"MATTE D2")</f>
        <v>MATTE D2</v>
      </c>
      <c r="K1289" s="46" t="str">
        <f ca="1">IFERROR(__xludf.DUMMYFUNCTION("""COMPUTED_VALUE"""),"BAR")</f>
        <v>BAR</v>
      </c>
      <c r="L1289" s="46" t="str">
        <f ca="1">IFERROR(__xludf.DUMMYFUNCTION("""COMPUTED_VALUE"""),"PTE")</f>
        <v>PTE</v>
      </c>
      <c r="M1289" s="46" t="str">
        <f ca="1">IFERROR(__xludf.DUMMYFUNCTION("""COMPUTED_VALUE"""),"On")</f>
        <v>On</v>
      </c>
      <c r="N1289" s="46" t="str">
        <f ca="1">IFERROR(__xludf.DUMMYFUNCTION("""COMPUTED_VALUE"""),"Đủ")</f>
        <v>Đủ</v>
      </c>
    </row>
    <row r="1290" spans="1:14">
      <c r="A1290" s="45">
        <f ca="1">IFERROR(__xludf.DUMMYFUNCTION("""COMPUTED_VALUE"""),46013.625)</f>
        <v>46013.625</v>
      </c>
      <c r="B1290" s="45">
        <f ca="1">IFERROR(__xludf.DUMMYFUNCTION("""COMPUTED_VALUE"""),46039.625)</f>
        <v>46039.625</v>
      </c>
      <c r="C1290" s="46">
        <f ca="1">IFERROR(__xludf.DUMMYFUNCTION("""COMPUTED_VALUE"""),1291)</f>
        <v>1291</v>
      </c>
      <c r="D1290" s="47" t="str">
        <f ca="1">IFERROR(__xludf.DUMMYFUNCTION("""COMPUTED_VALUE"""),"C1160")</f>
        <v>C1160</v>
      </c>
      <c r="E1290" s="46" t="str">
        <f ca="1">IFERROR(__xludf.DUMMYFUNCTION("""COMPUTED_VALUE"""),"NGUYỄN THỊ MỸ NGỌC")</f>
        <v>NGUYỄN THỊ MỸ NGỌC</v>
      </c>
      <c r="F1290" s="46" t="str">
        <f ca="1">IFERROR(__xludf.DUMMYFUNCTION("""COMPUTED_VALUE"""),"NGUYEN THI MY NGOC")</f>
        <v>NGUYEN THI MY NGOC</v>
      </c>
      <c r="G1290" s="45">
        <f ca="1">IFERROR(__xludf.DUMMYFUNCTION("""COMPUTED_VALUE"""),37913.5833333333)</f>
        <v>37913.583333333299</v>
      </c>
      <c r="H1290" s="45" t="str">
        <f ca="1">IFERROR(__xludf.DUMMYFUNCTION("""COMPUTED_VALUE"""),"BAKES")</f>
        <v>BAKES</v>
      </c>
      <c r="I1290" s="46" t="str">
        <f ca="1">IFERROR(__xludf.DUMMYFUNCTION("""COMPUTED_VALUE"""),"HO")</f>
        <v>HO</v>
      </c>
      <c r="J1290" s="46" t="str">
        <f ca="1">IFERROR(__xludf.DUMMYFUNCTION("""COMPUTED_VALUE"""),"SAL")</f>
        <v>SAL</v>
      </c>
      <c r="K1290" s="46" t="str">
        <f ca="1">IFERROR(__xludf.DUMMYFUNCTION("""COMPUTED_VALUE"""),"SAL")</f>
        <v>SAL</v>
      </c>
      <c r="L1290" s="46" t="str">
        <f ca="1">IFERROR(__xludf.DUMMYFUNCTION("""COMPUTED_VALUE"""),"SER")</f>
        <v>SER</v>
      </c>
      <c r="M1290" s="46" t="str">
        <f ca="1">IFERROR(__xludf.DUMMYFUNCTION("""COMPUTED_VALUE"""),"Leave")</f>
        <v>Leave</v>
      </c>
      <c r="N1290" s="46" t="str">
        <f ca="1">IFERROR(__xludf.DUMMYFUNCTION("""COMPUTED_VALUE"""),"Đủ")</f>
        <v>Đủ</v>
      </c>
    </row>
    <row r="1291" spans="1:14">
      <c r="A1291" s="45">
        <f ca="1">IFERROR(__xludf.DUMMYFUNCTION("""COMPUTED_VALUE"""),46020.625)</f>
        <v>46020.625</v>
      </c>
      <c r="B1291" s="45">
        <f ca="1">IFERROR(__xludf.DUMMYFUNCTION("""COMPUTED_VALUE"""),46049.625)</f>
        <v>46049.625</v>
      </c>
      <c r="C1291" s="46">
        <f ca="1">IFERROR(__xludf.DUMMYFUNCTION("""COMPUTED_VALUE"""),1292)</f>
        <v>1292</v>
      </c>
      <c r="D1291" s="47" t="str">
        <f ca="1">IFERROR(__xludf.DUMMYFUNCTION("""COMPUTED_VALUE"""),"C1166")</f>
        <v>C1166</v>
      </c>
      <c r="E1291" s="46" t="str">
        <f ca="1">IFERROR(__xludf.DUMMYFUNCTION("""COMPUTED_VALUE"""),"NGUYỄN DANH HIẾU")</f>
        <v>NGUYỄN DANH HIẾU</v>
      </c>
      <c r="F1291" s="46" t="str">
        <f ca="1">IFERROR(__xludf.DUMMYFUNCTION("""COMPUTED_VALUE"""),"NGUYEN DANH HIEU")</f>
        <v>NGUYEN DANH HIEU</v>
      </c>
      <c r="G1291" s="45">
        <f ca="1">IFERROR(__xludf.DUMMYFUNCTION("""COMPUTED_VALUE"""),36928.625)</f>
        <v>36928.625</v>
      </c>
      <c r="H1291" s="45" t="str">
        <f ca="1">IFERROR(__xludf.DUMMYFUNCTION("""COMPUTED_VALUE"""),"BAKES")</f>
        <v>BAKES</v>
      </c>
      <c r="I1291" s="46" t="str">
        <f ca="1">IFERROR(__xludf.DUMMYFUNCTION("""COMPUTED_VALUE"""),"STORE")</f>
        <v>STORE</v>
      </c>
      <c r="J1291" s="46" t="str">
        <f ca="1">IFERROR(__xludf.DUMMYFUNCTION("""COMPUTED_VALUE"""),"BAKES HCR")</f>
        <v>BAKES HCR</v>
      </c>
      <c r="K1291" s="46" t="str">
        <f ca="1">IFERROR(__xludf.DUMMYFUNCTION("""COMPUTED_VALUE"""),"WAITSTAFF")</f>
        <v>WAITSTAFF</v>
      </c>
      <c r="L1291" s="46" t="str">
        <f ca="1">IFERROR(__xludf.DUMMYFUNCTION("""COMPUTED_VALUE"""),"PTEP")</f>
        <v>PTEP</v>
      </c>
      <c r="M1291" s="46" t="str">
        <f ca="1">IFERROR(__xludf.DUMMYFUNCTION("""COMPUTED_VALUE"""),"Leave")</f>
        <v>Leave</v>
      </c>
      <c r="N1291" s="46" t="str">
        <f ca="1">IFERROR(__xludf.DUMMYFUNCTION("""COMPUTED_VALUE"""),"Đủ")</f>
        <v>Đủ</v>
      </c>
    </row>
    <row r="1292" spans="1:14">
      <c r="A1292" s="45">
        <f ca="1">IFERROR(__xludf.DUMMYFUNCTION("""COMPUTED_VALUE"""),46021.625)</f>
        <v>46021.625</v>
      </c>
      <c r="B1292" s="45">
        <f ca="1">IFERROR(__xludf.DUMMYFUNCTION("""COMPUTED_VALUE"""),46143.5833333333)</f>
        <v>46143.583333333299</v>
      </c>
      <c r="C1292" s="46">
        <f ca="1">IFERROR(__xludf.DUMMYFUNCTION("""COMPUTED_VALUE"""),1293)</f>
        <v>1293</v>
      </c>
      <c r="D1292" s="47" t="str">
        <f ca="1">IFERROR(__xludf.DUMMYFUNCTION("""COMPUTED_VALUE"""),"C0854")</f>
        <v>C0854</v>
      </c>
      <c r="E1292" s="46" t="str">
        <f ca="1">IFERROR(__xludf.DUMMYFUNCTION("""COMPUTED_VALUE"""),"TRƯƠNG LONG CAN ")</f>
        <v xml:space="preserve">TRƯƠNG LONG CAN </v>
      </c>
      <c r="F1292" s="46" t="str">
        <f ca="1">IFERROR(__xludf.DUMMYFUNCTION("""COMPUTED_VALUE"""),"TRUONG LONG CAN")</f>
        <v>TRUONG LONG CAN</v>
      </c>
      <c r="G1292" s="45">
        <f ca="1">IFERROR(__xludf.DUMMYFUNCTION("""COMPUTED_VALUE"""),37048.5833333333)</f>
        <v>37048.583333333299</v>
      </c>
      <c r="H1292" s="45" t="str">
        <f ca="1">IFERROR(__xludf.DUMMYFUNCTION("""COMPUTED_VALUE"""),"YESHI")</f>
        <v>YESHI</v>
      </c>
      <c r="I1292" s="46" t="str">
        <f ca="1">IFERROR(__xludf.DUMMYFUNCTION("""COMPUTED_VALUE"""),"STORE")</f>
        <v>STORE</v>
      </c>
      <c r="J1292" s="46" t="str">
        <f ca="1">IFERROR(__xludf.DUMMYFUNCTION("""COMPUTED_VALUE"""),"YESHI D2")</f>
        <v>YESHI D2</v>
      </c>
      <c r="K1292" s="46" t="str">
        <f ca="1">IFERROR(__xludf.DUMMYFUNCTION("""COMPUTED_VALUE"""),"WAITSTAFF")</f>
        <v>WAITSTAFF</v>
      </c>
      <c r="L1292" s="46" t="str">
        <f ca="1">IFERROR(__xludf.DUMMYFUNCTION("""COMPUTED_VALUE"""),"PTE")</f>
        <v>PTE</v>
      </c>
      <c r="M1292" s="46" t="str">
        <f ca="1">IFERROR(__xludf.DUMMYFUNCTION("""COMPUTED_VALUE"""),"Leave")</f>
        <v>Leave</v>
      </c>
      <c r="N1292" s="46" t="str">
        <f ca="1">IFERROR(__xludf.DUMMYFUNCTION("""COMPUTED_VALUE"""),"đủ")</f>
        <v>đủ</v>
      </c>
    </row>
    <row r="1293" spans="1:14">
      <c r="A1293" s="45">
        <f ca="1">IFERROR(__xludf.DUMMYFUNCTION("""COMPUTED_VALUE"""),45748.5833333333)</f>
        <v>45748.583333333299</v>
      </c>
      <c r="B1293" s="45">
        <f ca="1">IFERROR(__xludf.DUMMYFUNCTION("""COMPUTED_VALUE"""),45885.5833333333)</f>
        <v>45885.583333333299</v>
      </c>
      <c r="C1293" s="46">
        <f ca="1">IFERROR(__xludf.DUMMYFUNCTION("""COMPUTED_VALUE"""),1294)</f>
        <v>1294</v>
      </c>
      <c r="D1293" s="47" t="str">
        <f ca="1">IFERROR(__xludf.DUMMYFUNCTION("""COMPUTED_VALUE"""),"C0656")</f>
        <v>C0656</v>
      </c>
      <c r="E1293" s="46" t="str">
        <f ca="1">IFERROR(__xludf.DUMMYFUNCTION("""COMPUTED_VALUE"""),"NGUYỄN BẢO TƯỜNG LAM")</f>
        <v>NGUYỄN BẢO TƯỜNG LAM</v>
      </c>
      <c r="F1293" s="46" t="str">
        <f ca="1">IFERROR(__xludf.DUMMYFUNCTION("""COMPUTED_VALUE"""),"NGUYEN BAO TUONG LAM")</f>
        <v>NGUYEN BAO TUONG LAM</v>
      </c>
      <c r="G1293" s="45">
        <f ca="1">IFERROR(__xludf.DUMMYFUNCTION("""COMPUTED_VALUE"""),36057.5833333333)</f>
        <v>36057.583333333299</v>
      </c>
      <c r="H1293" s="45" t="str">
        <f ca="1">IFERROR(__xludf.DUMMYFUNCTION("""COMPUTED_VALUE"""),"MOONCAKE")</f>
        <v>MOONCAKE</v>
      </c>
      <c r="I1293" s="46" t="str">
        <f ca="1">IFERROR(__xludf.DUMMYFUNCTION("""COMPUTED_VALUE"""),"HO")</f>
        <v>HO</v>
      </c>
      <c r="J1293" s="46" t="str">
        <f ca="1">IFERROR(__xludf.DUMMYFUNCTION("""COMPUTED_VALUE"""),"PET")</f>
        <v>PET</v>
      </c>
      <c r="K1293" s="46" t="str">
        <f ca="1">IFERROR(__xludf.DUMMYFUNCTION("""COMPUTED_VALUE"""),"PET")</f>
        <v>PET</v>
      </c>
      <c r="L1293" s="46" t="str">
        <f ca="1">IFERROR(__xludf.DUMMYFUNCTION("""COMPUTED_VALUE"""),"PTE")</f>
        <v>PTE</v>
      </c>
      <c r="M1293" s="46" t="str">
        <f ca="1">IFERROR(__xludf.DUMMYFUNCTION("""COMPUTED_VALUE"""),"Leave")</f>
        <v>Leave</v>
      </c>
      <c r="N1293" s="46" t="str">
        <f ca="1">IFERROR(__xludf.DUMMYFUNCTION("""COMPUTED_VALUE"""),"đủ")</f>
        <v>đủ</v>
      </c>
    </row>
    <row r="1294" spans="1:14">
      <c r="A1294" s="45"/>
      <c r="B1294" s="45" t="str">
        <f ca="1">IFERROR(__xludf.DUMMYFUNCTION("""COMPUTED_VALUE"""),"Đã nghỉ")</f>
        <v>Đã nghỉ</v>
      </c>
      <c r="C1294" s="46">
        <f ca="1">IFERROR(__xludf.DUMMYFUNCTION("""COMPUTED_VALUE"""),1295)</f>
        <v>1295</v>
      </c>
      <c r="D1294" s="47" t="str">
        <f ca="1">IFERROR(__xludf.DUMMYFUNCTION("""COMPUTED_VALUE"""),"C0812")</f>
        <v>C0812</v>
      </c>
      <c r="E1294" s="46" t="str">
        <f ca="1">IFERROR(__xludf.DUMMYFUNCTION("""COMPUTED_VALUE"""),"LÊ DIỄM HỒNG PHƯƠNG")</f>
        <v>LÊ DIỄM HỒNG PHƯƠNG</v>
      </c>
      <c r="F1294" s="46" t="str">
        <f ca="1">IFERROR(__xludf.DUMMYFUNCTION("""COMPUTED_VALUE"""),"LE DIEM HONG PHUONG")</f>
        <v>LE DIEM HONG PHUONG</v>
      </c>
      <c r="G1294" s="45">
        <f ca="1">IFERROR(__xludf.DUMMYFUNCTION("""COMPUTED_VALUE"""),37117.5833333333)</f>
        <v>37117.583333333299</v>
      </c>
      <c r="H1294" s="45"/>
      <c r="I1294" s="46"/>
      <c r="J1294" s="46"/>
      <c r="K1294" s="46"/>
      <c r="L1294" s="46"/>
      <c r="M1294" s="46" t="str">
        <f ca="1">IFERROR(__xludf.DUMMYFUNCTION("""COMPUTED_VALUE"""),"Leave")</f>
        <v>Leave</v>
      </c>
      <c r="N1294" s="46"/>
    </row>
    <row r="1295" spans="1:14">
      <c r="A1295" s="45"/>
      <c r="B1295" s="45" t="str">
        <f ca="1">IFERROR(__xludf.DUMMYFUNCTION("""COMPUTED_VALUE"""),"Đã nghỉ")</f>
        <v>Đã nghỉ</v>
      </c>
      <c r="C1295" s="46">
        <f ca="1">IFERROR(__xludf.DUMMYFUNCTION("""COMPUTED_VALUE"""),1296)</f>
        <v>1296</v>
      </c>
      <c r="D1295" s="47" t="str">
        <f ca="1">IFERROR(__xludf.DUMMYFUNCTION("""COMPUTED_VALUE"""),"C0884")</f>
        <v>C0884</v>
      </c>
      <c r="E1295" s="46" t="str">
        <f ca="1">IFERROR(__xludf.DUMMYFUNCTION("""COMPUTED_VALUE"""),"HÀ HOÀNG MINH KHUÊ")</f>
        <v>HÀ HOÀNG MINH KHUÊ</v>
      </c>
      <c r="F1295" s="46" t="str">
        <f ca="1">IFERROR(__xludf.DUMMYFUNCTION("""COMPUTED_VALUE"""),"HA HOANG MINH KHUE")</f>
        <v>HA HOANG MINH KHUE</v>
      </c>
      <c r="G1295" s="45">
        <f ca="1">IFERROR(__xludf.DUMMYFUNCTION("""COMPUTED_VALUE"""),37958.625)</f>
        <v>37958.625</v>
      </c>
      <c r="H1295" s="45"/>
      <c r="I1295" s="46"/>
      <c r="J1295" s="46"/>
      <c r="K1295" s="46"/>
      <c r="L1295" s="46"/>
      <c r="M1295" s="46" t="str">
        <f ca="1">IFERROR(__xludf.DUMMYFUNCTION("""COMPUTED_VALUE"""),"Leave")</f>
        <v>Leave</v>
      </c>
      <c r="N1295" s="46"/>
    </row>
    <row r="1296" spans="1:14">
      <c r="A1296" s="45"/>
      <c r="B1296" s="45" t="str">
        <f ca="1">IFERROR(__xludf.DUMMYFUNCTION("""COMPUTED_VALUE"""),"Đã nghỉ")</f>
        <v>Đã nghỉ</v>
      </c>
      <c r="C1296" s="46">
        <f ca="1">IFERROR(__xludf.DUMMYFUNCTION("""COMPUTED_VALUE"""),1297)</f>
        <v>1297</v>
      </c>
      <c r="D1296" s="47" t="str">
        <f ca="1">IFERROR(__xludf.DUMMYFUNCTION("""COMPUTED_VALUE"""),"C0962")</f>
        <v>C0962</v>
      </c>
      <c r="E1296" s="46" t="str">
        <f ca="1">IFERROR(__xludf.DUMMYFUNCTION("""COMPUTED_VALUE"""),"PHẠM TẤN SANG")</f>
        <v>PHẠM TẤN SANG</v>
      </c>
      <c r="F1296" s="46" t="str">
        <f ca="1">IFERROR(__xludf.DUMMYFUNCTION("""COMPUTED_VALUE"""),"PHAM TAN SANG")</f>
        <v>PHAM TAN SANG</v>
      </c>
      <c r="G1296" s="45"/>
      <c r="H1296" s="45"/>
      <c r="I1296" s="46"/>
      <c r="J1296" s="46"/>
      <c r="K1296" s="46"/>
      <c r="L1296" s="46"/>
      <c r="M1296" s="46" t="str">
        <f ca="1">IFERROR(__xludf.DUMMYFUNCTION("""COMPUTED_VALUE"""),"Leave")</f>
        <v>Leave</v>
      </c>
      <c r="N1296" s="46"/>
    </row>
    <row r="1297" spans="1:14">
      <c r="A1297" s="45">
        <f ca="1">IFERROR(__xludf.DUMMYFUNCTION("""COMPUTED_VALUE"""),46028.625)</f>
        <v>46028.625</v>
      </c>
      <c r="B1297" s="45">
        <f ca="1">IFERROR(__xludf.DUMMYFUNCTION("""COMPUTED_VALUE"""),46079.625)</f>
        <v>46079.625</v>
      </c>
      <c r="C1297" s="46">
        <f ca="1">IFERROR(__xludf.DUMMYFUNCTION("""COMPUTED_VALUE"""),1298)</f>
        <v>1298</v>
      </c>
      <c r="D1297" s="47" t="str">
        <f ca="1">IFERROR(__xludf.DUMMYFUNCTION("""COMPUTED_VALUE"""),"C1145")</f>
        <v>C1145</v>
      </c>
      <c r="E1297" s="46" t="str">
        <f ca="1">IFERROR(__xludf.DUMMYFUNCTION("""COMPUTED_VALUE"""),"TRẦN VĂN HÒA")</f>
        <v>TRẦN VĂN HÒA</v>
      </c>
      <c r="F1297" s="46" t="str">
        <f ca="1">IFERROR(__xludf.DUMMYFUNCTION("""COMPUTED_VALUE"""),"TRAN VAN HOA")</f>
        <v>TRAN VAN HOA</v>
      </c>
      <c r="G1297" s="45">
        <f ca="1">IFERROR(__xludf.DUMMYFUNCTION("""COMPUTED_VALUE"""),33822.5833333333)</f>
        <v>33822.583333333299</v>
      </c>
      <c r="H1297" s="45" t="str">
        <f ca="1">IFERROR(__xludf.DUMMYFUNCTION("""COMPUTED_VALUE"""),"KITCHEN PASTRY")</f>
        <v>KITCHEN PASTRY</v>
      </c>
      <c r="I1297" s="46" t="str">
        <f ca="1">IFERROR(__xludf.DUMMYFUNCTION("""COMPUTED_VALUE"""),"KITCHEN PASTRY")</f>
        <v>KITCHEN PASTRY</v>
      </c>
      <c r="J1297" s="46" t="str">
        <f ca="1">IFERROR(__xludf.DUMMYFUNCTION("""COMPUTED_VALUE"""),"KITCHEN PASTRY")</f>
        <v>KITCHEN PASTRY</v>
      </c>
      <c r="K1297" s="46" t="str">
        <f ca="1">IFERROR(__xludf.DUMMYFUNCTION("""COMPUTED_VALUE"""),"Management team")</f>
        <v>Management team</v>
      </c>
      <c r="L1297" s="46" t="str">
        <f ca="1">IFERROR(__xludf.DUMMYFUNCTION("""COMPUTED_VALUE"""),"PRO")</f>
        <v>PRO</v>
      </c>
      <c r="M1297" s="46" t="str">
        <f ca="1">IFERROR(__xludf.DUMMYFUNCTION("""COMPUTED_VALUE"""),"Leave")</f>
        <v>Leave</v>
      </c>
      <c r="N1297" s="46" t="str">
        <f ca="1">IFERROR(__xludf.DUMMYFUNCTION("""COMPUTED_VALUE"""),"Đủ")</f>
        <v>Đủ</v>
      </c>
    </row>
    <row r="1298" spans="1:14">
      <c r="A1298" s="45">
        <f ca="1">IFERROR(__xludf.DUMMYFUNCTION("""COMPUTED_VALUE"""),46027.625)</f>
        <v>46027.625</v>
      </c>
      <c r="B1298" s="45">
        <f ca="1">IFERROR(__xludf.DUMMYFUNCTION("""COMPUTED_VALUE"""),46061.625)</f>
        <v>46061.625</v>
      </c>
      <c r="C1298" s="46">
        <f ca="1">IFERROR(__xludf.DUMMYFUNCTION("""COMPUTED_VALUE"""),1299)</f>
        <v>1299</v>
      </c>
      <c r="D1298" s="47" t="str">
        <f ca="1">IFERROR(__xludf.DUMMYFUNCTION("""COMPUTED_VALUE"""),"C1149")</f>
        <v>C1149</v>
      </c>
      <c r="E1298" s="46" t="str">
        <f ca="1">IFERROR(__xludf.DUMMYFUNCTION("""COMPUTED_VALUE"""),"BÙI HIỂN VINH")</f>
        <v>BÙI HIỂN VINH</v>
      </c>
      <c r="F1298" s="46" t="str">
        <f ca="1">IFERROR(__xludf.DUMMYFUNCTION("""COMPUTED_VALUE"""),"BUI HIEN VINH")</f>
        <v>BUI HIEN VINH</v>
      </c>
      <c r="G1298" s="45">
        <f ca="1">IFERROR(__xludf.DUMMYFUNCTION("""COMPUTED_VALUE"""),36220.625)</f>
        <v>36220.625</v>
      </c>
      <c r="H1298" s="45" t="str">
        <f ca="1">IFERROR(__xludf.DUMMYFUNCTION("""COMPUTED_VALUE"""),"MATTE")</f>
        <v>MATTE</v>
      </c>
      <c r="I1298" s="46" t="str">
        <f ca="1">IFERROR(__xludf.DUMMYFUNCTION("""COMPUTED_VALUE"""),"STORE")</f>
        <v>STORE</v>
      </c>
      <c r="J1298" s="46" t="str">
        <f ca="1">IFERROR(__xludf.DUMMYFUNCTION("""COMPUTED_VALUE"""),"MATTE D2")</f>
        <v>MATTE D2</v>
      </c>
      <c r="K1298" s="46" t="str">
        <f ca="1">IFERROR(__xludf.DUMMYFUNCTION("""COMPUTED_VALUE"""),"Management team")</f>
        <v>Management team</v>
      </c>
      <c r="L1298" s="46" t="str">
        <f ca="1">IFERROR(__xludf.DUMMYFUNCTION("""COMPUTED_VALUE"""),"PRO")</f>
        <v>PRO</v>
      </c>
      <c r="M1298" s="46" t="str">
        <f ca="1">IFERROR(__xludf.DUMMYFUNCTION("""COMPUTED_VALUE"""),"Leave")</f>
        <v>Leave</v>
      </c>
      <c r="N1298" s="46" t="str">
        <f ca="1">IFERROR(__xludf.DUMMYFUNCTION("""COMPUTED_VALUE"""),"Đủ")</f>
        <v>Đủ</v>
      </c>
    </row>
    <row r="1299" spans="1:14">
      <c r="A1299" s="45">
        <f ca="1">IFERROR(__xludf.DUMMYFUNCTION("""COMPUTED_VALUE"""),46037.625)</f>
        <v>46037.625</v>
      </c>
      <c r="B1299" s="45">
        <f ca="1">IFERROR(__xludf.DUMMYFUNCTION("""COMPUTED_VALUE"""),46061.625)</f>
        <v>46061.625</v>
      </c>
      <c r="C1299" s="46">
        <f ca="1">IFERROR(__xludf.DUMMYFUNCTION("""COMPUTED_VALUE"""),1300)</f>
        <v>1300</v>
      </c>
      <c r="D1299" s="47" t="str">
        <f ca="1">IFERROR(__xludf.DUMMYFUNCTION("""COMPUTED_VALUE"""),"C1158")</f>
        <v>C1158</v>
      </c>
      <c r="E1299" s="46" t="str">
        <f ca="1">IFERROR(__xludf.DUMMYFUNCTION("""COMPUTED_VALUE"""),"NGUYỄN THANH NGÂN")</f>
        <v>NGUYỄN THANH NGÂN</v>
      </c>
      <c r="F1299" s="46" t="str">
        <f ca="1">IFERROR(__xludf.DUMMYFUNCTION("""COMPUTED_VALUE"""),"NGUYEN THANH NGAN")</f>
        <v>NGUYEN THANH NGAN</v>
      </c>
      <c r="G1299" s="45">
        <f ca="1">IFERROR(__xludf.DUMMYFUNCTION("""COMPUTED_VALUE"""),38578.5833333333)</f>
        <v>38578.583333333299</v>
      </c>
      <c r="H1299" s="45" t="str">
        <f ca="1">IFERROR(__xludf.DUMMYFUNCTION("""COMPUTED_VALUE"""),"BAKES")</f>
        <v>BAKES</v>
      </c>
      <c r="I1299" s="46" t="str">
        <f ca="1">IFERROR(__xludf.DUMMYFUNCTION("""COMPUTED_VALUE"""),"STORE")</f>
        <v>STORE</v>
      </c>
      <c r="J1299" s="46" t="str">
        <f ca="1">IFERROR(__xludf.DUMMYFUNCTION("""COMPUTED_VALUE"""),"BAKES D2")</f>
        <v>BAKES D2</v>
      </c>
      <c r="K1299" s="46" t="str">
        <f ca="1">IFERROR(__xludf.DUMMYFUNCTION("""COMPUTED_VALUE"""),"CASHIER")</f>
        <v>CASHIER</v>
      </c>
      <c r="L1299" s="46" t="str">
        <f ca="1">IFERROR(__xludf.DUMMYFUNCTION("""COMPUTED_VALUE"""),"PRO")</f>
        <v>PRO</v>
      </c>
      <c r="M1299" s="46" t="str">
        <f ca="1">IFERROR(__xludf.DUMMYFUNCTION("""COMPUTED_VALUE"""),"Leave")</f>
        <v>Leave</v>
      </c>
      <c r="N1299" s="46" t="str">
        <f ca="1">IFERROR(__xludf.DUMMYFUNCTION("""COMPUTED_VALUE"""),"Đủ")</f>
        <v>Đủ</v>
      </c>
    </row>
    <row r="1300" spans="1:14">
      <c r="A1300" s="45">
        <f ca="1">IFERROR(__xludf.DUMMYFUNCTION("""COMPUTED_VALUE"""),46027.625)</f>
        <v>46027.625</v>
      </c>
      <c r="B1300" s="45"/>
      <c r="C1300" s="46">
        <f ca="1">IFERROR(__xludf.DUMMYFUNCTION("""COMPUTED_VALUE"""),1301)</f>
        <v>1301</v>
      </c>
      <c r="D1300" s="47" t="str">
        <f ca="1">IFERROR(__xludf.DUMMYFUNCTION("""COMPUTED_VALUE"""),"C1168")</f>
        <v>C1168</v>
      </c>
      <c r="E1300" s="46" t="str">
        <f ca="1">IFERROR(__xludf.DUMMYFUNCTION("""COMPUTED_VALUE"""),"TRẦN GIA KIỆN")</f>
        <v>TRẦN GIA KIỆN</v>
      </c>
      <c r="F1300" s="46" t="str">
        <f ca="1">IFERROR(__xludf.DUMMYFUNCTION("""COMPUTED_VALUE"""),"TRAN GIA KIEN")</f>
        <v>TRAN GIA KIEN</v>
      </c>
      <c r="G1300" s="45">
        <f ca="1">IFERROR(__xludf.DUMMYFUNCTION("""COMPUTED_VALUE"""),38774.625)</f>
        <v>38774.625</v>
      </c>
      <c r="H1300" s="45" t="str">
        <f ca="1">IFERROR(__xludf.DUMMYFUNCTION("""COMPUTED_VALUE"""),"KITCHEN PASTRY")</f>
        <v>KITCHEN PASTRY</v>
      </c>
      <c r="I1300" s="46" t="str">
        <f ca="1">IFERROR(__xludf.DUMMYFUNCTION("""COMPUTED_VALUE"""),"KITCHEN PASTRY")</f>
        <v>KITCHEN PASTRY</v>
      </c>
      <c r="J1300" s="46" t="str">
        <f ca="1">IFERROR(__xludf.DUMMYFUNCTION("""COMPUTED_VALUE"""),"KITCHEN PASTRY")</f>
        <v>KITCHEN PASTRY</v>
      </c>
      <c r="K1300" s="46" t="str">
        <f ca="1">IFERROR(__xludf.DUMMYFUNCTION("""COMPUTED_VALUE"""),"PASTRY")</f>
        <v>PASTRY</v>
      </c>
      <c r="L1300" s="46" t="str">
        <f ca="1">IFERROR(__xludf.DUMMYFUNCTION("""COMPUTED_VALUE"""),"FTE")</f>
        <v>FTE</v>
      </c>
      <c r="M1300" s="46" t="str">
        <f ca="1">IFERROR(__xludf.DUMMYFUNCTION("""COMPUTED_VALUE"""),"On")</f>
        <v>On</v>
      </c>
      <c r="N1300" s="46" t="str">
        <f ca="1">IFERROR(__xludf.DUMMYFUNCTION("""COMPUTED_VALUE"""),"Đủ")</f>
        <v>Đủ</v>
      </c>
    </row>
    <row r="1301" spans="1:14">
      <c r="A1301" s="45">
        <f ca="1">IFERROR(__xludf.DUMMYFUNCTION("""COMPUTED_VALUE"""),46024.625)</f>
        <v>46024.625</v>
      </c>
      <c r="B1301" s="45">
        <f ca="1">IFERROR(__xludf.DUMMYFUNCTION("""COMPUTED_VALUE"""),46067.625)</f>
        <v>46067.625</v>
      </c>
      <c r="C1301" s="46">
        <f ca="1">IFERROR(__xludf.DUMMYFUNCTION("""COMPUTED_VALUE"""),1302)</f>
        <v>1302</v>
      </c>
      <c r="D1301" s="47" t="str">
        <f ca="1">IFERROR(__xludf.DUMMYFUNCTION("""COMPUTED_VALUE"""),"C0339")</f>
        <v>C0339</v>
      </c>
      <c r="E1301" s="46" t="str">
        <f ca="1">IFERROR(__xludf.DUMMYFUNCTION("""COMPUTED_VALUE"""),"NGUYỄN HỒNG QUÂN")</f>
        <v>NGUYỄN HỒNG QUÂN</v>
      </c>
      <c r="F1301" s="46" t="str">
        <f ca="1">IFERROR(__xludf.DUMMYFUNCTION("""COMPUTED_VALUE"""),"NGUYEN HONG QUAN")</f>
        <v>NGUYEN HONG QUAN</v>
      </c>
      <c r="G1301" s="45">
        <f ca="1">IFERROR(__xludf.DUMMYFUNCTION("""COMPUTED_VALUE"""),36054.5833333333)</f>
        <v>36054.583333333299</v>
      </c>
      <c r="H1301" s="45" t="str">
        <f ca="1">IFERROR(__xludf.DUMMYFUNCTION("""COMPUTED_VALUE"""),"BAKES")</f>
        <v>BAKES</v>
      </c>
      <c r="I1301" s="46" t="str">
        <f ca="1">IFERROR(__xludf.DUMMYFUNCTION("""COMPUTED_VALUE"""),"STORE")</f>
        <v>STORE</v>
      </c>
      <c r="J1301" s="46" t="str">
        <f ca="1">IFERROR(__xludf.DUMMYFUNCTION("""COMPUTED_VALUE"""),"BAKES D2")</f>
        <v>BAKES D2</v>
      </c>
      <c r="K1301" s="46" t="str">
        <f ca="1">IFERROR(__xludf.DUMMYFUNCTION("""COMPUTED_VALUE"""),"BAR")</f>
        <v>BAR</v>
      </c>
      <c r="L1301" s="46" t="str">
        <f ca="1">IFERROR(__xludf.DUMMYFUNCTION("""COMPUTED_VALUE"""),"PTEP")</f>
        <v>PTEP</v>
      </c>
      <c r="M1301" s="46" t="str">
        <f ca="1">IFERROR(__xludf.DUMMYFUNCTION("""COMPUTED_VALUE"""),"Leave")</f>
        <v>Leave</v>
      </c>
      <c r="N1301" s="46" t="str">
        <f ca="1">IFERROR(__xludf.DUMMYFUNCTION("""COMPUTED_VALUE"""),"Đủ")</f>
        <v>Đủ</v>
      </c>
    </row>
    <row r="1302" spans="1:14">
      <c r="A1302" s="45">
        <f ca="1">IFERROR(__xludf.DUMMYFUNCTION("""COMPUTED_VALUE"""),46024.625)</f>
        <v>46024.625</v>
      </c>
      <c r="B1302" s="45">
        <f ca="1">IFERROR(__xludf.DUMMYFUNCTION("""COMPUTED_VALUE"""),46058.625)</f>
        <v>46058.625</v>
      </c>
      <c r="C1302" s="46">
        <f ca="1">IFERROR(__xludf.DUMMYFUNCTION("""COMPUTED_VALUE"""),1303)</f>
        <v>1303</v>
      </c>
      <c r="D1302" s="47" t="str">
        <f ca="1">IFERROR(__xludf.DUMMYFUNCTION("""COMPUTED_VALUE"""),"C1165")</f>
        <v>C1165</v>
      </c>
      <c r="E1302" s="46" t="str">
        <f ca="1">IFERROR(__xludf.DUMMYFUNCTION("""COMPUTED_VALUE"""),"PHẠM THỊ MINH TÂM")</f>
        <v>PHẠM THỊ MINH TÂM</v>
      </c>
      <c r="F1302" s="46" t="str">
        <f ca="1">IFERROR(__xludf.DUMMYFUNCTION("""COMPUTED_VALUE"""),"PHAM THI MINH TAM")</f>
        <v>PHAM THI MINH TAM</v>
      </c>
      <c r="G1302" s="45">
        <f ca="1">IFERROR(__xludf.DUMMYFUNCTION("""COMPUTED_VALUE"""),36369.5833333333)</f>
        <v>36369.583333333299</v>
      </c>
      <c r="H1302" s="45" t="str">
        <f ca="1">IFERROR(__xludf.DUMMYFUNCTION("""COMPUTED_VALUE"""),"BAKES")</f>
        <v>BAKES</v>
      </c>
      <c r="I1302" s="46" t="str">
        <f ca="1">IFERROR(__xludf.DUMMYFUNCTION("""COMPUTED_VALUE"""),"STORE")</f>
        <v>STORE</v>
      </c>
      <c r="J1302" s="46" t="str">
        <f ca="1">IFERROR(__xludf.DUMMYFUNCTION("""COMPUTED_VALUE"""),"BAKES D2")</f>
        <v>BAKES D2</v>
      </c>
      <c r="K1302" s="46" t="str">
        <f ca="1">IFERROR(__xludf.DUMMYFUNCTION("""COMPUTED_VALUE"""),"CASHIER")</f>
        <v>CASHIER</v>
      </c>
      <c r="L1302" s="46" t="str">
        <f ca="1">IFERROR(__xludf.DUMMYFUNCTION("""COMPUTED_VALUE"""),"PTEP")</f>
        <v>PTEP</v>
      </c>
      <c r="M1302" s="46" t="str">
        <f ca="1">IFERROR(__xludf.DUMMYFUNCTION("""COMPUTED_VALUE"""),"Leave")</f>
        <v>Leave</v>
      </c>
      <c r="N1302" s="46" t="str">
        <f ca="1">IFERROR(__xludf.DUMMYFUNCTION("""COMPUTED_VALUE"""),"Đủ")</f>
        <v>Đủ</v>
      </c>
    </row>
    <row r="1303" spans="1:14">
      <c r="A1303" s="45">
        <f ca="1">IFERROR(__xludf.DUMMYFUNCTION("""COMPUTED_VALUE"""),46024.625)</f>
        <v>46024.625</v>
      </c>
      <c r="B1303" s="45"/>
      <c r="C1303" s="46">
        <f ca="1">IFERROR(__xludf.DUMMYFUNCTION("""COMPUTED_VALUE"""),1304)</f>
        <v>1304</v>
      </c>
      <c r="D1303" s="47" t="str">
        <f ca="1">IFERROR(__xludf.DUMMYFUNCTION("""COMPUTED_VALUE"""),"C1169")</f>
        <v>C1169</v>
      </c>
      <c r="E1303" s="46" t="str">
        <f ca="1">IFERROR(__xludf.DUMMYFUNCTION("""COMPUTED_VALUE"""),"NGUYỄN THANH NGÂN")</f>
        <v>NGUYỄN THANH NGÂN</v>
      </c>
      <c r="F1303" s="46" t="str">
        <f ca="1">IFERROR(__xludf.DUMMYFUNCTION("""COMPUTED_VALUE"""),"NGUYEN THANH NGAN")</f>
        <v>NGUYEN THANH NGAN</v>
      </c>
      <c r="G1303" s="45">
        <f ca="1">IFERROR(__xludf.DUMMYFUNCTION("""COMPUTED_VALUE"""),38943.5833333333)</f>
        <v>38943.583333333299</v>
      </c>
      <c r="H1303" s="45" t="str">
        <f ca="1">IFERROR(__xludf.DUMMYFUNCTION("""COMPUTED_VALUE"""),"BAKES")</f>
        <v>BAKES</v>
      </c>
      <c r="I1303" s="46" t="str">
        <f ca="1">IFERROR(__xludf.DUMMYFUNCTION("""COMPUTED_VALUE"""),"STORE")</f>
        <v>STORE</v>
      </c>
      <c r="J1303" s="46" t="str">
        <f ca="1">IFERROR(__xludf.DUMMYFUNCTION("""COMPUTED_VALUE"""),"BAKES D2")</f>
        <v>BAKES D2</v>
      </c>
      <c r="K1303" s="46" t="str">
        <f ca="1">IFERROR(__xludf.DUMMYFUNCTION("""COMPUTED_VALUE"""),"WAITSTAFF")</f>
        <v>WAITSTAFF</v>
      </c>
      <c r="L1303" s="46" t="str">
        <f ca="1">IFERROR(__xludf.DUMMYFUNCTION("""COMPUTED_VALUE"""),"PTE")</f>
        <v>PTE</v>
      </c>
      <c r="M1303" s="46" t="str">
        <f ca="1">IFERROR(__xludf.DUMMYFUNCTION("""COMPUTED_VALUE"""),"On")</f>
        <v>On</v>
      </c>
      <c r="N1303" s="46" t="str">
        <f ca="1">IFERROR(__xludf.DUMMYFUNCTION("""COMPUTED_VALUE"""),"Đủ")</f>
        <v>Đủ</v>
      </c>
    </row>
    <row r="1304" spans="1:14">
      <c r="A1304" s="45">
        <f ca="1">IFERROR(__xludf.DUMMYFUNCTION("""COMPUTED_VALUE"""),46027.625)</f>
        <v>46027.625</v>
      </c>
      <c r="B1304" s="45">
        <f ca="1">IFERROR(__xludf.DUMMYFUNCTION("""COMPUTED_VALUE"""),46067.625)</f>
        <v>46067.625</v>
      </c>
      <c r="C1304" s="46">
        <f ca="1">IFERROR(__xludf.DUMMYFUNCTION("""COMPUTED_VALUE"""),1305)</f>
        <v>1305</v>
      </c>
      <c r="D1304" s="47" t="str">
        <f ca="1">IFERROR(__xludf.DUMMYFUNCTION("""COMPUTED_VALUE"""),"C0928")</f>
        <v>C0928</v>
      </c>
      <c r="E1304" s="46" t="str">
        <f ca="1">IFERROR(__xludf.DUMMYFUNCTION("""COMPUTED_VALUE"""),"PHẠM THỊ NGỌC HIỀN")</f>
        <v>PHẠM THỊ NGỌC HIỀN</v>
      </c>
      <c r="F1304" s="46" t="str">
        <f ca="1">IFERROR(__xludf.DUMMYFUNCTION("""COMPUTED_VALUE"""),"PHAM THI NGOC HIEN")</f>
        <v>PHAM THI NGOC HIEN</v>
      </c>
      <c r="G1304" s="45">
        <f ca="1">IFERROR(__xludf.DUMMYFUNCTION("""COMPUTED_VALUE"""),37622.625)</f>
        <v>37622.625</v>
      </c>
      <c r="H1304" s="45" t="str">
        <f ca="1">IFERROR(__xludf.DUMMYFUNCTION("""COMPUTED_VALUE"""),"TET")</f>
        <v>TET</v>
      </c>
      <c r="I1304" s="46" t="str">
        <f ca="1">IFERROR(__xludf.DUMMYFUNCTION("""COMPUTED_VALUE"""),"KITCHEN PASTRY")</f>
        <v>KITCHEN PASTRY</v>
      </c>
      <c r="J1304" s="46" t="str">
        <f ca="1">IFERROR(__xludf.DUMMYFUNCTION("""COMPUTED_VALUE"""),"KITCHEN PASTRY")</f>
        <v>KITCHEN PASTRY</v>
      </c>
      <c r="K1304" s="46" t="str">
        <f ca="1">IFERROR(__xludf.DUMMYFUNCTION("""COMPUTED_VALUE"""),"PACKAGING")</f>
        <v>PACKAGING</v>
      </c>
      <c r="L1304" s="46" t="str">
        <f ca="1">IFERROR(__xludf.DUMMYFUNCTION("""COMPUTED_VALUE"""),"PTEP")</f>
        <v>PTEP</v>
      </c>
      <c r="M1304" s="46" t="str">
        <f ca="1">IFERROR(__xludf.DUMMYFUNCTION("""COMPUTED_VALUE"""),"Leave")</f>
        <v>Leave</v>
      </c>
      <c r="N1304" s="46" t="str">
        <f ca="1">IFERROR(__xludf.DUMMYFUNCTION("""COMPUTED_VALUE"""),"Đủ")</f>
        <v>Đủ</v>
      </c>
    </row>
    <row r="1305" spans="1:14">
      <c r="A1305" s="45">
        <f ca="1">IFERROR(__xludf.DUMMYFUNCTION("""COMPUTED_VALUE"""),46037.625)</f>
        <v>46037.625</v>
      </c>
      <c r="B1305" s="45">
        <f ca="1">IFERROR(__xludf.DUMMYFUNCTION("""COMPUTED_VALUE"""),46068.625)</f>
        <v>46068.625</v>
      </c>
      <c r="C1305" s="46">
        <f ca="1">IFERROR(__xludf.DUMMYFUNCTION("""COMPUTED_VALUE"""),1306)</f>
        <v>1306</v>
      </c>
      <c r="D1305" s="47" t="str">
        <f ca="1">IFERROR(__xludf.DUMMYFUNCTION("""COMPUTED_VALUE"""),"C1171")</f>
        <v>C1171</v>
      </c>
      <c r="E1305" s="46" t="str">
        <f ca="1">IFERROR(__xludf.DUMMYFUNCTION("""COMPUTED_VALUE"""),"TRẦN NGỌC HÂN")</f>
        <v>TRẦN NGỌC HÂN</v>
      </c>
      <c r="F1305" s="46" t="str">
        <f ca="1">IFERROR(__xludf.DUMMYFUNCTION("""COMPUTED_VALUE"""),"TRAN NGOC HAN")</f>
        <v>TRAN NGOC HAN</v>
      </c>
      <c r="G1305" s="45"/>
      <c r="H1305" s="45" t="str">
        <f ca="1">IFERROR(__xludf.DUMMYFUNCTION("""COMPUTED_VALUE"""),"TET")</f>
        <v>TET</v>
      </c>
      <c r="I1305" s="46" t="str">
        <f ca="1">IFERROR(__xludf.DUMMYFUNCTION("""COMPUTED_VALUE"""),"STORE")</f>
        <v>STORE</v>
      </c>
      <c r="J1305" s="46" t="str">
        <f ca="1">IFERROR(__xludf.DUMMYFUNCTION("""COMPUTED_VALUE"""),"BAKES HCR")</f>
        <v>BAKES HCR</v>
      </c>
      <c r="K1305" s="46" t="str">
        <f ca="1">IFERROR(__xludf.DUMMYFUNCTION("""COMPUTED_VALUE"""),"SAL")</f>
        <v>SAL</v>
      </c>
      <c r="L1305" s="46" t="str">
        <f ca="1">IFERROR(__xludf.DUMMYFUNCTION("""COMPUTED_VALUE"""),"PTEP")</f>
        <v>PTEP</v>
      </c>
      <c r="M1305" s="46" t="str">
        <f ca="1">IFERROR(__xludf.DUMMYFUNCTION("""COMPUTED_VALUE"""),"Leave")</f>
        <v>Leave</v>
      </c>
      <c r="N1305" s="46" t="str">
        <f ca="1">IFERROR(__xludf.DUMMYFUNCTION("""COMPUTED_VALUE"""),"Đủ")</f>
        <v>Đủ</v>
      </c>
    </row>
    <row r="1306" spans="1:14">
      <c r="A1306" s="45">
        <f ca="1">IFERROR(__xludf.DUMMYFUNCTION("""COMPUTED_VALUE"""),46028.625)</f>
        <v>46028.625</v>
      </c>
      <c r="B1306" s="45">
        <f ca="1">IFERROR(__xludf.DUMMYFUNCTION("""COMPUTED_VALUE"""),46090.5833333333)</f>
        <v>46090.583333333299</v>
      </c>
      <c r="C1306" s="46">
        <f ca="1">IFERROR(__xludf.DUMMYFUNCTION("""COMPUTED_VALUE"""),1307)</f>
        <v>1307</v>
      </c>
      <c r="D1306" s="47" t="str">
        <f ca="1">IFERROR(__xludf.DUMMYFUNCTION("""COMPUTED_VALUE"""),"C0560")</f>
        <v>C0560</v>
      </c>
      <c r="E1306" s="46" t="str">
        <f ca="1">IFERROR(__xludf.DUMMYFUNCTION("""COMPUTED_VALUE"""),"NGUYỄN THỊ QUỲNH MAI")</f>
        <v>NGUYỄN THỊ QUỲNH MAI</v>
      </c>
      <c r="F1306" s="46" t="str">
        <f ca="1">IFERROR(__xludf.DUMMYFUNCTION("""COMPUTED_VALUE"""),"NGUYEN THI QUYNH MAI")</f>
        <v>NGUYEN THI QUYNH MAI</v>
      </c>
      <c r="G1306" s="45">
        <f ca="1">IFERROR(__xludf.DUMMYFUNCTION("""COMPUTED_VALUE"""),36962.625)</f>
        <v>36962.625</v>
      </c>
      <c r="H1306" s="45" t="str">
        <f ca="1">IFERROR(__xludf.DUMMYFUNCTION("""COMPUTED_VALUE"""),"MATTE")</f>
        <v>MATTE</v>
      </c>
      <c r="I1306" s="46" t="str">
        <f ca="1">IFERROR(__xludf.DUMMYFUNCTION("""COMPUTED_VALUE"""),"STORE")</f>
        <v>STORE</v>
      </c>
      <c r="J1306" s="46" t="str">
        <f ca="1">IFERROR(__xludf.DUMMYFUNCTION("""COMPUTED_VALUE"""),"MATTE D2")</f>
        <v>MATTE D2</v>
      </c>
      <c r="K1306" s="46" t="str">
        <f ca="1">IFERROR(__xludf.DUMMYFUNCTION("""COMPUTED_VALUE"""),"BAR")</f>
        <v>BAR</v>
      </c>
      <c r="L1306" s="46" t="str">
        <f ca="1">IFERROR(__xludf.DUMMYFUNCTION("""COMPUTED_VALUE"""),"PTEP")</f>
        <v>PTEP</v>
      </c>
      <c r="M1306" s="46" t="str">
        <f ca="1">IFERROR(__xludf.DUMMYFUNCTION("""COMPUTED_VALUE"""),"Leave")</f>
        <v>Leave</v>
      </c>
      <c r="N1306" s="46" t="str">
        <f ca="1">IFERROR(__xludf.DUMMYFUNCTION("""COMPUTED_VALUE"""),"Đủ")</f>
        <v>Đủ</v>
      </c>
    </row>
    <row r="1307" spans="1:14">
      <c r="A1307" s="45">
        <f ca="1">IFERROR(__xludf.DUMMYFUNCTION("""COMPUTED_VALUE"""),46029.625)</f>
        <v>46029.625</v>
      </c>
      <c r="B1307" s="45">
        <f ca="1">IFERROR(__xludf.DUMMYFUNCTION("""COMPUTED_VALUE"""),46061.625)</f>
        <v>46061.625</v>
      </c>
      <c r="C1307" s="46">
        <f ca="1">IFERROR(__xludf.DUMMYFUNCTION("""COMPUTED_VALUE"""),1308)</f>
        <v>1308</v>
      </c>
      <c r="D1307" s="47" t="str">
        <f ca="1">IFERROR(__xludf.DUMMYFUNCTION("""COMPUTED_VALUE"""),"C1180")</f>
        <v>C1180</v>
      </c>
      <c r="E1307" s="46" t="str">
        <f ca="1">IFERROR(__xludf.DUMMYFUNCTION("""COMPUTED_VALUE"""),"TRẦN BẢO TRÂN")</f>
        <v>TRẦN BẢO TRÂN</v>
      </c>
      <c r="F1307" s="46" t="str">
        <f ca="1">IFERROR(__xludf.DUMMYFUNCTION("""COMPUTED_VALUE"""),"TRAN BAO TRAN")</f>
        <v>TRAN BAO TRAN</v>
      </c>
      <c r="G1307" s="45">
        <f ca="1">IFERROR(__xludf.DUMMYFUNCTION("""COMPUTED_VALUE"""),38202.5833333333)</f>
        <v>38202.583333333299</v>
      </c>
      <c r="H1307" s="45" t="str">
        <f ca="1">IFERROR(__xludf.DUMMYFUNCTION("""COMPUTED_VALUE"""),"MATTE")</f>
        <v>MATTE</v>
      </c>
      <c r="I1307" s="46" t="str">
        <f ca="1">IFERROR(__xludf.DUMMYFUNCTION("""COMPUTED_VALUE"""),"STORE")</f>
        <v>STORE</v>
      </c>
      <c r="J1307" s="46" t="str">
        <f ca="1">IFERROR(__xludf.DUMMYFUNCTION("""COMPUTED_VALUE"""),"MATTE D2")</f>
        <v>MATTE D2</v>
      </c>
      <c r="K1307" s="46" t="str">
        <f ca="1">IFERROR(__xludf.DUMMYFUNCTION("""COMPUTED_VALUE"""),"BAR")</f>
        <v>BAR</v>
      </c>
      <c r="L1307" s="46" t="str">
        <f ca="1">IFERROR(__xludf.DUMMYFUNCTION("""COMPUTED_VALUE"""),"PTEP")</f>
        <v>PTEP</v>
      </c>
      <c r="M1307" s="46" t="str">
        <f ca="1">IFERROR(__xludf.DUMMYFUNCTION("""COMPUTED_VALUE"""),"Leave")</f>
        <v>Leave</v>
      </c>
      <c r="N1307" s="46" t="str">
        <f ca="1">IFERROR(__xludf.DUMMYFUNCTION("""COMPUTED_VALUE"""),"Đủ")</f>
        <v>Đủ</v>
      </c>
    </row>
    <row r="1308" spans="1:14">
      <c r="A1308" s="45">
        <f ca="1">IFERROR(__xludf.DUMMYFUNCTION("""COMPUTED_VALUE"""),46037.625)</f>
        <v>46037.625</v>
      </c>
      <c r="B1308" s="45">
        <f ca="1">IFERROR(__xludf.DUMMYFUNCTION("""COMPUTED_VALUE"""),46068.625)</f>
        <v>46068.625</v>
      </c>
      <c r="C1308" s="46">
        <f ca="1">IFERROR(__xludf.DUMMYFUNCTION("""COMPUTED_VALUE"""),1309)</f>
        <v>1309</v>
      </c>
      <c r="D1308" s="47" t="str">
        <f ca="1">IFERROR(__xludf.DUMMYFUNCTION("""COMPUTED_VALUE"""),"C1177")</f>
        <v>C1177</v>
      </c>
      <c r="E1308" s="46" t="str">
        <f ca="1">IFERROR(__xludf.DUMMYFUNCTION("""COMPUTED_VALUE"""),"THẠCH THÁI TOÀN")</f>
        <v>THẠCH THÁI TOÀN</v>
      </c>
      <c r="F1308" s="46" t="str">
        <f ca="1">IFERROR(__xludf.DUMMYFUNCTION("""COMPUTED_VALUE"""),"THACH THAI TOAN")</f>
        <v>THACH THAI TOAN</v>
      </c>
      <c r="G1308" s="45">
        <f ca="1">IFERROR(__xludf.DUMMYFUNCTION("""COMPUTED_VALUE"""),38646.5833333333)</f>
        <v>38646.583333333299</v>
      </c>
      <c r="H1308" s="45" t="str">
        <f ca="1">IFERROR(__xludf.DUMMYFUNCTION("""COMPUTED_VALUE"""),"TET")</f>
        <v>TET</v>
      </c>
      <c r="I1308" s="46" t="str">
        <f ca="1">IFERROR(__xludf.DUMMYFUNCTION("""COMPUTED_VALUE"""),"STORE")</f>
        <v>STORE</v>
      </c>
      <c r="J1308" s="46" t="str">
        <f ca="1">IFERROR(__xludf.DUMMYFUNCTION("""COMPUTED_VALUE"""),"BAKES HCR")</f>
        <v>BAKES HCR</v>
      </c>
      <c r="K1308" s="46" t="str">
        <f ca="1">IFERROR(__xludf.DUMMYFUNCTION("""COMPUTED_VALUE"""),"SAL")</f>
        <v>SAL</v>
      </c>
      <c r="L1308" s="46" t="str">
        <f ca="1">IFERROR(__xludf.DUMMYFUNCTION("""COMPUTED_VALUE"""),"PTEP")</f>
        <v>PTEP</v>
      </c>
      <c r="M1308" s="46" t="str">
        <f ca="1">IFERROR(__xludf.DUMMYFUNCTION("""COMPUTED_VALUE"""),"Leave")</f>
        <v>Leave</v>
      </c>
      <c r="N1308" s="46" t="str">
        <f ca="1">IFERROR(__xludf.DUMMYFUNCTION("""COMPUTED_VALUE"""),"Đủ")</f>
        <v>Đủ</v>
      </c>
    </row>
    <row r="1309" spans="1:14">
      <c r="A1309" s="45">
        <f ca="1">IFERROR(__xludf.DUMMYFUNCTION("""COMPUTED_VALUE"""),46037.625)</f>
        <v>46037.625</v>
      </c>
      <c r="B1309" s="45">
        <f ca="1">IFERROR(__xludf.DUMMYFUNCTION("""COMPUTED_VALUE"""),46068.625)</f>
        <v>46068.625</v>
      </c>
      <c r="C1309" s="46">
        <f ca="1">IFERROR(__xludf.DUMMYFUNCTION("""COMPUTED_VALUE"""),1310)</f>
        <v>1310</v>
      </c>
      <c r="D1309" s="47" t="str">
        <f ca="1">IFERROR(__xludf.DUMMYFUNCTION("""COMPUTED_VALUE"""),"C1183")</f>
        <v>C1183</v>
      </c>
      <c r="E1309" s="46" t="str">
        <f ca="1">IFERROR(__xludf.DUMMYFUNCTION("""COMPUTED_VALUE"""),"TRẦN LÊ KHANH")</f>
        <v>TRẦN LÊ KHANH</v>
      </c>
      <c r="F1309" s="46" t="str">
        <f ca="1">IFERROR(__xludf.DUMMYFUNCTION("""COMPUTED_VALUE"""),"TRAN LE KHANH")</f>
        <v>TRAN LE KHANH</v>
      </c>
      <c r="G1309" s="45">
        <f ca="1">IFERROR(__xludf.DUMMYFUNCTION("""COMPUTED_VALUE"""),39295.5833333333)</f>
        <v>39295.583333333299</v>
      </c>
      <c r="H1309" s="45" t="str">
        <f ca="1">IFERROR(__xludf.DUMMYFUNCTION("""COMPUTED_VALUE"""),"TET")</f>
        <v>TET</v>
      </c>
      <c r="I1309" s="46" t="str">
        <f ca="1">IFERROR(__xludf.DUMMYFUNCTION("""COMPUTED_VALUE"""),"STORE")</f>
        <v>STORE</v>
      </c>
      <c r="J1309" s="46" t="str">
        <f ca="1">IFERROR(__xludf.DUMMYFUNCTION("""COMPUTED_VALUE"""),"BAKES HCR")</f>
        <v>BAKES HCR</v>
      </c>
      <c r="K1309" s="46" t="str">
        <f ca="1">IFERROR(__xludf.DUMMYFUNCTION("""COMPUTED_VALUE"""),"SAL")</f>
        <v>SAL</v>
      </c>
      <c r="L1309" s="46" t="str">
        <f ca="1">IFERROR(__xludf.DUMMYFUNCTION("""COMPUTED_VALUE"""),"PTEP")</f>
        <v>PTEP</v>
      </c>
      <c r="M1309" s="46" t="str">
        <f ca="1">IFERROR(__xludf.DUMMYFUNCTION("""COMPUTED_VALUE"""),"Leave")</f>
        <v>Leave</v>
      </c>
      <c r="N1309" s="46" t="str">
        <f ca="1">IFERROR(__xludf.DUMMYFUNCTION("""COMPUTED_VALUE"""),"Đủ")</f>
        <v>Đủ</v>
      </c>
    </row>
    <row r="1310" spans="1:14">
      <c r="A1310" s="45">
        <f ca="1">IFERROR(__xludf.DUMMYFUNCTION("""COMPUTED_VALUE"""),46034.625)</f>
        <v>46034.625</v>
      </c>
      <c r="B1310" s="45">
        <f ca="1">IFERROR(__xludf.DUMMYFUNCTION("""COMPUTED_VALUE"""),46074.625)</f>
        <v>46074.625</v>
      </c>
      <c r="C1310" s="46">
        <f ca="1">IFERROR(__xludf.DUMMYFUNCTION("""COMPUTED_VALUE"""),1311)</f>
        <v>1311</v>
      </c>
      <c r="D1310" s="47" t="str">
        <f ca="1">IFERROR(__xludf.DUMMYFUNCTION("""COMPUTED_VALUE"""),"C1172")</f>
        <v>C1172</v>
      </c>
      <c r="E1310" s="46" t="str">
        <f ca="1">IFERROR(__xludf.DUMMYFUNCTION("""COMPUTED_VALUE"""),"PHẠM THỊ BÍCH HẰNG")</f>
        <v>PHẠM THỊ BÍCH HẰNG</v>
      </c>
      <c r="F1310" s="46" t="str">
        <f ca="1">IFERROR(__xludf.DUMMYFUNCTION("""COMPUTED_VALUE"""),"PHAM THI BICH HANG")</f>
        <v>PHAM THI BICH HANG</v>
      </c>
      <c r="G1310" s="45">
        <f ca="1">IFERROR(__xludf.DUMMYFUNCTION("""COMPUTED_VALUE"""),37530.5833333333)</f>
        <v>37530.583333333299</v>
      </c>
      <c r="H1310" s="45" t="str">
        <f ca="1">IFERROR(__xludf.DUMMYFUNCTION("""COMPUTED_VALUE"""),"MATTE")</f>
        <v>MATTE</v>
      </c>
      <c r="I1310" s="46" t="str">
        <f ca="1">IFERROR(__xludf.DUMMYFUNCTION("""COMPUTED_VALUE"""),"STORE")</f>
        <v>STORE</v>
      </c>
      <c r="J1310" s="46" t="str">
        <f ca="1">IFERROR(__xludf.DUMMYFUNCTION("""COMPUTED_VALUE"""),"MATTE D3")</f>
        <v>MATTE D3</v>
      </c>
      <c r="K1310" s="46" t="str">
        <f ca="1">IFERROR(__xludf.DUMMYFUNCTION("""COMPUTED_VALUE"""),"BAR")</f>
        <v>BAR</v>
      </c>
      <c r="L1310" s="46" t="str">
        <f ca="1">IFERROR(__xludf.DUMMYFUNCTION("""COMPUTED_VALUE"""),"PRO")</f>
        <v>PRO</v>
      </c>
      <c r="M1310" s="46" t="str">
        <f ca="1">IFERROR(__xludf.DUMMYFUNCTION("""COMPUTED_VALUE"""),"Leave")</f>
        <v>Leave</v>
      </c>
      <c r="N1310" s="46" t="str">
        <f ca="1">IFERROR(__xludf.DUMMYFUNCTION("""COMPUTED_VALUE"""),"Đủ")</f>
        <v>Đủ</v>
      </c>
    </row>
    <row r="1311" spans="1:14">
      <c r="A1311" s="45">
        <f ca="1">IFERROR(__xludf.DUMMYFUNCTION("""COMPUTED_VALUE"""),46034.625)</f>
        <v>46034.625</v>
      </c>
      <c r="B1311" s="45">
        <f ca="1">IFERROR(__xludf.DUMMYFUNCTION("""COMPUTED_VALUE"""),46113.5833333333)</f>
        <v>46113.583333333299</v>
      </c>
      <c r="C1311" s="46">
        <f ca="1">IFERROR(__xludf.DUMMYFUNCTION("""COMPUTED_VALUE"""),1312)</f>
        <v>1312</v>
      </c>
      <c r="D1311" s="47" t="str">
        <f ca="1">IFERROR(__xludf.DUMMYFUNCTION("""COMPUTED_VALUE"""),"C1173")</f>
        <v>C1173</v>
      </c>
      <c r="E1311" s="46" t="str">
        <f ca="1">IFERROR(__xludf.DUMMYFUNCTION("""COMPUTED_VALUE"""),"PHẠM NGỌC ANH KHOA")</f>
        <v>PHẠM NGỌC ANH KHOA</v>
      </c>
      <c r="F1311" s="46" t="str">
        <f ca="1">IFERROR(__xludf.DUMMYFUNCTION("""COMPUTED_VALUE"""),"PHAM NGOC ANH KHOA")</f>
        <v>PHAM NGOC ANH KHOA</v>
      </c>
      <c r="G1311" s="45">
        <f ca="1">IFERROR(__xludf.DUMMYFUNCTION("""COMPUTED_VALUE"""),38166.5833333333)</f>
        <v>38166.583333333299</v>
      </c>
      <c r="H1311" s="45" t="str">
        <f ca="1">IFERROR(__xludf.DUMMYFUNCTION("""COMPUTED_VALUE"""),"MATTE")</f>
        <v>MATTE</v>
      </c>
      <c r="I1311" s="46" t="str">
        <f ca="1">IFERROR(__xludf.DUMMYFUNCTION("""COMPUTED_VALUE"""),"STORE")</f>
        <v>STORE</v>
      </c>
      <c r="J1311" s="46" t="str">
        <f ca="1">IFERROR(__xludf.DUMMYFUNCTION("""COMPUTED_VALUE"""),"MATTE D1")</f>
        <v>MATTE D1</v>
      </c>
      <c r="K1311" s="46" t="str">
        <f ca="1">IFERROR(__xludf.DUMMYFUNCTION("""COMPUTED_VALUE"""),"BAR")</f>
        <v>BAR</v>
      </c>
      <c r="L1311" s="46" t="str">
        <f ca="1">IFERROR(__xludf.DUMMYFUNCTION("""COMPUTED_VALUE"""),"PTEP")</f>
        <v>PTEP</v>
      </c>
      <c r="M1311" s="46" t="str">
        <f ca="1">IFERROR(__xludf.DUMMYFUNCTION("""COMPUTED_VALUE"""),"Leave")</f>
        <v>Leave</v>
      </c>
      <c r="N1311" s="46" t="str">
        <f ca="1">IFERROR(__xludf.DUMMYFUNCTION("""COMPUTED_VALUE"""),"Đủ")</f>
        <v>Đủ</v>
      </c>
    </row>
    <row r="1312" spans="1:14">
      <c r="A1312" s="45">
        <f ca="1">IFERROR(__xludf.DUMMYFUNCTION("""COMPUTED_VALUE"""),46034.625)</f>
        <v>46034.625</v>
      </c>
      <c r="B1312" s="45">
        <f ca="1">IFERROR(__xludf.DUMMYFUNCTION("""COMPUTED_VALUE"""),46086.625)</f>
        <v>46086.625</v>
      </c>
      <c r="C1312" s="46">
        <f ca="1">IFERROR(__xludf.DUMMYFUNCTION("""COMPUTED_VALUE"""),1313)</f>
        <v>1313</v>
      </c>
      <c r="D1312" s="47" t="str">
        <f ca="1">IFERROR(__xludf.DUMMYFUNCTION("""COMPUTED_VALUE"""),"C1174")</f>
        <v>C1174</v>
      </c>
      <c r="E1312" s="46" t="str">
        <f ca="1">IFERROR(__xludf.DUMMYFUNCTION("""COMPUTED_VALUE"""),"NGUYỄN THUỴ DIỄM THI")</f>
        <v>NGUYỄN THUỴ DIỄM THI</v>
      </c>
      <c r="F1312" s="46" t="str">
        <f ca="1">IFERROR(__xludf.DUMMYFUNCTION("""COMPUTED_VALUE"""),"NGUYEN THUY DIEM THI")</f>
        <v>NGUYEN THUY DIEM THI</v>
      </c>
      <c r="G1312" s="45">
        <f ca="1">IFERROR(__xludf.DUMMYFUNCTION("""COMPUTED_VALUE"""),36568.625)</f>
        <v>36568.625</v>
      </c>
      <c r="H1312" s="45" t="str">
        <f ca="1">IFERROR(__xludf.DUMMYFUNCTION("""COMPUTED_VALUE"""),"MATTE")</f>
        <v>MATTE</v>
      </c>
      <c r="I1312" s="46" t="str">
        <f ca="1">IFERROR(__xludf.DUMMYFUNCTION("""COMPUTED_VALUE"""),"STORE")</f>
        <v>STORE</v>
      </c>
      <c r="J1312" s="46" t="str">
        <f ca="1">IFERROR(__xludf.DUMMYFUNCTION("""COMPUTED_VALUE"""),"MATTE D1")</f>
        <v>MATTE D1</v>
      </c>
      <c r="K1312" s="46" t="str">
        <f ca="1">IFERROR(__xludf.DUMMYFUNCTION("""COMPUTED_VALUE"""),"BAR")</f>
        <v>BAR</v>
      </c>
      <c r="L1312" s="46" t="str">
        <f ca="1">IFERROR(__xludf.DUMMYFUNCTION("""COMPUTED_VALUE"""),"PTEP")</f>
        <v>PTEP</v>
      </c>
      <c r="M1312" s="46" t="str">
        <f ca="1">IFERROR(__xludf.DUMMYFUNCTION("""COMPUTED_VALUE"""),"Leave")</f>
        <v>Leave</v>
      </c>
      <c r="N1312" s="46" t="str">
        <f ca="1">IFERROR(__xludf.DUMMYFUNCTION("""COMPUTED_VALUE"""),"Đủ")</f>
        <v>Đủ</v>
      </c>
    </row>
    <row r="1313" spans="1:14">
      <c r="A1313" s="45">
        <f ca="1">IFERROR(__xludf.DUMMYFUNCTION("""COMPUTED_VALUE"""),46029.625)</f>
        <v>46029.625</v>
      </c>
      <c r="B1313" s="45">
        <f ca="1">IFERROR(__xludf.DUMMYFUNCTION("""COMPUTED_VALUE"""),46055.625)</f>
        <v>46055.625</v>
      </c>
      <c r="C1313" s="46">
        <f ca="1">IFERROR(__xludf.DUMMYFUNCTION("""COMPUTED_VALUE"""),1314)</f>
        <v>1314</v>
      </c>
      <c r="D1313" s="47" t="str">
        <f ca="1">IFERROR(__xludf.DUMMYFUNCTION("""COMPUTED_VALUE"""),"C1176")</f>
        <v>C1176</v>
      </c>
      <c r="E1313" s="46" t="str">
        <f ca="1">IFERROR(__xludf.DUMMYFUNCTION("""COMPUTED_VALUE"""),"VÕ NGUYỄN THỤC NHƯ")</f>
        <v>VÕ NGUYỄN THỤC NHƯ</v>
      </c>
      <c r="F1313" s="46" t="str">
        <f ca="1">IFERROR(__xludf.DUMMYFUNCTION("""COMPUTED_VALUE"""),"VO NGUYEN THUC NHU")</f>
        <v>VO NGUYEN THUC NHU</v>
      </c>
      <c r="G1313" s="45">
        <f ca="1">IFERROR(__xludf.DUMMYFUNCTION("""COMPUTED_VALUE"""),39314.5833333333)</f>
        <v>39314.583333333299</v>
      </c>
      <c r="H1313" s="45" t="str">
        <f ca="1">IFERROR(__xludf.DUMMYFUNCTION("""COMPUTED_VALUE"""),"MATTE")</f>
        <v>MATTE</v>
      </c>
      <c r="I1313" s="46" t="str">
        <f ca="1">IFERROR(__xludf.DUMMYFUNCTION("""COMPUTED_VALUE"""),"STORE")</f>
        <v>STORE</v>
      </c>
      <c r="J1313" s="46" t="str">
        <f ca="1">IFERROR(__xludf.DUMMYFUNCTION("""COMPUTED_VALUE"""),"MATTE D7")</f>
        <v>MATTE D7</v>
      </c>
      <c r="K1313" s="46" t="str">
        <f ca="1">IFERROR(__xludf.DUMMYFUNCTION("""COMPUTED_VALUE"""),"BAR")</f>
        <v>BAR</v>
      </c>
      <c r="L1313" s="46" t="str">
        <f ca="1">IFERROR(__xludf.DUMMYFUNCTION("""COMPUTED_VALUE"""),"PTEP")</f>
        <v>PTEP</v>
      </c>
      <c r="M1313" s="46" t="str">
        <f ca="1">IFERROR(__xludf.DUMMYFUNCTION("""COMPUTED_VALUE"""),"Leave")</f>
        <v>Leave</v>
      </c>
      <c r="N1313" s="46" t="str">
        <f ca="1">IFERROR(__xludf.DUMMYFUNCTION("""COMPUTED_VALUE"""),"Đủ")</f>
        <v>Đủ</v>
      </c>
    </row>
    <row r="1314" spans="1:14">
      <c r="A1314" s="45">
        <f ca="1">IFERROR(__xludf.DUMMYFUNCTION("""COMPUTED_VALUE"""),46034.625)</f>
        <v>46034.625</v>
      </c>
      <c r="B1314" s="45"/>
      <c r="C1314" s="46">
        <f ca="1">IFERROR(__xludf.DUMMYFUNCTION("""COMPUTED_VALUE"""),1315)</f>
        <v>1315</v>
      </c>
      <c r="D1314" s="47" t="str">
        <f ca="1">IFERROR(__xludf.DUMMYFUNCTION("""COMPUTED_VALUE"""),"C1178")</f>
        <v>C1178</v>
      </c>
      <c r="E1314" s="46" t="str">
        <f ca="1">IFERROR(__xludf.DUMMYFUNCTION("""COMPUTED_VALUE"""),"NGUYỄN HOÀNG MINH THƯ")</f>
        <v>NGUYỄN HOÀNG MINH THƯ</v>
      </c>
      <c r="F1314" s="46" t="str">
        <f ca="1">IFERROR(__xludf.DUMMYFUNCTION("""COMPUTED_VALUE"""),"NGUYEN HOANG MINH THU")</f>
        <v>NGUYEN HOANG MINH THU</v>
      </c>
      <c r="G1314" s="45">
        <f ca="1">IFERROR(__xludf.DUMMYFUNCTION("""COMPUTED_VALUE"""),36101.625)</f>
        <v>36101.625</v>
      </c>
      <c r="H1314" s="45" t="str">
        <f ca="1">IFERROR(__xludf.DUMMYFUNCTION("""COMPUTED_VALUE"""),"MATTE")</f>
        <v>MATTE</v>
      </c>
      <c r="I1314" s="46" t="str">
        <f ca="1">IFERROR(__xludf.DUMMYFUNCTION("""COMPUTED_VALUE"""),"STORE")</f>
        <v>STORE</v>
      </c>
      <c r="J1314" s="46" t="str">
        <f ca="1">IFERROR(__xludf.DUMMYFUNCTION("""COMPUTED_VALUE"""),"MATTE D1")</f>
        <v>MATTE D1</v>
      </c>
      <c r="K1314" s="46" t="str">
        <f ca="1">IFERROR(__xludf.DUMMYFUNCTION("""COMPUTED_VALUE"""),"BAR")</f>
        <v>BAR</v>
      </c>
      <c r="L1314" s="46" t="str">
        <f ca="1">IFERROR(__xludf.DUMMYFUNCTION("""COMPUTED_VALUE"""),"PTE")</f>
        <v>PTE</v>
      </c>
      <c r="M1314" s="46" t="str">
        <f ca="1">IFERROR(__xludf.DUMMYFUNCTION("""COMPUTED_VALUE"""),"On")</f>
        <v>On</v>
      </c>
      <c r="N1314" s="46" t="str">
        <f ca="1">IFERROR(__xludf.DUMMYFUNCTION("""COMPUTED_VALUE"""),"Đủ")</f>
        <v>Đủ</v>
      </c>
    </row>
    <row r="1315" spans="1:14">
      <c r="A1315" s="45">
        <f ca="1">IFERROR(__xludf.DUMMYFUNCTION("""COMPUTED_VALUE"""),46024.625)</f>
        <v>46024.625</v>
      </c>
      <c r="B1315" s="45"/>
      <c r="C1315" s="46">
        <f ca="1">IFERROR(__xludf.DUMMYFUNCTION("""COMPUTED_VALUE"""),1316)</f>
        <v>1316</v>
      </c>
      <c r="D1315" s="47" t="str">
        <f ca="1">IFERROR(__xludf.DUMMYFUNCTION("""COMPUTED_VALUE"""),"C0909")</f>
        <v>C0909</v>
      </c>
      <c r="E1315" s="46" t="str">
        <f ca="1">IFERROR(__xludf.DUMMYFUNCTION("""COMPUTED_VALUE"""),"NGUYỄN LÊ QUỐC BẢO")</f>
        <v>NGUYỄN LÊ QUỐC BẢO</v>
      </c>
      <c r="F1315" s="46" t="str">
        <f ca="1">IFERROR(__xludf.DUMMYFUNCTION("""COMPUTED_VALUE"""),"NGUYEN LE QUOC BAO")</f>
        <v>NGUYEN LE QUOC BAO</v>
      </c>
      <c r="G1315" s="45">
        <f ca="1">IFERROR(__xludf.DUMMYFUNCTION("""COMPUTED_VALUE"""),37926.625)</f>
        <v>37926.625</v>
      </c>
      <c r="H1315" s="45" t="str">
        <f ca="1">IFERROR(__xludf.DUMMYFUNCTION("""COMPUTED_VALUE"""),"TLC")</f>
        <v>TLC</v>
      </c>
      <c r="I1315" s="46" t="str">
        <f ca="1">IFERROR(__xludf.DUMMYFUNCTION("""COMPUTED_VALUE"""),"STORE")</f>
        <v>STORE</v>
      </c>
      <c r="J1315" s="46" t="str">
        <f ca="1">IFERROR(__xludf.DUMMYFUNCTION("""COMPUTED_VALUE"""),"BLANK LOUNGE")</f>
        <v>BLANK LOUNGE</v>
      </c>
      <c r="K1315" s="46" t="str">
        <f ca="1">IFERROR(__xludf.DUMMYFUNCTION("""COMPUTED_VALUE"""),"KIT")</f>
        <v>KIT</v>
      </c>
      <c r="L1315" s="46" t="str">
        <f ca="1">IFERROR(__xludf.DUMMYFUNCTION("""COMPUTED_VALUE"""),"PTE")</f>
        <v>PTE</v>
      </c>
      <c r="M1315" s="46" t="str">
        <f ca="1">IFERROR(__xludf.DUMMYFUNCTION("""COMPUTED_VALUE"""),"On")</f>
        <v>On</v>
      </c>
      <c r="N1315" s="46" t="str">
        <f ca="1">IFERROR(__xludf.DUMMYFUNCTION("""COMPUTED_VALUE"""),"Đủ")</f>
        <v>Đủ</v>
      </c>
    </row>
    <row r="1316" spans="1:14">
      <c r="A1316" s="45">
        <f ca="1">IFERROR(__xludf.DUMMYFUNCTION("""COMPUTED_VALUE"""),46037.625)</f>
        <v>46037.625</v>
      </c>
      <c r="B1316" s="45">
        <f ca="1">IFERROR(__xludf.DUMMYFUNCTION("""COMPUTED_VALUE"""),46068.625)</f>
        <v>46068.625</v>
      </c>
      <c r="C1316" s="46">
        <f ca="1">IFERROR(__xludf.DUMMYFUNCTION("""COMPUTED_VALUE"""),1317)</f>
        <v>1317</v>
      </c>
      <c r="D1316" s="47" t="str">
        <f ca="1">IFERROR(__xludf.DUMMYFUNCTION("""COMPUTED_VALUE"""),"C1187")</f>
        <v>C1187</v>
      </c>
      <c r="E1316" s="46" t="str">
        <f ca="1">IFERROR(__xludf.DUMMYFUNCTION("""COMPUTED_VALUE"""),"LƯƠNG GIA BẢO")</f>
        <v>LƯƠNG GIA BẢO</v>
      </c>
      <c r="F1316" s="46" t="str">
        <f ca="1">IFERROR(__xludf.DUMMYFUNCTION("""COMPUTED_VALUE"""),"LUONG GIA BAO")</f>
        <v>LUONG GIA BAO</v>
      </c>
      <c r="G1316" s="45">
        <f ca="1">IFERROR(__xludf.DUMMYFUNCTION("""COMPUTED_VALUE"""),37187.5833333333)</f>
        <v>37187.583333333299</v>
      </c>
      <c r="H1316" s="45" t="str">
        <f ca="1">IFERROR(__xludf.DUMMYFUNCTION("""COMPUTED_VALUE"""),"TET")</f>
        <v>TET</v>
      </c>
      <c r="I1316" s="46" t="str">
        <f ca="1">IFERROR(__xludf.DUMMYFUNCTION("""COMPUTED_VALUE"""),"STORE")</f>
        <v>STORE</v>
      </c>
      <c r="J1316" s="46" t="str">
        <f ca="1">IFERROR(__xludf.DUMMYFUNCTION("""COMPUTED_VALUE"""),"BAKES HCR")</f>
        <v>BAKES HCR</v>
      </c>
      <c r="K1316" s="46" t="str">
        <f ca="1">IFERROR(__xludf.DUMMYFUNCTION("""COMPUTED_VALUE"""),"SAL")</f>
        <v>SAL</v>
      </c>
      <c r="L1316" s="46" t="str">
        <f ca="1">IFERROR(__xludf.DUMMYFUNCTION("""COMPUTED_VALUE"""),"PTEP")</f>
        <v>PTEP</v>
      </c>
      <c r="M1316" s="46" t="str">
        <f ca="1">IFERROR(__xludf.DUMMYFUNCTION("""COMPUTED_VALUE"""),"Leave")</f>
        <v>Leave</v>
      </c>
      <c r="N1316" s="46" t="str">
        <f ca="1">IFERROR(__xludf.DUMMYFUNCTION("""COMPUTED_VALUE"""),"Đủ")</f>
        <v>Đủ</v>
      </c>
    </row>
    <row r="1317" spans="1:14">
      <c r="A1317" s="45">
        <f ca="1">IFERROR(__xludf.DUMMYFUNCTION("""COMPUTED_VALUE"""),46035.625)</f>
        <v>46035.625</v>
      </c>
      <c r="B1317" s="45">
        <f ca="1">IFERROR(__xludf.DUMMYFUNCTION("""COMPUTED_VALUE"""),46096.5833333333)</f>
        <v>46096.583333333299</v>
      </c>
      <c r="C1317" s="46">
        <f ca="1">IFERROR(__xludf.DUMMYFUNCTION("""COMPUTED_VALUE"""),1318)</f>
        <v>1318</v>
      </c>
      <c r="D1317" s="47" t="str">
        <f ca="1">IFERROR(__xludf.DUMMYFUNCTION("""COMPUTED_VALUE"""),"C1185")</f>
        <v>C1185</v>
      </c>
      <c r="E1317" s="46" t="str">
        <f ca="1">IFERROR(__xludf.DUMMYFUNCTION("""COMPUTED_VALUE"""),"NGUYỄN GIA HIẾU NHÂN")</f>
        <v>NGUYỄN GIA HIẾU NHÂN</v>
      </c>
      <c r="F1317" s="46" t="str">
        <f ca="1">IFERROR(__xludf.DUMMYFUNCTION("""COMPUTED_VALUE"""),"NGUYEN GIA HIEU NHAN")</f>
        <v>NGUYEN GIA HIEU NHAN</v>
      </c>
      <c r="G1317" s="45">
        <f ca="1">IFERROR(__xludf.DUMMYFUNCTION("""COMPUTED_VALUE"""),37283.625)</f>
        <v>37283.625</v>
      </c>
      <c r="H1317" s="45" t="str">
        <f ca="1">IFERROR(__xludf.DUMMYFUNCTION("""COMPUTED_VALUE"""),"KITCHEN PASTRY")</f>
        <v>KITCHEN PASTRY</v>
      </c>
      <c r="I1317" s="46" t="str">
        <f ca="1">IFERROR(__xludf.DUMMYFUNCTION("""COMPUTED_VALUE"""),"HO")</f>
        <v>HO</v>
      </c>
      <c r="J1317" s="46" t="str">
        <f ca="1">IFERROR(__xludf.DUMMYFUNCTION("""COMPUTED_VALUE"""),"PET")</f>
        <v>PET</v>
      </c>
      <c r="K1317" s="46" t="str">
        <f ca="1">IFERROR(__xludf.DUMMYFUNCTION("""COMPUTED_VALUE"""),"PET")</f>
        <v>PET</v>
      </c>
      <c r="L1317" s="46" t="str">
        <f ca="1">IFERROR(__xludf.DUMMYFUNCTION("""COMPUTED_VALUE"""),"PRO")</f>
        <v>PRO</v>
      </c>
      <c r="M1317" s="46" t="str">
        <f ca="1">IFERROR(__xludf.DUMMYFUNCTION("""COMPUTED_VALUE"""),"Leave")</f>
        <v>Leave</v>
      </c>
      <c r="N1317" s="46" t="str">
        <f ca="1">IFERROR(__xludf.DUMMYFUNCTION("""COMPUTED_VALUE"""),"Đủ")</f>
        <v>Đủ</v>
      </c>
    </row>
    <row r="1318" spans="1:14">
      <c r="A1318" s="45">
        <f ca="1">IFERROR(__xludf.DUMMYFUNCTION("""COMPUTED_VALUE"""),46035.625)</f>
        <v>46035.625</v>
      </c>
      <c r="B1318" s="45"/>
      <c r="C1318" s="46">
        <f ca="1">IFERROR(__xludf.DUMMYFUNCTION("""COMPUTED_VALUE"""),1319)</f>
        <v>1319</v>
      </c>
      <c r="D1318" s="47" t="str">
        <f ca="1">IFERROR(__xludf.DUMMYFUNCTION("""COMPUTED_VALUE"""),"C1186")</f>
        <v>C1186</v>
      </c>
      <c r="E1318" s="46" t="str">
        <f ca="1">IFERROR(__xludf.DUMMYFUNCTION("""COMPUTED_VALUE"""),"NGUYỄN NGỌC KIM NGÂN")</f>
        <v>NGUYỄN NGỌC KIM NGÂN</v>
      </c>
      <c r="F1318" s="46" t="str">
        <f ca="1">IFERROR(__xludf.DUMMYFUNCTION("""COMPUTED_VALUE"""),"NGUYEN NGOC KIM NGAN")</f>
        <v>NGUYEN NGOC KIM NGAN</v>
      </c>
      <c r="G1318" s="45">
        <f ca="1">IFERROR(__xludf.DUMMYFUNCTION("""COMPUTED_VALUE"""),36087.5833333333)</f>
        <v>36087.583333333299</v>
      </c>
      <c r="H1318" s="45" t="str">
        <f ca="1">IFERROR(__xludf.DUMMYFUNCTION("""COMPUTED_VALUE"""),"BAKES")</f>
        <v>BAKES</v>
      </c>
      <c r="I1318" s="46" t="str">
        <f ca="1">IFERROR(__xludf.DUMMYFUNCTION("""COMPUTED_VALUE"""),"HO")</f>
        <v>HO</v>
      </c>
      <c r="J1318" s="46" t="str">
        <f ca="1">IFERROR(__xludf.DUMMYFUNCTION("""COMPUTED_VALUE"""),"SAL")</f>
        <v>SAL</v>
      </c>
      <c r="K1318" s="46" t="str">
        <f ca="1">IFERROR(__xludf.DUMMYFUNCTION("""COMPUTED_VALUE"""),"SAL")</f>
        <v>SAL</v>
      </c>
      <c r="L1318" s="46" t="str">
        <f ca="1">IFERROR(__xludf.DUMMYFUNCTION("""COMPUTED_VALUE"""),"FTE")</f>
        <v>FTE</v>
      </c>
      <c r="M1318" s="46" t="str">
        <f ca="1">IFERROR(__xludf.DUMMYFUNCTION("""COMPUTED_VALUE"""),"On")</f>
        <v>On</v>
      </c>
      <c r="N1318" s="46" t="str">
        <f ca="1">IFERROR(__xludf.DUMMYFUNCTION("""COMPUTED_VALUE"""),"Đủ")</f>
        <v>Đủ</v>
      </c>
    </row>
    <row r="1319" spans="1:14">
      <c r="A1319" s="45">
        <f ca="1">IFERROR(__xludf.DUMMYFUNCTION("""COMPUTED_VALUE"""),46035.625)</f>
        <v>46035.625</v>
      </c>
      <c r="B1319" s="45">
        <f ca="1">IFERROR(__xludf.DUMMYFUNCTION("""COMPUTED_VALUE"""),46113.5833333333)</f>
        <v>46113.583333333299</v>
      </c>
      <c r="C1319" s="46">
        <f ca="1">IFERROR(__xludf.DUMMYFUNCTION("""COMPUTED_VALUE"""),1320)</f>
        <v>1320</v>
      </c>
      <c r="D1319" s="47" t="str">
        <f ca="1">IFERROR(__xludf.DUMMYFUNCTION("""COMPUTED_VALUE"""),"C1193")</f>
        <v>C1193</v>
      </c>
      <c r="E1319" s="46" t="str">
        <f ca="1">IFERROR(__xludf.DUMMYFUNCTION("""COMPUTED_VALUE"""),"TRƯƠNG HOA XUÂN QUỲNH")</f>
        <v>TRƯƠNG HOA XUÂN QUỲNH</v>
      </c>
      <c r="F1319" s="46" t="str">
        <f ca="1">IFERROR(__xludf.DUMMYFUNCTION("""COMPUTED_VALUE"""),"TRUONG HOA XUAN QUYNH")</f>
        <v>TRUONG HOA XUAN QUYNH</v>
      </c>
      <c r="G1319" s="45">
        <f ca="1">IFERROR(__xludf.DUMMYFUNCTION("""COMPUTED_VALUE"""),38160.5833333333)</f>
        <v>38160.583333333299</v>
      </c>
      <c r="H1319" s="45" t="str">
        <f ca="1">IFERROR(__xludf.DUMMYFUNCTION("""COMPUTED_VALUE"""),"BAKES")</f>
        <v>BAKES</v>
      </c>
      <c r="I1319" s="46" t="str">
        <f ca="1">IFERROR(__xludf.DUMMYFUNCTION("""COMPUTED_VALUE"""),"STORE")</f>
        <v>STORE</v>
      </c>
      <c r="J1319" s="46" t="str">
        <f ca="1">IFERROR(__xludf.DUMMYFUNCTION("""COMPUTED_VALUE"""),"BAKES HCR")</f>
        <v>BAKES HCR</v>
      </c>
      <c r="K1319" s="46" t="str">
        <f ca="1">IFERROR(__xludf.DUMMYFUNCTION("""COMPUTED_VALUE"""),"WAITSTAFF")</f>
        <v>WAITSTAFF</v>
      </c>
      <c r="L1319" s="46" t="str">
        <f ca="1">IFERROR(__xludf.DUMMYFUNCTION("""COMPUTED_VALUE"""),"PTEP")</f>
        <v>PTEP</v>
      </c>
      <c r="M1319" s="46" t="str">
        <f ca="1">IFERROR(__xludf.DUMMYFUNCTION("""COMPUTED_VALUE"""),"Leave")</f>
        <v>Leave</v>
      </c>
      <c r="N1319" s="46" t="str">
        <f ca="1">IFERROR(__xludf.DUMMYFUNCTION("""COMPUTED_VALUE"""),"Đủ")</f>
        <v>Đủ</v>
      </c>
    </row>
    <row r="1320" spans="1:14">
      <c r="A1320" s="45">
        <f ca="1">IFERROR(__xludf.DUMMYFUNCTION("""COMPUTED_VALUE"""),46034.625)</f>
        <v>46034.625</v>
      </c>
      <c r="B1320" s="45">
        <f ca="1">IFERROR(__xludf.DUMMYFUNCTION("""COMPUTED_VALUE"""),46054.625)</f>
        <v>46054.625</v>
      </c>
      <c r="C1320" s="46">
        <f ca="1">IFERROR(__xludf.DUMMYFUNCTION("""COMPUTED_VALUE"""),1321)</f>
        <v>1321</v>
      </c>
      <c r="D1320" s="47" t="str">
        <f ca="1">IFERROR(__xludf.DUMMYFUNCTION("""COMPUTED_VALUE"""),"C1198")</f>
        <v>C1198</v>
      </c>
      <c r="E1320" s="46" t="str">
        <f ca="1">IFERROR(__xludf.DUMMYFUNCTION("""COMPUTED_VALUE"""),"NGUYỄN NGỌC QUỲNH NHI ")</f>
        <v xml:space="preserve">NGUYỄN NGỌC QUỲNH NHI </v>
      </c>
      <c r="F1320" s="46" t="str">
        <f ca="1">IFERROR(__xludf.DUMMYFUNCTION("""COMPUTED_VALUE"""),"NGUYEN NGOC QUYNH NHI ")</f>
        <v xml:space="preserve">NGUYEN NGOC QUYNH NHI </v>
      </c>
      <c r="G1320" s="45">
        <f ca="1">IFERROR(__xludf.DUMMYFUNCTION("""COMPUTED_VALUE"""),38099.5833333333)</f>
        <v>38099.583333333299</v>
      </c>
      <c r="H1320" s="45" t="str">
        <f ca="1">IFERROR(__xludf.DUMMYFUNCTION("""COMPUTED_VALUE"""),"MATTE")</f>
        <v>MATTE</v>
      </c>
      <c r="I1320" s="46" t="str">
        <f ca="1">IFERROR(__xludf.DUMMYFUNCTION("""COMPUTED_VALUE"""),"STORE")</f>
        <v>STORE</v>
      </c>
      <c r="J1320" s="46" t="str">
        <f ca="1">IFERROR(__xludf.DUMMYFUNCTION("""COMPUTED_VALUE"""),"MATTE D2")</f>
        <v>MATTE D2</v>
      </c>
      <c r="K1320" s="46" t="str">
        <f ca="1">IFERROR(__xludf.DUMMYFUNCTION("""COMPUTED_VALUE"""),"BAR")</f>
        <v>BAR</v>
      </c>
      <c r="L1320" s="46" t="str">
        <f ca="1">IFERROR(__xludf.DUMMYFUNCTION("""COMPUTED_VALUE"""),"PTEP")</f>
        <v>PTEP</v>
      </c>
      <c r="M1320" s="46" t="str">
        <f ca="1">IFERROR(__xludf.DUMMYFUNCTION("""COMPUTED_VALUE"""),"Leave")</f>
        <v>Leave</v>
      </c>
      <c r="N1320" s="46" t="str">
        <f ca="1">IFERROR(__xludf.DUMMYFUNCTION("""COMPUTED_VALUE"""),"chua nop")</f>
        <v>chua nop</v>
      </c>
    </row>
    <row r="1321" spans="1:14">
      <c r="A1321" s="45">
        <f ca="1">IFERROR(__xludf.DUMMYFUNCTION("""COMPUTED_VALUE"""),46037.625)</f>
        <v>46037.625</v>
      </c>
      <c r="B1321" s="45">
        <f ca="1">IFERROR(__xludf.DUMMYFUNCTION("""COMPUTED_VALUE"""),46068.625)</f>
        <v>46068.625</v>
      </c>
      <c r="C1321" s="46">
        <f ca="1">IFERROR(__xludf.DUMMYFUNCTION("""COMPUTED_VALUE"""),1322)</f>
        <v>1322</v>
      </c>
      <c r="D1321" s="47" t="str">
        <f ca="1">IFERROR(__xludf.DUMMYFUNCTION("""COMPUTED_VALUE"""),"C1197")</f>
        <v>C1197</v>
      </c>
      <c r="E1321" s="46" t="str">
        <f ca="1">IFERROR(__xludf.DUMMYFUNCTION("""COMPUTED_VALUE"""),"BÙI PHƯƠNG ANH")</f>
        <v>BÙI PHƯƠNG ANH</v>
      </c>
      <c r="F1321" s="46" t="str">
        <f ca="1">IFERROR(__xludf.DUMMYFUNCTION("""COMPUTED_VALUE"""),"BUI PHUONG ANH")</f>
        <v>BUI PHUONG ANH</v>
      </c>
      <c r="G1321" s="45">
        <f ca="1">IFERROR(__xludf.DUMMYFUNCTION("""COMPUTED_VALUE"""),38608.5833333333)</f>
        <v>38608.583333333299</v>
      </c>
      <c r="H1321" s="45" t="str">
        <f ca="1">IFERROR(__xludf.DUMMYFUNCTION("""COMPUTED_VALUE"""),"TET")</f>
        <v>TET</v>
      </c>
      <c r="I1321" s="46" t="str">
        <f ca="1">IFERROR(__xludf.DUMMYFUNCTION("""COMPUTED_VALUE"""),"STORE")</f>
        <v>STORE</v>
      </c>
      <c r="J1321" s="46" t="str">
        <f ca="1">IFERROR(__xludf.DUMMYFUNCTION("""COMPUTED_VALUE"""),"BAKES HCR")</f>
        <v>BAKES HCR</v>
      </c>
      <c r="K1321" s="46" t="str">
        <f ca="1">IFERROR(__xludf.DUMMYFUNCTION("""COMPUTED_VALUE"""),"SAL")</f>
        <v>SAL</v>
      </c>
      <c r="L1321" s="46" t="str">
        <f ca="1">IFERROR(__xludf.DUMMYFUNCTION("""COMPUTED_VALUE"""),"PTEP")</f>
        <v>PTEP</v>
      </c>
      <c r="M1321" s="46" t="str">
        <f ca="1">IFERROR(__xludf.DUMMYFUNCTION("""COMPUTED_VALUE"""),"Leave")</f>
        <v>Leave</v>
      </c>
      <c r="N1321" s="46" t="str">
        <f ca="1">IFERROR(__xludf.DUMMYFUNCTION("""COMPUTED_VALUE"""),"Đủ")</f>
        <v>Đủ</v>
      </c>
    </row>
    <row r="1322" spans="1:14">
      <c r="A1322" s="45">
        <f ca="1">IFERROR(__xludf.DUMMYFUNCTION("""COMPUTED_VALUE"""),46037.625)</f>
        <v>46037.625</v>
      </c>
      <c r="B1322" s="45">
        <f ca="1">IFERROR(__xludf.DUMMYFUNCTION("""COMPUTED_VALUE"""),46068.625)</f>
        <v>46068.625</v>
      </c>
      <c r="C1322" s="46">
        <f ca="1">IFERROR(__xludf.DUMMYFUNCTION("""COMPUTED_VALUE"""),1323)</f>
        <v>1323</v>
      </c>
      <c r="D1322" s="47" t="str">
        <f ca="1">IFERROR(__xludf.DUMMYFUNCTION("""COMPUTED_VALUE"""),"C1199")</f>
        <v>C1199</v>
      </c>
      <c r="E1322" s="46" t="str">
        <f ca="1">IFERROR(__xludf.DUMMYFUNCTION("""COMPUTED_VALUE"""),"LÊ ANH NGHI")</f>
        <v>LÊ ANH NGHI</v>
      </c>
      <c r="F1322" s="46" t="str">
        <f ca="1">IFERROR(__xludf.DUMMYFUNCTION("""COMPUTED_VALUE"""),"LE ANH NGHI")</f>
        <v>LE ANH NGHI</v>
      </c>
      <c r="G1322" s="45">
        <f ca="1">IFERROR(__xludf.DUMMYFUNCTION("""COMPUTED_VALUE"""),38424.625)</f>
        <v>38424.625</v>
      </c>
      <c r="H1322" s="45" t="str">
        <f ca="1">IFERROR(__xludf.DUMMYFUNCTION("""COMPUTED_VALUE"""),"TET")</f>
        <v>TET</v>
      </c>
      <c r="I1322" s="46" t="str">
        <f ca="1">IFERROR(__xludf.DUMMYFUNCTION("""COMPUTED_VALUE"""),"STORE")</f>
        <v>STORE</v>
      </c>
      <c r="J1322" s="46" t="str">
        <f ca="1">IFERROR(__xludf.DUMMYFUNCTION("""COMPUTED_VALUE"""),"BAKES HCR")</f>
        <v>BAKES HCR</v>
      </c>
      <c r="K1322" s="46" t="str">
        <f ca="1">IFERROR(__xludf.DUMMYFUNCTION("""COMPUTED_VALUE"""),"SAL")</f>
        <v>SAL</v>
      </c>
      <c r="L1322" s="46" t="str">
        <f ca="1">IFERROR(__xludf.DUMMYFUNCTION("""COMPUTED_VALUE"""),"PTEP")</f>
        <v>PTEP</v>
      </c>
      <c r="M1322" s="46" t="str">
        <f ca="1">IFERROR(__xludf.DUMMYFUNCTION("""COMPUTED_VALUE"""),"Leave")</f>
        <v>Leave</v>
      </c>
      <c r="N1322" s="46" t="str">
        <f ca="1">IFERROR(__xludf.DUMMYFUNCTION("""COMPUTED_VALUE"""),"Đủ")</f>
        <v>Đủ</v>
      </c>
    </row>
    <row r="1323" spans="1:14">
      <c r="A1323" s="45">
        <f ca="1">IFERROR(__xludf.DUMMYFUNCTION("""COMPUTED_VALUE"""),46041.625)</f>
        <v>46041.625</v>
      </c>
      <c r="B1323" s="45">
        <f ca="1">IFERROR(__xludf.DUMMYFUNCTION("""COMPUTED_VALUE"""),46046.625)</f>
        <v>46046.625</v>
      </c>
      <c r="C1323" s="46">
        <f ca="1">IFERROR(__xludf.DUMMYFUNCTION("""COMPUTED_VALUE"""),1324)</f>
        <v>1324</v>
      </c>
      <c r="D1323" s="47" t="str">
        <f ca="1">IFERROR(__xludf.DUMMYFUNCTION("""COMPUTED_VALUE"""),"C1192")</f>
        <v>C1192</v>
      </c>
      <c r="E1323" s="46" t="str">
        <f ca="1">IFERROR(__xludf.DUMMYFUNCTION("""COMPUTED_VALUE"""),"HỒ NGUYỄN ĐẮC THỊNH")</f>
        <v>HỒ NGUYỄN ĐẮC THỊNH</v>
      </c>
      <c r="F1323" s="46" t="str">
        <f ca="1">IFERROR(__xludf.DUMMYFUNCTION("""COMPUTED_VALUE"""),"HO NGUYEN DAC THINH")</f>
        <v>HO NGUYEN DAC THINH</v>
      </c>
      <c r="G1323" s="45">
        <f ca="1">IFERROR(__xludf.DUMMYFUNCTION("""COMPUTED_VALUE"""),36804.5833333333)</f>
        <v>36804.583333333299</v>
      </c>
      <c r="H1323" s="45" t="str">
        <f ca="1">IFERROR(__xludf.DUMMYFUNCTION("""COMPUTED_VALUE"""),"MATTE")</f>
        <v>MATTE</v>
      </c>
      <c r="I1323" s="46" t="str">
        <f ca="1">IFERROR(__xludf.DUMMYFUNCTION("""COMPUTED_VALUE"""),"STORE")</f>
        <v>STORE</v>
      </c>
      <c r="J1323" s="46" t="str">
        <f ca="1">IFERROR(__xludf.DUMMYFUNCTION("""COMPUTED_VALUE"""),"MATTE D1")</f>
        <v>MATTE D1</v>
      </c>
      <c r="K1323" s="46" t="str">
        <f ca="1">IFERROR(__xludf.DUMMYFUNCTION("""COMPUTED_VALUE"""),"BAR")</f>
        <v>BAR</v>
      </c>
      <c r="L1323" s="46" t="str">
        <f ca="1">IFERROR(__xludf.DUMMYFUNCTION("""COMPUTED_VALUE"""),"PRO")</f>
        <v>PRO</v>
      </c>
      <c r="M1323" s="46" t="str">
        <f ca="1">IFERROR(__xludf.DUMMYFUNCTION("""COMPUTED_VALUE"""),"Leave")</f>
        <v>Leave</v>
      </c>
      <c r="N1323" s="46" t="str">
        <f ca="1">IFERROR(__xludf.DUMMYFUNCTION("""COMPUTED_VALUE"""),"chua nop")</f>
        <v>chua nop</v>
      </c>
    </row>
    <row r="1324" spans="1:14">
      <c r="A1324" s="45">
        <f ca="1">IFERROR(__xludf.DUMMYFUNCTION("""COMPUTED_VALUE"""),46041.625)</f>
        <v>46041.625</v>
      </c>
      <c r="B1324" s="45">
        <f ca="1">IFERROR(__xludf.DUMMYFUNCTION("""COMPUTED_VALUE"""),46048.625)</f>
        <v>46048.625</v>
      </c>
      <c r="C1324" s="46">
        <f ca="1">IFERROR(__xludf.DUMMYFUNCTION("""COMPUTED_VALUE"""),1325)</f>
        <v>1325</v>
      </c>
      <c r="D1324" s="47" t="str">
        <f ca="1">IFERROR(__xludf.DUMMYFUNCTION("""COMPUTED_VALUE"""),"C1188")</f>
        <v>C1188</v>
      </c>
      <c r="E1324" s="46" t="str">
        <f ca="1">IFERROR(__xludf.DUMMYFUNCTION("""COMPUTED_VALUE"""),"ĐẶNG HOÀNG KHÁNH QUỲNH")</f>
        <v>ĐẶNG HOÀNG KHÁNH QUỲNH</v>
      </c>
      <c r="F1324" s="46" t="str">
        <f ca="1">IFERROR(__xludf.DUMMYFUNCTION("""COMPUTED_VALUE"""),"DANG HOANG KHANH QUYNH")</f>
        <v>DANG HOANG KHANH QUYNH</v>
      </c>
      <c r="G1324" s="45">
        <f ca="1">IFERROR(__xludf.DUMMYFUNCTION("""COMPUTED_VALUE"""),35717.5833333333)</f>
        <v>35717.583333333299</v>
      </c>
      <c r="H1324" s="45" t="str">
        <f ca="1">IFERROR(__xludf.DUMMYFUNCTION("""COMPUTED_VALUE"""),"MATTE")</f>
        <v>MATTE</v>
      </c>
      <c r="I1324" s="46" t="str">
        <f ca="1">IFERROR(__xludf.DUMMYFUNCTION("""COMPUTED_VALUE"""),"STORE")</f>
        <v>STORE</v>
      </c>
      <c r="J1324" s="46" t="str">
        <f ca="1">IFERROR(__xludf.DUMMYFUNCTION("""COMPUTED_VALUE"""),"MATTE D2")</f>
        <v>MATTE D2</v>
      </c>
      <c r="K1324" s="46" t="str">
        <f ca="1">IFERROR(__xludf.DUMMYFUNCTION("""COMPUTED_VALUE"""),"Management team")</f>
        <v>Management team</v>
      </c>
      <c r="L1324" s="46" t="str">
        <f ca="1">IFERROR(__xludf.DUMMYFUNCTION("""COMPUTED_VALUE"""),"PRO")</f>
        <v>PRO</v>
      </c>
      <c r="M1324" s="46" t="str">
        <f ca="1">IFERROR(__xludf.DUMMYFUNCTION("""COMPUTED_VALUE"""),"Leave")</f>
        <v>Leave</v>
      </c>
      <c r="N1324" s="46" t="str">
        <f ca="1">IFERROR(__xludf.DUMMYFUNCTION("""COMPUTED_VALUE"""),"Đủ")</f>
        <v>Đủ</v>
      </c>
    </row>
    <row r="1325" spans="1:14">
      <c r="A1325" s="45">
        <f ca="1">IFERROR(__xludf.DUMMYFUNCTION("""COMPUTED_VALUE"""),46041.625)</f>
        <v>46041.625</v>
      </c>
      <c r="B1325" s="45"/>
      <c r="C1325" s="46">
        <f ca="1">IFERROR(__xludf.DUMMYFUNCTION("""COMPUTED_VALUE"""),1326)</f>
        <v>1326</v>
      </c>
      <c r="D1325" s="47" t="str">
        <f ca="1">IFERROR(__xludf.DUMMYFUNCTION("""COMPUTED_VALUE"""),"C1191")</f>
        <v>C1191</v>
      </c>
      <c r="E1325" s="46" t="str">
        <f ca="1">IFERROR(__xludf.DUMMYFUNCTION("""COMPUTED_VALUE"""),"NGUYỄN ĐĂNG NAM KHA")</f>
        <v>NGUYỄN ĐĂNG NAM KHA</v>
      </c>
      <c r="F1325" s="46" t="str">
        <f ca="1">IFERROR(__xludf.DUMMYFUNCTION("""COMPUTED_VALUE"""),"NGUYEN DANG NAM KHA")</f>
        <v>NGUYEN DANG NAM KHA</v>
      </c>
      <c r="G1325" s="45">
        <f ca="1">IFERROR(__xludf.DUMMYFUNCTION("""COMPUTED_VALUE"""),38497.5833333333)</f>
        <v>38497.583333333299</v>
      </c>
      <c r="H1325" s="45" t="str">
        <f ca="1">IFERROR(__xludf.DUMMYFUNCTION("""COMPUTED_VALUE"""),"MATTE")</f>
        <v>MATTE</v>
      </c>
      <c r="I1325" s="46" t="str">
        <f ca="1">IFERROR(__xludf.DUMMYFUNCTION("""COMPUTED_VALUE"""),"STORE")</f>
        <v>STORE</v>
      </c>
      <c r="J1325" s="46" t="str">
        <f ca="1">IFERROR(__xludf.DUMMYFUNCTION("""COMPUTED_VALUE"""),"MATTE D2")</f>
        <v>MATTE D2</v>
      </c>
      <c r="K1325" s="46" t="str">
        <f ca="1">IFERROR(__xludf.DUMMYFUNCTION("""COMPUTED_VALUE"""),"BAR")</f>
        <v>BAR</v>
      </c>
      <c r="L1325" s="46" t="str">
        <f ca="1">IFERROR(__xludf.DUMMYFUNCTION("""COMPUTED_VALUE"""),"PTE")</f>
        <v>PTE</v>
      </c>
      <c r="M1325" s="46" t="str">
        <f ca="1">IFERROR(__xludf.DUMMYFUNCTION("""COMPUTED_VALUE"""),"On")</f>
        <v>On</v>
      </c>
      <c r="N1325" s="46" t="str">
        <f ca="1">IFERROR(__xludf.DUMMYFUNCTION("""COMPUTED_VALUE"""),"Đủ")</f>
        <v>Đủ</v>
      </c>
    </row>
    <row r="1326" spans="1:14">
      <c r="A1326" s="45">
        <f ca="1">IFERROR(__xludf.DUMMYFUNCTION("""COMPUTED_VALUE"""),46041.625)</f>
        <v>46041.625</v>
      </c>
      <c r="B1326" s="45">
        <f ca="1">IFERROR(__xludf.DUMMYFUNCTION("""COMPUTED_VALUE"""),46097.5833333333)</f>
        <v>46097.583333333299</v>
      </c>
      <c r="C1326" s="46">
        <f ca="1">IFERROR(__xludf.DUMMYFUNCTION("""COMPUTED_VALUE"""),1327)</f>
        <v>1327</v>
      </c>
      <c r="D1326" s="47" t="str">
        <f ca="1">IFERROR(__xludf.DUMMYFUNCTION("""COMPUTED_VALUE"""),"C1190")</f>
        <v>C1190</v>
      </c>
      <c r="E1326" s="46" t="str">
        <f ca="1">IFERROR(__xludf.DUMMYFUNCTION("""COMPUTED_VALUE"""),"NGUYỄN ĐẶNG SONG TOÀN")</f>
        <v>NGUYỄN ĐẶNG SONG TOÀN</v>
      </c>
      <c r="F1326" s="46" t="str">
        <f ca="1">IFERROR(__xludf.DUMMYFUNCTION("""COMPUTED_VALUE"""),"NGUYEN DANG SONG TOAN")</f>
        <v>NGUYEN DANG SONG TOAN</v>
      </c>
      <c r="G1326" s="45">
        <f ca="1">IFERROR(__xludf.DUMMYFUNCTION("""COMPUTED_VALUE"""),38675.625)</f>
        <v>38675.625</v>
      </c>
      <c r="H1326" s="45" t="str">
        <f ca="1">IFERROR(__xludf.DUMMYFUNCTION("""COMPUTED_VALUE"""),"MATTE")</f>
        <v>MATTE</v>
      </c>
      <c r="I1326" s="46" t="str">
        <f ca="1">IFERROR(__xludf.DUMMYFUNCTION("""COMPUTED_VALUE"""),"STORE")</f>
        <v>STORE</v>
      </c>
      <c r="J1326" s="46" t="str">
        <f ca="1">IFERROR(__xludf.DUMMYFUNCTION("""COMPUTED_VALUE"""),"MATTE D7")</f>
        <v>MATTE D7</v>
      </c>
      <c r="K1326" s="46" t="str">
        <f ca="1">IFERROR(__xludf.DUMMYFUNCTION("""COMPUTED_VALUE"""),"BAR")</f>
        <v>BAR</v>
      </c>
      <c r="L1326" s="46" t="str">
        <f ca="1">IFERROR(__xludf.DUMMYFUNCTION("""COMPUTED_VALUE"""),"PTEP")</f>
        <v>PTEP</v>
      </c>
      <c r="M1326" s="46" t="str">
        <f ca="1">IFERROR(__xludf.DUMMYFUNCTION("""COMPUTED_VALUE"""),"Leave")</f>
        <v>Leave</v>
      </c>
      <c r="N1326" s="46" t="str">
        <f ca="1">IFERROR(__xludf.DUMMYFUNCTION("""COMPUTED_VALUE"""),"Đủ")</f>
        <v>Đủ</v>
      </c>
    </row>
    <row r="1327" spans="1:14">
      <c r="A1327" s="45">
        <f ca="1">IFERROR(__xludf.DUMMYFUNCTION("""COMPUTED_VALUE"""),46041.625)</f>
        <v>46041.625</v>
      </c>
      <c r="B1327" s="45">
        <f ca="1">IFERROR(__xludf.DUMMYFUNCTION("""COMPUTED_VALUE"""),46076.625)</f>
        <v>46076.625</v>
      </c>
      <c r="C1327" s="46">
        <f ca="1">IFERROR(__xludf.DUMMYFUNCTION("""COMPUTED_VALUE"""),1328)</f>
        <v>1328</v>
      </c>
      <c r="D1327" s="47" t="str">
        <f ca="1">IFERROR(__xludf.DUMMYFUNCTION("""COMPUTED_VALUE"""),"C1195")</f>
        <v>C1195</v>
      </c>
      <c r="E1327" s="46" t="str">
        <f ca="1">IFERROR(__xludf.DUMMYFUNCTION("""COMPUTED_VALUE"""),"NGUYỄN THỊ NGỌC HÂN")</f>
        <v>NGUYỄN THỊ NGỌC HÂN</v>
      </c>
      <c r="F1327" s="46" t="str">
        <f ca="1">IFERROR(__xludf.DUMMYFUNCTION("""COMPUTED_VALUE"""),"NGUYEN THI NGOC HAN")</f>
        <v>NGUYEN THI NGOC HAN</v>
      </c>
      <c r="G1327" s="45">
        <f ca="1">IFERROR(__xludf.DUMMYFUNCTION("""COMPUTED_VALUE"""),38325.625)</f>
        <v>38325.625</v>
      </c>
      <c r="H1327" s="45" t="str">
        <f ca="1">IFERROR(__xludf.DUMMYFUNCTION("""COMPUTED_VALUE"""),"BAKES")</f>
        <v>BAKES</v>
      </c>
      <c r="I1327" s="46" t="str">
        <f ca="1">IFERROR(__xludf.DUMMYFUNCTION("""COMPUTED_VALUE"""),"STORE")</f>
        <v>STORE</v>
      </c>
      <c r="J1327" s="46" t="str">
        <f ca="1">IFERROR(__xludf.DUMMYFUNCTION("""COMPUTED_VALUE"""),"BAKES HCR")</f>
        <v>BAKES HCR</v>
      </c>
      <c r="K1327" s="46" t="str">
        <f ca="1">IFERROR(__xludf.DUMMYFUNCTION("""COMPUTED_VALUE"""),"WAITSTAFF")</f>
        <v>WAITSTAFF</v>
      </c>
      <c r="L1327" s="46" t="str">
        <f ca="1">IFERROR(__xludf.DUMMYFUNCTION("""COMPUTED_VALUE"""),"PTEP")</f>
        <v>PTEP</v>
      </c>
      <c r="M1327" s="46" t="str">
        <f ca="1">IFERROR(__xludf.DUMMYFUNCTION("""COMPUTED_VALUE"""),"Leave")</f>
        <v>Leave</v>
      </c>
      <c r="N1327" s="46" t="str">
        <f ca="1">IFERROR(__xludf.DUMMYFUNCTION("""COMPUTED_VALUE"""),"Đủ")</f>
        <v>Đủ</v>
      </c>
    </row>
    <row r="1328" spans="1:14">
      <c r="A1328" s="45">
        <f ca="1">IFERROR(__xludf.DUMMYFUNCTION("""COMPUTED_VALUE"""),46041.625)</f>
        <v>46041.625</v>
      </c>
      <c r="B1328" s="45">
        <f ca="1">IFERROR(__xludf.DUMMYFUNCTION("""COMPUTED_VALUE"""),46113.5833333333)</f>
        <v>46113.583333333299</v>
      </c>
      <c r="C1328" s="46">
        <f ca="1">IFERROR(__xludf.DUMMYFUNCTION("""COMPUTED_VALUE"""),1329)</f>
        <v>1329</v>
      </c>
      <c r="D1328" s="47" t="str">
        <f ca="1">IFERROR(__xludf.DUMMYFUNCTION("""COMPUTED_VALUE"""),"C1194")</f>
        <v>C1194</v>
      </c>
      <c r="E1328" s="46" t="str">
        <f ca="1">IFERROR(__xludf.DUMMYFUNCTION("""COMPUTED_VALUE"""),"LÊ KIM HẰNG")</f>
        <v>LÊ KIM HẰNG</v>
      </c>
      <c r="F1328" s="46" t="str">
        <f ca="1">IFERROR(__xludf.DUMMYFUNCTION("""COMPUTED_VALUE"""),"LE KIM HANG")</f>
        <v>LE KIM HANG</v>
      </c>
      <c r="G1328" s="45">
        <f ca="1">IFERROR(__xludf.DUMMYFUNCTION("""COMPUTED_VALUE"""),37730.5833333333)</f>
        <v>37730.583333333299</v>
      </c>
      <c r="H1328" s="45" t="str">
        <f ca="1">IFERROR(__xludf.DUMMYFUNCTION("""COMPUTED_VALUE"""),"MATTE")</f>
        <v>MATTE</v>
      </c>
      <c r="I1328" s="46" t="str">
        <f ca="1">IFERROR(__xludf.DUMMYFUNCTION("""COMPUTED_VALUE"""),"STORE")</f>
        <v>STORE</v>
      </c>
      <c r="J1328" s="46" t="str">
        <f ca="1">IFERROR(__xludf.DUMMYFUNCTION("""COMPUTED_VALUE"""),"MATTE D3")</f>
        <v>MATTE D3</v>
      </c>
      <c r="K1328" s="46" t="str">
        <f ca="1">IFERROR(__xludf.DUMMYFUNCTION("""COMPUTED_VALUE"""),"BAR")</f>
        <v>BAR</v>
      </c>
      <c r="L1328" s="46" t="str">
        <f ca="1">IFERROR(__xludf.DUMMYFUNCTION("""COMPUTED_VALUE"""),"PTE")</f>
        <v>PTE</v>
      </c>
      <c r="M1328" s="46" t="str">
        <f ca="1">IFERROR(__xludf.DUMMYFUNCTION("""COMPUTED_VALUE"""),"Leave")</f>
        <v>Leave</v>
      </c>
      <c r="N1328" s="46" t="str">
        <f ca="1">IFERROR(__xludf.DUMMYFUNCTION("""COMPUTED_VALUE"""),"Đủ")</f>
        <v>Đủ</v>
      </c>
    </row>
    <row r="1329" spans="1:14">
      <c r="A1329" s="45">
        <f ca="1">IFERROR(__xludf.DUMMYFUNCTION("""COMPUTED_VALUE"""),46044.625)</f>
        <v>46044.625</v>
      </c>
      <c r="B1329" s="45">
        <f ca="1">IFERROR(__xludf.DUMMYFUNCTION("""COMPUTED_VALUE"""),46047.625)</f>
        <v>46047.625</v>
      </c>
      <c r="C1329" s="46">
        <f ca="1">IFERROR(__xludf.DUMMYFUNCTION("""COMPUTED_VALUE"""),1330)</f>
        <v>1330</v>
      </c>
      <c r="D1329" s="47" t="str">
        <f ca="1">IFERROR(__xludf.DUMMYFUNCTION("""COMPUTED_VALUE"""),"C1200")</f>
        <v>C1200</v>
      </c>
      <c r="E1329" s="46" t="str">
        <f ca="1">IFERROR(__xludf.DUMMYFUNCTION("""COMPUTED_VALUE"""),"NGUYỄN THỊ NGỌC TỐT")</f>
        <v>NGUYỄN THỊ NGỌC TỐT</v>
      </c>
      <c r="F1329" s="46" t="str">
        <f ca="1">IFERROR(__xludf.DUMMYFUNCTION("""COMPUTED_VALUE"""),"NGUYEN THI NGOC TOT")</f>
        <v>NGUYEN THI NGOC TOT</v>
      </c>
      <c r="G1329" s="45">
        <f ca="1">IFERROR(__xludf.DUMMYFUNCTION("""COMPUTED_VALUE"""),36302.5833333333)</f>
        <v>36302.583333333299</v>
      </c>
      <c r="H1329" s="45" t="str">
        <f ca="1">IFERROR(__xludf.DUMMYFUNCTION("""COMPUTED_VALUE"""),"BAKES")</f>
        <v>BAKES</v>
      </c>
      <c r="I1329" s="46" t="str">
        <f ca="1">IFERROR(__xludf.DUMMYFUNCTION("""COMPUTED_VALUE"""),"STORE")</f>
        <v>STORE</v>
      </c>
      <c r="J1329" s="46" t="str">
        <f ca="1">IFERROR(__xludf.DUMMYFUNCTION("""COMPUTED_VALUE"""),"BAKES HCR")</f>
        <v>BAKES HCR</v>
      </c>
      <c r="K1329" s="46" t="str">
        <f ca="1">IFERROR(__xludf.DUMMYFUNCTION("""COMPUTED_VALUE"""),"CASHIER")</f>
        <v>CASHIER</v>
      </c>
      <c r="L1329" s="46" t="str">
        <f ca="1">IFERROR(__xludf.DUMMYFUNCTION("""COMPUTED_VALUE"""),"PRO")</f>
        <v>PRO</v>
      </c>
      <c r="M1329" s="46" t="str">
        <f ca="1">IFERROR(__xludf.DUMMYFUNCTION("""COMPUTED_VALUE"""),"Leave")</f>
        <v>Leave</v>
      </c>
      <c r="N1329" s="46" t="str">
        <f ca="1">IFERROR(__xludf.DUMMYFUNCTION("""COMPUTED_VALUE"""),"chua nop")</f>
        <v>chua nop</v>
      </c>
    </row>
    <row r="1330" spans="1:14">
      <c r="A1330" s="45">
        <f ca="1">IFERROR(__xludf.DUMMYFUNCTION("""COMPUTED_VALUE"""),46042.625)</f>
        <v>46042.625</v>
      </c>
      <c r="B1330" s="45">
        <f ca="1">IFERROR(__xludf.DUMMYFUNCTION("""COMPUTED_VALUE"""),46064.625)</f>
        <v>46064.625</v>
      </c>
      <c r="C1330" s="46">
        <f ca="1">IFERROR(__xludf.DUMMYFUNCTION("""COMPUTED_VALUE"""),1331)</f>
        <v>1331</v>
      </c>
      <c r="D1330" s="47" t="str">
        <f ca="1">IFERROR(__xludf.DUMMYFUNCTION("""COMPUTED_VALUE"""),"C1189")</f>
        <v>C1189</v>
      </c>
      <c r="E1330" s="46" t="str">
        <f ca="1">IFERROR(__xludf.DUMMYFUNCTION("""COMPUTED_VALUE"""),"DE MECQUENEM PIERE ANTOINE MARC")</f>
        <v>DE MECQUENEM PIERE ANTOINE MARC</v>
      </c>
      <c r="F1330" s="46" t="str">
        <f ca="1">IFERROR(__xludf.DUMMYFUNCTION("""COMPUTED_VALUE"""),"DE MECQUENEM PIERE ANTOINE MARC")</f>
        <v>DE MECQUENEM PIERE ANTOINE MARC</v>
      </c>
      <c r="G1330" s="45">
        <f ca="1">IFERROR(__xludf.DUMMYFUNCTION("""COMPUTED_VALUE"""),30836.5833333333)</f>
        <v>30836.583333333299</v>
      </c>
      <c r="H1330" s="45" t="str">
        <f ca="1">IFERROR(__xludf.DUMMYFUNCTION("""COMPUTED_VALUE"""),"KITCHEN PASTRY")</f>
        <v>KITCHEN PASTRY</v>
      </c>
      <c r="I1330" s="46" t="str">
        <f ca="1">IFERROR(__xludf.DUMMYFUNCTION("""COMPUTED_VALUE"""),"KITCHEN PASTRY")</f>
        <v>KITCHEN PASTRY</v>
      </c>
      <c r="J1330" s="46" t="str">
        <f ca="1">IFERROR(__xludf.DUMMYFUNCTION("""COMPUTED_VALUE"""),"KITCHEN PASTRY")</f>
        <v>KITCHEN PASTRY</v>
      </c>
      <c r="K1330" s="46" t="str">
        <f ca="1">IFERROR(__xludf.DUMMYFUNCTION("""COMPUTED_VALUE"""),"Management team")</f>
        <v>Management team</v>
      </c>
      <c r="L1330" s="46" t="str">
        <f ca="1">IFERROR(__xludf.DUMMYFUNCTION("""COMPUTED_VALUE"""),"PRO")</f>
        <v>PRO</v>
      </c>
      <c r="M1330" s="46" t="str">
        <f ca="1">IFERROR(__xludf.DUMMYFUNCTION("""COMPUTED_VALUE"""),"Leave")</f>
        <v>Leave</v>
      </c>
      <c r="N1330" s="46" t="str">
        <f ca="1">IFERROR(__xludf.DUMMYFUNCTION("""COMPUTED_VALUE"""),"Đủ")</f>
        <v>Đủ</v>
      </c>
    </row>
    <row r="1331" spans="1:14">
      <c r="A1331" s="45">
        <f ca="1">IFERROR(__xludf.DUMMYFUNCTION("""COMPUTED_VALUE"""),46042.625)</f>
        <v>46042.625</v>
      </c>
      <c r="B1331" s="45">
        <f ca="1">IFERROR(__xludf.DUMMYFUNCTION("""COMPUTED_VALUE"""),46050.625)</f>
        <v>46050.625</v>
      </c>
      <c r="C1331" s="46">
        <f ca="1">IFERROR(__xludf.DUMMYFUNCTION("""COMPUTED_VALUE"""),1332)</f>
        <v>1332</v>
      </c>
      <c r="D1331" s="47" t="str">
        <f ca="1">IFERROR(__xludf.DUMMYFUNCTION("""COMPUTED_VALUE"""),"C1202")</f>
        <v>C1202</v>
      </c>
      <c r="E1331" s="46" t="str">
        <f ca="1">IFERROR(__xludf.DUMMYFUNCTION("""COMPUTED_VALUE"""),"ĐOÀN BẢO TUẤN")</f>
        <v>ĐOÀN BẢO TUẤN</v>
      </c>
      <c r="F1331" s="46" t="str">
        <f ca="1">IFERROR(__xludf.DUMMYFUNCTION("""COMPUTED_VALUE"""),"DOAN BAO TUAN")</f>
        <v>DOAN BAO TUAN</v>
      </c>
      <c r="G1331" s="45"/>
      <c r="H1331" s="45" t="str">
        <f ca="1">IFERROR(__xludf.DUMMYFUNCTION("""COMPUTED_VALUE"""),"BAKES")</f>
        <v>BAKES</v>
      </c>
      <c r="I1331" s="46" t="str">
        <f ca="1">IFERROR(__xludf.DUMMYFUNCTION("""COMPUTED_VALUE"""),"STORE")</f>
        <v>STORE</v>
      </c>
      <c r="J1331" s="46" t="str">
        <f ca="1">IFERROR(__xludf.DUMMYFUNCTION("""COMPUTED_VALUE"""),"BAKES D2")</f>
        <v>BAKES D2</v>
      </c>
      <c r="K1331" s="46" t="str">
        <f ca="1">IFERROR(__xludf.DUMMYFUNCTION("""COMPUTED_VALUE"""),"WAITSTAFF")</f>
        <v>WAITSTAFF</v>
      </c>
      <c r="L1331" s="46" t="str">
        <f ca="1">IFERROR(__xludf.DUMMYFUNCTION("""COMPUTED_VALUE"""),"PTEP")</f>
        <v>PTEP</v>
      </c>
      <c r="M1331" s="46" t="str">
        <f ca="1">IFERROR(__xludf.DUMMYFUNCTION("""COMPUTED_VALUE"""),"Leave")</f>
        <v>Leave</v>
      </c>
      <c r="N1331" s="46" t="str">
        <f ca="1">IFERROR(__xludf.DUMMYFUNCTION("""COMPUTED_VALUE"""),"chua nop")</f>
        <v>chua nop</v>
      </c>
    </row>
    <row r="1332" spans="1:14">
      <c r="A1332" s="45">
        <f ca="1">IFERROR(__xludf.DUMMYFUNCTION("""COMPUTED_VALUE"""),46046.625)</f>
        <v>46046.625</v>
      </c>
      <c r="B1332" s="45"/>
      <c r="C1332" s="46">
        <f ca="1">IFERROR(__xludf.DUMMYFUNCTION("""COMPUTED_VALUE"""),1333)</f>
        <v>1333</v>
      </c>
      <c r="D1332" s="47" t="str">
        <f ca="1">IFERROR(__xludf.DUMMYFUNCTION("""COMPUTED_VALUE"""),"C1203")</f>
        <v>C1203</v>
      </c>
      <c r="E1332" s="46" t="str">
        <f ca="1">IFERROR(__xludf.DUMMYFUNCTION("""COMPUTED_VALUE"""),"NGUYỄN QUỲNH NHẬT LAM")</f>
        <v>NGUYỄN QUỲNH NHẬT LAM</v>
      </c>
      <c r="F1332" s="46" t="str">
        <f ca="1">IFERROR(__xludf.DUMMYFUNCTION("""COMPUTED_VALUE"""),"NGUYEN QUYNH NHAT LAM")</f>
        <v>NGUYEN QUYNH NHAT LAM</v>
      </c>
      <c r="G1332" s="45">
        <f ca="1">IFERROR(__xludf.DUMMYFUNCTION("""COMPUTED_VALUE"""),37565.625)</f>
        <v>37565.625</v>
      </c>
      <c r="H1332" s="45" t="str">
        <f ca="1">IFERROR(__xludf.DUMMYFUNCTION("""COMPUTED_VALUE"""),"BAKES")</f>
        <v>BAKES</v>
      </c>
      <c r="I1332" s="46" t="str">
        <f ca="1">IFERROR(__xludf.DUMMYFUNCTION("""COMPUTED_VALUE"""),"STORE")</f>
        <v>STORE</v>
      </c>
      <c r="J1332" s="46" t="str">
        <f ca="1">IFERROR(__xludf.DUMMYFUNCTION("""COMPUTED_VALUE"""),"BAKES D2")</f>
        <v>BAKES D2</v>
      </c>
      <c r="K1332" s="46" t="str">
        <f ca="1">IFERROR(__xludf.DUMMYFUNCTION("""COMPUTED_VALUE"""),"WAITSTAFF")</f>
        <v>WAITSTAFF</v>
      </c>
      <c r="L1332" s="46" t="str">
        <f ca="1">IFERROR(__xludf.DUMMYFUNCTION("""COMPUTED_VALUE"""),"PTE")</f>
        <v>PTE</v>
      </c>
      <c r="M1332" s="46" t="str">
        <f ca="1">IFERROR(__xludf.DUMMYFUNCTION("""COMPUTED_VALUE"""),"On")</f>
        <v>On</v>
      </c>
      <c r="N1332" s="46" t="str">
        <f ca="1">IFERROR(__xludf.DUMMYFUNCTION("""COMPUTED_VALUE"""),"Đủ")</f>
        <v>Đủ</v>
      </c>
    </row>
    <row r="1333" spans="1:14">
      <c r="A1333" s="45">
        <f ca="1">IFERROR(__xludf.DUMMYFUNCTION("""COMPUTED_VALUE"""),46052.625)</f>
        <v>46052.625</v>
      </c>
      <c r="B1333" s="45">
        <f ca="1">IFERROR(__xludf.DUMMYFUNCTION("""COMPUTED_VALUE"""),46083.625)</f>
        <v>46083.625</v>
      </c>
      <c r="C1333" s="46">
        <f ca="1">IFERROR(__xludf.DUMMYFUNCTION("""COMPUTED_VALUE"""),1334)</f>
        <v>1334</v>
      </c>
      <c r="D1333" s="47" t="str">
        <f ca="1">IFERROR(__xludf.DUMMYFUNCTION("""COMPUTED_VALUE"""),"C1204")</f>
        <v>C1204</v>
      </c>
      <c r="E1333" s="46" t="str">
        <f ca="1">IFERROR(__xludf.DUMMYFUNCTION("""COMPUTED_VALUE"""),"NGUYỄN TẤN DUY AN")</f>
        <v>NGUYỄN TẤN DUY AN</v>
      </c>
      <c r="F1333" s="46" t="str">
        <f ca="1">IFERROR(__xludf.DUMMYFUNCTION("""COMPUTED_VALUE"""),"NGUYEN TAN DUY AN")</f>
        <v>NGUYEN TAN DUY AN</v>
      </c>
      <c r="G1333" s="45">
        <f ca="1">IFERROR(__xludf.DUMMYFUNCTION("""COMPUTED_VALUE"""),38514.5833333333)</f>
        <v>38514.583333333299</v>
      </c>
      <c r="H1333" s="45" t="str">
        <f ca="1">IFERROR(__xludf.DUMMYFUNCTION("""COMPUTED_VALUE"""),"BAKES")</f>
        <v>BAKES</v>
      </c>
      <c r="I1333" s="46" t="str">
        <f ca="1">IFERROR(__xludf.DUMMYFUNCTION("""COMPUTED_VALUE"""),"STORE")</f>
        <v>STORE</v>
      </c>
      <c r="J1333" s="46" t="str">
        <f ca="1">IFERROR(__xludf.DUMMYFUNCTION("""COMPUTED_VALUE"""),"BAKES HCR")</f>
        <v>BAKES HCR</v>
      </c>
      <c r="K1333" s="46" t="str">
        <f ca="1">IFERROR(__xludf.DUMMYFUNCTION("""COMPUTED_VALUE"""),"WAITSTAFF")</f>
        <v>WAITSTAFF</v>
      </c>
      <c r="L1333" s="46" t="str">
        <f ca="1">IFERROR(__xludf.DUMMYFUNCTION("""COMPUTED_VALUE"""),"PTEP")</f>
        <v>PTEP</v>
      </c>
      <c r="M1333" s="46" t="str">
        <f ca="1">IFERROR(__xludf.DUMMYFUNCTION("""COMPUTED_VALUE"""),"Leave")</f>
        <v>Leave</v>
      </c>
      <c r="N1333" s="46" t="str">
        <f ca="1">IFERROR(__xludf.DUMMYFUNCTION("""COMPUTED_VALUE"""),"chua nop")</f>
        <v>chua nop</v>
      </c>
    </row>
    <row r="1334" spans="1:14">
      <c r="A1334" s="45">
        <f ca="1">IFERROR(__xludf.DUMMYFUNCTION("""COMPUTED_VALUE"""),46052.625)</f>
        <v>46052.625</v>
      </c>
      <c r="B1334" s="45">
        <f ca="1">IFERROR(__xludf.DUMMYFUNCTION("""COMPUTED_VALUE"""),46067.625)</f>
        <v>46067.625</v>
      </c>
      <c r="C1334" s="46">
        <f ca="1">IFERROR(__xludf.DUMMYFUNCTION("""COMPUTED_VALUE"""),1335)</f>
        <v>1335</v>
      </c>
      <c r="D1334" s="47" t="str">
        <f ca="1">IFERROR(__xludf.DUMMYFUNCTION("""COMPUTED_VALUE"""),"C0940")</f>
        <v>C0940</v>
      </c>
      <c r="E1334" s="46" t="str">
        <f ca="1">IFERROR(__xludf.DUMMYFUNCTION("""COMPUTED_VALUE"""),"HUỲNH NGUYỄN MỸ DUYÊN")</f>
        <v>HUỲNH NGUYỄN MỸ DUYÊN</v>
      </c>
      <c r="F1334" s="46" t="str">
        <f ca="1">IFERROR(__xludf.DUMMYFUNCTION("""COMPUTED_VALUE"""),"HUYNH NGUYEN MY DUYEN")</f>
        <v>HUYNH NGUYEN MY DUYEN</v>
      </c>
      <c r="G1334" s="45">
        <f ca="1">IFERROR(__xludf.DUMMYFUNCTION("""COMPUTED_VALUE"""),37880.5833333333)</f>
        <v>37880.583333333299</v>
      </c>
      <c r="H1334" s="45" t="str">
        <f ca="1">IFERROR(__xludf.DUMMYFUNCTION("""COMPUTED_VALUE"""),"TET")</f>
        <v>TET</v>
      </c>
      <c r="I1334" s="46" t="str">
        <f ca="1">IFERROR(__xludf.DUMMYFUNCTION("""COMPUTED_VALUE"""),"KITCHEN PASTRY")</f>
        <v>KITCHEN PASTRY</v>
      </c>
      <c r="J1334" s="46" t="str">
        <f ca="1">IFERROR(__xludf.DUMMYFUNCTION("""COMPUTED_VALUE"""),"KITCHEN PASTRY")</f>
        <v>KITCHEN PASTRY</v>
      </c>
      <c r="K1334" s="46" t="str">
        <f ca="1">IFERROR(__xludf.DUMMYFUNCTION("""COMPUTED_VALUE"""),"PACKAGING")</f>
        <v>PACKAGING</v>
      </c>
      <c r="L1334" s="46" t="str">
        <f ca="1">IFERROR(__xludf.DUMMYFUNCTION("""COMPUTED_VALUE"""),"PTEP")</f>
        <v>PTEP</v>
      </c>
      <c r="M1334" s="46" t="str">
        <f ca="1">IFERROR(__xludf.DUMMYFUNCTION("""COMPUTED_VALUE"""),"Leave")</f>
        <v>Leave</v>
      </c>
      <c r="N1334" s="46" t="str">
        <f ca="1">IFERROR(__xludf.DUMMYFUNCTION("""COMPUTED_VALUE"""),"đủ")</f>
        <v>đủ</v>
      </c>
    </row>
    <row r="1335" spans="1:14">
      <c r="A1335" s="45">
        <f ca="1">IFERROR(__xludf.DUMMYFUNCTION("""COMPUTED_VALUE"""),46055.625)</f>
        <v>46055.625</v>
      </c>
      <c r="B1335" s="45"/>
      <c r="C1335" s="46">
        <f ca="1">IFERROR(__xludf.DUMMYFUNCTION("""COMPUTED_VALUE"""),1336)</f>
        <v>1336</v>
      </c>
      <c r="D1335" s="47" t="str">
        <f ca="1">IFERROR(__xludf.DUMMYFUNCTION("""COMPUTED_VALUE"""),"C0354")</f>
        <v>C0354</v>
      </c>
      <c r="E1335" s="46" t="str">
        <f ca="1">IFERROR(__xludf.DUMMYFUNCTION("""COMPUTED_VALUE"""),"HUỲNH THỊ CẨM THÚY")</f>
        <v>HUỲNH THỊ CẨM THÚY</v>
      </c>
      <c r="F1335" s="46" t="str">
        <f ca="1">IFERROR(__xludf.DUMMYFUNCTION("""COMPUTED_VALUE"""),"HUYNH THI CAM THUY")</f>
        <v>HUYNH THI CAM THUY</v>
      </c>
      <c r="G1335" s="45">
        <f ca="1">IFERROR(__xludf.DUMMYFUNCTION("""COMPUTED_VALUE"""),37203.625)</f>
        <v>37203.625</v>
      </c>
      <c r="H1335" s="45" t="str">
        <f ca="1">IFERROR(__xludf.DUMMYFUNCTION("""COMPUTED_VALUE"""),"KITCHEN PASTRY")</f>
        <v>KITCHEN PASTRY</v>
      </c>
      <c r="I1335" s="46" t="str">
        <f ca="1">IFERROR(__xludf.DUMMYFUNCTION("""COMPUTED_VALUE"""),"KITCHEN PASTRY")</f>
        <v>KITCHEN PASTRY</v>
      </c>
      <c r="J1335" s="46" t="str">
        <f ca="1">IFERROR(__xludf.DUMMYFUNCTION("""COMPUTED_VALUE"""),"KITCHEN PASTRY")</f>
        <v>KITCHEN PASTRY</v>
      </c>
      <c r="K1335" s="46" t="str">
        <f ca="1">IFERROR(__xludf.DUMMYFUNCTION("""COMPUTED_VALUE"""),"BAKER")</f>
        <v>BAKER</v>
      </c>
      <c r="L1335" s="46" t="str">
        <f ca="1">IFERROR(__xludf.DUMMYFUNCTION("""COMPUTED_VALUE"""),"FTE")</f>
        <v>FTE</v>
      </c>
      <c r="M1335" s="46" t="str">
        <f ca="1">IFERROR(__xludf.DUMMYFUNCTION("""COMPUTED_VALUE"""),"On")</f>
        <v>On</v>
      </c>
      <c r="N1335" s="46" t="str">
        <f ca="1">IFERROR(__xludf.DUMMYFUNCTION("""COMPUTED_VALUE"""),"đủ")</f>
        <v>đủ</v>
      </c>
    </row>
    <row r="1336" spans="1:14">
      <c r="A1336" s="45">
        <f ca="1">IFERROR(__xludf.DUMMYFUNCTION("""COMPUTED_VALUE"""),46056.625)</f>
        <v>46056.625</v>
      </c>
      <c r="B1336" s="45">
        <f ca="1">IFERROR(__xludf.DUMMYFUNCTION("""COMPUTED_VALUE"""),46113.5833333333)</f>
        <v>46113.583333333299</v>
      </c>
      <c r="C1336" s="46">
        <f ca="1">IFERROR(__xludf.DUMMYFUNCTION("""COMPUTED_VALUE"""),1337)</f>
        <v>1337</v>
      </c>
      <c r="D1336" s="47" t="str">
        <f ca="1">IFERROR(__xludf.DUMMYFUNCTION("""COMPUTED_VALUE"""),"C1221")</f>
        <v>C1221</v>
      </c>
      <c r="E1336" s="46" t="str">
        <f ca="1">IFERROR(__xludf.DUMMYFUNCTION("""COMPUTED_VALUE"""),"ĐẶNG NGUYỄN PHƯƠNG UYÊN")</f>
        <v>ĐẶNG NGUYỄN PHƯƠNG UYÊN</v>
      </c>
      <c r="F1336" s="46" t="str">
        <f ca="1">IFERROR(__xludf.DUMMYFUNCTION("""COMPUTED_VALUE"""),"DANG NGUYEN PHUONG UYEN")</f>
        <v>DANG NGUYEN PHUONG UYEN</v>
      </c>
      <c r="G1336" s="45">
        <f ca="1">IFERROR(__xludf.DUMMYFUNCTION("""COMPUTED_VALUE"""),38628.5833333333)</f>
        <v>38628.583333333299</v>
      </c>
      <c r="H1336" s="45" t="str">
        <f ca="1">IFERROR(__xludf.DUMMYFUNCTION("""COMPUTED_VALUE"""),"BAKES")</f>
        <v>BAKES</v>
      </c>
      <c r="I1336" s="46" t="str">
        <f ca="1">IFERROR(__xludf.DUMMYFUNCTION("""COMPUTED_VALUE"""),"STORE")</f>
        <v>STORE</v>
      </c>
      <c r="J1336" s="46" t="str">
        <f ca="1">IFERROR(__xludf.DUMMYFUNCTION("""COMPUTED_VALUE"""),"BAKES HCR")</f>
        <v>BAKES HCR</v>
      </c>
      <c r="K1336" s="46" t="str">
        <f ca="1">IFERROR(__xludf.DUMMYFUNCTION("""COMPUTED_VALUE"""),"WAITSTAFF")</f>
        <v>WAITSTAFF</v>
      </c>
      <c r="L1336" s="46" t="str">
        <f ca="1">IFERROR(__xludf.DUMMYFUNCTION("""COMPUTED_VALUE"""),"PTEP")</f>
        <v>PTEP</v>
      </c>
      <c r="M1336" s="46" t="str">
        <f ca="1">IFERROR(__xludf.DUMMYFUNCTION("""COMPUTED_VALUE"""),"Leave")</f>
        <v>Leave</v>
      </c>
      <c r="N1336" s="46" t="str">
        <f ca="1">IFERROR(__xludf.DUMMYFUNCTION("""COMPUTED_VALUE"""),"Đủ")</f>
        <v>Đủ</v>
      </c>
    </row>
    <row r="1337" spans="1:14">
      <c r="A1337" s="45">
        <f ca="1">IFERROR(__xludf.DUMMYFUNCTION("""COMPUTED_VALUE"""),46056.625)</f>
        <v>46056.625</v>
      </c>
      <c r="B1337" s="45"/>
      <c r="C1337" s="46">
        <f ca="1">IFERROR(__xludf.DUMMYFUNCTION("""COMPUTED_VALUE"""),1338)</f>
        <v>1338</v>
      </c>
      <c r="D1337" s="47" t="str">
        <f ca="1">IFERROR(__xludf.DUMMYFUNCTION("""COMPUTED_VALUE"""),"C1227")</f>
        <v>C1227</v>
      </c>
      <c r="E1337" s="46" t="str">
        <f ca="1">IFERROR(__xludf.DUMMYFUNCTION("""COMPUTED_VALUE"""),"TỪ VẬN ĐÌNH")</f>
        <v>TỪ VẬN ĐÌNH</v>
      </c>
      <c r="F1337" s="46" t="str">
        <f ca="1">IFERROR(__xludf.DUMMYFUNCTION("""COMPUTED_VALUE"""),"TU VAN DINH")</f>
        <v>TU VAN DINH</v>
      </c>
      <c r="G1337" s="45">
        <f ca="1">IFERROR(__xludf.DUMMYFUNCTION("""COMPUTED_VALUE"""),39035.625)</f>
        <v>39035.625</v>
      </c>
      <c r="H1337" s="45" t="str">
        <f ca="1">IFERROR(__xludf.DUMMYFUNCTION("""COMPUTED_VALUE"""),"BAKES")</f>
        <v>BAKES</v>
      </c>
      <c r="I1337" s="46" t="str">
        <f ca="1">IFERROR(__xludf.DUMMYFUNCTION("""COMPUTED_VALUE"""),"STORE")</f>
        <v>STORE</v>
      </c>
      <c r="J1337" s="46" t="str">
        <f ca="1">IFERROR(__xludf.DUMMYFUNCTION("""COMPUTED_VALUE"""),"BAKES D7")</f>
        <v>BAKES D7</v>
      </c>
      <c r="K1337" s="46" t="str">
        <f ca="1">IFERROR(__xludf.DUMMYFUNCTION("""COMPUTED_VALUE"""),"BAR")</f>
        <v>BAR</v>
      </c>
      <c r="L1337" s="46" t="str">
        <f ca="1">IFERROR(__xludf.DUMMYFUNCTION("""COMPUTED_VALUE"""),"PTE")</f>
        <v>PTE</v>
      </c>
      <c r="M1337" s="46" t="str">
        <f ca="1">IFERROR(__xludf.DUMMYFUNCTION("""COMPUTED_VALUE"""),"On")</f>
        <v>On</v>
      </c>
      <c r="N1337" s="46" t="str">
        <f ca="1">IFERROR(__xludf.DUMMYFUNCTION("""COMPUTED_VALUE"""),"Đủ")</f>
        <v>Đủ</v>
      </c>
    </row>
    <row r="1338" spans="1:14">
      <c r="A1338" s="45">
        <f ca="1">IFERROR(__xludf.DUMMYFUNCTION("""COMPUTED_VALUE"""),46056.625)</f>
        <v>46056.625</v>
      </c>
      <c r="B1338" s="45">
        <f ca="1">IFERROR(__xludf.DUMMYFUNCTION("""COMPUTED_VALUE"""),46083.625)</f>
        <v>46083.625</v>
      </c>
      <c r="C1338" s="46">
        <f ca="1">IFERROR(__xludf.DUMMYFUNCTION("""COMPUTED_VALUE"""),1339)</f>
        <v>1339</v>
      </c>
      <c r="D1338" s="47" t="str">
        <f ca="1">IFERROR(__xludf.DUMMYFUNCTION("""COMPUTED_VALUE"""),"C1220")</f>
        <v>C1220</v>
      </c>
      <c r="E1338" s="46" t="str">
        <f ca="1">IFERROR(__xludf.DUMMYFUNCTION("""COMPUTED_VALUE"""),"NGUYỄN HOÀNG VŨ")</f>
        <v>NGUYỄN HOÀNG VŨ</v>
      </c>
      <c r="F1338" s="46" t="str">
        <f ca="1">IFERROR(__xludf.DUMMYFUNCTION("""COMPUTED_VALUE"""),"NGUYEN HOANG VU")</f>
        <v>NGUYEN HOANG VU</v>
      </c>
      <c r="G1338" s="45">
        <f ca="1">IFERROR(__xludf.DUMMYFUNCTION("""COMPUTED_VALUE"""),35321.5833333333)</f>
        <v>35321.583333333299</v>
      </c>
      <c r="H1338" s="45" t="str">
        <f ca="1">IFERROR(__xludf.DUMMYFUNCTION("""COMPUTED_VALUE"""),"BAKES")</f>
        <v>BAKES</v>
      </c>
      <c r="I1338" s="46" t="str">
        <f ca="1">IFERROR(__xludf.DUMMYFUNCTION("""COMPUTED_VALUE"""),"STORE")</f>
        <v>STORE</v>
      </c>
      <c r="J1338" s="46" t="str">
        <f ca="1">IFERROR(__xludf.DUMMYFUNCTION("""COMPUTED_VALUE"""),"BAKES HCR")</f>
        <v>BAKES HCR</v>
      </c>
      <c r="K1338" s="46" t="str">
        <f ca="1">IFERROR(__xludf.DUMMYFUNCTION("""COMPUTED_VALUE"""),"BAR")</f>
        <v>BAR</v>
      </c>
      <c r="L1338" s="46" t="str">
        <f ca="1">IFERROR(__xludf.DUMMYFUNCTION("""COMPUTED_VALUE"""),"PTEP")</f>
        <v>PTEP</v>
      </c>
      <c r="M1338" s="46" t="str">
        <f ca="1">IFERROR(__xludf.DUMMYFUNCTION("""COMPUTED_VALUE"""),"Leave")</f>
        <v>Leave</v>
      </c>
      <c r="N1338" s="46" t="str">
        <f ca="1">IFERROR(__xludf.DUMMYFUNCTION("""COMPUTED_VALUE"""),"Đủ")</f>
        <v>Đủ</v>
      </c>
    </row>
    <row r="1339" spans="1:14">
      <c r="A1339" s="45">
        <f ca="1">IFERROR(__xludf.DUMMYFUNCTION("""COMPUTED_VALUE"""),46055.625)</f>
        <v>46055.625</v>
      </c>
      <c r="B1339" s="45">
        <f ca="1">IFERROR(__xludf.DUMMYFUNCTION("""COMPUTED_VALUE"""),46175.5833333333)</f>
        <v>46175.583333333299</v>
      </c>
      <c r="C1339" s="46">
        <f ca="1">IFERROR(__xludf.DUMMYFUNCTION("""COMPUTED_VALUE"""),1340)</f>
        <v>1340</v>
      </c>
      <c r="D1339" s="47" t="str">
        <f ca="1">IFERROR(__xludf.DUMMYFUNCTION("""COMPUTED_VALUE"""),"C1206")</f>
        <v>C1206</v>
      </c>
      <c r="E1339" s="46" t="str">
        <f ca="1">IFERROR(__xludf.DUMMYFUNCTION("""COMPUTED_VALUE"""),"TRẦN THỊ NGỌC MẪN")</f>
        <v>TRẦN THỊ NGỌC MẪN</v>
      </c>
      <c r="F1339" s="46" t="str">
        <f ca="1">IFERROR(__xludf.DUMMYFUNCTION("""COMPUTED_VALUE"""),"TRAN THI NGOC MAN")</f>
        <v>TRAN THI NGOC MAN</v>
      </c>
      <c r="G1339" s="45">
        <f ca="1">IFERROR(__xludf.DUMMYFUNCTION("""COMPUTED_VALUE"""),36970.625)</f>
        <v>36970.625</v>
      </c>
      <c r="H1339" s="45" t="str">
        <f ca="1">IFERROR(__xludf.DUMMYFUNCTION("""COMPUTED_VALUE"""),"BAKES")</f>
        <v>BAKES</v>
      </c>
      <c r="I1339" s="46" t="str">
        <f ca="1">IFERROR(__xludf.DUMMYFUNCTION("""COMPUTED_VALUE"""),"STORE")</f>
        <v>STORE</v>
      </c>
      <c r="J1339" s="46" t="str">
        <f ca="1">IFERROR(__xludf.DUMMYFUNCTION("""COMPUTED_VALUE"""),"BAKES D2")</f>
        <v>BAKES D2</v>
      </c>
      <c r="K1339" s="46" t="str">
        <f ca="1">IFERROR(__xludf.DUMMYFUNCTION("""COMPUTED_VALUE"""),"BAR")</f>
        <v>BAR</v>
      </c>
      <c r="L1339" s="46" t="str">
        <f ca="1">IFERROR(__xludf.DUMMYFUNCTION("""COMPUTED_VALUE"""),"PTE")</f>
        <v>PTE</v>
      </c>
      <c r="M1339" s="46" t="str">
        <f ca="1">IFERROR(__xludf.DUMMYFUNCTION("""COMPUTED_VALUE"""),"Leave")</f>
        <v>Leave</v>
      </c>
      <c r="N1339" s="46" t="str">
        <f ca="1">IFERROR(__xludf.DUMMYFUNCTION("""COMPUTED_VALUE"""),"Đủ")</f>
        <v>Đủ</v>
      </c>
    </row>
    <row r="1340" spans="1:14">
      <c r="A1340" s="45">
        <f ca="1">IFERROR(__xludf.DUMMYFUNCTION("""COMPUTED_VALUE"""),46056.625)</f>
        <v>46056.625</v>
      </c>
      <c r="B1340" s="45">
        <f ca="1">IFERROR(__xludf.DUMMYFUNCTION("""COMPUTED_VALUE"""),46090.5833333333)</f>
        <v>46090.583333333299</v>
      </c>
      <c r="C1340" s="46">
        <f ca="1">IFERROR(__xludf.DUMMYFUNCTION("""COMPUTED_VALUE"""),1341)</f>
        <v>1341</v>
      </c>
      <c r="D1340" s="47" t="str">
        <f ca="1">IFERROR(__xludf.DUMMYFUNCTION("""COMPUTED_VALUE"""),"C1225")</f>
        <v>C1225</v>
      </c>
      <c r="E1340" s="46" t="str">
        <f ca="1">IFERROR(__xludf.DUMMYFUNCTION("""COMPUTED_VALUE"""),"NGUYỄN NGỌC THẢO NHI")</f>
        <v>NGUYỄN NGỌC THẢO NHI</v>
      </c>
      <c r="F1340" s="46" t="str">
        <f ca="1">IFERROR(__xludf.DUMMYFUNCTION("""COMPUTED_VALUE"""),"NGUYEN NGOC THAO NHI")</f>
        <v>NGUYEN NGOC THAO NHI</v>
      </c>
      <c r="G1340" s="45">
        <f ca="1">IFERROR(__xludf.DUMMYFUNCTION("""COMPUTED_VALUE"""),38661.625)</f>
        <v>38661.625</v>
      </c>
      <c r="H1340" s="45" t="str">
        <f ca="1">IFERROR(__xludf.DUMMYFUNCTION("""COMPUTED_VALUE"""),"BAKES")</f>
        <v>BAKES</v>
      </c>
      <c r="I1340" s="46" t="str">
        <f ca="1">IFERROR(__xludf.DUMMYFUNCTION("""COMPUTED_VALUE"""),"STORE")</f>
        <v>STORE</v>
      </c>
      <c r="J1340" s="46" t="str">
        <f ca="1">IFERROR(__xludf.DUMMYFUNCTION("""COMPUTED_VALUE"""),"BAKES D2")</f>
        <v>BAKES D2</v>
      </c>
      <c r="K1340" s="46" t="str">
        <f ca="1">IFERROR(__xludf.DUMMYFUNCTION("""COMPUTED_VALUE"""),"BAR")</f>
        <v>BAR</v>
      </c>
      <c r="L1340" s="46" t="str">
        <f ca="1">IFERROR(__xludf.DUMMYFUNCTION("""COMPUTED_VALUE"""),"PTE")</f>
        <v>PTE</v>
      </c>
      <c r="M1340" s="46" t="str">
        <f ca="1">IFERROR(__xludf.DUMMYFUNCTION("""COMPUTED_VALUE"""),"Leave")</f>
        <v>Leave</v>
      </c>
      <c r="N1340" s="46" t="str">
        <f ca="1">IFERROR(__xludf.DUMMYFUNCTION("""COMPUTED_VALUE"""),"Đủ")</f>
        <v>Đủ</v>
      </c>
    </row>
    <row r="1341" spans="1:14">
      <c r="A1341" s="45">
        <f ca="1">IFERROR(__xludf.DUMMYFUNCTION("""COMPUTED_VALUE"""),46055.625)</f>
        <v>46055.625</v>
      </c>
      <c r="B1341" s="45">
        <f ca="1">IFERROR(__xludf.DUMMYFUNCTION("""COMPUTED_VALUE"""),46067.625)</f>
        <v>46067.625</v>
      </c>
      <c r="C1341" s="46">
        <f ca="1">IFERROR(__xludf.DUMMYFUNCTION("""COMPUTED_VALUE"""),1342)</f>
        <v>1342</v>
      </c>
      <c r="D1341" s="47" t="str">
        <f ca="1">IFERROR(__xludf.DUMMYFUNCTION("""COMPUTED_VALUE"""),"C1218")</f>
        <v>C1218</v>
      </c>
      <c r="E1341" s="46" t="str">
        <f ca="1">IFERROR(__xludf.DUMMYFUNCTION("""COMPUTED_VALUE"""),"NGUYỄN HUỲNH THẢO VY")</f>
        <v>NGUYỄN HUỲNH THẢO VY</v>
      </c>
      <c r="F1341" s="46" t="str">
        <f ca="1">IFERROR(__xludf.DUMMYFUNCTION("""COMPUTED_VALUE"""),"NGUYEN HUYNH THAO VY")</f>
        <v>NGUYEN HUYNH THAO VY</v>
      </c>
      <c r="G1341" s="45"/>
      <c r="H1341" s="45" t="str">
        <f ca="1">IFERROR(__xludf.DUMMYFUNCTION("""COMPUTED_VALUE"""),"TET")</f>
        <v>TET</v>
      </c>
      <c r="I1341" s="46" t="str">
        <f ca="1">IFERROR(__xludf.DUMMYFUNCTION("""COMPUTED_VALUE"""),"KITCHEN PASTRY")</f>
        <v>KITCHEN PASTRY</v>
      </c>
      <c r="J1341" s="46" t="str">
        <f ca="1">IFERROR(__xludf.DUMMYFUNCTION("""COMPUTED_VALUE"""),"KITCHEN PASTRY")</f>
        <v>KITCHEN PASTRY</v>
      </c>
      <c r="K1341" s="46" t="str">
        <f ca="1">IFERROR(__xludf.DUMMYFUNCTION("""COMPUTED_VALUE"""),"PACKAGING")</f>
        <v>PACKAGING</v>
      </c>
      <c r="L1341" s="46" t="str">
        <f ca="1">IFERROR(__xludf.DUMMYFUNCTION("""COMPUTED_VALUE"""),"PTEP")</f>
        <v>PTEP</v>
      </c>
      <c r="M1341" s="46" t="str">
        <f ca="1">IFERROR(__xludf.DUMMYFUNCTION("""COMPUTED_VALUE"""),"Leave")</f>
        <v>Leave</v>
      </c>
      <c r="N1341" s="46" t="str">
        <f ca="1">IFERROR(__xludf.DUMMYFUNCTION("""COMPUTED_VALUE"""),"chua nop")</f>
        <v>chua nop</v>
      </c>
    </row>
    <row r="1342" spans="1:14">
      <c r="A1342" s="45">
        <f ca="1">IFERROR(__xludf.DUMMYFUNCTION("""COMPUTED_VALUE"""),46057.625)</f>
        <v>46057.625</v>
      </c>
      <c r="B1342" s="45"/>
      <c r="C1342" s="46">
        <f ca="1">IFERROR(__xludf.DUMMYFUNCTION("""COMPUTED_VALUE"""),1343)</f>
        <v>1343</v>
      </c>
      <c r="D1342" s="47" t="str">
        <f ca="1">IFERROR(__xludf.DUMMYFUNCTION("""COMPUTED_VALUE"""),"C1223")</f>
        <v>C1223</v>
      </c>
      <c r="E1342" s="46" t="str">
        <f ca="1">IFERROR(__xludf.DUMMYFUNCTION("""COMPUTED_VALUE"""),"LÊ HỮU LỘC")</f>
        <v>LÊ HỮU LỘC</v>
      </c>
      <c r="F1342" s="46" t="str">
        <f ca="1">IFERROR(__xludf.DUMMYFUNCTION("""COMPUTED_VALUE"""),"LE HUU LOC")</f>
        <v>LE HUU LOC</v>
      </c>
      <c r="G1342" s="45">
        <f ca="1">IFERROR(__xludf.DUMMYFUNCTION("""COMPUTED_VALUE"""),38592.5833333333)</f>
        <v>38592.583333333299</v>
      </c>
      <c r="H1342" s="45" t="str">
        <f ca="1">IFERROR(__xludf.DUMMYFUNCTION("""COMPUTED_VALUE"""),"BAKES")</f>
        <v>BAKES</v>
      </c>
      <c r="I1342" s="46" t="str">
        <f ca="1">IFERROR(__xludf.DUMMYFUNCTION("""COMPUTED_VALUE"""),"STORE")</f>
        <v>STORE</v>
      </c>
      <c r="J1342" s="46" t="str">
        <f ca="1">IFERROR(__xludf.DUMMYFUNCTION("""COMPUTED_VALUE"""),"BAKES HCR")</f>
        <v>BAKES HCR</v>
      </c>
      <c r="K1342" s="46" t="str">
        <f ca="1">IFERROR(__xludf.DUMMYFUNCTION("""COMPUTED_VALUE"""),"WAITSTAFF")</f>
        <v>WAITSTAFF</v>
      </c>
      <c r="L1342" s="46" t="str">
        <f ca="1">IFERROR(__xludf.DUMMYFUNCTION("""COMPUTED_VALUE"""),"PTE")</f>
        <v>PTE</v>
      </c>
      <c r="M1342" s="46" t="str">
        <f ca="1">IFERROR(__xludf.DUMMYFUNCTION("""COMPUTED_VALUE"""),"On")</f>
        <v>On</v>
      </c>
      <c r="N1342" s="46" t="str">
        <f ca="1">IFERROR(__xludf.DUMMYFUNCTION("""COMPUTED_VALUE"""),"Đủ")</f>
        <v>Đủ</v>
      </c>
    </row>
    <row r="1343" spans="1:14">
      <c r="A1343" s="45">
        <f ca="1">IFERROR(__xludf.DUMMYFUNCTION("""COMPUTED_VALUE"""),46055.625)</f>
        <v>46055.625</v>
      </c>
      <c r="B1343" s="45">
        <f ca="1">IFERROR(__xludf.DUMMYFUNCTION("""COMPUTED_VALUE"""),46083.625)</f>
        <v>46083.625</v>
      </c>
      <c r="C1343" s="46">
        <f ca="1">IFERROR(__xludf.DUMMYFUNCTION("""COMPUTED_VALUE"""),1344)</f>
        <v>1344</v>
      </c>
      <c r="D1343" s="47" t="str">
        <f ca="1">IFERROR(__xludf.DUMMYFUNCTION("""COMPUTED_VALUE"""),"C0536")</f>
        <v>C0536</v>
      </c>
      <c r="E1343" s="46" t="str">
        <f ca="1">IFERROR(__xludf.DUMMYFUNCTION("""COMPUTED_VALUE"""),"BẠCH HUỲNH ĐỨC")</f>
        <v>BẠCH HUỲNH ĐỨC</v>
      </c>
      <c r="F1343" s="46" t="str">
        <f ca="1">IFERROR(__xludf.DUMMYFUNCTION("""COMPUTED_VALUE"""),"BACH HUYNH DUC")</f>
        <v>BACH HUYNH DUC</v>
      </c>
      <c r="G1343" s="45">
        <f ca="1">IFERROR(__xludf.DUMMYFUNCTION("""COMPUTED_VALUE"""),37863.5833333333)</f>
        <v>37863.583333333299</v>
      </c>
      <c r="H1343" s="45" t="str">
        <f ca="1">IFERROR(__xludf.DUMMYFUNCTION("""COMPUTED_VALUE"""),"BAKES")</f>
        <v>BAKES</v>
      </c>
      <c r="I1343" s="46" t="str">
        <f ca="1">IFERROR(__xludf.DUMMYFUNCTION("""COMPUTED_VALUE"""),"STORE")</f>
        <v>STORE</v>
      </c>
      <c r="J1343" s="46" t="str">
        <f ca="1">IFERROR(__xludf.DUMMYFUNCTION("""COMPUTED_VALUE"""),"BAKES D7")</f>
        <v>BAKES D7</v>
      </c>
      <c r="K1343" s="46" t="str">
        <f ca="1">IFERROR(__xludf.DUMMYFUNCTION("""COMPUTED_VALUE"""),"BAR")</f>
        <v>BAR</v>
      </c>
      <c r="L1343" s="46" t="str">
        <f ca="1">IFERROR(__xludf.DUMMYFUNCTION("""COMPUTED_VALUE"""),"PTEP")</f>
        <v>PTEP</v>
      </c>
      <c r="M1343" s="46" t="str">
        <f ca="1">IFERROR(__xludf.DUMMYFUNCTION("""COMPUTED_VALUE"""),"Leave")</f>
        <v>Leave</v>
      </c>
      <c r="N1343" s="46" t="str">
        <f ca="1">IFERROR(__xludf.DUMMYFUNCTION("""COMPUTED_VALUE"""),"đủ")</f>
        <v>đủ</v>
      </c>
    </row>
    <row r="1344" spans="1:14">
      <c r="A1344" s="45">
        <f ca="1">IFERROR(__xludf.DUMMYFUNCTION("""COMPUTED_VALUE"""),46055.625)</f>
        <v>46055.625</v>
      </c>
      <c r="B1344" s="45">
        <f ca="1">IFERROR(__xludf.DUMMYFUNCTION("""COMPUTED_VALUE"""),46063.625)</f>
        <v>46063.625</v>
      </c>
      <c r="C1344" s="46">
        <f ca="1">IFERROR(__xludf.DUMMYFUNCTION("""COMPUTED_VALUE"""),1345)</f>
        <v>1345</v>
      </c>
      <c r="D1344" s="47" t="str">
        <f ca="1">IFERROR(__xludf.DUMMYFUNCTION("""COMPUTED_VALUE"""),"C1216")</f>
        <v>C1216</v>
      </c>
      <c r="E1344" s="46" t="str">
        <f ca="1">IFERROR(__xludf.DUMMYFUNCTION("""COMPUTED_VALUE"""),"ĐỖ THANH HOÀNG")</f>
        <v>ĐỖ THANH HOÀNG</v>
      </c>
      <c r="F1344" s="46" t="str">
        <f ca="1">IFERROR(__xludf.DUMMYFUNCTION("""COMPUTED_VALUE"""),"DO THANH HOANG")</f>
        <v>DO THANH HOANG</v>
      </c>
      <c r="G1344" s="45">
        <f ca="1">IFERROR(__xludf.DUMMYFUNCTION("""COMPUTED_VALUE"""),37934.625)</f>
        <v>37934.625</v>
      </c>
      <c r="H1344" s="45" t="str">
        <f ca="1">IFERROR(__xludf.DUMMYFUNCTION("""COMPUTED_VALUE"""),"MATTE")</f>
        <v>MATTE</v>
      </c>
      <c r="I1344" s="46" t="str">
        <f ca="1">IFERROR(__xludf.DUMMYFUNCTION("""COMPUTED_VALUE"""),"STORE")</f>
        <v>STORE</v>
      </c>
      <c r="J1344" s="46" t="str">
        <f ca="1">IFERROR(__xludf.DUMMYFUNCTION("""COMPUTED_VALUE"""),"MATTE D1")</f>
        <v>MATTE D1</v>
      </c>
      <c r="K1344" s="46" t="str">
        <f ca="1">IFERROR(__xludf.DUMMYFUNCTION("""COMPUTED_VALUE"""),"BAR")</f>
        <v>BAR</v>
      </c>
      <c r="L1344" s="46" t="str">
        <f ca="1">IFERROR(__xludf.DUMMYFUNCTION("""COMPUTED_VALUE"""),"PTEP")</f>
        <v>PTEP</v>
      </c>
      <c r="M1344" s="46" t="str">
        <f ca="1">IFERROR(__xludf.DUMMYFUNCTION("""COMPUTED_VALUE"""),"Leave")</f>
        <v>Leave</v>
      </c>
      <c r="N1344" s="46" t="str">
        <f ca="1">IFERROR(__xludf.DUMMYFUNCTION("""COMPUTED_VALUE"""),"chua nop")</f>
        <v>chua nop</v>
      </c>
    </row>
    <row r="1345" spans="1:14">
      <c r="A1345" s="45">
        <f ca="1">IFERROR(__xludf.DUMMYFUNCTION("""COMPUTED_VALUE"""),46068.625)</f>
        <v>46068.625</v>
      </c>
      <c r="B1345" s="45">
        <f ca="1">IFERROR(__xludf.DUMMYFUNCTION("""COMPUTED_VALUE"""),46076.625)</f>
        <v>46076.625</v>
      </c>
      <c r="C1345" s="46">
        <f ca="1">IFERROR(__xludf.DUMMYFUNCTION("""COMPUTED_VALUE"""),1346)</f>
        <v>1346</v>
      </c>
      <c r="D1345" s="47" t="str">
        <f ca="1">IFERROR(__xludf.DUMMYFUNCTION("""COMPUTED_VALUE"""),"C1208")</f>
        <v>C1208</v>
      </c>
      <c r="E1345" s="46" t="str">
        <f ca="1">IFERROR(__xludf.DUMMYFUNCTION("""COMPUTED_VALUE"""),"TRẦN QUỐC KHÁNH")</f>
        <v>TRẦN QUỐC KHÁNH</v>
      </c>
      <c r="F1345" s="46" t="str">
        <f ca="1">IFERROR(__xludf.DUMMYFUNCTION("""COMPUTED_VALUE"""),"TRAN QUOC KHANH")</f>
        <v>TRAN QUOC KHANH</v>
      </c>
      <c r="G1345" s="45">
        <f ca="1">IFERROR(__xludf.DUMMYFUNCTION("""COMPUTED_VALUE"""),37015.5833333333)</f>
        <v>37015.583333333299</v>
      </c>
      <c r="H1345" s="45" t="str">
        <f ca="1">IFERROR(__xludf.DUMMYFUNCTION("""COMPUTED_VALUE"""),"TLC")</f>
        <v>TLC</v>
      </c>
      <c r="I1345" s="46" t="str">
        <f ca="1">IFERROR(__xludf.DUMMYFUNCTION("""COMPUTED_VALUE"""),"STORE")</f>
        <v>STORE</v>
      </c>
      <c r="J1345" s="46" t="str">
        <f ca="1">IFERROR(__xludf.DUMMYFUNCTION("""COMPUTED_VALUE"""),"BLANK LOUNGE")</f>
        <v>BLANK LOUNGE</v>
      </c>
      <c r="K1345" s="46" t="str">
        <f ca="1">IFERROR(__xludf.DUMMYFUNCTION("""COMPUTED_VALUE"""),"BAR")</f>
        <v>BAR</v>
      </c>
      <c r="L1345" s="46" t="str">
        <f ca="1">IFERROR(__xludf.DUMMYFUNCTION("""COMPUTED_VALUE"""),"PTEP")</f>
        <v>PTEP</v>
      </c>
      <c r="M1345" s="46" t="str">
        <f ca="1">IFERROR(__xludf.DUMMYFUNCTION("""COMPUTED_VALUE"""),"Leave")</f>
        <v>Leave</v>
      </c>
      <c r="N1345" s="46" t="str">
        <f ca="1">IFERROR(__xludf.DUMMYFUNCTION("""COMPUTED_VALUE"""),"Đủ")</f>
        <v>Đủ</v>
      </c>
    </row>
    <row r="1346" spans="1:14">
      <c r="A1346" s="45">
        <f ca="1">IFERROR(__xludf.DUMMYFUNCTION("""COMPUTED_VALUE"""),46068.625)</f>
        <v>46068.625</v>
      </c>
      <c r="B1346" s="45">
        <f ca="1">IFERROR(__xludf.DUMMYFUNCTION("""COMPUTED_VALUE"""),46076.625)</f>
        <v>46076.625</v>
      </c>
      <c r="C1346" s="46">
        <f ca="1">IFERROR(__xludf.DUMMYFUNCTION("""COMPUTED_VALUE"""),1347)</f>
        <v>1347</v>
      </c>
      <c r="D1346" s="47" t="str">
        <f ca="1">IFERROR(__xludf.DUMMYFUNCTION("""COMPUTED_VALUE"""),"C1214")</f>
        <v>C1214</v>
      </c>
      <c r="E1346" s="46" t="str">
        <f ca="1">IFERROR(__xludf.DUMMYFUNCTION("""COMPUTED_VALUE"""),"NGUYỄN THỊ THU HÀ")</f>
        <v>NGUYỄN THỊ THU HÀ</v>
      </c>
      <c r="F1346" s="46" t="str">
        <f ca="1">IFERROR(__xludf.DUMMYFUNCTION("""COMPUTED_VALUE"""),"NGUYEN THI THU HA")</f>
        <v>NGUYEN THI THU HA</v>
      </c>
      <c r="G1346" s="45">
        <f ca="1">IFERROR(__xludf.DUMMYFUNCTION("""COMPUTED_VALUE"""),36948.625)</f>
        <v>36948.625</v>
      </c>
      <c r="H1346" s="45" t="str">
        <f ca="1">IFERROR(__xludf.DUMMYFUNCTION("""COMPUTED_VALUE"""),"TLC")</f>
        <v>TLC</v>
      </c>
      <c r="I1346" s="46" t="str">
        <f ca="1">IFERROR(__xludf.DUMMYFUNCTION("""COMPUTED_VALUE"""),"STORE")</f>
        <v>STORE</v>
      </c>
      <c r="J1346" s="46" t="str">
        <f ca="1">IFERROR(__xludf.DUMMYFUNCTION("""COMPUTED_VALUE"""),"BLANK LOUNGE")</f>
        <v>BLANK LOUNGE</v>
      </c>
      <c r="K1346" s="46" t="str">
        <f ca="1">IFERROR(__xludf.DUMMYFUNCTION("""COMPUTED_VALUE"""),"WAITSTAFF")</f>
        <v>WAITSTAFF</v>
      </c>
      <c r="L1346" s="46" t="str">
        <f ca="1">IFERROR(__xludf.DUMMYFUNCTION("""COMPUTED_VALUE"""),"PTEP")</f>
        <v>PTEP</v>
      </c>
      <c r="M1346" s="46" t="str">
        <f ca="1">IFERROR(__xludf.DUMMYFUNCTION("""COMPUTED_VALUE"""),"Leave")</f>
        <v>Leave</v>
      </c>
      <c r="N1346" s="46" t="str">
        <f ca="1">IFERROR(__xludf.DUMMYFUNCTION("""COMPUTED_VALUE"""),"Đủ")</f>
        <v>Đủ</v>
      </c>
    </row>
    <row r="1347" spans="1:14">
      <c r="A1347" s="45">
        <f ca="1">IFERROR(__xludf.DUMMYFUNCTION("""COMPUTED_VALUE"""),46068.625)</f>
        <v>46068.625</v>
      </c>
      <c r="B1347" s="45">
        <f ca="1">IFERROR(__xludf.DUMMYFUNCTION("""COMPUTED_VALUE"""),46076.625)</f>
        <v>46076.625</v>
      </c>
      <c r="C1347" s="46">
        <f ca="1">IFERROR(__xludf.DUMMYFUNCTION("""COMPUTED_VALUE"""),1348)</f>
        <v>1348</v>
      </c>
      <c r="D1347" s="47" t="str">
        <f ca="1">IFERROR(__xludf.DUMMYFUNCTION("""COMPUTED_VALUE"""),"C1215")</f>
        <v>C1215</v>
      </c>
      <c r="E1347" s="46" t="str">
        <f ca="1">IFERROR(__xludf.DUMMYFUNCTION("""COMPUTED_VALUE"""),"PHẠM TRỌNG NGUYỄN")</f>
        <v>PHẠM TRỌNG NGUYỄN</v>
      </c>
      <c r="F1347" s="46" t="str">
        <f ca="1">IFERROR(__xludf.DUMMYFUNCTION("""COMPUTED_VALUE"""),"PHAM TRONG NGUYEN")</f>
        <v>PHAM TRONG NGUYEN</v>
      </c>
      <c r="G1347" s="45">
        <f ca="1">IFERROR(__xludf.DUMMYFUNCTION("""COMPUTED_VALUE"""),36566.625)</f>
        <v>36566.625</v>
      </c>
      <c r="H1347" s="45" t="str">
        <f ca="1">IFERROR(__xludf.DUMMYFUNCTION("""COMPUTED_VALUE"""),"TLC")</f>
        <v>TLC</v>
      </c>
      <c r="I1347" s="46" t="str">
        <f ca="1">IFERROR(__xludf.DUMMYFUNCTION("""COMPUTED_VALUE"""),"STORE")</f>
        <v>STORE</v>
      </c>
      <c r="J1347" s="46" t="str">
        <f ca="1">IFERROR(__xludf.DUMMYFUNCTION("""COMPUTED_VALUE"""),"BLANK LOUNGE")</f>
        <v>BLANK LOUNGE</v>
      </c>
      <c r="K1347" s="46" t="str">
        <f ca="1">IFERROR(__xludf.DUMMYFUNCTION("""COMPUTED_VALUE"""),"WAITSTAFF")</f>
        <v>WAITSTAFF</v>
      </c>
      <c r="L1347" s="46" t="str">
        <f ca="1">IFERROR(__xludf.DUMMYFUNCTION("""COMPUTED_VALUE"""),"PTEP")</f>
        <v>PTEP</v>
      </c>
      <c r="M1347" s="46" t="str">
        <f ca="1">IFERROR(__xludf.DUMMYFUNCTION("""COMPUTED_VALUE"""),"Leave")</f>
        <v>Leave</v>
      </c>
      <c r="N1347" s="46" t="str">
        <f ca="1">IFERROR(__xludf.DUMMYFUNCTION("""COMPUTED_VALUE"""),"Đủ")</f>
        <v>Đủ</v>
      </c>
    </row>
    <row r="1348" spans="1:14">
      <c r="A1348" s="45">
        <f ca="1">IFERROR(__xludf.DUMMYFUNCTION("""COMPUTED_VALUE"""),46068.625)</f>
        <v>46068.625</v>
      </c>
      <c r="B1348" s="45">
        <f ca="1">IFERROR(__xludf.DUMMYFUNCTION("""COMPUTED_VALUE"""),46076.625)</f>
        <v>46076.625</v>
      </c>
      <c r="C1348" s="46">
        <f ca="1">IFERROR(__xludf.DUMMYFUNCTION("""COMPUTED_VALUE"""),1349)</f>
        <v>1349</v>
      </c>
      <c r="D1348" s="47" t="str">
        <f ca="1">IFERROR(__xludf.DUMMYFUNCTION("""COMPUTED_VALUE"""),"C1209")</f>
        <v>C1209</v>
      </c>
      <c r="E1348" s="46" t="str">
        <f ca="1">IFERROR(__xludf.DUMMYFUNCTION("""COMPUTED_VALUE"""),"PHẠM MINH NGỌC")</f>
        <v>PHẠM MINH NGỌC</v>
      </c>
      <c r="F1348" s="46" t="str">
        <f ca="1">IFERROR(__xludf.DUMMYFUNCTION("""COMPUTED_VALUE"""),"PHAM MINH NGOC")</f>
        <v>PHAM MINH NGOC</v>
      </c>
      <c r="G1348" s="45">
        <f ca="1">IFERROR(__xludf.DUMMYFUNCTION("""COMPUTED_VALUE"""),35188.5833333333)</f>
        <v>35188.583333333299</v>
      </c>
      <c r="H1348" s="45" t="str">
        <f ca="1">IFERROR(__xludf.DUMMYFUNCTION("""COMPUTED_VALUE"""),"TLC")</f>
        <v>TLC</v>
      </c>
      <c r="I1348" s="46" t="str">
        <f ca="1">IFERROR(__xludf.DUMMYFUNCTION("""COMPUTED_VALUE"""),"STORE")</f>
        <v>STORE</v>
      </c>
      <c r="J1348" s="46" t="str">
        <f ca="1">IFERROR(__xludf.DUMMYFUNCTION("""COMPUTED_VALUE"""),"BLANK LOUNGE")</f>
        <v>BLANK LOUNGE</v>
      </c>
      <c r="K1348" s="46" t="str">
        <f ca="1">IFERROR(__xludf.DUMMYFUNCTION("""COMPUTED_VALUE"""),"KIT")</f>
        <v>KIT</v>
      </c>
      <c r="L1348" s="46" t="str">
        <f ca="1">IFERROR(__xludf.DUMMYFUNCTION("""COMPUTED_VALUE"""),"PTEP")</f>
        <v>PTEP</v>
      </c>
      <c r="M1348" s="46" t="str">
        <f ca="1">IFERROR(__xludf.DUMMYFUNCTION("""COMPUTED_VALUE"""),"Leave")</f>
        <v>Leave</v>
      </c>
      <c r="N1348" s="46" t="str">
        <f ca="1">IFERROR(__xludf.DUMMYFUNCTION("""COMPUTED_VALUE"""),"Đủ")</f>
        <v>Đủ</v>
      </c>
    </row>
    <row r="1349" spans="1:14">
      <c r="A1349" s="45">
        <f ca="1">IFERROR(__xludf.DUMMYFUNCTION("""COMPUTED_VALUE"""),46068.625)</f>
        <v>46068.625</v>
      </c>
      <c r="B1349" s="45">
        <f ca="1">IFERROR(__xludf.DUMMYFUNCTION("""COMPUTED_VALUE"""),46076.625)</f>
        <v>46076.625</v>
      </c>
      <c r="C1349" s="46">
        <f ca="1">IFERROR(__xludf.DUMMYFUNCTION("""COMPUTED_VALUE"""),1350)</f>
        <v>1350</v>
      </c>
      <c r="D1349" s="47" t="str">
        <f ca="1">IFERROR(__xludf.DUMMYFUNCTION("""COMPUTED_VALUE"""),"C1210")</f>
        <v>C1210</v>
      </c>
      <c r="E1349" s="46" t="str">
        <f ca="1">IFERROR(__xludf.DUMMYFUNCTION("""COMPUTED_VALUE"""),"NGUYỄN THỊ MINH CHÂU")</f>
        <v>NGUYỄN THỊ MINH CHÂU</v>
      </c>
      <c r="F1349" s="46" t="str">
        <f ca="1">IFERROR(__xludf.DUMMYFUNCTION("""COMPUTED_VALUE"""),"NGUYEN THI MINH CHAU")</f>
        <v>NGUYEN THI MINH CHAU</v>
      </c>
      <c r="G1349" s="45">
        <f ca="1">IFERROR(__xludf.DUMMYFUNCTION("""COMPUTED_VALUE"""),38992.5833333333)</f>
        <v>38992.583333333299</v>
      </c>
      <c r="H1349" s="45" t="str">
        <f ca="1">IFERROR(__xludf.DUMMYFUNCTION("""COMPUTED_VALUE"""),"TLC")</f>
        <v>TLC</v>
      </c>
      <c r="I1349" s="46" t="str">
        <f ca="1">IFERROR(__xludf.DUMMYFUNCTION("""COMPUTED_VALUE"""),"STORE")</f>
        <v>STORE</v>
      </c>
      <c r="J1349" s="46" t="str">
        <f ca="1">IFERROR(__xludf.DUMMYFUNCTION("""COMPUTED_VALUE"""),"BLANK LOUNGE")</f>
        <v>BLANK LOUNGE</v>
      </c>
      <c r="K1349" s="46" t="str">
        <f ca="1">IFERROR(__xludf.DUMMYFUNCTION("""COMPUTED_VALUE"""),"KIT")</f>
        <v>KIT</v>
      </c>
      <c r="L1349" s="46" t="str">
        <f ca="1">IFERROR(__xludf.DUMMYFUNCTION("""COMPUTED_VALUE"""),"PTEP")</f>
        <v>PTEP</v>
      </c>
      <c r="M1349" s="46" t="str">
        <f ca="1">IFERROR(__xludf.DUMMYFUNCTION("""COMPUTED_VALUE"""),"Leave")</f>
        <v>Leave</v>
      </c>
      <c r="N1349" s="46" t="str">
        <f ca="1">IFERROR(__xludf.DUMMYFUNCTION("""COMPUTED_VALUE"""),"Đủ")</f>
        <v>Đủ</v>
      </c>
    </row>
    <row r="1350" spans="1:14">
      <c r="A1350" s="45">
        <f ca="1">IFERROR(__xludf.DUMMYFUNCTION("""COMPUTED_VALUE"""),46068.625)</f>
        <v>46068.625</v>
      </c>
      <c r="B1350" s="45">
        <f ca="1">IFERROR(__xludf.DUMMYFUNCTION("""COMPUTED_VALUE"""),46076.625)</f>
        <v>46076.625</v>
      </c>
      <c r="C1350" s="46">
        <f ca="1">IFERROR(__xludf.DUMMYFUNCTION("""COMPUTED_VALUE"""),1351)</f>
        <v>1351</v>
      </c>
      <c r="D1350" s="47" t="str">
        <f ca="1">IFERROR(__xludf.DUMMYFUNCTION("""COMPUTED_VALUE"""),"C1211")</f>
        <v>C1211</v>
      </c>
      <c r="E1350" s="46" t="str">
        <f ca="1">IFERROR(__xludf.DUMMYFUNCTION("""COMPUTED_VALUE"""),"TRẦN NGỌC HOÀNG TRINH")</f>
        <v>TRẦN NGỌC HOÀNG TRINH</v>
      </c>
      <c r="F1350" s="46" t="str">
        <f ca="1">IFERROR(__xludf.DUMMYFUNCTION("""COMPUTED_VALUE"""),"TRAN NGOC HOANG TRINH")</f>
        <v>TRAN NGOC HOANG TRINH</v>
      </c>
      <c r="G1350" s="45">
        <f ca="1">IFERROR(__xludf.DUMMYFUNCTION("""COMPUTED_VALUE"""),36583.625)</f>
        <v>36583.625</v>
      </c>
      <c r="H1350" s="45" t="str">
        <f ca="1">IFERROR(__xludf.DUMMYFUNCTION("""COMPUTED_VALUE"""),"TLC")</f>
        <v>TLC</v>
      </c>
      <c r="I1350" s="46" t="str">
        <f ca="1">IFERROR(__xludf.DUMMYFUNCTION("""COMPUTED_VALUE"""),"STORE")</f>
        <v>STORE</v>
      </c>
      <c r="J1350" s="46" t="str">
        <f ca="1">IFERROR(__xludf.DUMMYFUNCTION("""COMPUTED_VALUE"""),"BLANK LOUNGE")</f>
        <v>BLANK LOUNGE</v>
      </c>
      <c r="K1350" s="46" t="str">
        <f ca="1">IFERROR(__xludf.DUMMYFUNCTION("""COMPUTED_VALUE"""),"WAITSTAFF")</f>
        <v>WAITSTAFF</v>
      </c>
      <c r="L1350" s="46" t="str">
        <f ca="1">IFERROR(__xludf.DUMMYFUNCTION("""COMPUTED_VALUE"""),"PTEP")</f>
        <v>PTEP</v>
      </c>
      <c r="M1350" s="46" t="str">
        <f ca="1">IFERROR(__xludf.DUMMYFUNCTION("""COMPUTED_VALUE"""),"Leave")</f>
        <v>Leave</v>
      </c>
      <c r="N1350" s="46" t="str">
        <f ca="1">IFERROR(__xludf.DUMMYFUNCTION("""COMPUTED_VALUE"""),"Đủ")</f>
        <v>Đủ</v>
      </c>
    </row>
    <row r="1351" spans="1:14">
      <c r="A1351" s="45">
        <f ca="1">IFERROR(__xludf.DUMMYFUNCTION("""COMPUTED_VALUE"""),46068.625)</f>
        <v>46068.625</v>
      </c>
      <c r="B1351" s="45">
        <f ca="1">IFERROR(__xludf.DUMMYFUNCTION("""COMPUTED_VALUE"""),46076.625)</f>
        <v>46076.625</v>
      </c>
      <c r="C1351" s="46">
        <f ca="1">IFERROR(__xludf.DUMMYFUNCTION("""COMPUTED_VALUE"""),1352)</f>
        <v>1352</v>
      </c>
      <c r="D1351" s="47" t="str">
        <f ca="1">IFERROR(__xludf.DUMMYFUNCTION("""COMPUTED_VALUE"""),"C1212")</f>
        <v>C1212</v>
      </c>
      <c r="E1351" s="46" t="str">
        <f ca="1">IFERROR(__xludf.DUMMYFUNCTION("""COMPUTED_VALUE"""),"NGUYẾN PHƯƠNG NAM")</f>
        <v>NGUYẾN PHƯƠNG NAM</v>
      </c>
      <c r="F1351" s="46" t="str">
        <f ca="1">IFERROR(__xludf.DUMMYFUNCTION("""COMPUTED_VALUE"""),"NGUYEN PHUONG NAM")</f>
        <v>NGUYEN PHUONG NAM</v>
      </c>
      <c r="G1351" s="45">
        <f ca="1">IFERROR(__xludf.DUMMYFUNCTION("""COMPUTED_VALUE"""),36625.5833333333)</f>
        <v>36625.583333333299</v>
      </c>
      <c r="H1351" s="45" t="str">
        <f ca="1">IFERROR(__xludf.DUMMYFUNCTION("""COMPUTED_VALUE"""),"TLC")</f>
        <v>TLC</v>
      </c>
      <c r="I1351" s="46" t="str">
        <f ca="1">IFERROR(__xludf.DUMMYFUNCTION("""COMPUTED_VALUE"""),"STORE")</f>
        <v>STORE</v>
      </c>
      <c r="J1351" s="46" t="str">
        <f ca="1">IFERROR(__xludf.DUMMYFUNCTION("""COMPUTED_VALUE"""),"BLANK LOUNGE")</f>
        <v>BLANK LOUNGE</v>
      </c>
      <c r="K1351" s="46" t="str">
        <f ca="1">IFERROR(__xludf.DUMMYFUNCTION("""COMPUTED_VALUE"""),"BAR")</f>
        <v>BAR</v>
      </c>
      <c r="L1351" s="46" t="str">
        <f ca="1">IFERROR(__xludf.DUMMYFUNCTION("""COMPUTED_VALUE"""),"PTEP")</f>
        <v>PTEP</v>
      </c>
      <c r="M1351" s="46" t="str">
        <f ca="1">IFERROR(__xludf.DUMMYFUNCTION("""COMPUTED_VALUE"""),"Leave")</f>
        <v>Leave</v>
      </c>
      <c r="N1351" s="46" t="str">
        <f ca="1">IFERROR(__xludf.DUMMYFUNCTION("""COMPUTED_VALUE"""),"Đủ")</f>
        <v>Đủ</v>
      </c>
    </row>
    <row r="1352" spans="1:14">
      <c r="A1352" s="45">
        <f ca="1">IFERROR(__xludf.DUMMYFUNCTION("""COMPUTED_VALUE"""),46068.625)</f>
        <v>46068.625</v>
      </c>
      <c r="B1352" s="45">
        <f ca="1">IFERROR(__xludf.DUMMYFUNCTION("""COMPUTED_VALUE"""),46076.625)</f>
        <v>46076.625</v>
      </c>
      <c r="C1352" s="46">
        <f ca="1">IFERROR(__xludf.DUMMYFUNCTION("""COMPUTED_VALUE"""),1353)</f>
        <v>1353</v>
      </c>
      <c r="D1352" s="47" t="str">
        <f ca="1">IFERROR(__xludf.DUMMYFUNCTION("""COMPUTED_VALUE"""),"C0231")</f>
        <v>C0231</v>
      </c>
      <c r="E1352" s="46" t="str">
        <f ca="1">IFERROR(__xludf.DUMMYFUNCTION("""COMPUTED_VALUE"""),"NGUYỄN TƯỜNG THẢO NGUYÊN")</f>
        <v>NGUYỄN TƯỜNG THẢO NGUYÊN</v>
      </c>
      <c r="F1352" s="46" t="str">
        <f ca="1">IFERROR(__xludf.DUMMYFUNCTION("""COMPUTED_VALUE"""),"NGUYEN TUONG THAO NGUYEN")</f>
        <v>NGUYEN TUONG THAO NGUYEN</v>
      </c>
      <c r="G1352" s="45">
        <f ca="1">IFERROR(__xludf.DUMMYFUNCTION("""COMPUTED_VALUE"""),37615.625)</f>
        <v>37615.625</v>
      </c>
      <c r="H1352" s="45" t="str">
        <f ca="1">IFERROR(__xludf.DUMMYFUNCTION("""COMPUTED_VALUE"""),"TLC")</f>
        <v>TLC</v>
      </c>
      <c r="I1352" s="46" t="str">
        <f ca="1">IFERROR(__xludf.DUMMYFUNCTION("""COMPUTED_VALUE"""),"STORE")</f>
        <v>STORE</v>
      </c>
      <c r="J1352" s="46" t="str">
        <f ca="1">IFERROR(__xludf.DUMMYFUNCTION("""COMPUTED_VALUE"""),"BLANK LOUNGE")</f>
        <v>BLANK LOUNGE</v>
      </c>
      <c r="K1352" s="46" t="str">
        <f ca="1">IFERROR(__xludf.DUMMYFUNCTION("""COMPUTED_VALUE"""),"WAITSTAFF")</f>
        <v>WAITSTAFF</v>
      </c>
      <c r="L1352" s="46" t="str">
        <f ca="1">IFERROR(__xludf.DUMMYFUNCTION("""COMPUTED_VALUE"""),"PTEP")</f>
        <v>PTEP</v>
      </c>
      <c r="M1352" s="46" t="str">
        <f ca="1">IFERROR(__xludf.DUMMYFUNCTION("""COMPUTED_VALUE"""),"Leave")</f>
        <v>Leave</v>
      </c>
      <c r="N1352" s="46" t="str">
        <f ca="1">IFERROR(__xludf.DUMMYFUNCTION("""COMPUTED_VALUE"""),"Đủ")</f>
        <v>Đủ</v>
      </c>
    </row>
    <row r="1353" spans="1:14">
      <c r="A1353" s="45">
        <f ca="1">IFERROR(__xludf.DUMMYFUNCTION("""COMPUTED_VALUE"""),46063.625)</f>
        <v>46063.625</v>
      </c>
      <c r="B1353" s="45">
        <f ca="1">IFERROR(__xludf.DUMMYFUNCTION("""COMPUTED_VALUE"""),46104.5833333333)</f>
        <v>46104.583333333299</v>
      </c>
      <c r="C1353" s="46">
        <f ca="1">IFERROR(__xludf.DUMMYFUNCTION("""COMPUTED_VALUE"""),1354)</f>
        <v>1354</v>
      </c>
      <c r="D1353" s="47" t="str">
        <f ca="1">IFERROR(__xludf.DUMMYFUNCTION("""COMPUTED_VALUE"""),"C1231")</f>
        <v>C1231</v>
      </c>
      <c r="E1353" s="46" t="str">
        <f ca="1">IFERROR(__xludf.DUMMYFUNCTION("""COMPUTED_VALUE"""),"TRỊNH MAI TRINH")</f>
        <v>TRỊNH MAI TRINH</v>
      </c>
      <c r="F1353" s="46" t="str">
        <f ca="1">IFERROR(__xludf.DUMMYFUNCTION("""COMPUTED_VALUE"""),"TRINH MAI TRINH")</f>
        <v>TRINH MAI TRINH</v>
      </c>
      <c r="G1353" s="45">
        <f ca="1">IFERROR(__xludf.DUMMYFUNCTION("""COMPUTED_VALUE"""),36997.5833333333)</f>
        <v>36997.583333333299</v>
      </c>
      <c r="H1353" s="45" t="str">
        <f ca="1">IFERROR(__xludf.DUMMYFUNCTION("""COMPUTED_VALUE"""),"MATTE")</f>
        <v>MATTE</v>
      </c>
      <c r="I1353" s="46" t="str">
        <f ca="1">IFERROR(__xludf.DUMMYFUNCTION("""COMPUTED_VALUE"""),"STORE")</f>
        <v>STORE</v>
      </c>
      <c r="J1353" s="46" t="str">
        <f ca="1">IFERROR(__xludf.DUMMYFUNCTION("""COMPUTED_VALUE"""),"MATTE D2")</f>
        <v>MATTE D2</v>
      </c>
      <c r="K1353" s="46" t="str">
        <f ca="1">IFERROR(__xludf.DUMMYFUNCTION("""COMPUTED_VALUE"""),"BAR")</f>
        <v>BAR</v>
      </c>
      <c r="L1353" s="46" t="str">
        <f ca="1">IFERROR(__xludf.DUMMYFUNCTION("""COMPUTED_VALUE"""),"PTEP")</f>
        <v>PTEP</v>
      </c>
      <c r="M1353" s="46" t="str">
        <f ca="1">IFERROR(__xludf.DUMMYFUNCTION("""COMPUTED_VALUE"""),"Leave")</f>
        <v>Leave</v>
      </c>
      <c r="N1353" s="46" t="str">
        <f ca="1">IFERROR(__xludf.DUMMYFUNCTION("""COMPUTED_VALUE"""),"Đủ")</f>
        <v>Đủ</v>
      </c>
    </row>
    <row r="1354" spans="1:14">
      <c r="A1354" s="45">
        <f ca="1">IFERROR(__xludf.DUMMYFUNCTION("""COMPUTED_VALUE"""),46065.625)</f>
        <v>46065.625</v>
      </c>
      <c r="B1354" s="45">
        <f ca="1">IFERROR(__xludf.DUMMYFUNCTION("""COMPUTED_VALUE"""),46083.625)</f>
        <v>46083.625</v>
      </c>
      <c r="C1354" s="46">
        <f ca="1">IFERROR(__xludf.DUMMYFUNCTION("""COMPUTED_VALUE"""),1355)</f>
        <v>1355</v>
      </c>
      <c r="D1354" s="47" t="str">
        <f ca="1">IFERROR(__xludf.DUMMYFUNCTION("""COMPUTED_VALUE"""),"C1238")</f>
        <v>C1238</v>
      </c>
      <c r="E1354" s="46" t="str">
        <f ca="1">IFERROR(__xludf.DUMMYFUNCTION("""COMPUTED_VALUE"""),"NGUYỄN THÀNH TRUNG")</f>
        <v>NGUYỄN THÀNH TRUNG</v>
      </c>
      <c r="F1354" s="46" t="str">
        <f ca="1">IFERROR(__xludf.DUMMYFUNCTION("""COMPUTED_VALUE"""),"NGUYEN THANH TRUNG")</f>
        <v>NGUYEN THANH TRUNG</v>
      </c>
      <c r="G1354" s="45">
        <f ca="1">IFERROR(__xludf.DUMMYFUNCTION("""COMPUTED_VALUE"""),36324.5833333333)</f>
        <v>36324.583333333299</v>
      </c>
      <c r="H1354" s="45" t="str">
        <f ca="1">IFERROR(__xludf.DUMMYFUNCTION("""COMPUTED_VALUE"""),"BAKES")</f>
        <v>BAKES</v>
      </c>
      <c r="I1354" s="46" t="str">
        <f ca="1">IFERROR(__xludf.DUMMYFUNCTION("""COMPUTED_VALUE"""),"STORE")</f>
        <v>STORE</v>
      </c>
      <c r="J1354" s="46" t="str">
        <f ca="1">IFERROR(__xludf.DUMMYFUNCTION("""COMPUTED_VALUE"""),"BAKES HCR")</f>
        <v>BAKES HCR</v>
      </c>
      <c r="K1354" s="46" t="str">
        <f ca="1">IFERROR(__xludf.DUMMYFUNCTION("""COMPUTED_VALUE"""),"BAR")</f>
        <v>BAR</v>
      </c>
      <c r="L1354" s="46" t="str">
        <f ca="1">IFERROR(__xludf.DUMMYFUNCTION("""COMPUTED_VALUE"""),"PTEP")</f>
        <v>PTEP</v>
      </c>
      <c r="M1354" s="46" t="str">
        <f ca="1">IFERROR(__xludf.DUMMYFUNCTION("""COMPUTED_VALUE"""),"Leave")</f>
        <v>Leave</v>
      </c>
      <c r="N1354" s="46" t="str">
        <f ca="1">IFERROR(__xludf.DUMMYFUNCTION("""COMPUTED_VALUE"""),"Đủ")</f>
        <v>Đủ</v>
      </c>
    </row>
    <row r="1355" spans="1:14">
      <c r="A1355" s="45">
        <f ca="1">IFERROR(__xludf.DUMMYFUNCTION("""COMPUTED_VALUE"""),46071.625)</f>
        <v>46071.625</v>
      </c>
      <c r="B1355" s="45">
        <f ca="1">IFERROR(__xludf.DUMMYFUNCTION("""COMPUTED_VALUE"""),46082.625)</f>
        <v>46082.625</v>
      </c>
      <c r="C1355" s="46">
        <f ca="1">IFERROR(__xludf.DUMMYFUNCTION("""COMPUTED_VALUE"""),1356)</f>
        <v>1356</v>
      </c>
      <c r="D1355" s="47" t="str">
        <f ca="1">IFERROR(__xludf.DUMMYFUNCTION("""COMPUTED_VALUE"""),"C1240")</f>
        <v>C1240</v>
      </c>
      <c r="E1355" s="46" t="str">
        <f ca="1">IFERROR(__xludf.DUMMYFUNCTION("""COMPUTED_VALUE"""),"PHẠM THẢO NGUYÊN")</f>
        <v>PHẠM THẢO NGUYÊN</v>
      </c>
      <c r="F1355" s="46" t="str">
        <f ca="1">IFERROR(__xludf.DUMMYFUNCTION("""COMPUTED_VALUE"""),"PHAM THAO NGUYEN")</f>
        <v>PHAM THAO NGUYEN</v>
      </c>
      <c r="G1355" s="45">
        <f ca="1">IFERROR(__xludf.DUMMYFUNCTION("""COMPUTED_VALUE"""),38008.625)</f>
        <v>38008.625</v>
      </c>
      <c r="H1355" s="45" t="str">
        <f ca="1">IFERROR(__xludf.DUMMYFUNCTION("""COMPUTED_VALUE"""),"BAKES")</f>
        <v>BAKES</v>
      </c>
      <c r="I1355" s="46" t="str">
        <f ca="1">IFERROR(__xludf.DUMMYFUNCTION("""COMPUTED_VALUE"""),"STORE")</f>
        <v>STORE</v>
      </c>
      <c r="J1355" s="46" t="str">
        <f ca="1">IFERROR(__xludf.DUMMYFUNCTION("""COMPUTED_VALUE"""),"BAKES HCR")</f>
        <v>BAKES HCR</v>
      </c>
      <c r="K1355" s="46" t="str">
        <f ca="1">IFERROR(__xludf.DUMMYFUNCTION("""COMPUTED_VALUE"""),"WAITSTAFF")</f>
        <v>WAITSTAFF</v>
      </c>
      <c r="L1355" s="46" t="str">
        <f ca="1">IFERROR(__xludf.DUMMYFUNCTION("""COMPUTED_VALUE"""),"PTEP")</f>
        <v>PTEP</v>
      </c>
      <c r="M1355" s="46" t="str">
        <f ca="1">IFERROR(__xludf.DUMMYFUNCTION("""COMPUTED_VALUE"""),"Leave")</f>
        <v>Leave</v>
      </c>
      <c r="N1355" s="46" t="str">
        <f ca="1">IFERROR(__xludf.DUMMYFUNCTION("""COMPUTED_VALUE"""),"chua nop")</f>
        <v>chua nop</v>
      </c>
    </row>
    <row r="1356" spans="1:14">
      <c r="A1356" s="45">
        <f ca="1">IFERROR(__xludf.DUMMYFUNCTION("""COMPUTED_VALUE"""),46069.625)</f>
        <v>46069.625</v>
      </c>
      <c r="B1356" s="45">
        <f ca="1">IFERROR(__xludf.DUMMYFUNCTION("""COMPUTED_VALUE"""),46083.625)</f>
        <v>46083.625</v>
      </c>
      <c r="C1356" s="46">
        <f ca="1">IFERROR(__xludf.DUMMYFUNCTION("""COMPUTED_VALUE"""),1357)</f>
        <v>1357</v>
      </c>
      <c r="D1356" s="47" t="str">
        <f ca="1">IFERROR(__xludf.DUMMYFUNCTION("""COMPUTED_VALUE"""),"C1232")</f>
        <v>C1232</v>
      </c>
      <c r="E1356" s="46" t="str">
        <f ca="1">IFERROR(__xludf.DUMMYFUNCTION("""COMPUTED_VALUE"""),"TRẦN GIA HUY")</f>
        <v>TRẦN GIA HUY</v>
      </c>
      <c r="F1356" s="46" t="str">
        <f ca="1">IFERROR(__xludf.DUMMYFUNCTION("""COMPUTED_VALUE"""),"TRAN GIA HUY")</f>
        <v>TRAN GIA HUY</v>
      </c>
      <c r="G1356" s="45">
        <f ca="1">IFERROR(__xludf.DUMMYFUNCTION("""COMPUTED_VALUE"""),39407.625)</f>
        <v>39407.625</v>
      </c>
      <c r="H1356" s="45" t="str">
        <f ca="1">IFERROR(__xludf.DUMMYFUNCTION("""COMPUTED_VALUE"""),"BAKES")</f>
        <v>BAKES</v>
      </c>
      <c r="I1356" s="46" t="str">
        <f ca="1">IFERROR(__xludf.DUMMYFUNCTION("""COMPUTED_VALUE"""),"STORE")</f>
        <v>STORE</v>
      </c>
      <c r="J1356" s="46" t="str">
        <f ca="1">IFERROR(__xludf.DUMMYFUNCTION("""COMPUTED_VALUE"""),"BAKES HCR")</f>
        <v>BAKES HCR</v>
      </c>
      <c r="K1356" s="46" t="str">
        <f ca="1">IFERROR(__xludf.DUMMYFUNCTION("""COMPUTED_VALUE"""),"WAITSTAFF")</f>
        <v>WAITSTAFF</v>
      </c>
      <c r="L1356" s="46" t="str">
        <f ca="1">IFERROR(__xludf.DUMMYFUNCTION("""COMPUTED_VALUE"""),"PTEP")</f>
        <v>PTEP</v>
      </c>
      <c r="M1356" s="46" t="str">
        <f ca="1">IFERROR(__xludf.DUMMYFUNCTION("""COMPUTED_VALUE"""),"Leave")</f>
        <v>Leave</v>
      </c>
      <c r="N1356" s="46" t="str">
        <f ca="1">IFERROR(__xludf.DUMMYFUNCTION("""COMPUTED_VALUE"""),"Đủ")</f>
        <v>Đủ</v>
      </c>
    </row>
    <row r="1357" spans="1:14">
      <c r="A1357" s="45">
        <f ca="1">IFERROR(__xludf.DUMMYFUNCTION("""COMPUTED_VALUE"""),46077.625)</f>
        <v>46077.625</v>
      </c>
      <c r="B1357" s="45"/>
      <c r="C1357" s="46">
        <f ca="1">IFERROR(__xludf.DUMMYFUNCTION("""COMPUTED_VALUE"""),1358)</f>
        <v>1358</v>
      </c>
      <c r="D1357" s="47" t="str">
        <f ca="1">IFERROR(__xludf.DUMMYFUNCTION("""COMPUTED_VALUE"""),"C1239")</f>
        <v>C1239</v>
      </c>
      <c r="E1357" s="46" t="str">
        <f ca="1">IFERROR(__xludf.DUMMYFUNCTION("""COMPUTED_VALUE"""),"LƯƠNG ÁI HƯƠNG ESTELLE")</f>
        <v>LƯƠNG ÁI HƯƠNG ESTELLE</v>
      </c>
      <c r="F1357" s="46" t="str">
        <f ca="1">IFERROR(__xludf.DUMMYFUNCTION("""COMPUTED_VALUE"""),"LUONG AI HUONG ESTELLE")</f>
        <v>LUONG AI HUONG ESTELLE</v>
      </c>
      <c r="G1357" s="45">
        <f ca="1">IFERROR(__xludf.DUMMYFUNCTION("""COMPUTED_VALUE"""),35151.625)</f>
        <v>35151.625</v>
      </c>
      <c r="H1357" s="45" t="str">
        <f ca="1">IFERROR(__xludf.DUMMYFUNCTION("""COMPUTED_VALUE"""),"KITCHEN PASTRY")</f>
        <v>KITCHEN PASTRY</v>
      </c>
      <c r="I1357" s="46" t="str">
        <f ca="1">IFERROR(__xludf.DUMMYFUNCTION("""COMPUTED_VALUE"""),"KITCHEN PASTRY")</f>
        <v>KITCHEN PASTRY</v>
      </c>
      <c r="J1357" s="46" t="str">
        <f ca="1">IFERROR(__xludf.DUMMYFUNCTION("""COMPUTED_VALUE"""),"KITCHEN PASTRY")</f>
        <v>KITCHEN PASTRY</v>
      </c>
      <c r="K1357" s="46" t="str">
        <f ca="1">IFERROR(__xludf.DUMMYFUNCTION("""COMPUTED_VALUE"""),"BAKER")</f>
        <v>BAKER</v>
      </c>
      <c r="L1357" s="46" t="str">
        <f ca="1">IFERROR(__xludf.DUMMYFUNCTION("""COMPUTED_VALUE"""),"FTE")</f>
        <v>FTE</v>
      </c>
      <c r="M1357" s="46" t="str">
        <f ca="1">IFERROR(__xludf.DUMMYFUNCTION("""COMPUTED_VALUE"""),"On")</f>
        <v>On</v>
      </c>
      <c r="N1357" s="46" t="str">
        <f ca="1">IFERROR(__xludf.DUMMYFUNCTION("""COMPUTED_VALUE"""),"Đủ")</f>
        <v>Đủ</v>
      </c>
    </row>
    <row r="1358" spans="1:14">
      <c r="A1358" s="45">
        <f ca="1">IFERROR(__xludf.DUMMYFUNCTION("""COMPUTED_VALUE"""),46055.625)</f>
        <v>46055.625</v>
      </c>
      <c r="B1358" s="45">
        <f ca="1">IFERROR(__xludf.DUMMYFUNCTION("""COMPUTED_VALUE"""),46235.5833333333)</f>
        <v>46235.583333333299</v>
      </c>
      <c r="C1358" s="46">
        <f ca="1">IFERROR(__xludf.DUMMYFUNCTION("""COMPUTED_VALUE"""),1359)</f>
        <v>1359</v>
      </c>
      <c r="D1358" s="47" t="str">
        <f ca="1">IFERROR(__xludf.DUMMYFUNCTION("""COMPUTED_VALUE"""),"C1205")</f>
        <v>C1205</v>
      </c>
      <c r="E1358" s="46" t="str">
        <f ca="1">IFERROR(__xludf.DUMMYFUNCTION("""COMPUTED_VALUE"""),"HOÀNG THIÊN TRANG")</f>
        <v>HOÀNG THIÊN TRANG</v>
      </c>
      <c r="F1358" s="46" t="str">
        <f ca="1">IFERROR(__xludf.DUMMYFUNCTION("""COMPUTED_VALUE"""),"HOANG THIEN TRANG")</f>
        <v>HOANG THIEN TRANG</v>
      </c>
      <c r="G1358" s="45">
        <f ca="1">IFERROR(__xludf.DUMMYFUNCTION("""COMPUTED_VALUE"""),38599.5833333333)</f>
        <v>38599.583333333299</v>
      </c>
      <c r="H1358" s="45" t="str">
        <f ca="1">IFERROR(__xludf.DUMMYFUNCTION("""COMPUTED_VALUE"""),"BAKES")</f>
        <v>BAKES</v>
      </c>
      <c r="I1358" s="46" t="str">
        <f ca="1">IFERROR(__xludf.DUMMYFUNCTION("""COMPUTED_VALUE"""),"STORE")</f>
        <v>STORE</v>
      </c>
      <c r="J1358" s="46" t="str">
        <f ca="1">IFERROR(__xludf.DUMMYFUNCTION("""COMPUTED_VALUE"""),"BAKES D2")</f>
        <v>BAKES D2</v>
      </c>
      <c r="K1358" s="46" t="str">
        <f ca="1">IFERROR(__xludf.DUMMYFUNCTION("""COMPUTED_VALUE"""),"CASHIER")</f>
        <v>CASHIER</v>
      </c>
      <c r="L1358" s="46" t="str">
        <f ca="1">IFERROR(__xludf.DUMMYFUNCTION("""COMPUTED_VALUE"""),"PTE")</f>
        <v>PTE</v>
      </c>
      <c r="M1358" s="46" t="str">
        <f ca="1">IFERROR(__xludf.DUMMYFUNCTION("""COMPUTED_VALUE"""),"Leave")</f>
        <v>Leave</v>
      </c>
      <c r="N1358" s="46" t="str">
        <f ca="1">IFERROR(__xludf.DUMMYFUNCTION("""COMPUTED_VALUE"""),"Đủ")</f>
        <v>Đủ</v>
      </c>
    </row>
    <row r="1359" spans="1:14">
      <c r="A1359" s="45">
        <f ca="1">IFERROR(__xludf.DUMMYFUNCTION("""COMPUTED_VALUE"""),46064.625)</f>
        <v>46064.625</v>
      </c>
      <c r="B1359" s="45">
        <f ca="1">IFERROR(__xludf.DUMMYFUNCTION("""COMPUTED_VALUE"""),46083.625)</f>
        <v>46083.625</v>
      </c>
      <c r="C1359" s="46">
        <f ca="1">IFERROR(__xludf.DUMMYFUNCTION("""COMPUTED_VALUE"""),1360)</f>
        <v>1360</v>
      </c>
      <c r="D1359" s="47" t="str">
        <f ca="1">IFERROR(__xludf.DUMMYFUNCTION("""COMPUTED_VALUE"""),"C1234")</f>
        <v>C1234</v>
      </c>
      <c r="E1359" s="46" t="str">
        <f ca="1">IFERROR(__xludf.DUMMYFUNCTION("""COMPUTED_VALUE"""),"PHẠM BẢO HÂN")</f>
        <v>PHẠM BẢO HÂN</v>
      </c>
      <c r="F1359" s="46" t="str">
        <f ca="1">IFERROR(__xludf.DUMMYFUNCTION("""COMPUTED_VALUE"""),"PHAM BAO HAN")</f>
        <v>PHAM BAO HAN</v>
      </c>
      <c r="G1359" s="45">
        <f ca="1">IFERROR(__xludf.DUMMYFUNCTION("""COMPUTED_VALUE"""),38771.625)</f>
        <v>38771.625</v>
      </c>
      <c r="H1359" s="45" t="str">
        <f ca="1">IFERROR(__xludf.DUMMYFUNCTION("""COMPUTED_VALUE"""),"BAKES")</f>
        <v>BAKES</v>
      </c>
      <c r="I1359" s="46" t="str">
        <f ca="1">IFERROR(__xludf.DUMMYFUNCTION("""COMPUTED_VALUE"""),"STORE")</f>
        <v>STORE</v>
      </c>
      <c r="J1359" s="46" t="str">
        <f ca="1">IFERROR(__xludf.DUMMYFUNCTION("""COMPUTED_VALUE"""),"BAKES HCR")</f>
        <v>BAKES HCR</v>
      </c>
      <c r="K1359" s="46" t="str">
        <f ca="1">IFERROR(__xludf.DUMMYFUNCTION("""COMPUTED_VALUE"""),"WAITSTAFF")</f>
        <v>WAITSTAFF</v>
      </c>
      <c r="L1359" s="46" t="str">
        <f ca="1">IFERROR(__xludf.DUMMYFUNCTION("""COMPUTED_VALUE"""),"PTEP")</f>
        <v>PTEP</v>
      </c>
      <c r="M1359" s="46" t="str">
        <f ca="1">IFERROR(__xludf.DUMMYFUNCTION("""COMPUTED_VALUE"""),"Leave")</f>
        <v>Leave</v>
      </c>
      <c r="N1359" s="46" t="str">
        <f ca="1">IFERROR(__xludf.DUMMYFUNCTION("""COMPUTED_VALUE"""),"Đủ")</f>
        <v>Đủ</v>
      </c>
    </row>
    <row r="1360" spans="1:14">
      <c r="A1360" s="45">
        <f ca="1">IFERROR(__xludf.DUMMYFUNCTION("""COMPUTED_VALUE"""),46084.625)</f>
        <v>46084.625</v>
      </c>
      <c r="B1360" s="45"/>
      <c r="C1360" s="46">
        <f ca="1">IFERROR(__xludf.DUMMYFUNCTION("""COMPUTED_VALUE"""),1361)</f>
        <v>1361</v>
      </c>
      <c r="D1360" s="47" t="str">
        <f ca="1">IFERROR(__xludf.DUMMYFUNCTION("""COMPUTED_VALUE"""),"C1244")</f>
        <v>C1244</v>
      </c>
      <c r="E1360" s="46" t="str">
        <f ca="1">IFERROR(__xludf.DUMMYFUNCTION("""COMPUTED_VALUE"""),"TRẦN GIA KHÁNH HẰNG")</f>
        <v>TRẦN GIA KHÁNH HẰNG</v>
      </c>
      <c r="F1360" s="46" t="str">
        <f ca="1">IFERROR(__xludf.DUMMYFUNCTION("""COMPUTED_VALUE"""),"TRAN GIA KHANH HANG")</f>
        <v>TRAN GIA KHANH HANG</v>
      </c>
      <c r="G1360" s="45">
        <f ca="1">IFERROR(__xludf.DUMMYFUNCTION("""COMPUTED_VALUE"""),38531.5833333333)</f>
        <v>38531.583333333299</v>
      </c>
      <c r="H1360" s="45" t="str">
        <f ca="1">IFERROR(__xludf.DUMMYFUNCTION("""COMPUTED_VALUE"""),"YESHI")</f>
        <v>YESHI</v>
      </c>
      <c r="I1360" s="46" t="str">
        <f ca="1">IFERROR(__xludf.DUMMYFUNCTION("""COMPUTED_VALUE"""),"STORE")</f>
        <v>STORE</v>
      </c>
      <c r="J1360" s="46" t="str">
        <f ca="1">IFERROR(__xludf.DUMMYFUNCTION("""COMPUTED_VALUE"""),"YESHI D3")</f>
        <v>YESHI D3</v>
      </c>
      <c r="K1360" s="46" t="str">
        <f ca="1">IFERROR(__xludf.DUMMYFUNCTION("""COMPUTED_VALUE"""),"WAITSTAFF")</f>
        <v>WAITSTAFF</v>
      </c>
      <c r="L1360" s="46" t="str">
        <f ca="1">IFERROR(__xludf.DUMMYFUNCTION("""COMPUTED_VALUE"""),"FTE")</f>
        <v>FTE</v>
      </c>
      <c r="M1360" s="46" t="str">
        <f ca="1">IFERROR(__xludf.DUMMYFUNCTION("""COMPUTED_VALUE"""),"On")</f>
        <v>On</v>
      </c>
      <c r="N1360" s="46" t="str">
        <f ca="1">IFERROR(__xludf.DUMMYFUNCTION("""COMPUTED_VALUE"""),"Đủ")</f>
        <v>Đủ</v>
      </c>
    </row>
    <row r="1361" spans="1:14">
      <c r="A1361" s="45">
        <f ca="1">IFERROR(__xludf.DUMMYFUNCTION("""COMPUTED_VALUE"""),46083.625)</f>
        <v>46083.625</v>
      </c>
      <c r="B1361" s="45"/>
      <c r="C1361" s="46">
        <f ca="1">IFERROR(__xludf.DUMMYFUNCTION("""COMPUTED_VALUE"""),1362)</f>
        <v>1362</v>
      </c>
      <c r="D1361" s="47" t="str">
        <f ca="1">IFERROR(__xludf.DUMMYFUNCTION("""COMPUTED_VALUE"""),"C1245")</f>
        <v>C1245</v>
      </c>
      <c r="E1361" s="46" t="str">
        <f ca="1">IFERROR(__xludf.DUMMYFUNCTION("""COMPUTED_VALUE"""),"TRẦN ĐÌNH VÂN KHANH")</f>
        <v>TRẦN ĐÌNH VÂN KHANH</v>
      </c>
      <c r="F1361" s="46" t="str">
        <f ca="1">IFERROR(__xludf.DUMMYFUNCTION("""COMPUTED_VALUE"""),"TRAN DINH VAN KHANH")</f>
        <v>TRAN DINH VAN KHANH</v>
      </c>
      <c r="G1361" s="45">
        <f ca="1">IFERROR(__xludf.DUMMYFUNCTION("""COMPUTED_VALUE"""),36323.5833333333)</f>
        <v>36323.583333333299</v>
      </c>
      <c r="H1361" s="45" t="str">
        <f ca="1">IFERROR(__xludf.DUMMYFUNCTION("""COMPUTED_VALUE"""),"KITCHEN PASTRY")</f>
        <v>KITCHEN PASTRY</v>
      </c>
      <c r="I1361" s="46" t="str">
        <f ca="1">IFERROR(__xludf.DUMMYFUNCTION("""COMPUTED_VALUE"""),"KITCHEN PASTRY")</f>
        <v>KITCHEN PASTRY</v>
      </c>
      <c r="J1361" s="46" t="str">
        <f ca="1">IFERROR(__xludf.DUMMYFUNCTION("""COMPUTED_VALUE"""),"KITCHEN PASTRY")</f>
        <v>KITCHEN PASTRY</v>
      </c>
      <c r="K1361" s="46" t="str">
        <f ca="1">IFERROR(__xludf.DUMMYFUNCTION("""COMPUTED_VALUE"""),"PASTRY")</f>
        <v>PASTRY</v>
      </c>
      <c r="L1361" s="46" t="str">
        <f ca="1">IFERROR(__xludf.DUMMYFUNCTION("""COMPUTED_VALUE"""),"FTE")</f>
        <v>FTE</v>
      </c>
      <c r="M1361" s="46" t="str">
        <f ca="1">IFERROR(__xludf.DUMMYFUNCTION("""COMPUTED_VALUE"""),"On")</f>
        <v>On</v>
      </c>
      <c r="N1361" s="46" t="str">
        <f ca="1">IFERROR(__xludf.DUMMYFUNCTION("""COMPUTED_VALUE"""),"Đủ")</f>
        <v>Đủ</v>
      </c>
    </row>
    <row r="1362" spans="1:14">
      <c r="A1362" s="45">
        <f ca="1">IFERROR(__xludf.DUMMYFUNCTION("""COMPUTED_VALUE"""),46088.625)</f>
        <v>46088.625</v>
      </c>
      <c r="B1362" s="45">
        <f ca="1">IFERROR(__xludf.DUMMYFUNCTION("""COMPUTED_VALUE"""),46113.5833333333)</f>
        <v>46113.583333333299</v>
      </c>
      <c r="C1362" s="46">
        <f ca="1">IFERROR(__xludf.DUMMYFUNCTION("""COMPUTED_VALUE"""),1363)</f>
        <v>1363</v>
      </c>
      <c r="D1362" s="47" t="str">
        <f ca="1">IFERROR(__xludf.DUMMYFUNCTION("""COMPUTED_VALUE"""),"C1246")</f>
        <v>C1246</v>
      </c>
      <c r="E1362" s="46" t="str">
        <f ca="1">IFERROR(__xludf.DUMMYFUNCTION("""COMPUTED_VALUE"""),"TRẦN THỊ BÍCH NGỌC")</f>
        <v>TRẦN THỊ BÍCH NGỌC</v>
      </c>
      <c r="F1362" s="46" t="str">
        <f ca="1">IFERROR(__xludf.DUMMYFUNCTION("""COMPUTED_VALUE"""),"TRAN THI BICH NGOC")</f>
        <v>TRAN THI BICH NGOC</v>
      </c>
      <c r="G1362" s="45">
        <f ca="1">IFERROR(__xludf.DUMMYFUNCTION("""COMPUTED_VALUE"""),37803.5833333333)</f>
        <v>37803.583333333299</v>
      </c>
      <c r="H1362" s="45" t="str">
        <f ca="1">IFERROR(__xludf.DUMMYFUNCTION("""COMPUTED_VALUE"""),"KITCHEN PASTRY")</f>
        <v>KITCHEN PASTRY</v>
      </c>
      <c r="I1362" s="46" t="str">
        <f ca="1">IFERROR(__xludf.DUMMYFUNCTION("""COMPUTED_VALUE"""),"KITCHEN PASTRY")</f>
        <v>KITCHEN PASTRY</v>
      </c>
      <c r="J1362" s="46" t="str">
        <f ca="1">IFERROR(__xludf.DUMMYFUNCTION("""COMPUTED_VALUE"""),"KITCHEN PASTRY")</f>
        <v>KITCHEN PASTRY</v>
      </c>
      <c r="K1362" s="46" t="str">
        <f ca="1">IFERROR(__xludf.DUMMYFUNCTION("""COMPUTED_VALUE"""),"PASTRY")</f>
        <v>PASTRY</v>
      </c>
      <c r="L1362" s="46" t="str">
        <f ca="1">IFERROR(__xludf.DUMMYFUNCTION("""COMPUTED_VALUE"""),"PRO")</f>
        <v>PRO</v>
      </c>
      <c r="M1362" s="46" t="str">
        <f ca="1">IFERROR(__xludf.DUMMYFUNCTION("""COMPUTED_VALUE"""),"Leave")</f>
        <v>Leave</v>
      </c>
      <c r="N1362" s="46" t="str">
        <f ca="1">IFERROR(__xludf.DUMMYFUNCTION("""COMPUTED_VALUE"""),"Đủ")</f>
        <v>Đủ</v>
      </c>
    </row>
    <row r="1363" spans="1:14">
      <c r="A1363" s="45">
        <f ca="1">IFERROR(__xludf.DUMMYFUNCTION("""COMPUTED_VALUE"""),46084.625)</f>
        <v>46084.625</v>
      </c>
      <c r="B1363" s="45">
        <f ca="1">IFERROR(__xludf.DUMMYFUNCTION("""COMPUTED_VALUE"""),46090.5833333333)</f>
        <v>46090.583333333299</v>
      </c>
      <c r="C1363" s="46">
        <f ca="1">IFERROR(__xludf.DUMMYFUNCTION("""COMPUTED_VALUE"""),1364)</f>
        <v>1364</v>
      </c>
      <c r="D1363" s="47" t="str">
        <f ca="1">IFERROR(__xludf.DUMMYFUNCTION("""COMPUTED_VALUE"""),"C1132")</f>
        <v>C1132</v>
      </c>
      <c r="E1363" s="46" t="str">
        <f ca="1">IFERROR(__xludf.DUMMYFUNCTION("""COMPUTED_VALUE"""),"NGUYỄN LÊ MINH XUÂN")</f>
        <v>NGUYỄN LÊ MINH XUÂN</v>
      </c>
      <c r="F1363" s="46" t="str">
        <f ca="1">IFERROR(__xludf.DUMMYFUNCTION("""COMPUTED_VALUE"""),"NGUYEN LE MINH XUAN")</f>
        <v>NGUYEN LE MINH XUAN</v>
      </c>
      <c r="G1363" s="45">
        <f ca="1">IFERROR(__xludf.DUMMYFUNCTION("""COMPUTED_VALUE"""),36252.625)</f>
        <v>36252.625</v>
      </c>
      <c r="H1363" s="45" t="str">
        <f ca="1">IFERROR(__xludf.DUMMYFUNCTION("""COMPUTED_VALUE"""),"WOMEN'S DAY")</f>
        <v>WOMEN'S DAY</v>
      </c>
      <c r="I1363" s="46" t="str">
        <f ca="1">IFERROR(__xludf.DUMMYFUNCTION("""COMPUTED_VALUE"""),"KITCHEN PASTRY")</f>
        <v>KITCHEN PASTRY</v>
      </c>
      <c r="J1363" s="46" t="str">
        <f ca="1">IFERROR(__xludf.DUMMYFUNCTION("""COMPUTED_VALUE"""),"KITCHEN PASTRY")</f>
        <v>KITCHEN PASTRY</v>
      </c>
      <c r="K1363" s="46" t="str">
        <f ca="1">IFERROR(__xludf.DUMMYFUNCTION("""COMPUTED_VALUE"""),"PACKAGING")</f>
        <v>PACKAGING</v>
      </c>
      <c r="L1363" s="46" t="str">
        <f ca="1">IFERROR(__xludf.DUMMYFUNCTION("""COMPUTED_VALUE"""),"PTEP")</f>
        <v>PTEP</v>
      </c>
      <c r="M1363" s="46" t="str">
        <f ca="1">IFERROR(__xludf.DUMMYFUNCTION("""COMPUTED_VALUE"""),"Leave")</f>
        <v>Leave</v>
      </c>
      <c r="N1363" s="46" t="str">
        <f ca="1">IFERROR(__xludf.DUMMYFUNCTION("""COMPUTED_VALUE"""),"Đủ")</f>
        <v>Đủ</v>
      </c>
    </row>
    <row r="1364" spans="1:14">
      <c r="A1364" s="45">
        <f ca="1">IFERROR(__xludf.DUMMYFUNCTION("""COMPUTED_VALUE"""),46083.625)</f>
        <v>46083.625</v>
      </c>
      <c r="B1364" s="45">
        <f ca="1">IFERROR(__xludf.DUMMYFUNCTION("""COMPUTED_VALUE"""),46143.5833333333)</f>
        <v>46143.583333333299</v>
      </c>
      <c r="C1364" s="46">
        <f ca="1">IFERROR(__xludf.DUMMYFUNCTION("""COMPUTED_VALUE"""),1365)</f>
        <v>1365</v>
      </c>
      <c r="D1364" s="47" t="str">
        <f ca="1">IFERROR(__xludf.DUMMYFUNCTION("""COMPUTED_VALUE"""),"C1242")</f>
        <v>C1242</v>
      </c>
      <c r="E1364" s="46" t="str">
        <f ca="1">IFERROR(__xludf.DUMMYFUNCTION("""COMPUTED_VALUE"""),"NGUYỄN NGỌC NGUYÊN NGÂN")</f>
        <v>NGUYỄN NGỌC NGUYÊN NGÂN</v>
      </c>
      <c r="F1364" s="46" t="str">
        <f ca="1">IFERROR(__xludf.DUMMYFUNCTION("""COMPUTED_VALUE"""),"NGUYEN NGOC NGUYEN NGAN")</f>
        <v>NGUYEN NGOC NGUYEN NGAN</v>
      </c>
      <c r="G1364" s="45">
        <f ca="1">IFERROR(__xludf.DUMMYFUNCTION("""COMPUTED_VALUE"""),37727.5833333333)</f>
        <v>37727.583333333299</v>
      </c>
      <c r="H1364" s="45" t="str">
        <f ca="1">IFERROR(__xludf.DUMMYFUNCTION("""COMPUTED_VALUE"""),"BAKES")</f>
        <v>BAKES</v>
      </c>
      <c r="I1364" s="46" t="str">
        <f ca="1">IFERROR(__xludf.DUMMYFUNCTION("""COMPUTED_VALUE"""),"STORE")</f>
        <v>STORE</v>
      </c>
      <c r="J1364" s="46" t="str">
        <f ca="1">IFERROR(__xludf.DUMMYFUNCTION("""COMPUTED_VALUE"""),"BAKES D7")</f>
        <v>BAKES D7</v>
      </c>
      <c r="K1364" s="46" t="str">
        <f ca="1">IFERROR(__xludf.DUMMYFUNCTION("""COMPUTED_VALUE"""),"BAR")</f>
        <v>BAR</v>
      </c>
      <c r="L1364" s="46" t="str">
        <f ca="1">IFERROR(__xludf.DUMMYFUNCTION("""COMPUTED_VALUE"""),"PTEP")</f>
        <v>PTEP</v>
      </c>
      <c r="M1364" s="46" t="str">
        <f ca="1">IFERROR(__xludf.DUMMYFUNCTION("""COMPUTED_VALUE"""),"Leave")</f>
        <v>Leave</v>
      </c>
      <c r="N1364" s="46" t="str">
        <f ca="1">IFERROR(__xludf.DUMMYFUNCTION("""COMPUTED_VALUE"""),"Đủ")</f>
        <v>Đủ</v>
      </c>
    </row>
    <row r="1365" spans="1:14">
      <c r="A1365" s="45">
        <f ca="1">IFERROR(__xludf.DUMMYFUNCTION("""COMPUTED_VALUE"""),46085.625)</f>
        <v>46085.625</v>
      </c>
      <c r="B1365" s="45"/>
      <c r="C1365" s="46">
        <f ca="1">IFERROR(__xludf.DUMMYFUNCTION("""COMPUTED_VALUE"""),1366)</f>
        <v>1366</v>
      </c>
      <c r="D1365" s="47" t="str">
        <f ca="1">IFERROR(__xludf.DUMMYFUNCTION("""COMPUTED_VALUE"""),"C1249")</f>
        <v>C1249</v>
      </c>
      <c r="E1365" s="46" t="str">
        <f ca="1">IFERROR(__xludf.DUMMYFUNCTION("""COMPUTED_VALUE"""),"PHAN HUY ĐẠT")</f>
        <v>PHAN HUY ĐẠT</v>
      </c>
      <c r="F1365" s="46" t="str">
        <f ca="1">IFERROR(__xludf.DUMMYFUNCTION("""COMPUTED_VALUE"""),"PHAN HUY DAT")</f>
        <v>PHAN HUY DAT</v>
      </c>
      <c r="G1365" s="45">
        <f ca="1">IFERROR(__xludf.DUMMYFUNCTION("""COMPUTED_VALUE"""),38628.5833333333)</f>
        <v>38628.583333333299</v>
      </c>
      <c r="H1365" s="45" t="str">
        <f ca="1">IFERROR(__xludf.DUMMYFUNCTION("""COMPUTED_VALUE"""),"MATTE")</f>
        <v>MATTE</v>
      </c>
      <c r="I1365" s="46" t="str">
        <f ca="1">IFERROR(__xludf.DUMMYFUNCTION("""COMPUTED_VALUE"""),"STORE")</f>
        <v>STORE</v>
      </c>
      <c r="J1365" s="46" t="str">
        <f ca="1">IFERROR(__xludf.DUMMYFUNCTION("""COMPUTED_VALUE"""),"MATTE D1")</f>
        <v>MATTE D1</v>
      </c>
      <c r="K1365" s="46" t="str">
        <f ca="1">IFERROR(__xludf.DUMMYFUNCTION("""COMPUTED_VALUE"""),"BAR")</f>
        <v>BAR</v>
      </c>
      <c r="L1365" s="46" t="str">
        <f ca="1">IFERROR(__xludf.DUMMYFUNCTION("""COMPUTED_VALUE"""),"PTE")</f>
        <v>PTE</v>
      </c>
      <c r="M1365" s="46" t="str">
        <f ca="1">IFERROR(__xludf.DUMMYFUNCTION("""COMPUTED_VALUE"""),"On")</f>
        <v>On</v>
      </c>
      <c r="N1365" s="46" t="str">
        <f ca="1">IFERROR(__xludf.DUMMYFUNCTION("""COMPUTED_VALUE"""),"Đủ")</f>
        <v>Đủ</v>
      </c>
    </row>
    <row r="1366" spans="1:14">
      <c r="A1366" s="45">
        <f ca="1">IFERROR(__xludf.DUMMYFUNCTION("""COMPUTED_VALUE"""),46084.625)</f>
        <v>46084.625</v>
      </c>
      <c r="B1366" s="45"/>
      <c r="C1366" s="46">
        <f ca="1">IFERROR(__xludf.DUMMYFUNCTION("""COMPUTED_VALUE"""),1367)</f>
        <v>1367</v>
      </c>
      <c r="D1366" s="47" t="str">
        <f ca="1">IFERROR(__xludf.DUMMYFUNCTION("""COMPUTED_VALUE"""),"C1247")</f>
        <v>C1247</v>
      </c>
      <c r="E1366" s="46" t="str">
        <f ca="1">IFERROR(__xludf.DUMMYFUNCTION("""COMPUTED_VALUE"""),"DƯƠNG BẢO TRANG")</f>
        <v>DƯƠNG BẢO TRANG</v>
      </c>
      <c r="F1366" s="46" t="str">
        <f ca="1">IFERROR(__xludf.DUMMYFUNCTION("""COMPUTED_VALUE"""),"DUONG BAO TRANG")</f>
        <v>DUONG BAO TRANG</v>
      </c>
      <c r="G1366" s="45">
        <f ca="1">IFERROR(__xludf.DUMMYFUNCTION("""COMPUTED_VALUE"""),34232.5833333333)</f>
        <v>34232.583333333299</v>
      </c>
      <c r="H1366" s="45" t="str">
        <f ca="1">IFERROR(__xludf.DUMMYFUNCTION("""COMPUTED_VALUE"""),"YESHI")</f>
        <v>YESHI</v>
      </c>
      <c r="I1366" s="46" t="str">
        <f ca="1">IFERROR(__xludf.DUMMYFUNCTION("""COMPUTED_VALUE"""),"STORE")</f>
        <v>STORE</v>
      </c>
      <c r="J1366" s="46" t="str">
        <f ca="1">IFERROR(__xludf.DUMMYFUNCTION("""COMPUTED_VALUE"""),"YESHI D3")</f>
        <v>YESHI D3</v>
      </c>
      <c r="K1366" s="46" t="str">
        <f ca="1">IFERROR(__xludf.DUMMYFUNCTION("""COMPUTED_VALUE"""),"KIT")</f>
        <v>KIT</v>
      </c>
      <c r="L1366" s="46" t="str">
        <f ca="1">IFERROR(__xludf.DUMMYFUNCTION("""COMPUTED_VALUE"""),"PTE")</f>
        <v>PTE</v>
      </c>
      <c r="M1366" s="46" t="str">
        <f ca="1">IFERROR(__xludf.DUMMYFUNCTION("""COMPUTED_VALUE"""),"On")</f>
        <v>On</v>
      </c>
      <c r="N1366" s="46" t="str">
        <f ca="1">IFERROR(__xludf.DUMMYFUNCTION("""COMPUTED_VALUE"""),"Đủ")</f>
        <v>Đủ</v>
      </c>
    </row>
    <row r="1367" spans="1:14">
      <c r="A1367" s="45">
        <f ca="1">IFERROR(__xludf.DUMMYFUNCTION("""COMPUTED_VALUE"""),46090.5833333333)</f>
        <v>46090.583333333299</v>
      </c>
      <c r="B1367" s="45">
        <f ca="1">IFERROR(__xludf.DUMMYFUNCTION("""COMPUTED_VALUE"""),46151.5833333333)</f>
        <v>46151.583333333299</v>
      </c>
      <c r="C1367" s="46">
        <f ca="1">IFERROR(__xludf.DUMMYFUNCTION("""COMPUTED_VALUE"""),1368)</f>
        <v>1368</v>
      </c>
      <c r="D1367" s="47" t="str">
        <f ca="1">IFERROR(__xludf.DUMMYFUNCTION("""COMPUTED_VALUE"""),"C1253")</f>
        <v>C1253</v>
      </c>
      <c r="E1367" s="46" t="str">
        <f ca="1">IFERROR(__xludf.DUMMYFUNCTION("""COMPUTED_VALUE"""),"TRẦN THỊ UYỂN NHI")</f>
        <v>TRẦN THỊ UYỂN NHI</v>
      </c>
      <c r="F1367" s="46" t="str">
        <f ca="1">IFERROR(__xludf.DUMMYFUNCTION("""COMPUTED_VALUE"""),"TRAN THI UYEN NHI")</f>
        <v>TRAN THI UYEN NHI</v>
      </c>
      <c r="G1367" s="45"/>
      <c r="H1367" s="45" t="str">
        <f ca="1">IFERROR(__xludf.DUMMYFUNCTION("""COMPUTED_VALUE"""),"BAKES")</f>
        <v>BAKES</v>
      </c>
      <c r="I1367" s="46" t="str">
        <f ca="1">IFERROR(__xludf.DUMMYFUNCTION("""COMPUTED_VALUE"""),"STORE")</f>
        <v>STORE</v>
      </c>
      <c r="J1367" s="46" t="str">
        <f ca="1">IFERROR(__xludf.DUMMYFUNCTION("""COMPUTED_VALUE"""),"BAKES D7")</f>
        <v>BAKES D7</v>
      </c>
      <c r="K1367" s="46" t="str">
        <f ca="1">IFERROR(__xludf.DUMMYFUNCTION("""COMPUTED_VALUE"""),"BAR")</f>
        <v>BAR</v>
      </c>
      <c r="L1367" s="46" t="str">
        <f ca="1">IFERROR(__xludf.DUMMYFUNCTION("""COMPUTED_VALUE"""),"PTEP")</f>
        <v>PTEP</v>
      </c>
      <c r="M1367" s="46" t="str">
        <f ca="1">IFERROR(__xludf.DUMMYFUNCTION("""COMPUTED_VALUE"""),"Leave")</f>
        <v>Leave</v>
      </c>
      <c r="N1367" s="46" t="str">
        <f ca="1">IFERROR(__xludf.DUMMYFUNCTION("""COMPUTED_VALUE"""),"chua nop")</f>
        <v>chua nop</v>
      </c>
    </row>
    <row r="1368" spans="1:14">
      <c r="A1368" s="45">
        <f ca="1">IFERROR(__xludf.DUMMYFUNCTION("""COMPUTED_VALUE"""),46090.5833333333)</f>
        <v>46090.583333333299</v>
      </c>
      <c r="B1368" s="45"/>
      <c r="C1368" s="46">
        <f ca="1">IFERROR(__xludf.DUMMYFUNCTION("""COMPUTED_VALUE"""),1369)</f>
        <v>1369</v>
      </c>
      <c r="D1368" s="47" t="str">
        <f ca="1">IFERROR(__xludf.DUMMYFUNCTION("""COMPUTED_VALUE"""),"C1252")</f>
        <v>C1252</v>
      </c>
      <c r="E1368" s="46" t="str">
        <f ca="1">IFERROR(__xludf.DUMMYFUNCTION("""COMPUTED_VALUE"""),"LÊ MAI ANH THI")</f>
        <v>LÊ MAI ANH THI</v>
      </c>
      <c r="F1368" s="46" t="str">
        <f ca="1">IFERROR(__xludf.DUMMYFUNCTION("""COMPUTED_VALUE"""),"LE MAI ANH THI")</f>
        <v>LE MAI ANH THI</v>
      </c>
      <c r="G1368" s="45">
        <f ca="1">IFERROR(__xludf.DUMMYFUNCTION("""COMPUTED_VALUE"""),37623.625)</f>
        <v>37623.625</v>
      </c>
      <c r="H1368" s="45" t="str">
        <f ca="1">IFERROR(__xludf.DUMMYFUNCTION("""COMPUTED_VALUE"""),"KITCHEN PASTRY")</f>
        <v>KITCHEN PASTRY</v>
      </c>
      <c r="I1368" s="46" t="str">
        <f ca="1">IFERROR(__xludf.DUMMYFUNCTION("""COMPUTED_VALUE"""),"KITCHEN PASTRY")</f>
        <v>KITCHEN PASTRY</v>
      </c>
      <c r="J1368" s="46" t="str">
        <f ca="1">IFERROR(__xludf.DUMMYFUNCTION("""COMPUTED_VALUE"""),"KITCHEN PASTRY")</f>
        <v>KITCHEN PASTRY</v>
      </c>
      <c r="K1368" s="46" t="str">
        <f ca="1">IFERROR(__xludf.DUMMYFUNCTION("""COMPUTED_VALUE"""),"BAKER")</f>
        <v>BAKER</v>
      </c>
      <c r="L1368" s="46" t="str">
        <f ca="1">IFERROR(__xludf.DUMMYFUNCTION("""COMPUTED_VALUE"""),"FTE")</f>
        <v>FTE</v>
      </c>
      <c r="M1368" s="46" t="str">
        <f ca="1">IFERROR(__xludf.DUMMYFUNCTION("""COMPUTED_VALUE"""),"On")</f>
        <v>On</v>
      </c>
      <c r="N1368" s="46" t="str">
        <f ca="1">IFERROR(__xludf.DUMMYFUNCTION("""COMPUTED_VALUE"""),"Đủ")</f>
        <v>Đủ</v>
      </c>
    </row>
    <row r="1369" spans="1:14">
      <c r="A1369" s="45">
        <f ca="1">IFERROR(__xludf.DUMMYFUNCTION("""COMPUTED_VALUE"""),46090.5833333333)</f>
        <v>46090.583333333299</v>
      </c>
      <c r="B1369" s="45"/>
      <c r="C1369" s="46">
        <f ca="1">IFERROR(__xludf.DUMMYFUNCTION("""COMPUTED_VALUE"""),1370)</f>
        <v>1370</v>
      </c>
      <c r="D1369" s="47" t="str">
        <f ca="1">IFERROR(__xludf.DUMMYFUNCTION("""COMPUTED_VALUE"""),"C1254")</f>
        <v>C1254</v>
      </c>
      <c r="E1369" s="46" t="str">
        <f ca="1">IFERROR(__xludf.DUMMYFUNCTION("""COMPUTED_VALUE"""),"HỒ HOÀNG VÂN")</f>
        <v>HỒ HOÀNG VÂN</v>
      </c>
      <c r="F1369" s="46" t="str">
        <f ca="1">IFERROR(__xludf.DUMMYFUNCTION("""COMPUTED_VALUE"""),"HO HOANG VAN")</f>
        <v>HO HOANG VAN</v>
      </c>
      <c r="G1369" s="45">
        <f ca="1">IFERROR(__xludf.DUMMYFUNCTION("""COMPUTED_VALUE"""),34938.5833333333)</f>
        <v>34938.583333333299</v>
      </c>
      <c r="H1369" s="45" t="str">
        <f ca="1">IFERROR(__xludf.DUMMYFUNCTION("""COMPUTED_VALUE"""),"KITCHEN PASTRY")</f>
        <v>KITCHEN PASTRY</v>
      </c>
      <c r="I1369" s="46" t="str">
        <f ca="1">IFERROR(__xludf.DUMMYFUNCTION("""COMPUTED_VALUE"""),"KITCHEN PASTRY")</f>
        <v>KITCHEN PASTRY</v>
      </c>
      <c r="J1369" s="46" t="str">
        <f ca="1">IFERROR(__xludf.DUMMYFUNCTION("""COMPUTED_VALUE"""),"KITCHEN PASTRY")</f>
        <v>KITCHEN PASTRY</v>
      </c>
      <c r="K1369" s="46" t="str">
        <f ca="1">IFERROR(__xludf.DUMMYFUNCTION("""COMPUTED_VALUE"""),"BAKER")</f>
        <v>BAKER</v>
      </c>
      <c r="L1369" s="46" t="str">
        <f ca="1">IFERROR(__xludf.DUMMYFUNCTION("""COMPUTED_VALUE"""),"FTE")</f>
        <v>FTE</v>
      </c>
      <c r="M1369" s="46" t="str">
        <f ca="1">IFERROR(__xludf.DUMMYFUNCTION("""COMPUTED_VALUE"""),"On")</f>
        <v>On</v>
      </c>
      <c r="N1369" s="46" t="str">
        <f ca="1">IFERROR(__xludf.DUMMYFUNCTION("""COMPUTED_VALUE"""),"Đủ")</f>
        <v>Đủ</v>
      </c>
    </row>
    <row r="1370" spans="1:14">
      <c r="A1370" s="45">
        <f ca="1">IFERROR(__xludf.DUMMYFUNCTION("""COMPUTED_VALUE"""),46093.5833333333)</f>
        <v>46093.583333333299</v>
      </c>
      <c r="B1370" s="45">
        <f ca="1">IFERROR(__xludf.DUMMYFUNCTION("""COMPUTED_VALUE"""),46094.5833333333)</f>
        <v>46094.583333333299</v>
      </c>
      <c r="C1370" s="46">
        <f ca="1">IFERROR(__xludf.DUMMYFUNCTION("""COMPUTED_VALUE"""),1371)</f>
        <v>1371</v>
      </c>
      <c r="D1370" s="47" t="str">
        <f ca="1">IFERROR(__xludf.DUMMYFUNCTION("""COMPUTED_VALUE"""),"C1255")</f>
        <v>C1255</v>
      </c>
      <c r="E1370" s="46" t="str">
        <f ca="1">IFERROR(__xludf.DUMMYFUNCTION("""COMPUTED_VALUE"""),"NGUYỄN TẤN PHÁT")</f>
        <v>NGUYỄN TẤN PHÁT</v>
      </c>
      <c r="F1370" s="46" t="str">
        <f ca="1">IFERROR(__xludf.DUMMYFUNCTION("""COMPUTED_VALUE"""),"NGUYEN TAN PHAT")</f>
        <v>NGUYEN TAN PHAT</v>
      </c>
      <c r="G1370" s="45">
        <f ca="1">IFERROR(__xludf.DUMMYFUNCTION("""COMPUTED_VALUE"""),35024.625)</f>
        <v>35024.625</v>
      </c>
      <c r="H1370" s="45" t="str">
        <f ca="1">IFERROR(__xludf.DUMMYFUNCTION("""COMPUTED_VALUE"""),"KITCHEN PASTRY")</f>
        <v>KITCHEN PASTRY</v>
      </c>
      <c r="I1370" s="46" t="str">
        <f ca="1">IFERROR(__xludf.DUMMYFUNCTION("""COMPUTED_VALUE"""),"KITCHEN PASTRY")</f>
        <v>KITCHEN PASTRY</v>
      </c>
      <c r="J1370" s="46" t="str">
        <f ca="1">IFERROR(__xludf.DUMMYFUNCTION("""COMPUTED_VALUE"""),"KITCHEN PASTRY")</f>
        <v>KITCHEN PASTRY</v>
      </c>
      <c r="K1370" s="46" t="str">
        <f ca="1">IFERROR(__xludf.DUMMYFUNCTION("""COMPUTED_VALUE"""),"PASTRY")</f>
        <v>PASTRY</v>
      </c>
      <c r="L1370" s="46" t="str">
        <f ca="1">IFERROR(__xludf.DUMMYFUNCTION("""COMPUTED_VALUE"""),"PRO")</f>
        <v>PRO</v>
      </c>
      <c r="M1370" s="46" t="str">
        <f ca="1">IFERROR(__xludf.DUMMYFUNCTION("""COMPUTED_VALUE"""),"Leave")</f>
        <v>Leave</v>
      </c>
      <c r="N1370" s="46" t="str">
        <f ca="1">IFERROR(__xludf.DUMMYFUNCTION("""COMPUTED_VALUE"""),"chua nop")</f>
        <v>chua nop</v>
      </c>
    </row>
    <row r="1371" spans="1:14">
      <c r="A1371" s="45">
        <f ca="1">IFERROR(__xludf.DUMMYFUNCTION("""COMPUTED_VALUE"""),46092.5833333333)</f>
        <v>46092.583333333299</v>
      </c>
      <c r="B1371" s="45"/>
      <c r="C1371" s="46">
        <f ca="1">IFERROR(__xludf.DUMMYFUNCTION("""COMPUTED_VALUE"""),1372)</f>
        <v>1372</v>
      </c>
      <c r="D1371" s="47" t="str">
        <f ca="1">IFERROR(__xludf.DUMMYFUNCTION("""COMPUTED_VALUE"""),"C1264")</f>
        <v>C1264</v>
      </c>
      <c r="E1371" s="46" t="str">
        <f ca="1">IFERROR(__xludf.DUMMYFUNCTION("""COMPUTED_VALUE"""),"NGUYỄN MINH LẬP")</f>
        <v>NGUYỄN MINH LẬP</v>
      </c>
      <c r="F1371" s="46" t="str">
        <f ca="1">IFERROR(__xludf.DUMMYFUNCTION("""COMPUTED_VALUE"""),"NGUYEN MINH LAP")</f>
        <v>NGUYEN MINH LAP</v>
      </c>
      <c r="G1371" s="45">
        <f ca="1">IFERROR(__xludf.DUMMYFUNCTION("""COMPUTED_VALUE"""),37241.625)</f>
        <v>37241.625</v>
      </c>
      <c r="H1371" s="45" t="str">
        <f ca="1">IFERROR(__xludf.DUMMYFUNCTION("""COMPUTED_VALUE"""),"YESHI")</f>
        <v>YESHI</v>
      </c>
      <c r="I1371" s="46" t="str">
        <f ca="1">IFERROR(__xludf.DUMMYFUNCTION("""COMPUTED_VALUE"""),"STORE")</f>
        <v>STORE</v>
      </c>
      <c r="J1371" s="46" t="str">
        <f ca="1">IFERROR(__xludf.DUMMYFUNCTION("""COMPUTED_VALUE"""),"YESHI D3")</f>
        <v>YESHI D3</v>
      </c>
      <c r="K1371" s="46" t="str">
        <f ca="1">IFERROR(__xludf.DUMMYFUNCTION("""COMPUTED_VALUE"""),"KIT")</f>
        <v>KIT</v>
      </c>
      <c r="L1371" s="46" t="str">
        <f ca="1">IFERROR(__xludf.DUMMYFUNCTION("""COMPUTED_VALUE"""),"PTE")</f>
        <v>PTE</v>
      </c>
      <c r="M1371" s="46" t="str">
        <f ca="1">IFERROR(__xludf.DUMMYFUNCTION("""COMPUTED_VALUE"""),"On")</f>
        <v>On</v>
      </c>
      <c r="N1371" s="46" t="str">
        <f ca="1">IFERROR(__xludf.DUMMYFUNCTION("""COMPUTED_VALUE"""),"Đủ")</f>
        <v>Đủ</v>
      </c>
    </row>
    <row r="1372" spans="1:14">
      <c r="A1372" s="45">
        <f ca="1">IFERROR(__xludf.DUMMYFUNCTION("""COMPUTED_VALUE"""),46091.5833333333)</f>
        <v>46091.583333333299</v>
      </c>
      <c r="B1372" s="45"/>
      <c r="C1372" s="46">
        <f ca="1">IFERROR(__xludf.DUMMYFUNCTION("""COMPUTED_VALUE"""),1373)</f>
        <v>1373</v>
      </c>
      <c r="D1372" s="47" t="str">
        <f ca="1">IFERROR(__xludf.DUMMYFUNCTION("""COMPUTED_VALUE"""),"C1261")</f>
        <v>C1261</v>
      </c>
      <c r="E1372" s="46" t="str">
        <f ca="1">IFERROR(__xludf.DUMMYFUNCTION("""COMPUTED_VALUE"""),"ĐOÀN THỊ QUỲNH HÂN")</f>
        <v>ĐOÀN THỊ QUỲNH HÂN</v>
      </c>
      <c r="F1372" s="46" t="str">
        <f ca="1">IFERROR(__xludf.DUMMYFUNCTION("""COMPUTED_VALUE"""),"DOAN THI QUYNH HAN")</f>
        <v>DOAN THI QUYNH HAN</v>
      </c>
      <c r="G1372" s="45">
        <f ca="1">IFERROR(__xludf.DUMMYFUNCTION("""COMPUTED_VALUE"""),37264.625)</f>
        <v>37264.625</v>
      </c>
      <c r="H1372" s="45" t="str">
        <f ca="1">IFERROR(__xludf.DUMMYFUNCTION("""COMPUTED_VALUE"""),"KITCHEN PASTRY")</f>
        <v>KITCHEN PASTRY</v>
      </c>
      <c r="I1372" s="46" t="str">
        <f ca="1">IFERROR(__xludf.DUMMYFUNCTION("""COMPUTED_VALUE"""),"KITCHEN PASTRY")</f>
        <v>KITCHEN PASTRY</v>
      </c>
      <c r="J1372" s="46" t="str">
        <f ca="1">IFERROR(__xludf.DUMMYFUNCTION("""COMPUTED_VALUE"""),"KITCHEN PASTRY")</f>
        <v>KITCHEN PASTRY</v>
      </c>
      <c r="K1372" s="46" t="str">
        <f ca="1">IFERROR(__xludf.DUMMYFUNCTION("""COMPUTED_VALUE"""),"PASTRY")</f>
        <v>PASTRY</v>
      </c>
      <c r="L1372" s="46" t="str">
        <f ca="1">IFERROR(__xludf.DUMMYFUNCTION("""COMPUTED_VALUE"""),"FTE")</f>
        <v>FTE</v>
      </c>
      <c r="M1372" s="46" t="str">
        <f ca="1">IFERROR(__xludf.DUMMYFUNCTION("""COMPUTED_VALUE"""),"On")</f>
        <v>On</v>
      </c>
      <c r="N1372" s="46" t="str">
        <f ca="1">IFERROR(__xludf.DUMMYFUNCTION("""COMPUTED_VALUE"""),"Đủ")</f>
        <v>Đủ</v>
      </c>
    </row>
    <row r="1373" spans="1:14">
      <c r="A1373" s="45">
        <f ca="1">IFERROR(__xludf.DUMMYFUNCTION("""COMPUTED_VALUE"""),46090.5833333333)</f>
        <v>46090.583333333299</v>
      </c>
      <c r="B1373" s="45">
        <f ca="1">IFERROR(__xludf.DUMMYFUNCTION("""COMPUTED_VALUE"""),46104.5833333333)</f>
        <v>46104.583333333299</v>
      </c>
      <c r="C1373" s="46">
        <f ca="1">IFERROR(__xludf.DUMMYFUNCTION("""COMPUTED_VALUE"""),1374)</f>
        <v>1374</v>
      </c>
      <c r="D1373" s="47" t="str">
        <f ca="1">IFERROR(__xludf.DUMMYFUNCTION("""COMPUTED_VALUE"""),"C1250")</f>
        <v>C1250</v>
      </c>
      <c r="E1373" s="46" t="str">
        <f ca="1">IFERROR(__xludf.DUMMYFUNCTION("""COMPUTED_VALUE"""),"VŨ AN NHIÊN")</f>
        <v>VŨ AN NHIÊN</v>
      </c>
      <c r="F1373" s="46" t="str">
        <f ca="1">IFERROR(__xludf.DUMMYFUNCTION("""COMPUTED_VALUE"""),"VU AN NHIEN")</f>
        <v>VU AN NHIEN</v>
      </c>
      <c r="G1373" s="45"/>
      <c r="H1373" s="45" t="str">
        <f ca="1">IFERROR(__xludf.DUMMYFUNCTION("""COMPUTED_VALUE"""),"MATTE")</f>
        <v>MATTE</v>
      </c>
      <c r="I1373" s="46" t="str">
        <f ca="1">IFERROR(__xludf.DUMMYFUNCTION("""COMPUTED_VALUE"""),"STORE")</f>
        <v>STORE</v>
      </c>
      <c r="J1373" s="46" t="str">
        <f ca="1">IFERROR(__xludf.DUMMYFUNCTION("""COMPUTED_VALUE"""),"MATTE D3")</f>
        <v>MATTE D3</v>
      </c>
      <c r="K1373" s="46" t="str">
        <f ca="1">IFERROR(__xludf.DUMMYFUNCTION("""COMPUTED_VALUE"""),"BAR")</f>
        <v>BAR</v>
      </c>
      <c r="L1373" s="46" t="str">
        <f ca="1">IFERROR(__xludf.DUMMYFUNCTION("""COMPUTED_VALUE"""),"PTEP")</f>
        <v>PTEP</v>
      </c>
      <c r="M1373" s="46" t="str">
        <f ca="1">IFERROR(__xludf.DUMMYFUNCTION("""COMPUTED_VALUE"""),"Leave")</f>
        <v>Leave</v>
      </c>
      <c r="N1373" s="46" t="str">
        <f ca="1">IFERROR(__xludf.DUMMYFUNCTION("""COMPUTED_VALUE"""),"chua nop")</f>
        <v>chua nop</v>
      </c>
    </row>
    <row r="1374" spans="1:14">
      <c r="A1374" s="45">
        <f ca="1">IFERROR(__xludf.DUMMYFUNCTION("""COMPUTED_VALUE"""),46091.5833333333)</f>
        <v>46091.583333333299</v>
      </c>
      <c r="B1374" s="45"/>
      <c r="C1374" s="46">
        <f ca="1">IFERROR(__xludf.DUMMYFUNCTION("""COMPUTED_VALUE"""),1375)</f>
        <v>1375</v>
      </c>
      <c r="D1374" s="47" t="str">
        <f ca="1">IFERROR(__xludf.DUMMYFUNCTION("""COMPUTED_VALUE"""),"C1257")</f>
        <v>C1257</v>
      </c>
      <c r="E1374" s="46" t="str">
        <f ca="1">IFERROR(__xludf.DUMMYFUNCTION("""COMPUTED_VALUE"""),"LÊ THỊ XUÂN")</f>
        <v>LÊ THỊ XUÂN</v>
      </c>
      <c r="F1374" s="46" t="str">
        <f ca="1">IFERROR(__xludf.DUMMYFUNCTION("""COMPUTED_VALUE"""),"LE THI XUAN")</f>
        <v>LE THI XUAN</v>
      </c>
      <c r="G1374" s="45">
        <f ca="1">IFERROR(__xludf.DUMMYFUNCTION("""COMPUTED_VALUE"""),36805.5833333333)</f>
        <v>36805.583333333299</v>
      </c>
      <c r="H1374" s="45" t="str">
        <f ca="1">IFERROR(__xludf.DUMMYFUNCTION("""COMPUTED_VALUE"""),"KITCHEN PASTRY")</f>
        <v>KITCHEN PASTRY</v>
      </c>
      <c r="I1374" s="46" t="str">
        <f ca="1">IFERROR(__xludf.DUMMYFUNCTION("""COMPUTED_VALUE"""),"KITCHEN PASTRY")</f>
        <v>KITCHEN PASTRY</v>
      </c>
      <c r="J1374" s="46" t="str">
        <f ca="1">IFERROR(__xludf.DUMMYFUNCTION("""COMPUTED_VALUE"""),"KITCHEN PASTRY")</f>
        <v>KITCHEN PASTRY</v>
      </c>
      <c r="K1374" s="46" t="str">
        <f ca="1">IFERROR(__xludf.DUMMYFUNCTION("""COMPUTED_VALUE"""),"PASTRY")</f>
        <v>PASTRY</v>
      </c>
      <c r="L1374" s="46" t="str">
        <f ca="1">IFERROR(__xludf.DUMMYFUNCTION("""COMPUTED_VALUE"""),"FTE")</f>
        <v>FTE</v>
      </c>
      <c r="M1374" s="46" t="str">
        <f ca="1">IFERROR(__xludf.DUMMYFUNCTION("""COMPUTED_VALUE"""),"On")</f>
        <v>On</v>
      </c>
      <c r="N1374" s="46" t="str">
        <f ca="1">IFERROR(__xludf.DUMMYFUNCTION("""COMPUTED_VALUE"""),"Đủ")</f>
        <v>Đủ</v>
      </c>
    </row>
    <row r="1375" spans="1:14">
      <c r="A1375" s="45">
        <f ca="1">IFERROR(__xludf.DUMMYFUNCTION("""COMPUTED_VALUE"""),46092.5833333333)</f>
        <v>46092.583333333299</v>
      </c>
      <c r="B1375" s="45">
        <f ca="1">IFERROR(__xludf.DUMMYFUNCTION("""COMPUTED_VALUE"""),46160.5833333333)</f>
        <v>46160.583333333299</v>
      </c>
      <c r="C1375" s="46">
        <f ca="1">IFERROR(__xludf.DUMMYFUNCTION("""COMPUTED_VALUE"""),1376)</f>
        <v>1376</v>
      </c>
      <c r="D1375" s="47" t="str">
        <f ca="1">IFERROR(__xludf.DUMMYFUNCTION("""COMPUTED_VALUE"""),"C1260")</f>
        <v>C1260</v>
      </c>
      <c r="E1375" s="46" t="str">
        <f ca="1">IFERROR(__xludf.DUMMYFUNCTION("""COMPUTED_VALUE"""),"LÊ XUÂN LAN")</f>
        <v>LÊ XUÂN LAN</v>
      </c>
      <c r="F1375" s="46" t="str">
        <f ca="1">IFERROR(__xludf.DUMMYFUNCTION("""COMPUTED_VALUE"""),"LE XUAN LAN")</f>
        <v>LE XUAN LAN</v>
      </c>
      <c r="G1375" s="45">
        <f ca="1">IFERROR(__xludf.DUMMYFUNCTION("""COMPUTED_VALUE"""),37745.5833333333)</f>
        <v>37745.583333333299</v>
      </c>
      <c r="H1375" s="45" t="str">
        <f ca="1">IFERROR(__xludf.DUMMYFUNCTION("""COMPUTED_VALUE"""),"BAKES")</f>
        <v>BAKES</v>
      </c>
      <c r="I1375" s="46" t="str">
        <f ca="1">IFERROR(__xludf.DUMMYFUNCTION("""COMPUTED_VALUE"""),"STORE")</f>
        <v>STORE</v>
      </c>
      <c r="J1375" s="46" t="str">
        <f ca="1">IFERROR(__xludf.DUMMYFUNCTION("""COMPUTED_VALUE"""),"BAKES HCR")</f>
        <v>BAKES HCR</v>
      </c>
      <c r="K1375" s="46" t="str">
        <f ca="1">IFERROR(__xludf.DUMMYFUNCTION("""COMPUTED_VALUE"""),"WAITSTAFF")</f>
        <v>WAITSTAFF</v>
      </c>
      <c r="L1375" s="46" t="str">
        <f ca="1">IFERROR(__xludf.DUMMYFUNCTION("""COMPUTED_VALUE"""),"PTEP")</f>
        <v>PTEP</v>
      </c>
      <c r="M1375" s="46" t="str">
        <f ca="1">IFERROR(__xludf.DUMMYFUNCTION("""COMPUTED_VALUE"""),"Leave")</f>
        <v>Leave</v>
      </c>
      <c r="N1375" s="46" t="str">
        <f ca="1">IFERROR(__xludf.DUMMYFUNCTION("""COMPUTED_VALUE"""),"Đủ")</f>
        <v>Đủ</v>
      </c>
    </row>
    <row r="1376" spans="1:14">
      <c r="A1376" s="45">
        <f ca="1">IFERROR(__xludf.DUMMYFUNCTION("""COMPUTED_VALUE"""),46091.5833333333)</f>
        <v>46091.583333333299</v>
      </c>
      <c r="B1376" s="45"/>
      <c r="C1376" s="46">
        <f ca="1">IFERROR(__xludf.DUMMYFUNCTION("""COMPUTED_VALUE"""),1377)</f>
        <v>1377</v>
      </c>
      <c r="D1376" s="47" t="str">
        <f ca="1">IFERROR(__xludf.DUMMYFUNCTION("""COMPUTED_VALUE"""),"C1259")</f>
        <v>C1259</v>
      </c>
      <c r="E1376" s="46" t="str">
        <f ca="1">IFERROR(__xludf.DUMMYFUNCTION("""COMPUTED_VALUE"""),"LÊ ÁI TRÂN")</f>
        <v>LÊ ÁI TRÂN</v>
      </c>
      <c r="F1376" s="46" t="str">
        <f ca="1">IFERROR(__xludf.DUMMYFUNCTION("""COMPUTED_VALUE"""),"LE AI TRAN")</f>
        <v>LE AI TRAN</v>
      </c>
      <c r="G1376" s="45">
        <f ca="1">IFERROR(__xludf.DUMMYFUNCTION("""COMPUTED_VALUE"""),38911.5833333333)</f>
        <v>38911.583333333299</v>
      </c>
      <c r="H1376" s="45" t="str">
        <f ca="1">IFERROR(__xludf.DUMMYFUNCTION("""COMPUTED_VALUE"""),"BAKES")</f>
        <v>BAKES</v>
      </c>
      <c r="I1376" s="46" t="str">
        <f ca="1">IFERROR(__xludf.DUMMYFUNCTION("""COMPUTED_VALUE"""),"STORE")</f>
        <v>STORE</v>
      </c>
      <c r="J1376" s="46" t="str">
        <f ca="1">IFERROR(__xludf.DUMMYFUNCTION("""COMPUTED_VALUE"""),"BAKES HCR")</f>
        <v>BAKES HCR</v>
      </c>
      <c r="K1376" s="46" t="str">
        <f ca="1">IFERROR(__xludf.DUMMYFUNCTION("""COMPUTED_VALUE"""),"WAITSTAFF")</f>
        <v>WAITSTAFF</v>
      </c>
      <c r="L1376" s="46" t="str">
        <f ca="1">IFERROR(__xludf.DUMMYFUNCTION("""COMPUTED_VALUE"""),"PTE")</f>
        <v>PTE</v>
      </c>
      <c r="M1376" s="46" t="str">
        <f ca="1">IFERROR(__xludf.DUMMYFUNCTION("""COMPUTED_VALUE"""),"On")</f>
        <v>On</v>
      </c>
      <c r="N1376" s="46" t="str">
        <f ca="1">IFERROR(__xludf.DUMMYFUNCTION("""COMPUTED_VALUE"""),"Đủ")</f>
        <v>Đủ</v>
      </c>
    </row>
    <row r="1377" spans="1:14">
      <c r="A1377" s="45">
        <f ca="1">IFERROR(__xludf.DUMMYFUNCTION("""COMPUTED_VALUE"""),46090.5833333333)</f>
        <v>46090.583333333299</v>
      </c>
      <c r="B1377" s="45"/>
      <c r="C1377" s="46">
        <f ca="1">IFERROR(__xludf.DUMMYFUNCTION("""COMPUTED_VALUE"""),1378)</f>
        <v>1378</v>
      </c>
      <c r="D1377" s="47" t="str">
        <f ca="1">IFERROR(__xludf.DUMMYFUNCTION("""COMPUTED_VALUE"""),"C1256")</f>
        <v>C1256</v>
      </c>
      <c r="E1377" s="46" t="str">
        <f ca="1">IFERROR(__xludf.DUMMYFUNCTION("""COMPUTED_VALUE"""),"KIM NHẬT THÀNH")</f>
        <v>KIM NHẬT THÀNH</v>
      </c>
      <c r="F1377" s="46" t="str">
        <f ca="1">IFERROR(__xludf.DUMMYFUNCTION("""COMPUTED_VALUE"""),"KIM NHAT THANH")</f>
        <v>KIM NHAT THANH</v>
      </c>
      <c r="G1377" s="45">
        <f ca="1">IFERROR(__xludf.DUMMYFUNCTION("""COMPUTED_VALUE"""),37146.5833333333)</f>
        <v>37146.583333333299</v>
      </c>
      <c r="H1377" s="45" t="str">
        <f ca="1">IFERROR(__xludf.DUMMYFUNCTION("""COMPUTED_VALUE"""),"KITCHEN PASTRY")</f>
        <v>KITCHEN PASTRY</v>
      </c>
      <c r="I1377" s="46" t="str">
        <f ca="1">IFERROR(__xludf.DUMMYFUNCTION("""COMPUTED_VALUE"""),"KITCHEN PASTRY")</f>
        <v>KITCHEN PASTRY</v>
      </c>
      <c r="J1377" s="46" t="str">
        <f ca="1">IFERROR(__xludf.DUMMYFUNCTION("""COMPUTED_VALUE"""),"KITCHEN PASTRY")</f>
        <v>KITCHEN PASTRY</v>
      </c>
      <c r="K1377" s="46" t="str">
        <f ca="1">IFERROR(__xludf.DUMMYFUNCTION("""COMPUTED_VALUE"""),"PASTRY")</f>
        <v>PASTRY</v>
      </c>
      <c r="L1377" s="46" t="str">
        <f ca="1">IFERROR(__xludf.DUMMYFUNCTION("""COMPUTED_VALUE"""),"FTE")</f>
        <v>FTE</v>
      </c>
      <c r="M1377" s="46" t="str">
        <f ca="1">IFERROR(__xludf.DUMMYFUNCTION("""COMPUTED_VALUE"""),"On")</f>
        <v>On</v>
      </c>
      <c r="N1377" s="46" t="str">
        <f ca="1">IFERROR(__xludf.DUMMYFUNCTION("""COMPUTED_VALUE"""),"Đủ")</f>
        <v>Đủ</v>
      </c>
    </row>
    <row r="1378" spans="1:14">
      <c r="A1378" s="45">
        <f ca="1">IFERROR(__xludf.DUMMYFUNCTION("""COMPUTED_VALUE"""),46090.5833333333)</f>
        <v>46090.583333333299</v>
      </c>
      <c r="B1378" s="45"/>
      <c r="C1378" s="46">
        <f ca="1">IFERROR(__xludf.DUMMYFUNCTION("""COMPUTED_VALUE"""),1379)</f>
        <v>1379</v>
      </c>
      <c r="D1378" s="47" t="str">
        <f ca="1">IFERROR(__xludf.DUMMYFUNCTION("""COMPUTED_VALUE"""),"C1258")</f>
        <v>C1258</v>
      </c>
      <c r="E1378" s="46" t="str">
        <f ca="1">IFERROR(__xludf.DUMMYFUNCTION("""COMPUTED_VALUE"""),"HUỲNH PHẠM THANH THƯ")</f>
        <v>HUỲNH PHẠM THANH THƯ</v>
      </c>
      <c r="F1378" s="46" t="str">
        <f ca="1">IFERROR(__xludf.DUMMYFUNCTION("""COMPUTED_VALUE"""),"HUYNH PHAM THANH THU")</f>
        <v>HUYNH PHAM THANH THU</v>
      </c>
      <c r="G1378" s="45">
        <f ca="1">IFERROR(__xludf.DUMMYFUNCTION("""COMPUTED_VALUE"""),36953.625)</f>
        <v>36953.625</v>
      </c>
      <c r="H1378" s="45" t="str">
        <f ca="1">IFERROR(__xludf.DUMMYFUNCTION("""COMPUTED_VALUE"""),"MOONCAKE")</f>
        <v>MOONCAKE</v>
      </c>
      <c r="I1378" s="46" t="str">
        <f ca="1">IFERROR(__xludf.DUMMYFUNCTION("""COMPUTED_VALUE"""),"HO")</f>
        <v>HO</v>
      </c>
      <c r="J1378" s="46" t="str">
        <f ca="1">IFERROR(__xludf.DUMMYFUNCTION("""COMPUTED_VALUE"""),"PET")</f>
        <v>PET</v>
      </c>
      <c r="K1378" s="46" t="str">
        <f ca="1">IFERROR(__xludf.DUMMYFUNCTION("""COMPUTED_VALUE"""),"PET")</f>
        <v>PET</v>
      </c>
      <c r="L1378" s="46" t="str">
        <f ca="1">IFERROR(__xludf.DUMMYFUNCTION("""COMPUTED_VALUE"""),"PTE")</f>
        <v>PTE</v>
      </c>
      <c r="M1378" s="46" t="str">
        <f ca="1">IFERROR(__xludf.DUMMYFUNCTION("""COMPUTED_VALUE"""),"On")</f>
        <v>On</v>
      </c>
      <c r="N1378" s="46" t="str">
        <f ca="1">IFERROR(__xludf.DUMMYFUNCTION("""COMPUTED_VALUE"""),"Đủ")</f>
        <v>Đủ</v>
      </c>
    </row>
    <row r="1379" spans="1:14">
      <c r="A1379" s="45">
        <f ca="1">IFERROR(__xludf.DUMMYFUNCTION("""COMPUTED_VALUE"""),46090.5833333333)</f>
        <v>46090.583333333299</v>
      </c>
      <c r="B1379" s="45">
        <f ca="1">IFERROR(__xludf.DUMMYFUNCTION("""COMPUTED_VALUE"""),46151.5833333333)</f>
        <v>46151.583333333299</v>
      </c>
      <c r="C1379" s="46">
        <f ca="1">IFERROR(__xludf.DUMMYFUNCTION("""COMPUTED_VALUE"""),1380)</f>
        <v>1380</v>
      </c>
      <c r="D1379" s="47" t="str">
        <f ca="1">IFERROR(__xludf.DUMMYFUNCTION("""COMPUTED_VALUE"""),"C1262")</f>
        <v>C1262</v>
      </c>
      <c r="E1379" s="46" t="str">
        <f ca="1">IFERROR(__xludf.DUMMYFUNCTION("""COMPUTED_VALUE"""),"LƯU KIM LONG")</f>
        <v>LƯU KIM LONG</v>
      </c>
      <c r="F1379" s="46" t="str">
        <f ca="1">IFERROR(__xludf.DUMMYFUNCTION("""COMPUTED_VALUE"""),"LUU KIM LONG")</f>
        <v>LUU KIM LONG</v>
      </c>
      <c r="G1379" s="45">
        <f ca="1">IFERROR(__xludf.DUMMYFUNCTION("""COMPUTED_VALUE"""),38018.625)</f>
        <v>38018.625</v>
      </c>
      <c r="H1379" s="45" t="str">
        <f ca="1">IFERROR(__xludf.DUMMYFUNCTION("""COMPUTED_VALUE"""),"KITCHEN PASTRY")</f>
        <v>KITCHEN PASTRY</v>
      </c>
      <c r="I1379" s="46" t="str">
        <f ca="1">IFERROR(__xludf.DUMMYFUNCTION("""COMPUTED_VALUE"""),"KITCHEN PASTRY")</f>
        <v>KITCHEN PASTRY</v>
      </c>
      <c r="J1379" s="46" t="str">
        <f ca="1">IFERROR(__xludf.DUMMYFUNCTION("""COMPUTED_VALUE"""),"KITCHEN PASTRY")</f>
        <v>KITCHEN PASTRY</v>
      </c>
      <c r="K1379" s="46" t="str">
        <f ca="1">IFERROR(__xludf.DUMMYFUNCTION("""COMPUTED_VALUE"""),"ADMIN")</f>
        <v>ADMIN</v>
      </c>
      <c r="L1379" s="46" t="str">
        <f ca="1">IFERROR(__xludf.DUMMYFUNCTION("""COMPUTED_VALUE"""),"PRO")</f>
        <v>PRO</v>
      </c>
      <c r="M1379" s="46" t="str">
        <f ca="1">IFERROR(__xludf.DUMMYFUNCTION("""COMPUTED_VALUE"""),"Leave")</f>
        <v>Leave</v>
      </c>
      <c r="N1379" s="46" t="str">
        <f ca="1">IFERROR(__xludf.DUMMYFUNCTION("""COMPUTED_VALUE"""),"Đủ")</f>
        <v>Đủ</v>
      </c>
    </row>
    <row r="1380" spans="1:14">
      <c r="A1380" s="45">
        <f ca="1">IFERROR(__xludf.DUMMYFUNCTION("""COMPUTED_VALUE"""),46105.5833333333)</f>
        <v>46105.583333333299</v>
      </c>
      <c r="B1380" s="45"/>
      <c r="C1380" s="46">
        <f ca="1">IFERROR(__xludf.DUMMYFUNCTION("""COMPUTED_VALUE"""),1381)</f>
        <v>1381</v>
      </c>
      <c r="D1380" s="47" t="str">
        <f ca="1">IFERROR(__xludf.DUMMYFUNCTION("""COMPUTED_VALUE"""),"C1248")</f>
        <v>C1248</v>
      </c>
      <c r="E1380" s="46" t="str">
        <f ca="1">IFERROR(__xludf.DUMMYFUNCTION("""COMPUTED_VALUE"""),"NGUYỄN ĐĂNG DƯƠNG")</f>
        <v>NGUYỄN ĐĂNG DƯƠNG</v>
      </c>
      <c r="F1380" s="46" t="str">
        <f ca="1">IFERROR(__xludf.DUMMYFUNCTION("""COMPUTED_VALUE"""),"NGUYEN DANG DUONG")</f>
        <v>NGUYEN DANG DUONG</v>
      </c>
      <c r="G1380" s="45" t="str">
        <f ca="1">IFERROR(__xludf.DUMMYFUNCTION("""COMPUTED_VALUE"""),"30/10/2005")</f>
        <v>30/10/2005</v>
      </c>
      <c r="H1380" s="45" t="str">
        <f ca="1">IFERROR(__xludf.DUMMYFUNCTION("""COMPUTED_VALUE"""),"BAKES")</f>
        <v>BAKES</v>
      </c>
      <c r="I1380" s="46" t="str">
        <f ca="1">IFERROR(__xludf.DUMMYFUNCTION("""COMPUTED_VALUE"""),"STORE")</f>
        <v>STORE</v>
      </c>
      <c r="J1380" s="46" t="str">
        <f ca="1">IFERROR(__xludf.DUMMYFUNCTION("""COMPUTED_VALUE"""),"BAKES D7")</f>
        <v>BAKES D7</v>
      </c>
      <c r="K1380" s="46" t="str">
        <f ca="1">IFERROR(__xludf.DUMMYFUNCTION("""COMPUTED_VALUE"""),"BAR")</f>
        <v>BAR</v>
      </c>
      <c r="L1380" s="46" t="str">
        <f ca="1">IFERROR(__xludf.DUMMYFUNCTION("""COMPUTED_VALUE"""),"PTE")</f>
        <v>PTE</v>
      </c>
      <c r="M1380" s="46" t="str">
        <f ca="1">IFERROR(__xludf.DUMMYFUNCTION("""COMPUTED_VALUE"""),"On")</f>
        <v>On</v>
      </c>
      <c r="N1380" s="46" t="str">
        <f ca="1">IFERROR(__xludf.DUMMYFUNCTION("""COMPUTED_VALUE"""),"Đủ")</f>
        <v>Đủ</v>
      </c>
    </row>
    <row r="1381" spans="1:14">
      <c r="A1381" s="45">
        <f ca="1">IFERROR(__xludf.DUMMYFUNCTION("""COMPUTED_VALUE"""),46097.5833333333)</f>
        <v>46097.583333333299</v>
      </c>
      <c r="B1381" s="45"/>
      <c r="C1381" s="46">
        <f ca="1">IFERROR(__xludf.DUMMYFUNCTION("""COMPUTED_VALUE"""),1382)</f>
        <v>1382</v>
      </c>
      <c r="D1381" s="47" t="str">
        <f ca="1">IFERROR(__xludf.DUMMYFUNCTION("""COMPUTED_VALUE"""),"C1266")</f>
        <v>C1266</v>
      </c>
      <c r="E1381" s="46" t="str">
        <f ca="1">IFERROR(__xludf.DUMMYFUNCTION("""COMPUTED_VALUE"""),"HOÀNG MINH HOÀNG")</f>
        <v>HOÀNG MINH HOÀNG</v>
      </c>
      <c r="F1381" s="46" t="str">
        <f ca="1">IFERROR(__xludf.DUMMYFUNCTION("""COMPUTED_VALUE"""),"HOANG MINH HOANG")</f>
        <v>HOANG MINH HOANG</v>
      </c>
      <c r="G1381" s="45">
        <f ca="1">IFERROR(__xludf.DUMMYFUNCTION("""COMPUTED_VALUE"""),35932.5833333333)</f>
        <v>35932.583333333299</v>
      </c>
      <c r="H1381" s="45" t="str">
        <f ca="1">IFERROR(__xludf.DUMMYFUNCTION("""COMPUTED_VALUE"""),"MOONCAKE")</f>
        <v>MOONCAKE</v>
      </c>
      <c r="I1381" s="46" t="str">
        <f ca="1">IFERROR(__xludf.DUMMYFUNCTION("""COMPUTED_VALUE"""),"HO")</f>
        <v>HO</v>
      </c>
      <c r="J1381" s="46" t="str">
        <f ca="1">IFERROR(__xludf.DUMMYFUNCTION("""COMPUTED_VALUE"""),"PET")</f>
        <v>PET</v>
      </c>
      <c r="K1381" s="46" t="str">
        <f ca="1">IFERROR(__xludf.DUMMYFUNCTION("""COMPUTED_VALUE"""),"PET")</f>
        <v>PET</v>
      </c>
      <c r="L1381" s="46" t="str">
        <f ca="1">IFERROR(__xludf.DUMMYFUNCTION("""COMPUTED_VALUE"""),"FTE")</f>
        <v>FTE</v>
      </c>
      <c r="M1381" s="46" t="str">
        <f ca="1">IFERROR(__xludf.DUMMYFUNCTION("""COMPUTED_VALUE"""),"On")</f>
        <v>On</v>
      </c>
      <c r="N1381" s="46" t="str">
        <f ca="1">IFERROR(__xludf.DUMMYFUNCTION("""COMPUTED_VALUE"""),"Đủ")</f>
        <v>Đủ</v>
      </c>
    </row>
    <row r="1382" spans="1:14">
      <c r="A1382" s="45">
        <f ca="1">IFERROR(__xludf.DUMMYFUNCTION("""COMPUTED_VALUE"""),46097.5833333333)</f>
        <v>46097.583333333299</v>
      </c>
      <c r="B1382" s="45"/>
      <c r="C1382" s="46">
        <f ca="1">IFERROR(__xludf.DUMMYFUNCTION("""COMPUTED_VALUE"""),1383)</f>
        <v>1383</v>
      </c>
      <c r="D1382" s="47" t="str">
        <f ca="1">IFERROR(__xludf.DUMMYFUNCTION("""COMPUTED_VALUE"""),"C1263")</f>
        <v>C1263</v>
      </c>
      <c r="E1382" s="46" t="str">
        <f ca="1">IFERROR(__xludf.DUMMYFUNCTION("""COMPUTED_VALUE"""),"LÊ TUẤN VỸ")</f>
        <v>LÊ TUẤN VỸ</v>
      </c>
      <c r="F1382" s="46" t="str">
        <f ca="1">IFERROR(__xludf.DUMMYFUNCTION("""COMPUTED_VALUE"""),"LE TUAN VY")</f>
        <v>LE TUAN VY</v>
      </c>
      <c r="G1382" s="45">
        <f ca="1">IFERROR(__xludf.DUMMYFUNCTION("""COMPUTED_VALUE"""),38334.625)</f>
        <v>38334.625</v>
      </c>
      <c r="H1382" s="45" t="str">
        <f ca="1">IFERROR(__xludf.DUMMYFUNCTION("""COMPUTED_VALUE"""),"BAKES")</f>
        <v>BAKES</v>
      </c>
      <c r="I1382" s="46" t="str">
        <f ca="1">IFERROR(__xludf.DUMMYFUNCTION("""COMPUTED_VALUE"""),"STORE")</f>
        <v>STORE</v>
      </c>
      <c r="J1382" s="46" t="str">
        <f ca="1">IFERROR(__xludf.DUMMYFUNCTION("""COMPUTED_VALUE"""),"BAKES HCR")</f>
        <v>BAKES HCR</v>
      </c>
      <c r="K1382" s="46" t="str">
        <f ca="1">IFERROR(__xludf.DUMMYFUNCTION("""COMPUTED_VALUE"""),"WAITSTAFF")</f>
        <v>WAITSTAFF</v>
      </c>
      <c r="L1382" s="46" t="str">
        <f ca="1">IFERROR(__xludf.DUMMYFUNCTION("""COMPUTED_VALUE"""),"PTE")</f>
        <v>PTE</v>
      </c>
      <c r="M1382" s="46" t="str">
        <f ca="1">IFERROR(__xludf.DUMMYFUNCTION("""COMPUTED_VALUE"""),"On")</f>
        <v>On</v>
      </c>
      <c r="N1382" s="46" t="str">
        <f ca="1">IFERROR(__xludf.DUMMYFUNCTION("""COMPUTED_VALUE"""),"Đủ")</f>
        <v>Đủ</v>
      </c>
    </row>
    <row r="1383" spans="1:14">
      <c r="A1383" s="45">
        <f ca="1">IFERROR(__xludf.DUMMYFUNCTION("""COMPUTED_VALUE"""),46104.5833333333)</f>
        <v>46104.583333333299</v>
      </c>
      <c r="B1383" s="45"/>
      <c r="C1383" s="46">
        <f ca="1">IFERROR(__xludf.DUMMYFUNCTION("""COMPUTED_VALUE"""),1384)</f>
        <v>1384</v>
      </c>
      <c r="D1383" s="47" t="str">
        <f ca="1">IFERROR(__xludf.DUMMYFUNCTION("""COMPUTED_VALUE"""),"C1272")</f>
        <v>C1272</v>
      </c>
      <c r="E1383" s="46" t="str">
        <f ca="1">IFERROR(__xludf.DUMMYFUNCTION("""COMPUTED_VALUE"""),"LÊ TRẦN KIM TRANG")</f>
        <v>LÊ TRẦN KIM TRANG</v>
      </c>
      <c r="F1383" s="46" t="str">
        <f ca="1">IFERROR(__xludf.DUMMYFUNCTION("""COMPUTED_VALUE"""),"LE TRAN KIM TRANG")</f>
        <v>LE TRAN KIM TRANG</v>
      </c>
      <c r="G1383" s="45">
        <f ca="1">IFERROR(__xludf.DUMMYFUNCTION("""COMPUTED_VALUE"""),38159.5833333333)</f>
        <v>38159.583333333299</v>
      </c>
      <c r="H1383" s="45" t="str">
        <f ca="1">IFERROR(__xludf.DUMMYFUNCTION("""COMPUTED_VALUE"""),"TLC")</f>
        <v>TLC</v>
      </c>
      <c r="I1383" s="46" t="str">
        <f ca="1">IFERROR(__xludf.DUMMYFUNCTION("""COMPUTED_VALUE"""),"STORE")</f>
        <v>STORE</v>
      </c>
      <c r="J1383" s="46" t="str">
        <f ca="1">IFERROR(__xludf.DUMMYFUNCTION("""COMPUTED_VALUE"""),"BLANK LOUNGE")</f>
        <v>BLANK LOUNGE</v>
      </c>
      <c r="K1383" s="46" t="str">
        <f ca="1">IFERROR(__xludf.DUMMYFUNCTION("""COMPUTED_VALUE"""),"WAITSTAFF")</f>
        <v>WAITSTAFF</v>
      </c>
      <c r="L1383" s="46" t="str">
        <f ca="1">IFERROR(__xludf.DUMMYFUNCTION("""COMPUTED_VALUE"""),"PTE")</f>
        <v>PTE</v>
      </c>
      <c r="M1383" s="46" t="str">
        <f ca="1">IFERROR(__xludf.DUMMYFUNCTION("""COMPUTED_VALUE"""),"On")</f>
        <v>On</v>
      </c>
      <c r="N1383" s="46" t="str">
        <f ca="1">IFERROR(__xludf.DUMMYFUNCTION("""COMPUTED_VALUE"""),"Đủ")</f>
        <v>Đủ</v>
      </c>
    </row>
    <row r="1384" spans="1:14">
      <c r="A1384" s="45">
        <f ca="1">IFERROR(__xludf.DUMMYFUNCTION("""COMPUTED_VALUE"""),46097.5833333333)</f>
        <v>46097.583333333299</v>
      </c>
      <c r="B1384" s="45">
        <f ca="1">IFERROR(__xludf.DUMMYFUNCTION("""COMPUTED_VALUE"""),46100.5833333333)</f>
        <v>46100.583333333299</v>
      </c>
      <c r="C1384" s="46">
        <f ca="1">IFERROR(__xludf.DUMMYFUNCTION("""COMPUTED_VALUE"""),1385)</f>
        <v>1385</v>
      </c>
      <c r="D1384" s="47" t="str">
        <f ca="1">IFERROR(__xludf.DUMMYFUNCTION("""COMPUTED_VALUE"""),"C1268")</f>
        <v>C1268</v>
      </c>
      <c r="E1384" s="46" t="str">
        <f ca="1">IFERROR(__xludf.DUMMYFUNCTION("""COMPUTED_VALUE"""),"NGUYỄN THIÊN DUY KHANG")</f>
        <v>NGUYỄN THIÊN DUY KHANG</v>
      </c>
      <c r="F1384" s="46" t="str">
        <f ca="1">IFERROR(__xludf.DUMMYFUNCTION("""COMPUTED_VALUE"""),"NGUYEN THIEN DUY KHANG")</f>
        <v>NGUYEN THIEN DUY KHANG</v>
      </c>
      <c r="G1384" s="45">
        <f ca="1">IFERROR(__xludf.DUMMYFUNCTION("""COMPUTED_VALUE"""),37857.5833333333)</f>
        <v>37857.583333333299</v>
      </c>
      <c r="H1384" s="45" t="str">
        <f ca="1">IFERROR(__xludf.DUMMYFUNCTION("""COMPUTED_VALUE"""),"MATTE")</f>
        <v>MATTE</v>
      </c>
      <c r="I1384" s="46" t="str">
        <f ca="1">IFERROR(__xludf.DUMMYFUNCTION("""COMPUTED_VALUE"""),"STORE")</f>
        <v>STORE</v>
      </c>
      <c r="J1384" s="46" t="str">
        <f ca="1">IFERROR(__xludf.DUMMYFUNCTION("""COMPUTED_VALUE"""),"MATTE D1")</f>
        <v>MATTE D1</v>
      </c>
      <c r="K1384" s="46" t="str">
        <f ca="1">IFERROR(__xludf.DUMMYFUNCTION("""COMPUTED_VALUE"""),"BAR")</f>
        <v>BAR</v>
      </c>
      <c r="L1384" s="46" t="str">
        <f ca="1">IFERROR(__xludf.DUMMYFUNCTION("""COMPUTED_VALUE"""),"PTEP")</f>
        <v>PTEP</v>
      </c>
      <c r="M1384" s="46" t="str">
        <f ca="1">IFERROR(__xludf.DUMMYFUNCTION("""COMPUTED_VALUE"""),"Leave")</f>
        <v>Leave</v>
      </c>
      <c r="N1384" s="46" t="str">
        <f ca="1">IFERROR(__xludf.DUMMYFUNCTION("""COMPUTED_VALUE"""),"Đủ")</f>
        <v>Đủ</v>
      </c>
    </row>
    <row r="1385" spans="1:14">
      <c r="A1385" s="45">
        <f ca="1">IFERROR(__xludf.DUMMYFUNCTION("""COMPUTED_VALUE"""),46098.5833333333)</f>
        <v>46098.583333333299</v>
      </c>
      <c r="B1385" s="45">
        <f ca="1">IFERROR(__xludf.DUMMYFUNCTION("""COMPUTED_VALUE"""),46204.5833333333)</f>
        <v>46204.583333333299</v>
      </c>
      <c r="C1385" s="46">
        <f ca="1">IFERROR(__xludf.DUMMYFUNCTION("""COMPUTED_VALUE"""),1386)</f>
        <v>1386</v>
      </c>
      <c r="D1385" s="47" t="str">
        <f ca="1">IFERROR(__xludf.DUMMYFUNCTION("""COMPUTED_VALUE"""),"C1269")</f>
        <v>C1269</v>
      </c>
      <c r="E1385" s="46" t="str">
        <f ca="1">IFERROR(__xludf.DUMMYFUNCTION("""COMPUTED_VALUE"""),"NGÔ BẢO TRINH")</f>
        <v>NGÔ BẢO TRINH</v>
      </c>
      <c r="F1385" s="46" t="str">
        <f ca="1">IFERROR(__xludf.DUMMYFUNCTION("""COMPUTED_VALUE"""),"NGO BAO TRINH")</f>
        <v>NGO BAO TRINH</v>
      </c>
      <c r="G1385" s="45"/>
      <c r="H1385" s="45" t="str">
        <f ca="1">IFERROR(__xludf.DUMMYFUNCTION("""COMPUTED_VALUE"""),"BAKES")</f>
        <v>BAKES</v>
      </c>
      <c r="I1385" s="46" t="str">
        <f ca="1">IFERROR(__xludf.DUMMYFUNCTION("""COMPUTED_VALUE"""),"STORE")</f>
        <v>STORE</v>
      </c>
      <c r="J1385" s="46" t="str">
        <f ca="1">IFERROR(__xludf.DUMMYFUNCTION("""COMPUTED_VALUE"""),"BAKES HCR")</f>
        <v>BAKES HCR</v>
      </c>
      <c r="K1385" s="46" t="str">
        <f ca="1">IFERROR(__xludf.DUMMYFUNCTION("""COMPUTED_VALUE"""),"WAITSTAFF")</f>
        <v>WAITSTAFF</v>
      </c>
      <c r="L1385" s="46" t="str">
        <f ca="1">IFERROR(__xludf.DUMMYFUNCTION("""COMPUTED_VALUE"""),"PTE")</f>
        <v>PTE</v>
      </c>
      <c r="M1385" s="46" t="str">
        <f ca="1">IFERROR(__xludf.DUMMYFUNCTION("""COMPUTED_VALUE"""),"Leave")</f>
        <v>Leave</v>
      </c>
      <c r="N1385" s="46" t="str">
        <f ca="1">IFERROR(__xludf.DUMMYFUNCTION("""COMPUTED_VALUE"""),"Đủ")</f>
        <v>Đủ</v>
      </c>
    </row>
    <row r="1386" spans="1:14">
      <c r="A1386" s="45">
        <f ca="1">IFERROR(__xludf.DUMMYFUNCTION("""COMPUTED_VALUE"""),46097.5833333333)</f>
        <v>46097.583333333299</v>
      </c>
      <c r="B1386" s="45"/>
      <c r="C1386" s="46">
        <f ca="1">IFERROR(__xludf.DUMMYFUNCTION("""COMPUTED_VALUE"""),1387)</f>
        <v>1387</v>
      </c>
      <c r="D1386" s="47" t="str">
        <f ca="1">IFERROR(__xludf.DUMMYFUNCTION("""COMPUTED_VALUE"""),"C1265")</f>
        <v>C1265</v>
      </c>
      <c r="E1386" s="46" t="str">
        <f ca="1">IFERROR(__xludf.DUMMYFUNCTION("""COMPUTED_VALUE"""),"PHẠM NGUYỄN MỸ TÚ ")</f>
        <v xml:space="preserve">PHẠM NGUYỄN MỸ TÚ </v>
      </c>
      <c r="F1386" s="46" t="str">
        <f ca="1">IFERROR(__xludf.DUMMYFUNCTION("""COMPUTED_VALUE"""),"PHAM NGUYEN MY TU ")</f>
        <v xml:space="preserve">PHAM NGUYEN MY TU </v>
      </c>
      <c r="G1386" s="45">
        <f ca="1">IFERROR(__xludf.DUMMYFUNCTION("""COMPUTED_VALUE"""),38942.5833333333)</f>
        <v>38942.583333333299</v>
      </c>
      <c r="H1386" s="45" t="str">
        <f ca="1">IFERROR(__xludf.DUMMYFUNCTION("""COMPUTED_VALUE"""),"MATTE")</f>
        <v>MATTE</v>
      </c>
      <c r="I1386" s="46" t="str">
        <f ca="1">IFERROR(__xludf.DUMMYFUNCTION("""COMPUTED_VALUE"""),"STORE")</f>
        <v>STORE</v>
      </c>
      <c r="J1386" s="46" t="str">
        <f ca="1">IFERROR(__xludf.DUMMYFUNCTION("""COMPUTED_VALUE"""),"MATTE D7")</f>
        <v>MATTE D7</v>
      </c>
      <c r="K1386" s="46" t="str">
        <f ca="1">IFERROR(__xludf.DUMMYFUNCTION("""COMPUTED_VALUE"""),"BAR")</f>
        <v>BAR</v>
      </c>
      <c r="L1386" s="46" t="str">
        <f ca="1">IFERROR(__xludf.DUMMYFUNCTION("""COMPUTED_VALUE"""),"PTE")</f>
        <v>PTE</v>
      </c>
      <c r="M1386" s="46" t="str">
        <f ca="1">IFERROR(__xludf.DUMMYFUNCTION("""COMPUTED_VALUE"""),"On")</f>
        <v>On</v>
      </c>
      <c r="N1386" s="46" t="str">
        <f ca="1">IFERROR(__xludf.DUMMYFUNCTION("""COMPUTED_VALUE"""),"Đủ")</f>
        <v>Đủ</v>
      </c>
    </row>
    <row r="1387" spans="1:14">
      <c r="A1387" s="45">
        <f ca="1">IFERROR(__xludf.DUMMYFUNCTION("""COMPUTED_VALUE"""),46104.5833333333)</f>
        <v>46104.583333333299</v>
      </c>
      <c r="B1387" s="45">
        <f ca="1">IFERROR(__xludf.DUMMYFUNCTION("""COMPUTED_VALUE"""),46107.5833333333)</f>
        <v>46107.583333333299</v>
      </c>
      <c r="C1387" s="46">
        <f ca="1">IFERROR(__xludf.DUMMYFUNCTION("""COMPUTED_VALUE"""),1388)</f>
        <v>1388</v>
      </c>
      <c r="D1387" s="47" t="str">
        <f ca="1">IFERROR(__xludf.DUMMYFUNCTION("""COMPUTED_VALUE"""),"C1274")</f>
        <v>C1274</v>
      </c>
      <c r="E1387" s="46" t="str">
        <f ca="1">IFERROR(__xludf.DUMMYFUNCTION("""COMPUTED_VALUE"""),"PHẠM LÊ ANH TÍNH")</f>
        <v>PHẠM LÊ ANH TÍNH</v>
      </c>
      <c r="F1387" s="46" t="str">
        <f ca="1">IFERROR(__xludf.DUMMYFUNCTION("""COMPUTED_VALUE"""),"PHAM LE ANH TINH")</f>
        <v>PHAM LE ANH TINH</v>
      </c>
      <c r="G1387" s="45">
        <f ca="1">IFERROR(__xludf.DUMMYFUNCTION("""COMPUTED_VALUE"""),37828.5833333333)</f>
        <v>37828.583333333299</v>
      </c>
      <c r="H1387" s="45" t="str">
        <f ca="1">IFERROR(__xludf.DUMMYFUNCTION("""COMPUTED_VALUE"""),"BAKES")</f>
        <v>BAKES</v>
      </c>
      <c r="I1387" s="46" t="str">
        <f ca="1">IFERROR(__xludf.DUMMYFUNCTION("""COMPUTED_VALUE"""),"STORE")</f>
        <v>STORE</v>
      </c>
      <c r="J1387" s="46" t="str">
        <f ca="1">IFERROR(__xludf.DUMMYFUNCTION("""COMPUTED_VALUE"""),"BAKES HAM NGHI")</f>
        <v>BAKES HAM NGHI</v>
      </c>
      <c r="K1387" s="46" t="str">
        <f ca="1">IFERROR(__xludf.DUMMYFUNCTION("""COMPUTED_VALUE"""),"SAL")</f>
        <v>SAL</v>
      </c>
      <c r="L1387" s="46" t="str">
        <f ca="1">IFERROR(__xludf.DUMMYFUNCTION("""COMPUTED_VALUE"""),"PTEP")</f>
        <v>PTEP</v>
      </c>
      <c r="M1387" s="46" t="str">
        <f ca="1">IFERROR(__xludf.DUMMYFUNCTION("""COMPUTED_VALUE"""),"Leave")</f>
        <v>Leave</v>
      </c>
      <c r="N1387" s="46" t="str">
        <f ca="1">IFERROR(__xludf.DUMMYFUNCTION("""COMPUTED_VALUE"""),"chua nop")</f>
        <v>chua nop</v>
      </c>
    </row>
    <row r="1388" spans="1:14">
      <c r="A1388" s="45">
        <f ca="1">IFERROR(__xludf.DUMMYFUNCTION("""COMPUTED_VALUE"""),46100.5833333333)</f>
        <v>46100.583333333299</v>
      </c>
      <c r="B1388" s="45">
        <f ca="1">IFERROR(__xludf.DUMMYFUNCTION("""COMPUTED_VALUE"""),46102.5833333333)</f>
        <v>46102.583333333299</v>
      </c>
      <c r="C1388" s="46">
        <f ca="1">IFERROR(__xludf.DUMMYFUNCTION("""COMPUTED_VALUE"""),1389)</f>
        <v>1389</v>
      </c>
      <c r="D1388" s="47" t="str">
        <f ca="1">IFERROR(__xludf.DUMMYFUNCTION("""COMPUTED_VALUE"""),"C1275")</f>
        <v>C1275</v>
      </c>
      <c r="E1388" s="46" t="str">
        <f ca="1">IFERROR(__xludf.DUMMYFUNCTION("""COMPUTED_VALUE"""),"HỒ NGỌC BẢO NGÂN")</f>
        <v>HỒ NGỌC BẢO NGÂN</v>
      </c>
      <c r="F1388" s="46" t="str">
        <f ca="1">IFERROR(__xludf.DUMMYFUNCTION("""COMPUTED_VALUE"""),"HO NGOC BAO NGAN")</f>
        <v>HO NGOC BAO NGAN</v>
      </c>
      <c r="G1388" s="45">
        <f ca="1">IFERROR(__xludf.DUMMYFUNCTION("""COMPUTED_VALUE"""),37940.625)</f>
        <v>37940.625</v>
      </c>
      <c r="H1388" s="45" t="str">
        <f ca="1">IFERROR(__xludf.DUMMYFUNCTION("""COMPUTED_VALUE"""),"KITCHEN PASTRY")</f>
        <v>KITCHEN PASTRY</v>
      </c>
      <c r="I1388" s="46" t="str">
        <f ca="1">IFERROR(__xludf.DUMMYFUNCTION("""COMPUTED_VALUE"""),"KITCHEN PASTRY")</f>
        <v>KITCHEN PASTRY</v>
      </c>
      <c r="J1388" s="46" t="str">
        <f ca="1">IFERROR(__xludf.DUMMYFUNCTION("""COMPUTED_VALUE"""),"KITCHEN PASTRY")</f>
        <v>KITCHEN PASTRY</v>
      </c>
      <c r="K1388" s="46" t="str">
        <f ca="1">IFERROR(__xludf.DUMMYFUNCTION("""COMPUTED_VALUE"""),"PASTRY")</f>
        <v>PASTRY</v>
      </c>
      <c r="L1388" s="46" t="str">
        <f ca="1">IFERROR(__xludf.DUMMYFUNCTION("""COMPUTED_VALUE"""),"PRO")</f>
        <v>PRO</v>
      </c>
      <c r="M1388" s="46" t="str">
        <f ca="1">IFERROR(__xludf.DUMMYFUNCTION("""COMPUTED_VALUE"""),"Leave")</f>
        <v>Leave</v>
      </c>
      <c r="N1388" s="46" t="str">
        <f ca="1">IFERROR(__xludf.DUMMYFUNCTION("""COMPUTED_VALUE"""),"chua nop")</f>
        <v>chua nop</v>
      </c>
    </row>
    <row r="1389" spans="1:14">
      <c r="A1389" s="45">
        <f ca="1">IFERROR(__xludf.DUMMYFUNCTION("""COMPUTED_VALUE"""),46098.5833333333)</f>
        <v>46098.583333333299</v>
      </c>
      <c r="B1389" s="45">
        <f ca="1">IFERROR(__xludf.DUMMYFUNCTION("""COMPUTED_VALUE"""),46148.5833333333)</f>
        <v>46148.583333333299</v>
      </c>
      <c r="C1389" s="46">
        <f ca="1">IFERROR(__xludf.DUMMYFUNCTION("""COMPUTED_VALUE"""),1390)</f>
        <v>1390</v>
      </c>
      <c r="D1389" s="47" t="str">
        <f ca="1">IFERROR(__xludf.DUMMYFUNCTION("""COMPUTED_VALUE"""),"C1273")</f>
        <v>C1273</v>
      </c>
      <c r="E1389" s="46" t="str">
        <f ca="1">IFERROR(__xludf.DUMMYFUNCTION("""COMPUTED_VALUE"""),"NGUYỄN DUY TIÊN")</f>
        <v>NGUYỄN DUY TIÊN</v>
      </c>
      <c r="F1389" s="46" t="str">
        <f ca="1">IFERROR(__xludf.DUMMYFUNCTION("""COMPUTED_VALUE"""),"NGUYEN DUY TIEN")</f>
        <v>NGUYEN DUY TIEN</v>
      </c>
      <c r="G1389" s="45">
        <f ca="1">IFERROR(__xludf.DUMMYFUNCTION("""COMPUTED_VALUE"""),35742.625)</f>
        <v>35742.625</v>
      </c>
      <c r="H1389" s="45" t="str">
        <f ca="1">IFERROR(__xludf.DUMMYFUNCTION("""COMPUTED_VALUE"""),"YESHI")</f>
        <v>YESHI</v>
      </c>
      <c r="I1389" s="46" t="str">
        <f ca="1">IFERROR(__xludf.DUMMYFUNCTION("""COMPUTED_VALUE"""),"STORE")</f>
        <v>STORE</v>
      </c>
      <c r="J1389" s="46" t="str">
        <f ca="1">IFERROR(__xludf.DUMMYFUNCTION("""COMPUTED_VALUE"""),"YESHI D2")</f>
        <v>YESHI D2</v>
      </c>
      <c r="K1389" s="46" t="str">
        <f ca="1">IFERROR(__xludf.DUMMYFUNCTION("""COMPUTED_VALUE"""),"KIT")</f>
        <v>KIT</v>
      </c>
      <c r="L1389" s="46" t="str">
        <f ca="1">IFERROR(__xludf.DUMMYFUNCTION("""COMPUTED_VALUE"""),"PTEP")</f>
        <v>PTEP</v>
      </c>
      <c r="M1389" s="46" t="str">
        <f ca="1">IFERROR(__xludf.DUMMYFUNCTION("""COMPUTED_VALUE"""),"Leave")</f>
        <v>Leave</v>
      </c>
      <c r="N1389" s="46" t="str">
        <f ca="1">IFERROR(__xludf.DUMMYFUNCTION("""COMPUTED_VALUE"""),"Đủ")</f>
        <v>Đủ</v>
      </c>
    </row>
    <row r="1390" spans="1:14">
      <c r="A1390" s="45">
        <f ca="1">IFERROR(__xludf.DUMMYFUNCTION("""COMPUTED_VALUE"""),46102.5833333333)</f>
        <v>46102.583333333299</v>
      </c>
      <c r="B1390" s="45">
        <f ca="1">IFERROR(__xludf.DUMMYFUNCTION("""COMPUTED_VALUE"""),46166.5833333333)</f>
        <v>46166.583333333299</v>
      </c>
      <c r="C1390" s="46">
        <f ca="1">IFERROR(__xludf.DUMMYFUNCTION("""COMPUTED_VALUE"""),1391)</f>
        <v>1391</v>
      </c>
      <c r="D1390" s="47" t="str">
        <f ca="1">IFERROR(__xludf.DUMMYFUNCTION("""COMPUTED_VALUE"""),"C1284")</f>
        <v>C1284</v>
      </c>
      <c r="E1390" s="46" t="str">
        <f ca="1">IFERROR(__xludf.DUMMYFUNCTION("""COMPUTED_VALUE"""),"ĐẶNG THANH NHI")</f>
        <v>ĐẶNG THANH NHI</v>
      </c>
      <c r="F1390" s="46" t="str">
        <f ca="1">IFERROR(__xludf.DUMMYFUNCTION("""COMPUTED_VALUE"""),"DANG THANH NHI")</f>
        <v>DANG THANH NHI</v>
      </c>
      <c r="G1390" s="45">
        <f ca="1">IFERROR(__xludf.DUMMYFUNCTION("""COMPUTED_VALUE"""),38110.5833333333)</f>
        <v>38110.583333333299</v>
      </c>
      <c r="H1390" s="45" t="str">
        <f ca="1">IFERROR(__xludf.DUMMYFUNCTION("""COMPUTED_VALUE"""),"KITCHEN PASTRY")</f>
        <v>KITCHEN PASTRY</v>
      </c>
      <c r="I1390" s="46" t="str">
        <f ca="1">IFERROR(__xludf.DUMMYFUNCTION("""COMPUTED_VALUE"""),"KITCHEN PASTRY")</f>
        <v>KITCHEN PASTRY</v>
      </c>
      <c r="J1390" s="46" t="str">
        <f ca="1">IFERROR(__xludf.DUMMYFUNCTION("""COMPUTED_VALUE"""),"KITCHEN PASTRY")</f>
        <v>KITCHEN PASTRY</v>
      </c>
      <c r="K1390" s="46" t="str">
        <f ca="1">IFERROR(__xludf.DUMMYFUNCTION("""COMPUTED_VALUE"""),"ADMIN")</f>
        <v>ADMIN</v>
      </c>
      <c r="L1390" s="46" t="str">
        <f ca="1">IFERROR(__xludf.DUMMYFUNCTION("""COMPUTED_VALUE"""),"PRO")</f>
        <v>PRO</v>
      </c>
      <c r="M1390" s="46" t="str">
        <f ca="1">IFERROR(__xludf.DUMMYFUNCTION("""COMPUTED_VALUE"""),"Leave")</f>
        <v>Leave</v>
      </c>
      <c r="N1390" s="46" t="str">
        <f ca="1">IFERROR(__xludf.DUMMYFUNCTION("""COMPUTED_VALUE"""),"Đủ")</f>
        <v>Đủ</v>
      </c>
    </row>
    <row r="1391" spans="1:14">
      <c r="A1391" s="45">
        <f ca="1">IFERROR(__xludf.DUMMYFUNCTION("""COMPUTED_VALUE"""),46100.5833333333)</f>
        <v>46100.583333333299</v>
      </c>
      <c r="B1391" s="45"/>
      <c r="C1391" s="46">
        <f ca="1">IFERROR(__xludf.DUMMYFUNCTION("""COMPUTED_VALUE"""),1392)</f>
        <v>1392</v>
      </c>
      <c r="D1391" s="47" t="str">
        <f ca="1">IFERROR(__xludf.DUMMYFUNCTION("""COMPUTED_VALUE"""),"C1279")</f>
        <v>C1279</v>
      </c>
      <c r="E1391" s="46" t="str">
        <f ca="1">IFERROR(__xludf.DUMMYFUNCTION("""COMPUTED_VALUE"""),"HOÀNG HÀ LINH")</f>
        <v>HOÀNG HÀ LINH</v>
      </c>
      <c r="F1391" s="46" t="str">
        <f ca="1">IFERROR(__xludf.DUMMYFUNCTION("""COMPUTED_VALUE"""),"HOANG HA LINH")</f>
        <v>HOANG HA LINH</v>
      </c>
      <c r="G1391" s="45">
        <f ca="1">IFERROR(__xludf.DUMMYFUNCTION("""COMPUTED_VALUE"""),37849.5833333333)</f>
        <v>37849.583333333299</v>
      </c>
      <c r="H1391" s="45" t="str">
        <f ca="1">IFERROR(__xludf.DUMMYFUNCTION("""COMPUTED_VALUE"""),"KITCHEN PASTRY")</f>
        <v>KITCHEN PASTRY</v>
      </c>
      <c r="I1391" s="46" t="str">
        <f ca="1">IFERROR(__xludf.DUMMYFUNCTION("""COMPUTED_VALUE"""),"KITCHEN PASTRY")</f>
        <v>KITCHEN PASTRY</v>
      </c>
      <c r="J1391" s="46" t="str">
        <f ca="1">IFERROR(__xludf.DUMMYFUNCTION("""COMPUTED_VALUE"""),"KITCHEN PASTRY")</f>
        <v>KITCHEN PASTRY</v>
      </c>
      <c r="K1391" s="46" t="str">
        <f ca="1">IFERROR(__xludf.DUMMYFUNCTION("""COMPUTED_VALUE"""),"PASTRY")</f>
        <v>PASTRY</v>
      </c>
      <c r="L1391" s="46" t="str">
        <f ca="1">IFERROR(__xludf.DUMMYFUNCTION("""COMPUTED_VALUE"""),"FTE")</f>
        <v>FTE</v>
      </c>
      <c r="M1391" s="46" t="str">
        <f ca="1">IFERROR(__xludf.DUMMYFUNCTION("""COMPUTED_VALUE"""),"On")</f>
        <v>On</v>
      </c>
      <c r="N1391" s="46" t="str">
        <f ca="1">IFERROR(__xludf.DUMMYFUNCTION("""COMPUTED_VALUE"""),"Đủ")</f>
        <v>Đủ</v>
      </c>
    </row>
    <row r="1392" spans="1:14">
      <c r="A1392" s="45">
        <f ca="1">IFERROR(__xludf.DUMMYFUNCTION("""COMPUTED_VALUE"""),46099.5833333333)</f>
        <v>46099.583333333299</v>
      </c>
      <c r="B1392" s="45">
        <f ca="1">IFERROR(__xludf.DUMMYFUNCTION("""COMPUTED_VALUE"""),46102.5833333333)</f>
        <v>46102.583333333299</v>
      </c>
      <c r="C1392" s="46">
        <f ca="1">IFERROR(__xludf.DUMMYFUNCTION("""COMPUTED_VALUE"""),1393)</f>
        <v>1393</v>
      </c>
      <c r="D1392" s="47" t="str">
        <f ca="1">IFERROR(__xludf.DUMMYFUNCTION("""COMPUTED_VALUE"""),"C1281")</f>
        <v>C1281</v>
      </c>
      <c r="E1392" s="46" t="str">
        <f ca="1">IFERROR(__xludf.DUMMYFUNCTION("""COMPUTED_VALUE"""),"NGUYỄN ĐÌNH HUY")</f>
        <v>NGUYỄN ĐÌNH HUY</v>
      </c>
      <c r="F1392" s="46" t="str">
        <f ca="1">IFERROR(__xludf.DUMMYFUNCTION("""COMPUTED_VALUE"""),"NGUYEN DINH HUY")</f>
        <v>NGUYEN DINH HUY</v>
      </c>
      <c r="G1392" s="45">
        <f ca="1">IFERROR(__xludf.DUMMYFUNCTION("""COMPUTED_VALUE"""),37831.5833333333)</f>
        <v>37831.583333333299</v>
      </c>
      <c r="H1392" s="45" t="str">
        <f ca="1">IFERROR(__xludf.DUMMYFUNCTION("""COMPUTED_VALUE"""),"BAKES")</f>
        <v>BAKES</v>
      </c>
      <c r="I1392" s="46" t="str">
        <f ca="1">IFERROR(__xludf.DUMMYFUNCTION("""COMPUTED_VALUE"""),"STORE")</f>
        <v>STORE</v>
      </c>
      <c r="J1392" s="46" t="str">
        <f ca="1">IFERROR(__xludf.DUMMYFUNCTION("""COMPUTED_VALUE"""),"BAKES D2")</f>
        <v>BAKES D2</v>
      </c>
      <c r="K1392" s="46" t="str">
        <f ca="1">IFERROR(__xludf.DUMMYFUNCTION("""COMPUTED_VALUE"""),"BAR")</f>
        <v>BAR</v>
      </c>
      <c r="L1392" s="46" t="str">
        <f ca="1">IFERROR(__xludf.DUMMYFUNCTION("""COMPUTED_VALUE"""),"PRO")</f>
        <v>PRO</v>
      </c>
      <c r="M1392" s="46" t="str">
        <f ca="1">IFERROR(__xludf.DUMMYFUNCTION("""COMPUTED_VALUE"""),"Leave")</f>
        <v>Leave</v>
      </c>
      <c r="N1392" s="46" t="str">
        <f ca="1">IFERROR(__xludf.DUMMYFUNCTION("""COMPUTED_VALUE"""),"Đủ")</f>
        <v>Đủ</v>
      </c>
    </row>
    <row r="1393" spans="1:14">
      <c r="A1393" s="45">
        <f ca="1">IFERROR(__xludf.DUMMYFUNCTION("""COMPUTED_VALUE"""),46107.5833333333)</f>
        <v>46107.583333333299</v>
      </c>
      <c r="B1393" s="45"/>
      <c r="C1393" s="46">
        <f ca="1">IFERROR(__xludf.DUMMYFUNCTION("""COMPUTED_VALUE"""),1394)</f>
        <v>1394</v>
      </c>
      <c r="D1393" s="47" t="str">
        <f ca="1">IFERROR(__xludf.DUMMYFUNCTION("""COMPUTED_VALUE"""),"C1286")</f>
        <v>C1286</v>
      </c>
      <c r="E1393" s="46" t="str">
        <f ca="1">IFERROR(__xludf.DUMMYFUNCTION("""COMPUTED_VALUE"""),"ĐỖ VĂN TUẤN ANH")</f>
        <v>ĐỖ VĂN TUẤN ANH</v>
      </c>
      <c r="F1393" s="46" t="str">
        <f ca="1">IFERROR(__xludf.DUMMYFUNCTION("""COMPUTED_VALUE"""),"DO VAN TUAN ANH")</f>
        <v>DO VAN TUAN ANH</v>
      </c>
      <c r="G1393" s="45">
        <f ca="1">IFERROR(__xludf.DUMMYFUNCTION("""COMPUTED_VALUE"""),37423.5833333333)</f>
        <v>37423.583333333299</v>
      </c>
      <c r="H1393" s="45" t="str">
        <f ca="1">IFERROR(__xludf.DUMMYFUNCTION("""COMPUTED_VALUE"""),"KITCHEN PASTRY")</f>
        <v>KITCHEN PASTRY</v>
      </c>
      <c r="I1393" s="46" t="str">
        <f ca="1">IFERROR(__xludf.DUMMYFUNCTION("""COMPUTED_VALUE"""),"KITCHEN PASTRY")</f>
        <v>KITCHEN PASTRY</v>
      </c>
      <c r="J1393" s="46" t="str">
        <f ca="1">IFERROR(__xludf.DUMMYFUNCTION("""COMPUTED_VALUE"""),"KITCHEN PASTRY")</f>
        <v>KITCHEN PASTRY</v>
      </c>
      <c r="K1393" s="46" t="str">
        <f ca="1">IFERROR(__xludf.DUMMYFUNCTION("""COMPUTED_VALUE"""),"PASTRY")</f>
        <v>PASTRY</v>
      </c>
      <c r="L1393" s="46" t="str">
        <f ca="1">IFERROR(__xludf.DUMMYFUNCTION("""COMPUTED_VALUE"""),"FTE")</f>
        <v>FTE</v>
      </c>
      <c r="M1393" s="46" t="str">
        <f ca="1">IFERROR(__xludf.DUMMYFUNCTION("""COMPUTED_VALUE"""),"On")</f>
        <v>On</v>
      </c>
      <c r="N1393" s="46" t="str">
        <f ca="1">IFERROR(__xludf.DUMMYFUNCTION("""COMPUTED_VALUE"""),"Đủ")</f>
        <v>Đủ</v>
      </c>
    </row>
    <row r="1394" spans="1:14">
      <c r="A1394" s="45">
        <f ca="1">IFERROR(__xludf.DUMMYFUNCTION("""COMPUTED_VALUE"""),46104.5833333333)</f>
        <v>46104.583333333299</v>
      </c>
      <c r="B1394" s="45">
        <f ca="1">IFERROR(__xludf.DUMMYFUNCTION("""COMPUTED_VALUE"""),46119.5833333333)</f>
        <v>46119.583333333299</v>
      </c>
      <c r="C1394" s="46">
        <f ca="1">IFERROR(__xludf.DUMMYFUNCTION("""COMPUTED_VALUE"""),1395)</f>
        <v>1395</v>
      </c>
      <c r="D1394" s="47" t="str">
        <f ca="1">IFERROR(__xludf.DUMMYFUNCTION("""COMPUTED_VALUE"""),"C1280")</f>
        <v>C1280</v>
      </c>
      <c r="E1394" s="46" t="str">
        <f ca="1">IFERROR(__xludf.DUMMYFUNCTION("""COMPUTED_VALUE"""),"PHẠM NGUYỄN MINH THƯ")</f>
        <v>PHẠM NGUYỄN MINH THƯ</v>
      </c>
      <c r="F1394" s="46" t="str">
        <f ca="1">IFERROR(__xludf.DUMMYFUNCTION("""COMPUTED_VALUE"""),"PHAM NGUYEN MINH THU")</f>
        <v>PHAM NGUYEN MINH THU</v>
      </c>
      <c r="G1394" s="45"/>
      <c r="H1394" s="45" t="str">
        <f ca="1">IFERROR(__xludf.DUMMYFUNCTION("""COMPUTED_VALUE"""),"BAKES")</f>
        <v>BAKES</v>
      </c>
      <c r="I1394" s="46" t="str">
        <f ca="1">IFERROR(__xludf.DUMMYFUNCTION("""COMPUTED_VALUE"""),"STORE")</f>
        <v>STORE</v>
      </c>
      <c r="J1394" s="46" t="str">
        <f ca="1">IFERROR(__xludf.DUMMYFUNCTION("""COMPUTED_VALUE"""),"BAKES HAM NGHI")</f>
        <v>BAKES HAM NGHI</v>
      </c>
      <c r="K1394" s="46" t="str">
        <f ca="1">IFERROR(__xludf.DUMMYFUNCTION("""COMPUTED_VALUE"""),"SAL")</f>
        <v>SAL</v>
      </c>
      <c r="L1394" s="46" t="str">
        <f ca="1">IFERROR(__xludf.DUMMYFUNCTION("""COMPUTED_VALUE"""),"PTEP")</f>
        <v>PTEP</v>
      </c>
      <c r="M1394" s="46" t="str">
        <f ca="1">IFERROR(__xludf.DUMMYFUNCTION("""COMPUTED_VALUE"""),"Leave")</f>
        <v>Leave</v>
      </c>
      <c r="N1394" s="46" t="str">
        <f ca="1">IFERROR(__xludf.DUMMYFUNCTION("""COMPUTED_VALUE"""),"Đủ")</f>
        <v>Đủ</v>
      </c>
    </row>
    <row r="1395" spans="1:14">
      <c r="A1395" s="45">
        <f ca="1">IFERROR(__xludf.DUMMYFUNCTION("""COMPUTED_VALUE"""),46106.5833333333)</f>
        <v>46106.583333333299</v>
      </c>
      <c r="B1395" s="45">
        <f ca="1">IFERROR(__xludf.DUMMYFUNCTION("""COMPUTED_VALUE"""),46167.5833333333)</f>
        <v>46167.583333333299</v>
      </c>
      <c r="C1395" s="46">
        <f ca="1">IFERROR(__xludf.DUMMYFUNCTION("""COMPUTED_VALUE"""),1396)</f>
        <v>1396</v>
      </c>
      <c r="D1395" s="47" t="str">
        <f ca="1">IFERROR(__xludf.DUMMYFUNCTION("""COMPUTED_VALUE"""),"C1282")</f>
        <v>C1282</v>
      </c>
      <c r="E1395" s="46" t="str">
        <f ca="1">IFERROR(__xludf.DUMMYFUNCTION("""COMPUTED_VALUE"""),"ĐỒNG THỊ HOA")</f>
        <v>ĐỒNG THỊ HOA</v>
      </c>
      <c r="F1395" s="46" t="str">
        <f ca="1">IFERROR(__xludf.DUMMYFUNCTION("""COMPUTED_VALUE"""),"DONG THI HOA")</f>
        <v>DONG THI HOA</v>
      </c>
      <c r="G1395" s="45">
        <f ca="1">IFERROR(__xludf.DUMMYFUNCTION("""COMPUTED_VALUE"""),38348.625)</f>
        <v>38348.625</v>
      </c>
      <c r="H1395" s="45" t="str">
        <f ca="1">IFERROR(__xludf.DUMMYFUNCTION("""COMPUTED_VALUE"""),"MATTE")</f>
        <v>MATTE</v>
      </c>
      <c r="I1395" s="46" t="str">
        <f ca="1">IFERROR(__xludf.DUMMYFUNCTION("""COMPUTED_VALUE"""),"STORE")</f>
        <v>STORE</v>
      </c>
      <c r="J1395" s="46" t="str">
        <f ca="1">IFERROR(__xludf.DUMMYFUNCTION("""COMPUTED_VALUE"""),"MATTE D2")</f>
        <v>MATTE D2</v>
      </c>
      <c r="K1395" s="46" t="str">
        <f ca="1">IFERROR(__xludf.DUMMYFUNCTION("""COMPUTED_VALUE"""),"BAR")</f>
        <v>BAR</v>
      </c>
      <c r="L1395" s="46" t="str">
        <f ca="1">IFERROR(__xludf.DUMMYFUNCTION("""COMPUTED_VALUE"""),"PTEP")</f>
        <v>PTEP</v>
      </c>
      <c r="M1395" s="46" t="str">
        <f ca="1">IFERROR(__xludf.DUMMYFUNCTION("""COMPUTED_VALUE"""),"Leave")</f>
        <v>Leave</v>
      </c>
      <c r="N1395" s="46" t="str">
        <f ca="1">IFERROR(__xludf.DUMMYFUNCTION("""COMPUTED_VALUE"""),"Đủ")</f>
        <v>Đủ</v>
      </c>
    </row>
    <row r="1396" spans="1:14">
      <c r="A1396" s="45">
        <f ca="1">IFERROR(__xludf.DUMMYFUNCTION("""COMPUTED_VALUE"""),46111.5833333333)</f>
        <v>46111.583333333299</v>
      </c>
      <c r="B1396" s="45"/>
      <c r="C1396" s="46">
        <f ca="1">IFERROR(__xludf.DUMMYFUNCTION("""COMPUTED_VALUE"""),1397)</f>
        <v>1397</v>
      </c>
      <c r="D1396" s="47" t="str">
        <f ca="1">IFERROR(__xludf.DUMMYFUNCTION("""COMPUTED_VALUE"""),"C1291")</f>
        <v>C1291</v>
      </c>
      <c r="E1396" s="46" t="str">
        <f ca="1">IFERROR(__xludf.DUMMYFUNCTION("""COMPUTED_VALUE"""),"ĐOÀN TRƯỜNG PHI")</f>
        <v>ĐOÀN TRƯỜNG PHI</v>
      </c>
      <c r="F1396" s="46" t="str">
        <f ca="1">IFERROR(__xludf.DUMMYFUNCTION("""COMPUTED_VALUE"""),"DOAN TRUONG PHI")</f>
        <v>DOAN TRUONG PHI</v>
      </c>
      <c r="G1396" s="45" t="str">
        <f ca="1">IFERROR(__xludf.DUMMYFUNCTION("""COMPUTED_VALUE"""),"18/02/2001")</f>
        <v>18/02/2001</v>
      </c>
      <c r="H1396" s="45" t="str">
        <f ca="1">IFERROR(__xludf.DUMMYFUNCTION("""COMPUTED_VALUE"""),"KITCHEN PASTRY")</f>
        <v>KITCHEN PASTRY</v>
      </c>
      <c r="I1396" s="46" t="str">
        <f ca="1">IFERROR(__xludf.DUMMYFUNCTION("""COMPUTED_VALUE"""),"KITCHEN PASTRY")</f>
        <v>KITCHEN PASTRY</v>
      </c>
      <c r="J1396" s="46" t="str">
        <f ca="1">IFERROR(__xludf.DUMMYFUNCTION("""COMPUTED_VALUE"""),"KITCHEN PASTRY")</f>
        <v>KITCHEN PASTRY</v>
      </c>
      <c r="K1396" s="46" t="str">
        <f ca="1">IFERROR(__xludf.DUMMYFUNCTION("""COMPUTED_VALUE"""),"PASTRY")</f>
        <v>PASTRY</v>
      </c>
      <c r="L1396" s="46" t="str">
        <f ca="1">IFERROR(__xludf.DUMMYFUNCTION("""COMPUTED_VALUE"""),"PTE")</f>
        <v>PTE</v>
      </c>
      <c r="M1396" s="46" t="str">
        <f ca="1">IFERROR(__xludf.DUMMYFUNCTION("""COMPUTED_VALUE"""),"On")</f>
        <v>On</v>
      </c>
      <c r="N1396" s="46" t="str">
        <f ca="1">IFERROR(__xludf.DUMMYFUNCTION("""COMPUTED_VALUE"""),"Đủ")</f>
        <v>Đủ</v>
      </c>
    </row>
    <row r="1397" spans="1:14">
      <c r="A1397" s="45">
        <f ca="1">IFERROR(__xludf.DUMMYFUNCTION("""COMPUTED_VALUE"""),46112.5833333333)</f>
        <v>46112.583333333299</v>
      </c>
      <c r="B1397" s="45">
        <f ca="1">IFERROR(__xludf.DUMMYFUNCTION("""COMPUTED_VALUE"""),46174.5833333333)</f>
        <v>46174.583333333299</v>
      </c>
      <c r="C1397" s="46">
        <f ca="1">IFERROR(__xludf.DUMMYFUNCTION("""COMPUTED_VALUE"""),1398)</f>
        <v>1398</v>
      </c>
      <c r="D1397" s="47" t="str">
        <f ca="1">IFERROR(__xludf.DUMMYFUNCTION("""COMPUTED_VALUE"""),"C1300")</f>
        <v>C1300</v>
      </c>
      <c r="E1397" s="46" t="str">
        <f ca="1">IFERROR(__xludf.DUMMYFUNCTION("""COMPUTED_VALUE"""),"HOÀNG CHÂN YẾN LINH")</f>
        <v>HOÀNG CHÂN YẾN LINH</v>
      </c>
      <c r="F1397" s="46" t="str">
        <f ca="1">IFERROR(__xludf.DUMMYFUNCTION("""COMPUTED_VALUE"""),"HOANG CHAN YEN LINH")</f>
        <v>HOANG CHAN YEN LINH</v>
      </c>
      <c r="G1397" s="45">
        <f ca="1">IFERROR(__xludf.DUMMYFUNCTION("""COMPUTED_VALUE"""),38033.625)</f>
        <v>38033.625</v>
      </c>
      <c r="H1397" s="45" t="str">
        <f ca="1">IFERROR(__xludf.DUMMYFUNCTION("""COMPUTED_VALUE"""),"BAKES")</f>
        <v>BAKES</v>
      </c>
      <c r="I1397" s="46" t="str">
        <f ca="1">IFERROR(__xludf.DUMMYFUNCTION("""COMPUTED_VALUE"""),"STORE")</f>
        <v>STORE</v>
      </c>
      <c r="J1397" s="46" t="str">
        <f ca="1">IFERROR(__xludf.DUMMYFUNCTION("""COMPUTED_VALUE"""),"BAKES HAM NGHI")</f>
        <v>BAKES HAM NGHI</v>
      </c>
      <c r="K1397" s="46" t="str">
        <f ca="1">IFERROR(__xludf.DUMMYFUNCTION("""COMPUTED_VALUE"""),"SAL")</f>
        <v>SAL</v>
      </c>
      <c r="L1397" s="46" t="str">
        <f ca="1">IFERROR(__xludf.DUMMYFUNCTION("""COMPUTED_VALUE"""),"PTEP")</f>
        <v>PTEP</v>
      </c>
      <c r="M1397" s="46" t="str">
        <f ca="1">IFERROR(__xludf.DUMMYFUNCTION("""COMPUTED_VALUE"""),"Leave")</f>
        <v>Leave</v>
      </c>
      <c r="N1397" s="46" t="str">
        <f ca="1">IFERROR(__xludf.DUMMYFUNCTION("""COMPUTED_VALUE"""),"Đủ")</f>
        <v>Đủ</v>
      </c>
    </row>
    <row r="1398" spans="1:14">
      <c r="A1398" s="45">
        <f ca="1">IFERROR(__xludf.DUMMYFUNCTION("""COMPUTED_VALUE"""),46113.5833333333)</f>
        <v>46113.583333333299</v>
      </c>
      <c r="B1398" s="45"/>
      <c r="C1398" s="46">
        <f ca="1">IFERROR(__xludf.DUMMYFUNCTION("""COMPUTED_VALUE"""),1399)</f>
        <v>1399</v>
      </c>
      <c r="D1398" s="47" t="str">
        <f ca="1">IFERROR(__xludf.DUMMYFUNCTION("""COMPUTED_VALUE"""),"C1288")</f>
        <v>C1288</v>
      </c>
      <c r="E1398" s="46" t="str">
        <f ca="1">IFERROR(__xludf.DUMMYFUNCTION("""COMPUTED_VALUE"""),"CAO THỊ THU THẢO")</f>
        <v>CAO THỊ THU THẢO</v>
      </c>
      <c r="F1398" s="46" t="str">
        <f ca="1">IFERROR(__xludf.DUMMYFUNCTION("""COMPUTED_VALUE"""),"CAO THI THU THAO")</f>
        <v>CAO THI THU THAO</v>
      </c>
      <c r="G1398" s="45">
        <f ca="1">IFERROR(__xludf.DUMMYFUNCTION("""COMPUTED_VALUE"""),35941.5833333333)</f>
        <v>35941.583333333299</v>
      </c>
      <c r="H1398" s="45" t="str">
        <f ca="1">IFERROR(__xludf.DUMMYFUNCTION("""COMPUTED_VALUE"""),"TLC")</f>
        <v>TLC</v>
      </c>
      <c r="I1398" s="46" t="str">
        <f ca="1">IFERROR(__xludf.DUMMYFUNCTION("""COMPUTED_VALUE"""),"STORE")</f>
        <v>STORE</v>
      </c>
      <c r="J1398" s="46" t="str">
        <f ca="1">IFERROR(__xludf.DUMMYFUNCTION("""COMPUTED_VALUE"""),"BLANK LOUNGE")</f>
        <v>BLANK LOUNGE</v>
      </c>
      <c r="K1398" s="46" t="str">
        <f ca="1">IFERROR(__xludf.DUMMYFUNCTION("""COMPUTED_VALUE"""),"KIT")</f>
        <v>KIT</v>
      </c>
      <c r="L1398" s="46" t="str">
        <f ca="1">IFERROR(__xludf.DUMMYFUNCTION("""COMPUTED_VALUE"""),"PTE")</f>
        <v>PTE</v>
      </c>
      <c r="M1398" s="46" t="str">
        <f ca="1">IFERROR(__xludf.DUMMYFUNCTION("""COMPUTED_VALUE"""),"On")</f>
        <v>On</v>
      </c>
      <c r="N1398" s="46" t="str">
        <f ca="1">IFERROR(__xludf.DUMMYFUNCTION("""COMPUTED_VALUE"""),"Đủ")</f>
        <v>Đủ</v>
      </c>
    </row>
    <row r="1399" spans="1:14">
      <c r="A1399" s="45">
        <f ca="1">IFERROR(__xludf.DUMMYFUNCTION("""COMPUTED_VALUE"""),46118.5833333333)</f>
        <v>46118.583333333299</v>
      </c>
      <c r="B1399" s="45">
        <f ca="1">IFERROR(__xludf.DUMMYFUNCTION("""COMPUTED_VALUE"""),46163.5833333333)</f>
        <v>46163.583333333299</v>
      </c>
      <c r="C1399" s="46">
        <f ca="1">IFERROR(__xludf.DUMMYFUNCTION("""COMPUTED_VALUE"""),1400)</f>
        <v>1400</v>
      </c>
      <c r="D1399" s="47" t="str">
        <f ca="1">IFERROR(__xludf.DUMMYFUNCTION("""COMPUTED_VALUE"""),"C1243")</f>
        <v>C1243</v>
      </c>
      <c r="E1399" s="46" t="str">
        <f ca="1">IFERROR(__xludf.DUMMYFUNCTION("""COMPUTED_VALUE"""),"TRẦN THANH THẢO")</f>
        <v>TRẦN THANH THẢO</v>
      </c>
      <c r="F1399" s="46" t="str">
        <f ca="1">IFERROR(__xludf.DUMMYFUNCTION("""COMPUTED_VALUE"""),"TRAN THANH THAO")</f>
        <v>TRAN THANH THAO</v>
      </c>
      <c r="G1399" s="45">
        <f ca="1">IFERROR(__xludf.DUMMYFUNCTION("""COMPUTED_VALUE"""),38260.5833333333)</f>
        <v>38260.583333333299</v>
      </c>
      <c r="H1399" s="45" t="str">
        <f ca="1">IFERROR(__xludf.DUMMYFUNCTION("""COMPUTED_VALUE"""),"TLC")</f>
        <v>TLC</v>
      </c>
      <c r="I1399" s="46" t="str">
        <f ca="1">IFERROR(__xludf.DUMMYFUNCTION("""COMPUTED_VALUE"""),"HO")</f>
        <v>HO</v>
      </c>
      <c r="J1399" s="46" t="str">
        <f ca="1">IFERROR(__xludf.DUMMYFUNCTION("""COMPUTED_VALUE"""),"BE")</f>
        <v>BE</v>
      </c>
      <c r="K1399" s="46" t="str">
        <f ca="1">IFERROR(__xludf.DUMMYFUNCTION("""COMPUTED_VALUE"""),"BE")</f>
        <v>BE</v>
      </c>
      <c r="L1399" s="46" t="str">
        <f ca="1">IFERROR(__xludf.DUMMYFUNCTION("""COMPUTED_VALUE"""),"PRO")</f>
        <v>PRO</v>
      </c>
      <c r="M1399" s="46" t="str">
        <f ca="1">IFERROR(__xludf.DUMMYFUNCTION("""COMPUTED_VALUE"""),"Leave")</f>
        <v>Leave</v>
      </c>
      <c r="N1399" s="46" t="str">
        <f ca="1">IFERROR(__xludf.DUMMYFUNCTION("""COMPUTED_VALUE"""),"Đủ")</f>
        <v>Đủ</v>
      </c>
    </row>
    <row r="1400" spans="1:14">
      <c r="A1400" s="45">
        <f ca="1">IFERROR(__xludf.DUMMYFUNCTION("""COMPUTED_VALUE"""),46113.5833333333)</f>
        <v>46113.583333333299</v>
      </c>
      <c r="B1400" s="45">
        <f ca="1">IFERROR(__xludf.DUMMYFUNCTION("""COMPUTED_VALUE"""),46115.5833333333)</f>
        <v>46115.583333333299</v>
      </c>
      <c r="C1400" s="46">
        <f ca="1">IFERROR(__xludf.DUMMYFUNCTION("""COMPUTED_VALUE"""),1401)</f>
        <v>1401</v>
      </c>
      <c r="D1400" s="47" t="str">
        <f ca="1">IFERROR(__xludf.DUMMYFUNCTION("""COMPUTED_VALUE"""),"C1277")</f>
        <v>C1277</v>
      </c>
      <c r="E1400" s="46" t="str">
        <f ca="1">IFERROR(__xludf.DUMMYFUNCTION("""COMPUTED_VALUE"""),"NGUYỄN GIA HÀO")</f>
        <v>NGUYỄN GIA HÀO</v>
      </c>
      <c r="F1400" s="46" t="str">
        <f ca="1">IFERROR(__xludf.DUMMYFUNCTION("""COMPUTED_VALUE"""),"NGUYEN GIA HAO")</f>
        <v>NGUYEN GIA HAO</v>
      </c>
      <c r="G1400" s="45">
        <f ca="1">IFERROR(__xludf.DUMMYFUNCTION("""COMPUTED_VALUE"""),38784.625)</f>
        <v>38784.625</v>
      </c>
      <c r="H1400" s="45" t="str">
        <f ca="1">IFERROR(__xludf.DUMMYFUNCTION("""COMPUTED_VALUE"""),"TLC")</f>
        <v>TLC</v>
      </c>
      <c r="I1400" s="46" t="str">
        <f ca="1">IFERROR(__xludf.DUMMYFUNCTION("""COMPUTED_VALUE"""),"STORE")</f>
        <v>STORE</v>
      </c>
      <c r="J1400" s="46" t="str">
        <f ca="1">IFERROR(__xludf.DUMMYFUNCTION("""COMPUTED_VALUE"""),"BLANK LOUNGE")</f>
        <v>BLANK LOUNGE</v>
      </c>
      <c r="K1400" s="46" t="str">
        <f ca="1">IFERROR(__xludf.DUMMYFUNCTION("""COMPUTED_VALUE"""),"WAITSTAFF")</f>
        <v>WAITSTAFF</v>
      </c>
      <c r="L1400" s="46" t="str">
        <f ca="1">IFERROR(__xludf.DUMMYFUNCTION("""COMPUTED_VALUE"""),"PTEP")</f>
        <v>PTEP</v>
      </c>
      <c r="M1400" s="46" t="str">
        <f ca="1">IFERROR(__xludf.DUMMYFUNCTION("""COMPUTED_VALUE"""),"Leave")</f>
        <v>Leave</v>
      </c>
      <c r="N1400" s="46" t="str">
        <f ca="1">IFERROR(__xludf.DUMMYFUNCTION("""COMPUTED_VALUE"""),"chua nop")</f>
        <v>chua nop</v>
      </c>
    </row>
    <row r="1401" spans="1:14">
      <c r="A1401" s="45">
        <f ca="1">IFERROR(__xludf.DUMMYFUNCTION("""COMPUTED_VALUE"""),46113.5833333333)</f>
        <v>46113.583333333299</v>
      </c>
      <c r="B1401" s="45"/>
      <c r="C1401" s="46">
        <f ca="1">IFERROR(__xludf.DUMMYFUNCTION("""COMPUTED_VALUE"""),1402)</f>
        <v>1402</v>
      </c>
      <c r="D1401" s="47" t="str">
        <f ca="1">IFERROR(__xludf.DUMMYFUNCTION("""COMPUTED_VALUE"""),"C1296")</f>
        <v>C1296</v>
      </c>
      <c r="E1401" s="46" t="str">
        <f ca="1">IFERROR(__xludf.DUMMYFUNCTION("""COMPUTED_VALUE"""),"VŨ NHẬT LINH")</f>
        <v>VŨ NHẬT LINH</v>
      </c>
      <c r="F1401" s="46" t="str">
        <f ca="1">IFERROR(__xludf.DUMMYFUNCTION("""COMPUTED_VALUE"""),"VU NHAT LINH")</f>
        <v>VU NHAT LINH</v>
      </c>
      <c r="G1401" s="45">
        <f ca="1">IFERROR(__xludf.DUMMYFUNCTION("""COMPUTED_VALUE"""),37697.625)</f>
        <v>37697.625</v>
      </c>
      <c r="H1401" s="45" t="str">
        <f ca="1">IFERROR(__xludf.DUMMYFUNCTION("""COMPUTED_VALUE"""),"TLC")</f>
        <v>TLC</v>
      </c>
      <c r="I1401" s="46" t="str">
        <f ca="1">IFERROR(__xludf.DUMMYFUNCTION("""COMPUTED_VALUE"""),"HO")</f>
        <v>HO</v>
      </c>
      <c r="J1401" s="46" t="str">
        <f ca="1">IFERROR(__xludf.DUMMYFUNCTION("""COMPUTED_VALUE"""),"HRD")</f>
        <v>HRD</v>
      </c>
      <c r="K1401" s="46" t="str">
        <f ca="1">IFERROR(__xludf.DUMMYFUNCTION("""COMPUTED_VALUE"""),"HRD")</f>
        <v>HRD</v>
      </c>
      <c r="L1401" s="46" t="str">
        <f ca="1">IFERROR(__xludf.DUMMYFUNCTION("""COMPUTED_VALUE"""),"SER")</f>
        <v>SER</v>
      </c>
      <c r="M1401" s="46" t="str">
        <f ca="1">IFERROR(__xludf.DUMMYFUNCTION("""COMPUTED_VALUE"""),"On")</f>
        <v>On</v>
      </c>
      <c r="N1401" s="46" t="str">
        <f ca="1">IFERROR(__xludf.DUMMYFUNCTION("""COMPUTED_VALUE"""),"Đủ")</f>
        <v>Đủ</v>
      </c>
    </row>
    <row r="1402" spans="1:14">
      <c r="A1402" s="45">
        <f ca="1">IFERROR(__xludf.DUMMYFUNCTION("""COMPUTED_VALUE"""),46113.5833333333)</f>
        <v>46113.583333333299</v>
      </c>
      <c r="B1402" s="45">
        <f ca="1">IFERROR(__xludf.DUMMYFUNCTION("""COMPUTED_VALUE"""),46115.5833333333)</f>
        <v>46115.583333333299</v>
      </c>
      <c r="C1402" s="46">
        <f ca="1">IFERROR(__xludf.DUMMYFUNCTION("""COMPUTED_VALUE"""),1403)</f>
        <v>1403</v>
      </c>
      <c r="D1402" s="47" t="str">
        <f ca="1">IFERROR(__xludf.DUMMYFUNCTION("""COMPUTED_VALUE"""),"C1292")</f>
        <v>C1292</v>
      </c>
      <c r="E1402" s="46" t="str">
        <f ca="1">IFERROR(__xludf.DUMMYFUNCTION("""COMPUTED_VALUE"""),"BÙI LÊ PHÚC THỊNH")</f>
        <v>BÙI LÊ PHÚC THỊNH</v>
      </c>
      <c r="F1402" s="46" t="str">
        <f ca="1">IFERROR(__xludf.DUMMYFUNCTION("""COMPUTED_VALUE"""),"BUI LE PHUC THINH")</f>
        <v>BUI LE PHUC THINH</v>
      </c>
      <c r="G1402" s="45">
        <f ca="1">IFERROR(__xludf.DUMMYFUNCTION("""COMPUTED_VALUE"""),38972.5833333333)</f>
        <v>38972.583333333299</v>
      </c>
      <c r="H1402" s="45" t="str">
        <f ca="1">IFERROR(__xludf.DUMMYFUNCTION("""COMPUTED_VALUE"""),"TLC")</f>
        <v>TLC</v>
      </c>
      <c r="I1402" s="46" t="str">
        <f ca="1">IFERROR(__xludf.DUMMYFUNCTION("""COMPUTED_VALUE"""),"STORE")</f>
        <v>STORE</v>
      </c>
      <c r="J1402" s="46" t="str">
        <f ca="1">IFERROR(__xludf.DUMMYFUNCTION("""COMPUTED_VALUE"""),"BLANK LOUNGE")</f>
        <v>BLANK LOUNGE</v>
      </c>
      <c r="K1402" s="46" t="str">
        <f ca="1">IFERROR(__xludf.DUMMYFUNCTION("""COMPUTED_VALUE"""),"WAITSTAFF")</f>
        <v>WAITSTAFF</v>
      </c>
      <c r="L1402" s="46" t="str">
        <f ca="1">IFERROR(__xludf.DUMMYFUNCTION("""COMPUTED_VALUE"""),"PTEP")</f>
        <v>PTEP</v>
      </c>
      <c r="M1402" s="46" t="str">
        <f ca="1">IFERROR(__xludf.DUMMYFUNCTION("""COMPUTED_VALUE"""),"Leave")</f>
        <v>Leave</v>
      </c>
      <c r="N1402" s="46" t="str">
        <f ca="1">IFERROR(__xludf.DUMMYFUNCTION("""COMPUTED_VALUE"""),"chua nop")</f>
        <v>chua nop</v>
      </c>
    </row>
    <row r="1403" spans="1:14">
      <c r="A1403" s="45">
        <f ca="1">IFERROR(__xludf.DUMMYFUNCTION("""COMPUTED_VALUE"""),46117.5833333333)</f>
        <v>46117.583333333299</v>
      </c>
      <c r="B1403" s="45"/>
      <c r="C1403" s="46">
        <f ca="1">IFERROR(__xludf.DUMMYFUNCTION("""COMPUTED_VALUE"""),1404)</f>
        <v>1404</v>
      </c>
      <c r="D1403" s="47" t="str">
        <f ca="1">IFERROR(__xludf.DUMMYFUNCTION("""COMPUTED_VALUE"""),"C1293")</f>
        <v>C1293</v>
      </c>
      <c r="E1403" s="46" t="str">
        <f ca="1">IFERROR(__xludf.DUMMYFUNCTION("""COMPUTED_VALUE"""),"NGUYỄN QUANG KỲ ANH")</f>
        <v>NGUYỄN QUANG KỲ ANH</v>
      </c>
      <c r="F1403" s="46" t="str">
        <f ca="1">IFERROR(__xludf.DUMMYFUNCTION("""COMPUTED_VALUE"""),"NGUYEN QUANG KY ANH")</f>
        <v>NGUYEN QUANG KY ANH</v>
      </c>
      <c r="G1403" s="45">
        <f ca="1">IFERROR(__xludf.DUMMYFUNCTION("""COMPUTED_VALUE"""),36818.5833333333)</f>
        <v>36818.583333333299</v>
      </c>
      <c r="H1403" s="45" t="str">
        <f ca="1">IFERROR(__xludf.DUMMYFUNCTION("""COMPUTED_VALUE"""),"TLC")</f>
        <v>TLC</v>
      </c>
      <c r="I1403" s="46" t="str">
        <f ca="1">IFERROR(__xludf.DUMMYFUNCTION("""COMPUTED_VALUE"""),"STORE")</f>
        <v>STORE</v>
      </c>
      <c r="J1403" s="46" t="str">
        <f ca="1">IFERROR(__xludf.DUMMYFUNCTION("""COMPUTED_VALUE"""),"BLANK LOUNGE")</f>
        <v>BLANK LOUNGE</v>
      </c>
      <c r="K1403" s="46" t="str">
        <f ca="1">IFERROR(__xludf.DUMMYFUNCTION("""COMPUTED_VALUE"""),"BAR")</f>
        <v>BAR</v>
      </c>
      <c r="L1403" s="46" t="str">
        <f ca="1">IFERROR(__xludf.DUMMYFUNCTION("""COMPUTED_VALUE"""),"PTE")</f>
        <v>PTE</v>
      </c>
      <c r="M1403" s="46" t="str">
        <f ca="1">IFERROR(__xludf.DUMMYFUNCTION("""COMPUTED_VALUE"""),"On")</f>
        <v>On</v>
      </c>
      <c r="N1403" s="46" t="str">
        <f ca="1">IFERROR(__xludf.DUMMYFUNCTION("""COMPUTED_VALUE"""),"Đủ")</f>
        <v>Đủ</v>
      </c>
    </row>
    <row r="1404" spans="1:14">
      <c r="A1404" s="45">
        <f ca="1">IFERROR(__xludf.DUMMYFUNCTION("""COMPUTED_VALUE"""),46118.5833333333)</f>
        <v>46118.583333333299</v>
      </c>
      <c r="B1404" s="45">
        <f ca="1">IFERROR(__xludf.DUMMYFUNCTION("""COMPUTED_VALUE"""),46122.5833333333)</f>
        <v>46122.583333333299</v>
      </c>
      <c r="C1404" s="46">
        <f ca="1">IFERROR(__xludf.DUMMYFUNCTION("""COMPUTED_VALUE"""),1405)</f>
        <v>1405</v>
      </c>
      <c r="D1404" s="47" t="str">
        <f ca="1">IFERROR(__xludf.DUMMYFUNCTION("""COMPUTED_VALUE"""),"C1303")</f>
        <v>C1303</v>
      </c>
      <c r="E1404" s="46" t="str">
        <f ca="1">IFERROR(__xludf.DUMMYFUNCTION("""COMPUTED_VALUE"""),"VÕ THUỲ DƯƠNG")</f>
        <v>VÕ THUỲ DƯƠNG</v>
      </c>
      <c r="F1404" s="46" t="str">
        <f ca="1">IFERROR(__xludf.DUMMYFUNCTION("""COMPUTED_VALUE"""),"VO THUY DUONG")</f>
        <v>VO THUY DUONG</v>
      </c>
      <c r="G1404" s="45">
        <f ca="1">IFERROR(__xludf.DUMMYFUNCTION("""COMPUTED_VALUE"""),38731.625)</f>
        <v>38731.625</v>
      </c>
      <c r="H1404" s="45" t="str">
        <f ca="1">IFERROR(__xludf.DUMMYFUNCTION("""COMPUTED_VALUE"""),"BAKES")</f>
        <v>BAKES</v>
      </c>
      <c r="I1404" s="46" t="str">
        <f ca="1">IFERROR(__xludf.DUMMYFUNCTION("""COMPUTED_VALUE"""),"STORE")</f>
        <v>STORE</v>
      </c>
      <c r="J1404" s="46" t="str">
        <f ca="1">IFERROR(__xludf.DUMMYFUNCTION("""COMPUTED_VALUE"""),"BAKES HCR")</f>
        <v>BAKES HCR</v>
      </c>
      <c r="K1404" s="46" t="str">
        <f ca="1">IFERROR(__xludf.DUMMYFUNCTION("""COMPUTED_VALUE"""),"WAITSTAFF")</f>
        <v>WAITSTAFF</v>
      </c>
      <c r="L1404" s="46" t="str">
        <f ca="1">IFERROR(__xludf.DUMMYFUNCTION("""COMPUTED_VALUE"""),"PTEP")</f>
        <v>PTEP</v>
      </c>
      <c r="M1404" s="46" t="str">
        <f ca="1">IFERROR(__xludf.DUMMYFUNCTION("""COMPUTED_VALUE"""),"Leave")</f>
        <v>Leave</v>
      </c>
      <c r="N1404" s="46" t="str">
        <f ca="1">IFERROR(__xludf.DUMMYFUNCTION("""COMPUTED_VALUE"""),"chua nop")</f>
        <v>chua nop</v>
      </c>
    </row>
    <row r="1405" spans="1:14">
      <c r="A1405" s="45">
        <f ca="1">IFERROR(__xludf.DUMMYFUNCTION("""COMPUTED_VALUE"""),46120.5833333333)</f>
        <v>46120.583333333299</v>
      </c>
      <c r="B1405" s="45"/>
      <c r="C1405" s="46">
        <f ca="1">IFERROR(__xludf.DUMMYFUNCTION("""COMPUTED_VALUE"""),1406)</f>
        <v>1406</v>
      </c>
      <c r="D1405" s="47" t="str">
        <f ca="1">IFERROR(__xludf.DUMMYFUNCTION("""COMPUTED_VALUE"""),"C1308")</f>
        <v>C1308</v>
      </c>
      <c r="E1405" s="46" t="str">
        <f ca="1">IFERROR(__xludf.DUMMYFUNCTION("""COMPUTED_VALUE"""),"LÊ CAO QUANG NGỌC LINH")</f>
        <v>LÊ CAO QUANG NGỌC LINH</v>
      </c>
      <c r="F1405" s="46" t="str">
        <f ca="1">IFERROR(__xludf.DUMMYFUNCTION("""COMPUTED_VALUE"""),"LE CAO QUANG NGOC LINH")</f>
        <v>LE CAO QUANG NGOC LINH</v>
      </c>
      <c r="G1405" s="45">
        <f ca="1">IFERROR(__xludf.DUMMYFUNCTION("""COMPUTED_VALUE"""),38564.5833333333)</f>
        <v>38564.583333333299</v>
      </c>
      <c r="H1405" s="45" t="str">
        <f ca="1">IFERROR(__xludf.DUMMYFUNCTION("""COMPUTED_VALUE"""),"BAKES")</f>
        <v>BAKES</v>
      </c>
      <c r="I1405" s="46" t="str">
        <f ca="1">IFERROR(__xludf.DUMMYFUNCTION("""COMPUTED_VALUE"""),"STORE")</f>
        <v>STORE</v>
      </c>
      <c r="J1405" s="46" t="str">
        <f ca="1">IFERROR(__xludf.DUMMYFUNCTION("""COMPUTED_VALUE"""),"BAKES HCR")</f>
        <v>BAKES HCR</v>
      </c>
      <c r="K1405" s="46" t="str">
        <f ca="1">IFERROR(__xludf.DUMMYFUNCTION("""COMPUTED_VALUE"""),"CASHIER")</f>
        <v>CASHIER</v>
      </c>
      <c r="L1405" s="46" t="str">
        <f ca="1">IFERROR(__xludf.DUMMYFUNCTION("""COMPUTED_VALUE"""),"PTE")</f>
        <v>PTE</v>
      </c>
      <c r="M1405" s="46" t="str">
        <f ca="1">IFERROR(__xludf.DUMMYFUNCTION("""COMPUTED_VALUE"""),"On")</f>
        <v>On</v>
      </c>
      <c r="N1405" s="46" t="str">
        <f ca="1">IFERROR(__xludf.DUMMYFUNCTION("""COMPUTED_VALUE"""),"Đủ")</f>
        <v>Đủ</v>
      </c>
    </row>
    <row r="1406" spans="1:14">
      <c r="A1406" s="45">
        <f ca="1">IFERROR(__xludf.DUMMYFUNCTION("""COMPUTED_VALUE"""),46119.5833333333)</f>
        <v>46119.583333333299</v>
      </c>
      <c r="B1406" s="45"/>
      <c r="C1406" s="46">
        <f ca="1">IFERROR(__xludf.DUMMYFUNCTION("""COMPUTED_VALUE"""),1407)</f>
        <v>1407</v>
      </c>
      <c r="D1406" s="47" t="str">
        <f ca="1">IFERROR(__xludf.DUMMYFUNCTION("""COMPUTED_VALUE"""),"C1290")</f>
        <v>C1290</v>
      </c>
      <c r="E1406" s="46" t="str">
        <f ca="1">IFERROR(__xludf.DUMMYFUNCTION("""COMPUTED_VALUE"""),"NGUYỄN THỊ HOÀI THƯƠNG")</f>
        <v>NGUYỄN THỊ HOÀI THƯƠNG</v>
      </c>
      <c r="F1406" s="46" t="str">
        <f ca="1">IFERROR(__xludf.DUMMYFUNCTION("""COMPUTED_VALUE"""),"NGUYEN THI HOAI THUONG")</f>
        <v>NGUYEN THI HOAI THUONG</v>
      </c>
      <c r="G1406" s="45">
        <f ca="1">IFERROR(__xludf.DUMMYFUNCTION("""COMPUTED_VALUE"""),37095.5833333333)</f>
        <v>37095.583333333299</v>
      </c>
      <c r="H1406" s="45" t="str">
        <f ca="1">IFERROR(__xludf.DUMMYFUNCTION("""COMPUTED_VALUE"""),"TLC")</f>
        <v>TLC</v>
      </c>
      <c r="I1406" s="46" t="str">
        <f ca="1">IFERROR(__xludf.DUMMYFUNCTION("""COMPUTED_VALUE"""),"HO")</f>
        <v>HO</v>
      </c>
      <c r="J1406" s="46" t="str">
        <f ca="1">IFERROR(__xludf.DUMMYFUNCTION("""COMPUTED_VALUE"""),"CUS")</f>
        <v>CUS</v>
      </c>
      <c r="K1406" s="46" t="str">
        <f ca="1">IFERROR(__xludf.DUMMYFUNCTION("""COMPUTED_VALUE"""),"CUS")</f>
        <v>CUS</v>
      </c>
      <c r="L1406" s="46" t="str">
        <f ca="1">IFERROR(__xludf.DUMMYFUNCTION("""COMPUTED_VALUE"""),"FTE")</f>
        <v>FTE</v>
      </c>
      <c r="M1406" s="46" t="str">
        <f ca="1">IFERROR(__xludf.DUMMYFUNCTION("""COMPUTED_VALUE"""),"On")</f>
        <v>On</v>
      </c>
      <c r="N1406" s="46" t="str">
        <f ca="1">IFERROR(__xludf.DUMMYFUNCTION("""COMPUTED_VALUE"""),"Đủ")</f>
        <v>Đủ</v>
      </c>
    </row>
    <row r="1407" spans="1:14">
      <c r="A1407" s="45">
        <f ca="1">IFERROR(__xludf.DUMMYFUNCTION("""COMPUTED_VALUE"""),46119.5833333333)</f>
        <v>46119.583333333299</v>
      </c>
      <c r="B1407" s="45">
        <f ca="1">IFERROR(__xludf.DUMMYFUNCTION("""COMPUTED_VALUE"""),46150.5833333333)</f>
        <v>46150.583333333299</v>
      </c>
      <c r="C1407" s="46">
        <f ca="1">IFERROR(__xludf.DUMMYFUNCTION("""COMPUTED_VALUE"""),1408)</f>
        <v>1408</v>
      </c>
      <c r="D1407" s="47" t="str">
        <f ca="1">IFERROR(__xludf.DUMMYFUNCTION("""COMPUTED_VALUE"""),"C1301")</f>
        <v>C1301</v>
      </c>
      <c r="E1407" s="46" t="str">
        <f ca="1">IFERROR(__xludf.DUMMYFUNCTION("""COMPUTED_VALUE"""),"ĐỖ PHƯƠNG LINH")</f>
        <v>ĐỖ PHƯƠNG LINH</v>
      </c>
      <c r="F1407" s="46" t="str">
        <f ca="1">IFERROR(__xludf.DUMMYFUNCTION("""COMPUTED_VALUE"""),"DO PHUONG LINH")</f>
        <v>DO PHUONG LINH</v>
      </c>
      <c r="G1407" s="45">
        <f ca="1">IFERROR(__xludf.DUMMYFUNCTION("""COMPUTED_VALUE"""),37943.625)</f>
        <v>37943.625</v>
      </c>
      <c r="H1407" s="45" t="str">
        <f ca="1">IFERROR(__xludf.DUMMYFUNCTION("""COMPUTED_VALUE"""),"CREATIVE")</f>
        <v>CREATIVE</v>
      </c>
      <c r="I1407" s="46" t="str">
        <f ca="1">IFERROR(__xludf.DUMMYFUNCTION("""COMPUTED_VALUE"""),"HO")</f>
        <v>HO</v>
      </c>
      <c r="J1407" s="46" t="str">
        <f ca="1">IFERROR(__xludf.DUMMYFUNCTION("""COMPUTED_VALUE"""),"SPD")</f>
        <v>SPD</v>
      </c>
      <c r="K1407" s="46" t="str">
        <f ca="1">IFERROR(__xludf.DUMMYFUNCTION("""COMPUTED_VALUE"""),"SPD")</f>
        <v>SPD</v>
      </c>
      <c r="L1407" s="46" t="str">
        <f ca="1">IFERROR(__xludf.DUMMYFUNCTION("""COMPUTED_VALUE"""),"SER")</f>
        <v>SER</v>
      </c>
      <c r="M1407" s="46" t="str">
        <f ca="1">IFERROR(__xludf.DUMMYFUNCTION("""COMPUTED_VALUE"""),"Leave")</f>
        <v>Leave</v>
      </c>
      <c r="N1407" s="46" t="str">
        <f ca="1">IFERROR(__xludf.DUMMYFUNCTION("""COMPUTED_VALUE"""),"Đủ")</f>
        <v>Đủ</v>
      </c>
    </row>
    <row r="1408" spans="1:14">
      <c r="A1408" s="45">
        <f ca="1">IFERROR(__xludf.DUMMYFUNCTION("""COMPUTED_VALUE"""),46118.5833333333)</f>
        <v>46118.583333333299</v>
      </c>
      <c r="B1408" s="45">
        <f ca="1">IFERROR(__xludf.DUMMYFUNCTION("""COMPUTED_VALUE"""),46143.5833333333)</f>
        <v>46143.583333333299</v>
      </c>
      <c r="C1408" s="46">
        <f ca="1">IFERROR(__xludf.DUMMYFUNCTION("""COMPUTED_VALUE"""),1409)</f>
        <v>1409</v>
      </c>
      <c r="D1408" s="47" t="str">
        <f ca="1">IFERROR(__xludf.DUMMYFUNCTION("""COMPUTED_VALUE"""),"C1309")</f>
        <v>C1309</v>
      </c>
      <c r="E1408" s="46" t="str">
        <f ca="1">IFERROR(__xludf.DUMMYFUNCTION("""COMPUTED_VALUE"""),"TRỊNH THANH KHÁNH NGUYÊN")</f>
        <v>TRỊNH THANH KHÁNH NGUYÊN</v>
      </c>
      <c r="F1408" s="46" t="str">
        <f ca="1">IFERROR(__xludf.DUMMYFUNCTION("""COMPUTED_VALUE"""),"TRINH THANH KHANH NGUYEN")</f>
        <v>TRINH THANH KHANH NGUYEN</v>
      </c>
      <c r="G1408" s="45">
        <f ca="1">IFERROR(__xludf.DUMMYFUNCTION("""COMPUTED_VALUE"""),39069.625)</f>
        <v>39069.625</v>
      </c>
      <c r="H1408" s="45" t="str">
        <f ca="1">IFERROR(__xludf.DUMMYFUNCTION("""COMPUTED_VALUE"""),"BAKES")</f>
        <v>BAKES</v>
      </c>
      <c r="I1408" s="46" t="str">
        <f ca="1">IFERROR(__xludf.DUMMYFUNCTION("""COMPUTED_VALUE"""),"STORE")</f>
        <v>STORE</v>
      </c>
      <c r="J1408" s="46" t="str">
        <f ca="1">IFERROR(__xludf.DUMMYFUNCTION("""COMPUTED_VALUE"""),"BAKES D2")</f>
        <v>BAKES D2</v>
      </c>
      <c r="K1408" s="46" t="str">
        <f ca="1">IFERROR(__xludf.DUMMYFUNCTION("""COMPUTED_VALUE"""),"WAITSTAFF")</f>
        <v>WAITSTAFF</v>
      </c>
      <c r="L1408" s="46" t="str">
        <f ca="1">IFERROR(__xludf.DUMMYFUNCTION("""COMPUTED_VALUE"""),"PTEP")</f>
        <v>PTEP</v>
      </c>
      <c r="M1408" s="46" t="str">
        <f ca="1">IFERROR(__xludf.DUMMYFUNCTION("""COMPUTED_VALUE"""),"Leave")</f>
        <v>Leave</v>
      </c>
      <c r="N1408" s="46" t="str">
        <f ca="1">IFERROR(__xludf.DUMMYFUNCTION("""COMPUTED_VALUE"""),"Đủ")</f>
        <v>Đủ</v>
      </c>
    </row>
    <row r="1409" spans="1:14">
      <c r="A1409" s="45">
        <f ca="1">IFERROR(__xludf.DUMMYFUNCTION("""COMPUTED_VALUE"""),46118.5833333333)</f>
        <v>46118.583333333299</v>
      </c>
      <c r="B1409" s="45">
        <f ca="1">IFERROR(__xludf.DUMMYFUNCTION("""COMPUTED_VALUE"""),46143.5833333333)</f>
        <v>46143.583333333299</v>
      </c>
      <c r="C1409" s="46">
        <f ca="1">IFERROR(__xludf.DUMMYFUNCTION("""COMPUTED_VALUE"""),1410)</f>
        <v>1410</v>
      </c>
      <c r="D1409" s="47" t="str">
        <f ca="1">IFERROR(__xludf.DUMMYFUNCTION("""COMPUTED_VALUE"""),"C1310")</f>
        <v>C1310</v>
      </c>
      <c r="E1409" s="46" t="str">
        <f ca="1">IFERROR(__xludf.DUMMYFUNCTION("""COMPUTED_VALUE"""),"TRẦN THỊ NGUYỆT HẰNG")</f>
        <v>TRẦN THỊ NGUYỆT HẰNG</v>
      </c>
      <c r="F1409" s="46" t="str">
        <f ca="1">IFERROR(__xludf.DUMMYFUNCTION("""COMPUTED_VALUE"""),"TRAN THI NGUYET HANG")</f>
        <v>TRAN THI NGUYET HANG</v>
      </c>
      <c r="G1409" s="45">
        <f ca="1">IFERROR(__xludf.DUMMYFUNCTION("""COMPUTED_VALUE"""),38796.625)</f>
        <v>38796.625</v>
      </c>
      <c r="H1409" s="45" t="str">
        <f ca="1">IFERROR(__xludf.DUMMYFUNCTION("""COMPUTED_VALUE"""),"BAKES")</f>
        <v>BAKES</v>
      </c>
      <c r="I1409" s="46" t="str">
        <f ca="1">IFERROR(__xludf.DUMMYFUNCTION("""COMPUTED_VALUE"""),"STORE")</f>
        <v>STORE</v>
      </c>
      <c r="J1409" s="46" t="str">
        <f ca="1">IFERROR(__xludf.DUMMYFUNCTION("""COMPUTED_VALUE"""),"BAKES D2")</f>
        <v>BAKES D2</v>
      </c>
      <c r="K1409" s="46" t="str">
        <f ca="1">IFERROR(__xludf.DUMMYFUNCTION("""COMPUTED_VALUE"""),"WAITSTAFF")</f>
        <v>WAITSTAFF</v>
      </c>
      <c r="L1409" s="46" t="str">
        <f ca="1">IFERROR(__xludf.DUMMYFUNCTION("""COMPUTED_VALUE"""),"PTEP")</f>
        <v>PTEP</v>
      </c>
      <c r="M1409" s="46" t="str">
        <f ca="1">IFERROR(__xludf.DUMMYFUNCTION("""COMPUTED_VALUE"""),"Leave")</f>
        <v>Leave</v>
      </c>
      <c r="N1409" s="46" t="str">
        <f ca="1">IFERROR(__xludf.DUMMYFUNCTION("""COMPUTED_VALUE"""),"Đủ")</f>
        <v>Đủ</v>
      </c>
    </row>
    <row r="1410" spans="1:14">
      <c r="A1410" s="45">
        <f ca="1">IFERROR(__xludf.DUMMYFUNCTION("""COMPUTED_VALUE"""),46118.5833333333)</f>
        <v>46118.583333333299</v>
      </c>
      <c r="B1410" s="45">
        <f ca="1">IFERROR(__xludf.DUMMYFUNCTION("""COMPUTED_VALUE"""),46174.5833333333)</f>
        <v>46174.583333333299</v>
      </c>
      <c r="C1410" s="46">
        <f ca="1">IFERROR(__xludf.DUMMYFUNCTION("""COMPUTED_VALUE"""),1411)</f>
        <v>1411</v>
      </c>
      <c r="D1410" s="47" t="str">
        <f ca="1">IFERROR(__xludf.DUMMYFUNCTION("""COMPUTED_VALUE"""),"C1304")</f>
        <v>C1304</v>
      </c>
      <c r="E1410" s="46" t="str">
        <f ca="1">IFERROR(__xludf.DUMMYFUNCTION("""COMPUTED_VALUE"""),"VŨ MAI ANH")</f>
        <v>VŨ MAI ANH</v>
      </c>
      <c r="F1410" s="46" t="str">
        <f ca="1">IFERROR(__xludf.DUMMYFUNCTION("""COMPUTED_VALUE"""),"VU MAI ANH 
")</f>
        <v xml:space="preserve">VU MAI ANH 
</v>
      </c>
      <c r="G1410" s="45">
        <f ca="1">IFERROR(__xludf.DUMMYFUNCTION("""COMPUTED_VALUE"""),38793.625)</f>
        <v>38793.625</v>
      </c>
      <c r="H1410" s="45" t="str">
        <f ca="1">IFERROR(__xludf.DUMMYFUNCTION("""COMPUTED_VALUE"""),"BAKES")</f>
        <v>BAKES</v>
      </c>
      <c r="I1410" s="46" t="str">
        <f ca="1">IFERROR(__xludf.DUMMYFUNCTION("""COMPUTED_VALUE"""),"STORE")</f>
        <v>STORE</v>
      </c>
      <c r="J1410" s="46" t="str">
        <f ca="1">IFERROR(__xludf.DUMMYFUNCTION("""COMPUTED_VALUE"""),"BAKES HCR")</f>
        <v>BAKES HCR</v>
      </c>
      <c r="K1410" s="46" t="str">
        <f ca="1">IFERROR(__xludf.DUMMYFUNCTION("""COMPUTED_VALUE"""),"WAITSTAFF")</f>
        <v>WAITSTAFF</v>
      </c>
      <c r="L1410" s="46" t="str">
        <f ca="1">IFERROR(__xludf.DUMMYFUNCTION("""COMPUTED_VALUE"""),"PTEP")</f>
        <v>PTEP</v>
      </c>
      <c r="M1410" s="46" t="str">
        <f ca="1">IFERROR(__xludf.DUMMYFUNCTION("""COMPUTED_VALUE"""),"Leave")</f>
        <v>Leave</v>
      </c>
      <c r="N1410" s="46" t="str">
        <f ca="1">IFERROR(__xludf.DUMMYFUNCTION("""COMPUTED_VALUE"""),"Đủ")</f>
        <v>Đủ</v>
      </c>
    </row>
    <row r="1411" spans="1:14">
      <c r="A1411" s="45">
        <f ca="1">IFERROR(__xludf.DUMMYFUNCTION("""COMPUTED_VALUE"""),46118.5833333333)</f>
        <v>46118.583333333299</v>
      </c>
      <c r="B1411" s="45"/>
      <c r="C1411" s="46">
        <f ca="1">IFERROR(__xludf.DUMMYFUNCTION("""COMPUTED_VALUE"""),1412)</f>
        <v>1412</v>
      </c>
      <c r="D1411" s="47" t="str">
        <f ca="1">IFERROR(__xludf.DUMMYFUNCTION("""COMPUTED_VALUE"""),"C1318")</f>
        <v>C1318</v>
      </c>
      <c r="E1411" s="46" t="str">
        <f ca="1">IFERROR(__xludf.DUMMYFUNCTION("""COMPUTED_VALUE"""),"DƯƠNG THỊ THU TRÂM")</f>
        <v>DƯƠNG THỊ THU TRÂM</v>
      </c>
      <c r="F1411" s="46" t="str">
        <f ca="1">IFERROR(__xludf.DUMMYFUNCTION("""COMPUTED_VALUE"""),"DUONG THI THU TRAM")</f>
        <v>DUONG THI THU TRAM</v>
      </c>
      <c r="G1411" s="45">
        <f ca="1">IFERROR(__xludf.DUMMYFUNCTION("""COMPUTED_VALUE"""),38809.625)</f>
        <v>38809.625</v>
      </c>
      <c r="H1411" s="45" t="str">
        <f ca="1">IFERROR(__xludf.DUMMYFUNCTION("""COMPUTED_VALUE"""),"BAKES")</f>
        <v>BAKES</v>
      </c>
      <c r="I1411" s="46" t="str">
        <f ca="1">IFERROR(__xludf.DUMMYFUNCTION("""COMPUTED_VALUE"""),"STORE")</f>
        <v>STORE</v>
      </c>
      <c r="J1411" s="46" t="str">
        <f ca="1">IFERROR(__xludf.DUMMYFUNCTION("""COMPUTED_VALUE"""),"BAKES HAM NGHI")</f>
        <v>BAKES HAM NGHI</v>
      </c>
      <c r="K1411" s="46" t="str">
        <f ca="1">IFERROR(__xludf.DUMMYFUNCTION("""COMPUTED_VALUE"""),"SAL")</f>
        <v>SAL</v>
      </c>
      <c r="L1411" s="46" t="str">
        <f ca="1">IFERROR(__xludf.DUMMYFUNCTION("""COMPUTED_VALUE"""),"PTE")</f>
        <v>PTE</v>
      </c>
      <c r="M1411" s="46" t="str">
        <f ca="1">IFERROR(__xludf.DUMMYFUNCTION("""COMPUTED_VALUE"""),"On")</f>
        <v>On</v>
      </c>
      <c r="N1411" s="46" t="str">
        <f ca="1">IFERROR(__xludf.DUMMYFUNCTION("""COMPUTED_VALUE"""),"Đủ")</f>
        <v>Đủ</v>
      </c>
    </row>
    <row r="1412" spans="1:14">
      <c r="A1412" s="45">
        <f ca="1">IFERROR(__xludf.DUMMYFUNCTION("""COMPUTED_VALUE"""),46118.5833333333)</f>
        <v>46118.583333333299</v>
      </c>
      <c r="B1412" s="45"/>
      <c r="C1412" s="46">
        <f ca="1">IFERROR(__xludf.DUMMYFUNCTION("""COMPUTED_VALUE"""),1413)</f>
        <v>1413</v>
      </c>
      <c r="D1412" s="47" t="str">
        <f ca="1">IFERROR(__xludf.DUMMYFUNCTION("""COMPUTED_VALUE"""),"C1305")</f>
        <v>C1305</v>
      </c>
      <c r="E1412" s="46" t="str">
        <f ca="1">IFERROR(__xludf.DUMMYFUNCTION("""COMPUTED_VALUE"""),"ĐOÀN KHẮC HUY")</f>
        <v>ĐOÀN KHẮC HUY</v>
      </c>
      <c r="F1412" s="46" t="str">
        <f ca="1">IFERROR(__xludf.DUMMYFUNCTION("""COMPUTED_VALUE"""),"DOAN KHAC HUY")</f>
        <v>DOAN KHAC HUY</v>
      </c>
      <c r="G1412" s="45">
        <f ca="1">IFERROR(__xludf.DUMMYFUNCTION("""COMPUTED_VALUE"""),38651.5833333333)</f>
        <v>38651.583333333299</v>
      </c>
      <c r="H1412" s="45" t="str">
        <f ca="1">IFERROR(__xludf.DUMMYFUNCTION("""COMPUTED_VALUE"""),"TLC")</f>
        <v>TLC</v>
      </c>
      <c r="I1412" s="46" t="str">
        <f ca="1">IFERROR(__xludf.DUMMYFUNCTION("""COMPUTED_VALUE"""),"STORE")</f>
        <v>STORE</v>
      </c>
      <c r="J1412" s="46" t="str">
        <f ca="1">IFERROR(__xludf.DUMMYFUNCTION("""COMPUTED_VALUE"""),"BLANK LOUNGE")</f>
        <v>BLANK LOUNGE</v>
      </c>
      <c r="K1412" s="46" t="str">
        <f ca="1">IFERROR(__xludf.DUMMYFUNCTION("""COMPUTED_VALUE"""),"WAITSTAFF")</f>
        <v>WAITSTAFF</v>
      </c>
      <c r="L1412" s="46" t="str">
        <f ca="1">IFERROR(__xludf.DUMMYFUNCTION("""COMPUTED_VALUE"""),"PTE")</f>
        <v>PTE</v>
      </c>
      <c r="M1412" s="46" t="str">
        <f ca="1">IFERROR(__xludf.DUMMYFUNCTION("""COMPUTED_VALUE"""),"On")</f>
        <v>On</v>
      </c>
      <c r="N1412" s="46" t="str">
        <f ca="1">IFERROR(__xludf.DUMMYFUNCTION("""COMPUTED_VALUE"""),"Đủ")</f>
        <v>Đủ</v>
      </c>
    </row>
    <row r="1413" spans="1:14">
      <c r="A1413" s="45">
        <f ca="1">IFERROR(__xludf.DUMMYFUNCTION("""COMPUTED_VALUE"""),46120.5833333333)</f>
        <v>46120.583333333299</v>
      </c>
      <c r="B1413" s="45"/>
      <c r="C1413" s="46">
        <f ca="1">IFERROR(__xludf.DUMMYFUNCTION("""COMPUTED_VALUE"""),1414)</f>
        <v>1414</v>
      </c>
      <c r="D1413" s="47" t="str">
        <f ca="1">IFERROR(__xludf.DUMMYFUNCTION("""COMPUTED_VALUE"""),"C1311")</f>
        <v>C1311</v>
      </c>
      <c r="E1413" s="46" t="str">
        <f ca="1">IFERROR(__xludf.DUMMYFUNCTION("""COMPUTED_VALUE"""),"VÕ NGUYỄN SONG NHƯ")</f>
        <v>VÕ NGUYỄN SONG NHƯ</v>
      </c>
      <c r="F1413" s="46" t="str">
        <f ca="1">IFERROR(__xludf.DUMMYFUNCTION("""COMPUTED_VALUE"""),"VO NGUYEN SONG NHU")</f>
        <v>VO NGUYEN SONG NHU</v>
      </c>
      <c r="G1413" s="45">
        <f ca="1">IFERROR(__xludf.DUMMYFUNCTION("""COMPUTED_VALUE"""),37676.625)</f>
        <v>37676.625</v>
      </c>
      <c r="H1413" s="45" t="str">
        <f ca="1">IFERROR(__xludf.DUMMYFUNCTION("""COMPUTED_VALUE"""),"TLC")</f>
        <v>TLC</v>
      </c>
      <c r="I1413" s="46" t="str">
        <f ca="1">IFERROR(__xludf.DUMMYFUNCTION("""COMPUTED_VALUE"""),"STORE")</f>
        <v>STORE</v>
      </c>
      <c r="J1413" s="46" t="str">
        <f ca="1">IFERROR(__xludf.DUMMYFUNCTION("""COMPUTED_VALUE"""),"BLANK LOUNGE")</f>
        <v>BLANK LOUNGE</v>
      </c>
      <c r="K1413" s="46" t="str">
        <f ca="1">IFERROR(__xludf.DUMMYFUNCTION("""COMPUTED_VALUE"""),"WAITSTAFF")</f>
        <v>WAITSTAFF</v>
      </c>
      <c r="L1413" s="46" t="str">
        <f ca="1">IFERROR(__xludf.DUMMYFUNCTION("""COMPUTED_VALUE"""),"PTEP")</f>
        <v>PTEP</v>
      </c>
      <c r="M1413" s="46" t="str">
        <f ca="1">IFERROR(__xludf.DUMMYFUNCTION("""COMPUTED_VALUE"""),"On")</f>
        <v>On</v>
      </c>
      <c r="N1413" s="46" t="str">
        <f ca="1">IFERROR(__xludf.DUMMYFUNCTION("""COMPUTED_VALUE"""),"Đủ")</f>
        <v>Đủ</v>
      </c>
    </row>
    <row r="1414" spans="1:14">
      <c r="A1414" s="45">
        <f ca="1">IFERROR(__xludf.DUMMYFUNCTION("""COMPUTED_VALUE"""),46119.5833333333)</f>
        <v>46119.583333333299</v>
      </c>
      <c r="B1414" s="45">
        <f ca="1">IFERROR(__xludf.DUMMYFUNCTION("""COMPUTED_VALUE"""),46175.5833333333)</f>
        <v>46175.583333333299</v>
      </c>
      <c r="C1414" s="46">
        <f ca="1">IFERROR(__xludf.DUMMYFUNCTION("""COMPUTED_VALUE"""),1415)</f>
        <v>1415</v>
      </c>
      <c r="D1414" s="47" t="str">
        <f ca="1">IFERROR(__xludf.DUMMYFUNCTION("""COMPUTED_VALUE"""),"C1312")</f>
        <v>C1312</v>
      </c>
      <c r="E1414" s="46" t="str">
        <f ca="1">IFERROR(__xludf.DUMMYFUNCTION("""COMPUTED_VALUE"""),"NGUYỄN MINH THÀNH PHƯƠNG")</f>
        <v>NGUYỄN MINH THÀNH PHƯƠNG</v>
      </c>
      <c r="F1414" s="46" t="str">
        <f ca="1">IFERROR(__xludf.DUMMYFUNCTION("""COMPUTED_VALUE"""),"NGUYEN MINH THANH PHUONG")</f>
        <v>NGUYEN MINH THANH PHUONG</v>
      </c>
      <c r="G1414" s="45">
        <f ca="1">IFERROR(__xludf.DUMMYFUNCTION("""COMPUTED_VALUE"""),37209.625)</f>
        <v>37209.625</v>
      </c>
      <c r="H1414" s="45" t="str">
        <f ca="1">IFERROR(__xludf.DUMMYFUNCTION("""COMPUTED_VALUE"""),"YESHI")</f>
        <v>YESHI</v>
      </c>
      <c r="I1414" s="46" t="str">
        <f ca="1">IFERROR(__xludf.DUMMYFUNCTION("""COMPUTED_VALUE"""),"STORE")</f>
        <v>STORE</v>
      </c>
      <c r="J1414" s="46" t="str">
        <f ca="1">IFERROR(__xludf.DUMMYFUNCTION("""COMPUTED_VALUE"""),"YESHI D3")</f>
        <v>YESHI D3</v>
      </c>
      <c r="K1414" s="46" t="str">
        <f ca="1">IFERROR(__xludf.DUMMYFUNCTION("""COMPUTED_VALUE"""),"KIT")</f>
        <v>KIT</v>
      </c>
      <c r="L1414" s="46" t="str">
        <f ca="1">IFERROR(__xludf.DUMMYFUNCTION("""COMPUTED_VALUE"""),"PRO")</f>
        <v>PRO</v>
      </c>
      <c r="M1414" s="46" t="str">
        <f ca="1">IFERROR(__xludf.DUMMYFUNCTION("""COMPUTED_VALUE"""),"Leave")</f>
        <v>Leave</v>
      </c>
      <c r="N1414" s="46" t="str">
        <f ca="1">IFERROR(__xludf.DUMMYFUNCTION("""COMPUTED_VALUE"""),"Đủ")</f>
        <v>Đủ</v>
      </c>
    </row>
    <row r="1415" spans="1:14">
      <c r="A1415" s="45">
        <f ca="1">IFERROR(__xludf.DUMMYFUNCTION("""COMPUTED_VALUE"""),46121.5833333333)</f>
        <v>46121.583333333299</v>
      </c>
      <c r="B1415" s="45"/>
      <c r="C1415" s="46">
        <f ca="1">IFERROR(__xludf.DUMMYFUNCTION("""COMPUTED_VALUE"""),1416)</f>
        <v>1416</v>
      </c>
      <c r="D1415" s="47" t="str">
        <f ca="1">IFERROR(__xludf.DUMMYFUNCTION("""COMPUTED_VALUE"""),"C1316")</f>
        <v>C1316</v>
      </c>
      <c r="E1415" s="46" t="str">
        <f ca="1">IFERROR(__xludf.DUMMYFUNCTION("""COMPUTED_VALUE"""),"LÊ HỒNG HẠNH")</f>
        <v>LÊ HỒNG HẠNH</v>
      </c>
      <c r="F1415" s="46" t="str">
        <f ca="1">IFERROR(__xludf.DUMMYFUNCTION("""COMPUTED_VALUE"""),"LE HONG HANH")</f>
        <v>LE HONG HANH</v>
      </c>
      <c r="G1415" s="45">
        <f ca="1">IFERROR(__xludf.DUMMYFUNCTION("""COMPUTED_VALUE"""),36495.625)</f>
        <v>36495.625</v>
      </c>
      <c r="H1415" s="45" t="str">
        <f ca="1">IFERROR(__xludf.DUMMYFUNCTION("""COMPUTED_VALUE"""),"BAKES")</f>
        <v>BAKES</v>
      </c>
      <c r="I1415" s="46" t="str">
        <f ca="1">IFERROR(__xludf.DUMMYFUNCTION("""COMPUTED_VALUE"""),"STORE")</f>
        <v>STORE</v>
      </c>
      <c r="J1415" s="46" t="str">
        <f ca="1">IFERROR(__xludf.DUMMYFUNCTION("""COMPUTED_VALUE"""),"BAKES HCR")</f>
        <v>BAKES HCR</v>
      </c>
      <c r="K1415" s="46" t="str">
        <f ca="1">IFERROR(__xludf.DUMMYFUNCTION("""COMPUTED_VALUE"""),"WAITSTAFF")</f>
        <v>WAITSTAFF</v>
      </c>
      <c r="L1415" s="46" t="str">
        <f ca="1">IFERROR(__xludf.DUMMYFUNCTION("""COMPUTED_VALUE"""),"FTE")</f>
        <v>FTE</v>
      </c>
      <c r="M1415" s="46" t="str">
        <f ca="1">IFERROR(__xludf.DUMMYFUNCTION("""COMPUTED_VALUE"""),"On")</f>
        <v>On</v>
      </c>
      <c r="N1415" s="46" t="str">
        <f ca="1">IFERROR(__xludf.DUMMYFUNCTION("""COMPUTED_VALUE"""),"Đủ")</f>
        <v>Đủ</v>
      </c>
    </row>
    <row r="1416" spans="1:14">
      <c r="A1416" s="45">
        <f ca="1">IFERROR(__xludf.DUMMYFUNCTION("""COMPUTED_VALUE"""),46122.5833333333)</f>
        <v>46122.583333333299</v>
      </c>
      <c r="B1416" s="45"/>
      <c r="C1416" s="46">
        <f ca="1">IFERROR(__xludf.DUMMYFUNCTION("""COMPUTED_VALUE"""),1417)</f>
        <v>1417</v>
      </c>
      <c r="D1416" s="47" t="str">
        <f ca="1">IFERROR(__xludf.DUMMYFUNCTION("""COMPUTED_VALUE"""),"C1313")</f>
        <v>C1313</v>
      </c>
      <c r="E1416" s="46" t="str">
        <f ca="1">IFERROR(__xludf.DUMMYFUNCTION("""COMPUTED_VALUE"""),"HỒ THỊ THANH TÂM")</f>
        <v>HỒ THỊ THANH TÂM</v>
      </c>
      <c r="F1416" s="46" t="str">
        <f ca="1">IFERROR(__xludf.DUMMYFUNCTION("""COMPUTED_VALUE"""),"HO THI THANH TAM")</f>
        <v>HO THI THANH TAM</v>
      </c>
      <c r="G1416" s="45">
        <f ca="1">IFERROR(__xludf.DUMMYFUNCTION("""COMPUTED_VALUE"""),38170.5833333333)</f>
        <v>38170.583333333299</v>
      </c>
      <c r="H1416" s="45" t="str">
        <f ca="1">IFERROR(__xludf.DUMMYFUNCTION("""COMPUTED_VALUE"""),"TLC")</f>
        <v>TLC</v>
      </c>
      <c r="I1416" s="46" t="str">
        <f ca="1">IFERROR(__xludf.DUMMYFUNCTION("""COMPUTED_VALUE"""),"STORE")</f>
        <v>STORE</v>
      </c>
      <c r="J1416" s="46" t="str">
        <f ca="1">IFERROR(__xludf.DUMMYFUNCTION("""COMPUTED_VALUE"""),"BLANK LOUNGE")</f>
        <v>BLANK LOUNGE</v>
      </c>
      <c r="K1416" s="46" t="str">
        <f ca="1">IFERROR(__xludf.DUMMYFUNCTION("""COMPUTED_VALUE"""),"WAITSTAFF")</f>
        <v>WAITSTAFF</v>
      </c>
      <c r="L1416" s="46" t="str">
        <f ca="1">IFERROR(__xludf.DUMMYFUNCTION("""COMPUTED_VALUE"""),"PTEP")</f>
        <v>PTEP</v>
      </c>
      <c r="M1416" s="46" t="str">
        <f ca="1">IFERROR(__xludf.DUMMYFUNCTION("""COMPUTED_VALUE"""),"On")</f>
        <v>On</v>
      </c>
      <c r="N1416" s="46" t="str">
        <f ca="1">IFERROR(__xludf.DUMMYFUNCTION("""COMPUTED_VALUE"""),"Đủ")</f>
        <v>Đủ</v>
      </c>
    </row>
    <row r="1417" spans="1:14">
      <c r="A1417" s="45">
        <f ca="1">IFERROR(__xludf.DUMMYFUNCTION("""COMPUTED_VALUE"""),46121.5833333333)</f>
        <v>46121.583333333299</v>
      </c>
      <c r="B1417" s="45">
        <f ca="1">IFERROR(__xludf.DUMMYFUNCTION("""COMPUTED_VALUE"""),46126.5833333333)</f>
        <v>46126.583333333299</v>
      </c>
      <c r="C1417" s="46">
        <f ca="1">IFERROR(__xludf.DUMMYFUNCTION("""COMPUTED_VALUE"""),1418)</f>
        <v>1418</v>
      </c>
      <c r="D1417" s="47" t="str">
        <f ca="1">IFERROR(__xludf.DUMMYFUNCTION("""COMPUTED_VALUE"""),"C1320")</f>
        <v>C1320</v>
      </c>
      <c r="E1417" s="46" t="str">
        <f ca="1">IFERROR(__xludf.DUMMYFUNCTION("""COMPUTED_VALUE"""),"LÊ HOÀNG YẾN")</f>
        <v>LÊ HOÀNG YẾN</v>
      </c>
      <c r="F1417" s="46" t="str">
        <f ca="1">IFERROR(__xludf.DUMMYFUNCTION("""COMPUTED_VALUE"""),"LE HOANG YEN")</f>
        <v>LE HOANG YEN</v>
      </c>
      <c r="G1417" s="45">
        <f ca="1">IFERROR(__xludf.DUMMYFUNCTION("""COMPUTED_VALUE"""),37390.5833333333)</f>
        <v>37390.583333333299</v>
      </c>
      <c r="H1417" s="45" t="str">
        <f ca="1">IFERROR(__xludf.DUMMYFUNCTION("""COMPUTED_VALUE"""),"BAKES")</f>
        <v>BAKES</v>
      </c>
      <c r="I1417" s="46" t="str">
        <f ca="1">IFERROR(__xludf.DUMMYFUNCTION("""COMPUTED_VALUE"""),"STORE")</f>
        <v>STORE</v>
      </c>
      <c r="J1417" s="46" t="str">
        <f ca="1">IFERROR(__xludf.DUMMYFUNCTION("""COMPUTED_VALUE"""),"BAKES HAM NGHI")</f>
        <v>BAKES HAM NGHI</v>
      </c>
      <c r="K1417" s="46" t="str">
        <f ca="1">IFERROR(__xludf.DUMMYFUNCTION("""COMPUTED_VALUE"""),"SAL")</f>
        <v>SAL</v>
      </c>
      <c r="L1417" s="46" t="str">
        <f ca="1">IFERROR(__xludf.DUMMYFUNCTION("""COMPUTED_VALUE"""),"PRO")</f>
        <v>PRO</v>
      </c>
      <c r="M1417" s="46" t="str">
        <f ca="1">IFERROR(__xludf.DUMMYFUNCTION("""COMPUTED_VALUE"""),"Leave")</f>
        <v>Leave</v>
      </c>
      <c r="N1417" s="46" t="str">
        <f ca="1">IFERROR(__xludf.DUMMYFUNCTION("""COMPUTED_VALUE"""),"Đủ")</f>
        <v>Đủ</v>
      </c>
    </row>
    <row r="1418" spans="1:14">
      <c r="A1418" s="45">
        <f ca="1">IFERROR(__xludf.DUMMYFUNCTION("""COMPUTED_VALUE"""),46125.5833333333)</f>
        <v>46125.583333333299</v>
      </c>
      <c r="B1418" s="45">
        <f ca="1">IFERROR(__xludf.DUMMYFUNCTION("""COMPUTED_VALUE"""),46126.5833333333)</f>
        <v>46126.583333333299</v>
      </c>
      <c r="C1418" s="46">
        <f ca="1">IFERROR(__xludf.DUMMYFUNCTION("""COMPUTED_VALUE"""),1419)</f>
        <v>1419</v>
      </c>
      <c r="D1418" s="47" t="str">
        <f ca="1">IFERROR(__xludf.DUMMYFUNCTION("""COMPUTED_VALUE"""),"C1283")</f>
        <v>C1283</v>
      </c>
      <c r="E1418" s="46" t="str">
        <f ca="1">IFERROR(__xludf.DUMMYFUNCTION("""COMPUTED_VALUE"""),"ĐẶNG TUYẾT QUÂN")</f>
        <v>ĐẶNG TUYẾT QUÂN</v>
      </c>
      <c r="F1418" s="46" t="str">
        <f ca="1">IFERROR(__xludf.DUMMYFUNCTION("""COMPUTED_VALUE"""),"DANG TUYET QUAN")</f>
        <v>DANG TUYET QUAN</v>
      </c>
      <c r="G1418" s="45"/>
      <c r="H1418" s="45" t="str">
        <f ca="1">IFERROR(__xludf.DUMMYFUNCTION("""COMPUTED_VALUE"""),"MATTE")</f>
        <v>MATTE</v>
      </c>
      <c r="I1418" s="46" t="str">
        <f ca="1">IFERROR(__xludf.DUMMYFUNCTION("""COMPUTED_VALUE"""),"STORE")</f>
        <v>STORE</v>
      </c>
      <c r="J1418" s="46" t="str">
        <f ca="1">IFERROR(__xludf.DUMMYFUNCTION("""COMPUTED_VALUE"""),"MATTE D3")</f>
        <v>MATTE D3</v>
      </c>
      <c r="K1418" s="46" t="str">
        <f ca="1">IFERROR(__xludf.DUMMYFUNCTION("""COMPUTED_VALUE"""),"BAR")</f>
        <v>BAR</v>
      </c>
      <c r="L1418" s="46" t="str">
        <f ca="1">IFERROR(__xludf.DUMMYFUNCTION("""COMPUTED_VALUE"""),"PRO")</f>
        <v>PRO</v>
      </c>
      <c r="M1418" s="46" t="str">
        <f ca="1">IFERROR(__xludf.DUMMYFUNCTION("""COMPUTED_VALUE"""),"Leave")</f>
        <v>Leave</v>
      </c>
      <c r="N1418" s="46" t="str">
        <f ca="1">IFERROR(__xludf.DUMMYFUNCTION("""COMPUTED_VALUE"""),"chua nop")</f>
        <v>chua nop</v>
      </c>
    </row>
    <row r="1419" spans="1:14">
      <c r="A1419" s="45">
        <f ca="1">IFERROR(__xludf.DUMMYFUNCTION("""COMPUTED_VALUE"""),46126.5833333333)</f>
        <v>46126.583333333299</v>
      </c>
      <c r="B1419" s="45"/>
      <c r="C1419" s="46">
        <f ca="1">IFERROR(__xludf.DUMMYFUNCTION("""COMPUTED_VALUE"""),1420)</f>
        <v>1420</v>
      </c>
      <c r="D1419" s="47" t="str">
        <f ca="1">IFERROR(__xludf.DUMMYFUNCTION("""COMPUTED_VALUE"""),"C1319")</f>
        <v>C1319</v>
      </c>
      <c r="E1419" s="46" t="str">
        <f ca="1">IFERROR(__xludf.DUMMYFUNCTION("""COMPUTED_VALUE"""),"TRẦN TẤN NHẪN")</f>
        <v>TRẦN TẤN NHẪN</v>
      </c>
      <c r="F1419" s="46" t="str">
        <f ca="1">IFERROR(__xludf.DUMMYFUNCTION("""COMPUTED_VALUE"""),"TRAN TAN NHAN")</f>
        <v>TRAN TAN NHAN</v>
      </c>
      <c r="G1419" s="45">
        <f ca="1">IFERROR(__xludf.DUMMYFUNCTION("""COMPUTED_VALUE"""),38585.5833333333)</f>
        <v>38585.583333333299</v>
      </c>
      <c r="H1419" s="45" t="str">
        <f ca="1">IFERROR(__xludf.DUMMYFUNCTION("""COMPUTED_VALUE"""),"YESHI")</f>
        <v>YESHI</v>
      </c>
      <c r="I1419" s="46" t="str">
        <f ca="1">IFERROR(__xludf.DUMMYFUNCTION("""COMPUTED_VALUE"""),"STORE")</f>
        <v>STORE</v>
      </c>
      <c r="J1419" s="46" t="str">
        <f ca="1">IFERROR(__xludf.DUMMYFUNCTION("""COMPUTED_VALUE"""),"YESHI D2")</f>
        <v>YESHI D2</v>
      </c>
      <c r="K1419" s="46" t="str">
        <f ca="1">IFERROR(__xludf.DUMMYFUNCTION("""COMPUTED_VALUE"""),"KIT")</f>
        <v>KIT</v>
      </c>
      <c r="L1419" s="46" t="str">
        <f ca="1">IFERROR(__xludf.DUMMYFUNCTION("""COMPUTED_VALUE"""),"PRO")</f>
        <v>PRO</v>
      </c>
      <c r="M1419" s="46" t="str">
        <f ca="1">IFERROR(__xludf.DUMMYFUNCTION("""COMPUTED_VALUE"""),"On")</f>
        <v>On</v>
      </c>
      <c r="N1419" s="46" t="str">
        <f ca="1">IFERROR(__xludf.DUMMYFUNCTION("""COMPUTED_VALUE"""),"Đủ")</f>
        <v>Đủ</v>
      </c>
    </row>
    <row r="1420" spans="1:14">
      <c r="A1420" s="45">
        <f ca="1">IFERROR(__xludf.DUMMYFUNCTION("""COMPUTED_VALUE"""),46126.5833333333)</f>
        <v>46126.583333333299</v>
      </c>
      <c r="B1420" s="45"/>
      <c r="C1420" s="46">
        <f ca="1">IFERROR(__xludf.DUMMYFUNCTION("""COMPUTED_VALUE"""),1421)</f>
        <v>1421</v>
      </c>
      <c r="D1420" s="47" t="str">
        <f ca="1">IFERROR(__xludf.DUMMYFUNCTION("""COMPUTED_VALUE"""),"C1321")</f>
        <v>C1321</v>
      </c>
      <c r="E1420" s="46" t="str">
        <f ca="1">IFERROR(__xludf.DUMMYFUNCTION("""COMPUTED_VALUE"""),"HOÀNG VĂN TRUNG")</f>
        <v>HOÀNG VĂN TRUNG</v>
      </c>
      <c r="F1420" s="46" t="str">
        <f ca="1">IFERROR(__xludf.DUMMYFUNCTION("""COMPUTED_VALUE"""),"HOANG VAN TRUNG")</f>
        <v>HOANG VAN TRUNG</v>
      </c>
      <c r="G1420" s="45">
        <f ca="1">IFERROR(__xludf.DUMMYFUNCTION("""COMPUTED_VALUE"""),37078.5833333333)</f>
        <v>37078.583333333299</v>
      </c>
      <c r="H1420" s="45" t="str">
        <f ca="1">IFERROR(__xludf.DUMMYFUNCTION("""COMPUTED_VALUE"""),"TLC")</f>
        <v>TLC</v>
      </c>
      <c r="I1420" s="46" t="str">
        <f ca="1">IFERROR(__xludf.DUMMYFUNCTION("""COMPUTED_VALUE"""),"HO")</f>
        <v>HO</v>
      </c>
      <c r="J1420" s="46" t="str">
        <f ca="1">IFERROR(__xludf.DUMMYFUNCTION("""COMPUTED_VALUE"""),"SAL")</f>
        <v>SAL</v>
      </c>
      <c r="K1420" s="46" t="str">
        <f ca="1">IFERROR(__xludf.DUMMYFUNCTION("""COMPUTED_VALUE"""),"SAL")</f>
        <v>SAL</v>
      </c>
      <c r="L1420" s="46" t="str">
        <f ca="1">IFERROR(__xludf.DUMMYFUNCTION("""COMPUTED_VALUE"""),"FTE")</f>
        <v>FTE</v>
      </c>
      <c r="M1420" s="46" t="str">
        <f ca="1">IFERROR(__xludf.DUMMYFUNCTION("""COMPUTED_VALUE"""),"On")</f>
        <v>On</v>
      </c>
      <c r="N1420" s="46" t="str">
        <f ca="1">IFERROR(__xludf.DUMMYFUNCTION("""COMPUTED_VALUE"""),"Đủ")</f>
        <v>Đủ</v>
      </c>
    </row>
    <row r="1421" spans="1:14">
      <c r="A1421" s="45">
        <f ca="1">IFERROR(__xludf.DUMMYFUNCTION("""COMPUTED_VALUE"""),46125.5833333333)</f>
        <v>46125.583333333299</v>
      </c>
      <c r="B1421" s="45"/>
      <c r="C1421" s="46">
        <f ca="1">IFERROR(__xludf.DUMMYFUNCTION("""COMPUTED_VALUE"""),1422)</f>
        <v>1422</v>
      </c>
      <c r="D1421" s="47" t="str">
        <f ca="1">IFERROR(__xludf.DUMMYFUNCTION("""COMPUTED_VALUE"""),"C1314")</f>
        <v>C1314</v>
      </c>
      <c r="E1421" s="46" t="str">
        <f ca="1">IFERROR(__xludf.DUMMYFUNCTION("""COMPUTED_VALUE"""),"NGUYỄN NGỌC QUÝ TIÊN")</f>
        <v>NGUYỄN NGỌC QUÝ TIÊN</v>
      </c>
      <c r="F1421" s="46" t="str">
        <f ca="1">IFERROR(__xludf.DUMMYFUNCTION("""COMPUTED_VALUE"""),"NGUYEN NGOC QUY TIEN")</f>
        <v>NGUYEN NGOC QUY TIEN</v>
      </c>
      <c r="G1421" s="45">
        <f ca="1">IFERROR(__xludf.DUMMYFUNCTION("""COMPUTED_VALUE"""),37923.625)</f>
        <v>37923.625</v>
      </c>
      <c r="H1421" s="45" t="str">
        <f ca="1">IFERROR(__xludf.DUMMYFUNCTION("""COMPUTED_VALUE"""),"TLC")</f>
        <v>TLC</v>
      </c>
      <c r="I1421" s="46" t="str">
        <f ca="1">IFERROR(__xludf.DUMMYFUNCTION("""COMPUTED_VALUE"""),"STORE")</f>
        <v>STORE</v>
      </c>
      <c r="J1421" s="46" t="str">
        <f ca="1">IFERROR(__xludf.DUMMYFUNCTION("""COMPUTED_VALUE"""),"BLANK LOUNGE")</f>
        <v>BLANK LOUNGE</v>
      </c>
      <c r="K1421" s="46" t="str">
        <f ca="1">IFERROR(__xludf.DUMMYFUNCTION("""COMPUTED_VALUE"""),"WAITSTAFF")</f>
        <v>WAITSTAFF</v>
      </c>
      <c r="L1421" s="46" t="str">
        <f ca="1">IFERROR(__xludf.DUMMYFUNCTION("""COMPUTED_VALUE"""),"PTE")</f>
        <v>PTE</v>
      </c>
      <c r="M1421" s="46" t="str">
        <f ca="1">IFERROR(__xludf.DUMMYFUNCTION("""COMPUTED_VALUE"""),"On")</f>
        <v>On</v>
      </c>
      <c r="N1421" s="46" t="str">
        <f ca="1">IFERROR(__xludf.DUMMYFUNCTION("""COMPUTED_VALUE"""),"Đủ")</f>
        <v>Đủ</v>
      </c>
    </row>
    <row r="1422" spans="1:14">
      <c r="A1422" s="45">
        <f ca="1">IFERROR(__xludf.DUMMYFUNCTION("""COMPUTED_VALUE"""),46125.5833333333)</f>
        <v>46125.583333333299</v>
      </c>
      <c r="B1422" s="45">
        <f ca="1">IFERROR(__xludf.DUMMYFUNCTION("""COMPUTED_VALUE"""),46126.5833333333)</f>
        <v>46126.583333333299</v>
      </c>
      <c r="C1422" s="46">
        <f ca="1">IFERROR(__xludf.DUMMYFUNCTION("""COMPUTED_VALUE"""),1423)</f>
        <v>1423</v>
      </c>
      <c r="D1422" s="47" t="str">
        <f ca="1">IFERROR(__xludf.DUMMYFUNCTION("""COMPUTED_VALUE"""),"C1315")</f>
        <v>C1315</v>
      </c>
      <c r="E1422" s="46" t="str">
        <f ca="1">IFERROR(__xludf.DUMMYFUNCTION("""COMPUTED_VALUE"""),"PHAN TRẦN HỮU NHƠN")</f>
        <v>PHAN TRẦN HỮU NHƠN</v>
      </c>
      <c r="F1422" s="46" t="str">
        <f ca="1">IFERROR(__xludf.DUMMYFUNCTION("""COMPUTED_VALUE"""),"PHAN TRAN HUU NHON")</f>
        <v>PHAN TRAN HUU NHON</v>
      </c>
      <c r="G1422" s="45">
        <f ca="1">IFERROR(__xludf.DUMMYFUNCTION("""COMPUTED_VALUE"""),37667.625)</f>
        <v>37667.625</v>
      </c>
      <c r="H1422" s="45" t="str">
        <f ca="1">IFERROR(__xludf.DUMMYFUNCTION("""COMPUTED_VALUE"""),"BAKES")</f>
        <v>BAKES</v>
      </c>
      <c r="I1422" s="46" t="str">
        <f ca="1">IFERROR(__xludf.DUMMYFUNCTION("""COMPUTED_VALUE"""),"STORE")</f>
        <v>STORE</v>
      </c>
      <c r="J1422" s="46" t="str">
        <f ca="1">IFERROR(__xludf.DUMMYFUNCTION("""COMPUTED_VALUE"""),"BAKES D2")</f>
        <v>BAKES D2</v>
      </c>
      <c r="K1422" s="46" t="str">
        <f ca="1">IFERROR(__xludf.DUMMYFUNCTION("""COMPUTED_VALUE"""),"WAITSTAFF")</f>
        <v>WAITSTAFF</v>
      </c>
      <c r="L1422" s="46" t="str">
        <f ca="1">IFERROR(__xludf.DUMMYFUNCTION("""COMPUTED_VALUE"""),"PTEP")</f>
        <v>PTEP</v>
      </c>
      <c r="M1422" s="46" t="str">
        <f ca="1">IFERROR(__xludf.DUMMYFUNCTION("""COMPUTED_VALUE"""),"Leave")</f>
        <v>Leave</v>
      </c>
      <c r="N1422" s="46" t="str">
        <f ca="1">IFERROR(__xludf.DUMMYFUNCTION("""COMPUTED_VALUE"""),"chua nop")</f>
        <v>chua nop</v>
      </c>
    </row>
    <row r="1423" spans="1:14">
      <c r="A1423" s="45">
        <f ca="1">IFERROR(__xludf.DUMMYFUNCTION("""COMPUTED_VALUE"""),46127.5833333333)</f>
        <v>46127.583333333299</v>
      </c>
      <c r="B1423" s="45">
        <f ca="1">IFERROR(__xludf.DUMMYFUNCTION("""COMPUTED_VALUE"""),46128.5833333333)</f>
        <v>46128.583333333299</v>
      </c>
      <c r="C1423" s="46">
        <f ca="1">IFERROR(__xludf.DUMMYFUNCTION("""COMPUTED_VALUE"""),1424)</f>
        <v>1424</v>
      </c>
      <c r="D1423" s="47" t="str">
        <f ca="1">IFERROR(__xludf.DUMMYFUNCTION("""COMPUTED_VALUE"""),"C1324")</f>
        <v>C1324</v>
      </c>
      <c r="E1423" s="46" t="str">
        <f ca="1">IFERROR(__xludf.DUMMYFUNCTION("""COMPUTED_VALUE"""),"TRẦN THỊ UYÊN THI")</f>
        <v>TRẦN THỊ UYÊN THI</v>
      </c>
      <c r="F1423" s="46" t="str">
        <f ca="1">IFERROR(__xludf.DUMMYFUNCTION("""COMPUTED_VALUE"""),"TRAN THI UYEN THI")</f>
        <v>TRAN THI UYEN THI</v>
      </c>
      <c r="G1423" s="45"/>
      <c r="H1423" s="45" t="str">
        <f ca="1">IFERROR(__xludf.DUMMYFUNCTION("""COMPUTED_VALUE"""),"BAKES")</f>
        <v>BAKES</v>
      </c>
      <c r="I1423" s="46" t="str">
        <f ca="1">IFERROR(__xludf.DUMMYFUNCTION("""COMPUTED_VALUE"""),"STORE")</f>
        <v>STORE</v>
      </c>
      <c r="J1423" s="46" t="str">
        <f ca="1">IFERROR(__xludf.DUMMYFUNCTION("""COMPUTED_VALUE"""),"BAKES HCR")</f>
        <v>BAKES HCR</v>
      </c>
      <c r="K1423" s="46" t="str">
        <f ca="1">IFERROR(__xludf.DUMMYFUNCTION("""COMPUTED_VALUE"""),"WAITSTAFF")</f>
        <v>WAITSTAFF</v>
      </c>
      <c r="L1423" s="46" t="str">
        <f ca="1">IFERROR(__xludf.DUMMYFUNCTION("""COMPUTED_VALUE"""),"PTEP")</f>
        <v>PTEP</v>
      </c>
      <c r="M1423" s="46" t="str">
        <f ca="1">IFERROR(__xludf.DUMMYFUNCTION("""COMPUTED_VALUE"""),"Leave")</f>
        <v>Leave</v>
      </c>
      <c r="N1423" s="46" t="str">
        <f ca="1">IFERROR(__xludf.DUMMYFUNCTION("""COMPUTED_VALUE"""),"chua nop")</f>
        <v>chua nop</v>
      </c>
    </row>
    <row r="1424" spans="1:14">
      <c r="A1424" s="45">
        <f ca="1">IFERROR(__xludf.DUMMYFUNCTION("""COMPUTED_VALUE"""),46129.5833333333)</f>
        <v>46129.583333333299</v>
      </c>
      <c r="B1424" s="45"/>
      <c r="C1424" s="46">
        <f ca="1">IFERROR(__xludf.DUMMYFUNCTION("""COMPUTED_VALUE"""),1425)</f>
        <v>1425</v>
      </c>
      <c r="D1424" s="47" t="str">
        <f ca="1">IFERROR(__xludf.DUMMYFUNCTION("""COMPUTED_VALUE"""),"C1327")</f>
        <v>C1327</v>
      </c>
      <c r="E1424" s="46" t="str">
        <f ca="1">IFERROR(__xludf.DUMMYFUNCTION("""COMPUTED_VALUE"""),"HUỲNH QUẾ BÌNH")</f>
        <v>HUỲNH QUẾ BÌNH</v>
      </c>
      <c r="F1424" s="46" t="str">
        <f ca="1">IFERROR(__xludf.DUMMYFUNCTION("""COMPUTED_VALUE"""),"HUYNH QUE BINH")</f>
        <v>HUYNH QUE BINH</v>
      </c>
      <c r="G1424" s="45">
        <f ca="1">IFERROR(__xludf.DUMMYFUNCTION("""COMPUTED_VALUE"""),37924.625)</f>
        <v>37924.625</v>
      </c>
      <c r="H1424" s="45" t="str">
        <f ca="1">IFERROR(__xludf.DUMMYFUNCTION("""COMPUTED_VALUE"""),"KITCHEN PASTRY")</f>
        <v>KITCHEN PASTRY</v>
      </c>
      <c r="I1424" s="46" t="str">
        <f ca="1">IFERROR(__xludf.DUMMYFUNCTION("""COMPUTED_VALUE"""),"KITCHEN PASTRY")</f>
        <v>KITCHEN PASTRY</v>
      </c>
      <c r="J1424" s="46" t="str">
        <f ca="1">IFERROR(__xludf.DUMMYFUNCTION("""COMPUTED_VALUE"""),"KITCHEN PASTRY")</f>
        <v>KITCHEN PASTRY</v>
      </c>
      <c r="K1424" s="46" t="str">
        <f ca="1">IFERROR(__xludf.DUMMYFUNCTION("""COMPUTED_VALUE"""),"PASTRY")</f>
        <v>PASTRY</v>
      </c>
      <c r="L1424" s="46" t="str">
        <f ca="1">IFERROR(__xludf.DUMMYFUNCTION("""COMPUTED_VALUE"""),"FTE")</f>
        <v>FTE</v>
      </c>
      <c r="M1424" s="46" t="str">
        <f ca="1">IFERROR(__xludf.DUMMYFUNCTION("""COMPUTED_VALUE"""),"On")</f>
        <v>On</v>
      </c>
      <c r="N1424" s="46" t="str">
        <f ca="1">IFERROR(__xludf.DUMMYFUNCTION("""COMPUTED_VALUE"""),"Đủ")</f>
        <v>Đủ</v>
      </c>
    </row>
    <row r="1425" spans="1:14">
      <c r="A1425" s="45">
        <f ca="1">IFERROR(__xludf.DUMMYFUNCTION("""COMPUTED_VALUE"""),46128.5833333333)</f>
        <v>46128.583333333299</v>
      </c>
      <c r="B1425" s="45"/>
      <c r="C1425" s="46">
        <f ca="1">IFERROR(__xludf.DUMMYFUNCTION("""COMPUTED_VALUE"""),1426)</f>
        <v>1426</v>
      </c>
      <c r="D1425" s="47" t="str">
        <f ca="1">IFERROR(__xludf.DUMMYFUNCTION("""COMPUTED_VALUE"""),"C1329")</f>
        <v>C1329</v>
      </c>
      <c r="E1425" s="46" t="str">
        <f ca="1">IFERROR(__xludf.DUMMYFUNCTION("""COMPUTED_VALUE"""),"ĐẶNG NGUYỄN YÊN THẢO")</f>
        <v>ĐẶNG NGUYỄN YÊN THẢO</v>
      </c>
      <c r="F1425" s="46" t="str">
        <f ca="1">IFERROR(__xludf.DUMMYFUNCTION("""COMPUTED_VALUE"""),"DANG NGUYEN YEN THAO")</f>
        <v>DANG NGUYEN YEN THAO</v>
      </c>
      <c r="G1425" s="45">
        <f ca="1">IFERROR(__xludf.DUMMYFUNCTION("""COMPUTED_VALUE"""),39020.625)</f>
        <v>39020.625</v>
      </c>
      <c r="H1425" s="45" t="str">
        <f ca="1">IFERROR(__xludf.DUMMYFUNCTION("""COMPUTED_VALUE"""),"BAKES")</f>
        <v>BAKES</v>
      </c>
      <c r="I1425" s="46" t="str">
        <f ca="1">IFERROR(__xludf.DUMMYFUNCTION("""COMPUTED_VALUE"""),"STORE")</f>
        <v>STORE</v>
      </c>
      <c r="J1425" s="46" t="str">
        <f ca="1">IFERROR(__xludf.DUMMYFUNCTION("""COMPUTED_VALUE"""),"BAKES D7")</f>
        <v>BAKES D7</v>
      </c>
      <c r="K1425" s="46" t="str">
        <f ca="1">IFERROR(__xludf.DUMMYFUNCTION("""COMPUTED_VALUE"""),"WAITSTAFF")</f>
        <v>WAITSTAFF</v>
      </c>
      <c r="L1425" s="46" t="str">
        <f ca="1">IFERROR(__xludf.DUMMYFUNCTION("""COMPUTED_VALUE"""),"PTE")</f>
        <v>PTE</v>
      </c>
      <c r="M1425" s="46" t="str">
        <f ca="1">IFERROR(__xludf.DUMMYFUNCTION("""COMPUTED_VALUE"""),"On")</f>
        <v>On</v>
      </c>
      <c r="N1425" s="46" t="str">
        <f ca="1">IFERROR(__xludf.DUMMYFUNCTION("""COMPUTED_VALUE"""),"Đủ")</f>
        <v>Đủ</v>
      </c>
    </row>
    <row r="1426" spans="1:14">
      <c r="A1426" s="45">
        <f ca="1">IFERROR(__xludf.DUMMYFUNCTION("""COMPUTED_VALUE"""),46125.5833333333)</f>
        <v>46125.583333333299</v>
      </c>
      <c r="B1426" s="45">
        <f ca="1">IFERROR(__xludf.DUMMYFUNCTION("""COMPUTED_VALUE"""),46146.5833333333)</f>
        <v>46146.583333333299</v>
      </c>
      <c r="C1426" s="46">
        <f ca="1">IFERROR(__xludf.DUMMYFUNCTION("""COMPUTED_VALUE"""),1427)</f>
        <v>1427</v>
      </c>
      <c r="D1426" s="47" t="str">
        <f ca="1">IFERROR(__xludf.DUMMYFUNCTION("""COMPUTED_VALUE"""),"C1331")</f>
        <v>C1331</v>
      </c>
      <c r="E1426" s="46" t="str">
        <f ca="1">IFERROR(__xludf.DUMMYFUNCTION("""COMPUTED_VALUE"""),"MAI KHÁNH DU")</f>
        <v>MAI KHÁNH DU</v>
      </c>
      <c r="F1426" s="46" t="str">
        <f ca="1">IFERROR(__xludf.DUMMYFUNCTION("""COMPUTED_VALUE"""),"MAI KHANH DU")</f>
        <v>MAI KHANH DU</v>
      </c>
      <c r="G1426" s="45">
        <f ca="1">IFERROR(__xludf.DUMMYFUNCTION("""COMPUTED_VALUE"""),38760.625)</f>
        <v>38760.625</v>
      </c>
      <c r="H1426" s="45" t="str">
        <f ca="1">IFERROR(__xludf.DUMMYFUNCTION("""COMPUTED_VALUE"""),"MATTE")</f>
        <v>MATTE</v>
      </c>
      <c r="I1426" s="46" t="str">
        <f ca="1">IFERROR(__xludf.DUMMYFUNCTION("""COMPUTED_VALUE"""),"STORE")</f>
        <v>STORE</v>
      </c>
      <c r="J1426" s="46" t="str">
        <f ca="1">IFERROR(__xludf.DUMMYFUNCTION("""COMPUTED_VALUE"""),"MATTE D7")</f>
        <v>MATTE D7</v>
      </c>
      <c r="K1426" s="46" t="str">
        <f ca="1">IFERROR(__xludf.DUMMYFUNCTION("""COMPUTED_VALUE"""),"BAR")</f>
        <v>BAR</v>
      </c>
      <c r="L1426" s="46" t="str">
        <f ca="1">IFERROR(__xludf.DUMMYFUNCTION("""COMPUTED_VALUE"""),"PTEP")</f>
        <v>PTEP</v>
      </c>
      <c r="M1426" s="46" t="str">
        <f ca="1">IFERROR(__xludf.DUMMYFUNCTION("""COMPUTED_VALUE"""),"Leave")</f>
        <v>Leave</v>
      </c>
      <c r="N1426" s="46" t="str">
        <f ca="1">IFERROR(__xludf.DUMMYFUNCTION("""COMPUTED_VALUE"""),"Đủ")</f>
        <v>Đủ</v>
      </c>
    </row>
    <row r="1427" spans="1:14">
      <c r="A1427" s="45">
        <f ca="1">IFERROR(__xludf.DUMMYFUNCTION("""COMPUTED_VALUE"""),46113.5833333333)</f>
        <v>46113.583333333299</v>
      </c>
      <c r="B1427" s="45"/>
      <c r="C1427" s="46">
        <f ca="1">IFERROR(__xludf.DUMMYFUNCTION("""COMPUTED_VALUE"""),1428)</f>
        <v>1428</v>
      </c>
      <c r="D1427" s="47" t="str">
        <f ca="1">IFERROR(__xludf.DUMMYFUNCTION("""COMPUTED_VALUE"""),"C1298")</f>
        <v>C1298</v>
      </c>
      <c r="E1427" s="46" t="str">
        <f ca="1">IFERROR(__xludf.DUMMYFUNCTION("""COMPUTED_VALUE"""),"TRẦN THUÝ LÀNH")</f>
        <v>TRẦN THUÝ LÀNH</v>
      </c>
      <c r="F1427" s="46" t="str">
        <f ca="1">IFERROR(__xludf.DUMMYFUNCTION("""COMPUTED_VALUE"""),"TRAN THUY LANH")</f>
        <v>TRAN THUY LANH</v>
      </c>
      <c r="G1427" s="45">
        <f ca="1">IFERROR(__xludf.DUMMYFUNCTION("""COMPUTED_VALUE"""),38395.625)</f>
        <v>38395.625</v>
      </c>
      <c r="H1427" s="45" t="str">
        <f ca="1">IFERROR(__xludf.DUMMYFUNCTION("""COMPUTED_VALUE"""),"YESHI")</f>
        <v>YESHI</v>
      </c>
      <c r="I1427" s="46" t="str">
        <f ca="1">IFERROR(__xludf.DUMMYFUNCTION("""COMPUTED_VALUE"""),"STORE")</f>
        <v>STORE</v>
      </c>
      <c r="J1427" s="46" t="str">
        <f ca="1">IFERROR(__xludf.DUMMYFUNCTION("""COMPUTED_VALUE"""),"YESHI D2")</f>
        <v>YESHI D2</v>
      </c>
      <c r="K1427" s="46" t="str">
        <f ca="1">IFERROR(__xludf.DUMMYFUNCTION("""COMPUTED_VALUE"""),"KIT")</f>
        <v>KIT</v>
      </c>
      <c r="L1427" s="46" t="str">
        <f ca="1">IFERROR(__xludf.DUMMYFUNCTION("""COMPUTED_VALUE"""),"PTE")</f>
        <v>PTE</v>
      </c>
      <c r="M1427" s="46" t="str">
        <f ca="1">IFERROR(__xludf.DUMMYFUNCTION("""COMPUTED_VALUE"""),"On")</f>
        <v>On</v>
      </c>
      <c r="N1427" s="46" t="str">
        <f ca="1">IFERROR(__xludf.DUMMYFUNCTION("""COMPUTED_VALUE"""),"Đủ")</f>
        <v>Đủ</v>
      </c>
    </row>
    <row r="1428" spans="1:14">
      <c r="A1428" s="45">
        <f ca="1">IFERROR(__xludf.DUMMYFUNCTION("""COMPUTED_VALUE"""),46126.5833333333)</f>
        <v>46126.583333333299</v>
      </c>
      <c r="B1428" s="45">
        <f ca="1">IFERROR(__xludf.DUMMYFUNCTION("""COMPUTED_VALUE"""),46128.5833333333)</f>
        <v>46128.583333333299</v>
      </c>
      <c r="C1428" s="46">
        <f ca="1">IFERROR(__xludf.DUMMYFUNCTION("""COMPUTED_VALUE"""),1429)</f>
        <v>1429</v>
      </c>
      <c r="D1428" s="47" t="str">
        <f ca="1">IFERROR(__xludf.DUMMYFUNCTION("""COMPUTED_VALUE"""),"C1339")</f>
        <v>C1339</v>
      </c>
      <c r="E1428" s="46" t="str">
        <f ca="1">IFERROR(__xludf.DUMMYFUNCTION("""COMPUTED_VALUE"""),"NGUYỄN THANH TIỀN")</f>
        <v>NGUYỄN THANH TIỀN</v>
      </c>
      <c r="F1428" s="46" t="str">
        <f ca="1">IFERROR(__xludf.DUMMYFUNCTION("""COMPUTED_VALUE"""),"NGUYEN THANH TIEN")</f>
        <v>NGUYEN THANH TIEN</v>
      </c>
      <c r="G1428" s="45">
        <f ca="1">IFERROR(__xludf.DUMMYFUNCTION("""COMPUTED_VALUE"""),38351.625)</f>
        <v>38351.625</v>
      </c>
      <c r="H1428" s="45" t="str">
        <f ca="1">IFERROR(__xludf.DUMMYFUNCTION("""COMPUTED_VALUE"""),"YESHI")</f>
        <v>YESHI</v>
      </c>
      <c r="I1428" s="46" t="str">
        <f ca="1">IFERROR(__xludf.DUMMYFUNCTION("""COMPUTED_VALUE"""),"STORE")</f>
        <v>STORE</v>
      </c>
      <c r="J1428" s="46" t="str">
        <f ca="1">IFERROR(__xludf.DUMMYFUNCTION("""COMPUTED_VALUE"""),"YESHI D2")</f>
        <v>YESHI D2</v>
      </c>
      <c r="K1428" s="46" t="str">
        <f ca="1">IFERROR(__xludf.DUMMYFUNCTION("""COMPUTED_VALUE"""),"BAR")</f>
        <v>BAR</v>
      </c>
      <c r="L1428" s="46" t="str">
        <f ca="1">IFERROR(__xludf.DUMMYFUNCTION("""COMPUTED_VALUE"""),"PRO")</f>
        <v>PRO</v>
      </c>
      <c r="M1428" s="46" t="str">
        <f ca="1">IFERROR(__xludf.DUMMYFUNCTION("""COMPUTED_VALUE"""),"Leave")</f>
        <v>Leave</v>
      </c>
      <c r="N1428" s="46" t="str">
        <f ca="1">IFERROR(__xludf.DUMMYFUNCTION("""COMPUTED_VALUE"""),"chua nop")</f>
        <v>chua nop</v>
      </c>
    </row>
    <row r="1429" spans="1:14">
      <c r="A1429" s="45">
        <f ca="1">IFERROR(__xludf.DUMMYFUNCTION("""COMPUTED_VALUE"""),46129.5833333333)</f>
        <v>46129.583333333299</v>
      </c>
      <c r="B1429" s="45">
        <f ca="1">IFERROR(__xludf.DUMMYFUNCTION("""COMPUTED_VALUE"""),46130.5833333333)</f>
        <v>46130.583333333299</v>
      </c>
      <c r="C1429" s="46">
        <f ca="1">IFERROR(__xludf.DUMMYFUNCTION("""COMPUTED_VALUE"""),1430)</f>
        <v>1430</v>
      </c>
      <c r="D1429" s="47" t="str">
        <f ca="1">IFERROR(__xludf.DUMMYFUNCTION("""COMPUTED_VALUE"""),"C1332")</f>
        <v>C1332</v>
      </c>
      <c r="E1429" s="46" t="str">
        <f ca="1">IFERROR(__xludf.DUMMYFUNCTION("""COMPUTED_VALUE"""),"NGUYỄN ANH VŨ")</f>
        <v>NGUYỄN ANH VŨ</v>
      </c>
      <c r="F1429" s="46" t="str">
        <f ca="1">IFERROR(__xludf.DUMMYFUNCTION("""COMPUTED_VALUE"""),"NGUYEN ANH VU")</f>
        <v>NGUYEN ANH VU</v>
      </c>
      <c r="G1429" s="45"/>
      <c r="H1429" s="45" t="str">
        <f ca="1">IFERROR(__xludf.DUMMYFUNCTION("""COMPUTED_VALUE"""),"BAKES")</f>
        <v>BAKES</v>
      </c>
      <c r="I1429" s="46" t="str">
        <f ca="1">IFERROR(__xludf.DUMMYFUNCTION("""COMPUTED_VALUE"""),"STORE")</f>
        <v>STORE</v>
      </c>
      <c r="J1429" s="46" t="str">
        <f ca="1">IFERROR(__xludf.DUMMYFUNCTION("""COMPUTED_VALUE"""),"BAKES D2")</f>
        <v>BAKES D2</v>
      </c>
      <c r="K1429" s="46" t="str">
        <f ca="1">IFERROR(__xludf.DUMMYFUNCTION("""COMPUTED_VALUE"""),"WAITSTAFF")</f>
        <v>WAITSTAFF</v>
      </c>
      <c r="L1429" s="46" t="str">
        <f ca="1">IFERROR(__xludf.DUMMYFUNCTION("""COMPUTED_VALUE"""),"PRO")</f>
        <v>PRO</v>
      </c>
      <c r="M1429" s="46" t="str">
        <f ca="1">IFERROR(__xludf.DUMMYFUNCTION("""COMPUTED_VALUE"""),"Leave")</f>
        <v>Leave</v>
      </c>
      <c r="N1429" s="46" t="str">
        <f ca="1">IFERROR(__xludf.DUMMYFUNCTION("""COMPUTED_VALUE"""),"chua nop")</f>
        <v>chua nop</v>
      </c>
    </row>
    <row r="1430" spans="1:14">
      <c r="A1430" s="45">
        <f ca="1">IFERROR(__xludf.DUMMYFUNCTION("""COMPUTED_VALUE"""),46132.5833333333)</f>
        <v>46132.583333333299</v>
      </c>
      <c r="B1430" s="45"/>
      <c r="C1430" s="46">
        <f ca="1">IFERROR(__xludf.DUMMYFUNCTION("""COMPUTED_VALUE"""),1431)</f>
        <v>1431</v>
      </c>
      <c r="D1430" s="47" t="str">
        <f ca="1">IFERROR(__xludf.DUMMYFUNCTION("""COMPUTED_VALUE"""),"C1325")</f>
        <v>C1325</v>
      </c>
      <c r="E1430" s="46" t="str">
        <f ca="1">IFERROR(__xludf.DUMMYFUNCTION("""COMPUTED_VALUE"""),"TẤT NGŨ KIM PHƯƠNG")</f>
        <v>TẤT NGŨ KIM PHƯƠNG</v>
      </c>
      <c r="F1430" s="46" t="str">
        <f ca="1">IFERROR(__xludf.DUMMYFUNCTION("""COMPUTED_VALUE"""),"TAT NGU KIM PHUONG")</f>
        <v>TAT NGU KIM PHUONG</v>
      </c>
      <c r="G1430" s="45">
        <f ca="1">IFERROR(__xludf.DUMMYFUNCTION("""COMPUTED_VALUE"""),38824.5833333333)</f>
        <v>38824.583333333299</v>
      </c>
      <c r="H1430" s="45" t="str">
        <f ca="1">IFERROR(__xludf.DUMMYFUNCTION("""COMPUTED_VALUE"""),"BAKES")</f>
        <v>BAKES</v>
      </c>
      <c r="I1430" s="46" t="str">
        <f ca="1">IFERROR(__xludf.DUMMYFUNCTION("""COMPUTED_VALUE"""),"STORE")</f>
        <v>STORE</v>
      </c>
      <c r="J1430" s="46" t="str">
        <f ca="1">IFERROR(__xludf.DUMMYFUNCTION("""COMPUTED_VALUE"""),"BAKES HAM NGHI")</f>
        <v>BAKES HAM NGHI</v>
      </c>
      <c r="K1430" s="46" t="str">
        <f ca="1">IFERROR(__xludf.DUMMYFUNCTION("""COMPUTED_VALUE"""),"SAL")</f>
        <v>SAL</v>
      </c>
      <c r="L1430" s="46" t="str">
        <f ca="1">IFERROR(__xludf.DUMMYFUNCTION("""COMPUTED_VALUE"""),"PTE")</f>
        <v>PTE</v>
      </c>
      <c r="M1430" s="46" t="str">
        <f ca="1">IFERROR(__xludf.DUMMYFUNCTION("""COMPUTED_VALUE"""),"On")</f>
        <v>On</v>
      </c>
      <c r="N1430" s="46" t="str">
        <f ca="1">IFERROR(__xludf.DUMMYFUNCTION("""COMPUTED_VALUE"""),"Đủ")</f>
        <v>Đủ</v>
      </c>
    </row>
    <row r="1431" spans="1:14">
      <c r="A1431" s="45">
        <f ca="1">IFERROR(__xludf.DUMMYFUNCTION("""COMPUTED_VALUE"""),46135.5833333333)</f>
        <v>46135.583333333299</v>
      </c>
      <c r="B1431" s="45">
        <f ca="1">IFERROR(__xludf.DUMMYFUNCTION("""COMPUTED_VALUE"""),46137.5833333333)</f>
        <v>46137.583333333299</v>
      </c>
      <c r="C1431" s="46">
        <f ca="1">IFERROR(__xludf.DUMMYFUNCTION("""COMPUTED_VALUE"""),1432)</f>
        <v>1432</v>
      </c>
      <c r="D1431" s="47" t="str">
        <f ca="1">IFERROR(__xludf.DUMMYFUNCTION("""COMPUTED_VALUE"""),"C1333")</f>
        <v>C1333</v>
      </c>
      <c r="E1431" s="46" t="str">
        <f ca="1">IFERROR(__xludf.DUMMYFUNCTION("""COMPUTED_VALUE"""),"CHU QUÁCH PHÚC LINH")</f>
        <v>CHU QUÁCH PHÚC LINH</v>
      </c>
      <c r="F1431" s="46" t="str">
        <f ca="1">IFERROR(__xludf.DUMMYFUNCTION("""COMPUTED_VALUE"""),"CHU QUACH PHUC LINH")</f>
        <v>CHU QUACH PHUC LINH</v>
      </c>
      <c r="G1431" s="45">
        <f ca="1">IFERROR(__xludf.DUMMYFUNCTION("""COMPUTED_VALUE"""),38851.5833333333)</f>
        <v>38851.583333333299</v>
      </c>
      <c r="H1431" s="45" t="str">
        <f ca="1">IFERROR(__xludf.DUMMYFUNCTION("""COMPUTED_VALUE"""),"BAKES")</f>
        <v>BAKES</v>
      </c>
      <c r="I1431" s="46" t="str">
        <f ca="1">IFERROR(__xludf.DUMMYFUNCTION("""COMPUTED_VALUE"""),"STORE")</f>
        <v>STORE</v>
      </c>
      <c r="J1431" s="46" t="str">
        <f ca="1">IFERROR(__xludf.DUMMYFUNCTION("""COMPUTED_VALUE"""),"BAKES D2")</f>
        <v>BAKES D2</v>
      </c>
      <c r="K1431" s="46" t="str">
        <f ca="1">IFERROR(__xludf.DUMMYFUNCTION("""COMPUTED_VALUE"""),"WAITSTAFF")</f>
        <v>WAITSTAFF</v>
      </c>
      <c r="L1431" s="46" t="str">
        <f ca="1">IFERROR(__xludf.DUMMYFUNCTION("""COMPUTED_VALUE"""),"PTEP")</f>
        <v>PTEP</v>
      </c>
      <c r="M1431" s="46" t="str">
        <f ca="1">IFERROR(__xludf.DUMMYFUNCTION("""COMPUTED_VALUE"""),"Leave")</f>
        <v>Leave</v>
      </c>
      <c r="N1431" s="46" t="str">
        <f ca="1">IFERROR(__xludf.DUMMYFUNCTION("""COMPUTED_VALUE"""),"chua nop")</f>
        <v>chua nop</v>
      </c>
    </row>
    <row r="1432" spans="1:14">
      <c r="A1432" s="45">
        <f ca="1">IFERROR(__xludf.DUMMYFUNCTION("""COMPUTED_VALUE"""),46133.5833333333)</f>
        <v>46133.583333333299</v>
      </c>
      <c r="B1432" s="45"/>
      <c r="C1432" s="46">
        <f ca="1">IFERROR(__xludf.DUMMYFUNCTION("""COMPUTED_VALUE"""),1433)</f>
        <v>1433</v>
      </c>
      <c r="D1432" s="47" t="str">
        <f ca="1">IFERROR(__xludf.DUMMYFUNCTION("""COMPUTED_VALUE"""),"C1323")</f>
        <v>C1323</v>
      </c>
      <c r="E1432" s="46" t="str">
        <f ca="1">IFERROR(__xludf.DUMMYFUNCTION("""COMPUTED_VALUE"""),"TRỊNH VÂN ANH")</f>
        <v>TRỊNH VÂN ANH</v>
      </c>
      <c r="F1432" s="46" t="str">
        <f ca="1">IFERROR(__xludf.DUMMYFUNCTION("""COMPUTED_VALUE"""),"TRINH VAN ANH")</f>
        <v>TRINH VAN ANH</v>
      </c>
      <c r="G1432" s="45">
        <f ca="1">IFERROR(__xludf.DUMMYFUNCTION("""COMPUTED_VALUE"""),39133.625)</f>
        <v>39133.625</v>
      </c>
      <c r="H1432" s="45" t="str">
        <f ca="1">IFERROR(__xludf.DUMMYFUNCTION("""COMPUTED_VALUE"""),"BAKES")</f>
        <v>BAKES</v>
      </c>
      <c r="I1432" s="46" t="str">
        <f ca="1">IFERROR(__xludf.DUMMYFUNCTION("""COMPUTED_VALUE"""),"STORE")</f>
        <v>STORE</v>
      </c>
      <c r="J1432" s="46" t="str">
        <f ca="1">IFERROR(__xludf.DUMMYFUNCTION("""COMPUTED_VALUE"""),"BAKES D2")</f>
        <v>BAKES D2</v>
      </c>
      <c r="K1432" s="46" t="str">
        <f ca="1">IFERROR(__xludf.DUMMYFUNCTION("""COMPUTED_VALUE"""),"WAITSTAFF")</f>
        <v>WAITSTAFF</v>
      </c>
      <c r="L1432" s="46" t="str">
        <f ca="1">IFERROR(__xludf.DUMMYFUNCTION("""COMPUTED_VALUE"""),"PTEP")</f>
        <v>PTEP</v>
      </c>
      <c r="M1432" s="46" t="str">
        <f ca="1">IFERROR(__xludf.DUMMYFUNCTION("""COMPUTED_VALUE"""),"On")</f>
        <v>On</v>
      </c>
      <c r="N1432" s="46" t="str">
        <f ca="1">IFERROR(__xludf.DUMMYFUNCTION("""COMPUTED_VALUE"""),"Đủ")</f>
        <v>Đủ</v>
      </c>
    </row>
    <row r="1433" spans="1:14">
      <c r="A1433" s="45">
        <f ca="1">IFERROR(__xludf.DUMMYFUNCTION("""COMPUTED_VALUE"""),46139.5833333333)</f>
        <v>46139.583333333299</v>
      </c>
      <c r="B1433" s="45"/>
      <c r="C1433" s="46">
        <f ca="1">IFERROR(__xludf.DUMMYFUNCTION("""COMPUTED_VALUE"""),1434)</f>
        <v>1434</v>
      </c>
      <c r="D1433" s="47" t="str">
        <f ca="1">IFERROR(__xludf.DUMMYFUNCTION("""COMPUTED_VALUE"""),"C1344")</f>
        <v>C1344</v>
      </c>
      <c r="E1433" s="46" t="str">
        <f ca="1">IFERROR(__xludf.DUMMYFUNCTION("""COMPUTED_VALUE"""),"LÊ HUỲNH HUÊ")</f>
        <v>LÊ HUỲNH HUÊ</v>
      </c>
      <c r="F1433" s="46" t="str">
        <f ca="1">IFERROR(__xludf.DUMMYFUNCTION("""COMPUTED_VALUE"""),"LE HUYNH HUE")</f>
        <v>LE HUYNH HUE</v>
      </c>
      <c r="G1433" s="45">
        <f ca="1">IFERROR(__xludf.DUMMYFUNCTION("""COMPUTED_VALUE"""),36495.625)</f>
        <v>36495.625</v>
      </c>
      <c r="H1433" s="45" t="str">
        <f ca="1">IFERROR(__xludf.DUMMYFUNCTION("""COMPUTED_VALUE"""),"KITCHEN PASTRY")</f>
        <v>KITCHEN PASTRY</v>
      </c>
      <c r="I1433" s="46" t="str">
        <f ca="1">IFERROR(__xludf.DUMMYFUNCTION("""COMPUTED_VALUE"""),"KITCHEN PASTRY")</f>
        <v>KITCHEN PASTRY</v>
      </c>
      <c r="J1433" s="46" t="str">
        <f ca="1">IFERROR(__xludf.DUMMYFUNCTION("""COMPUTED_VALUE"""),"KITCHEN PASTRY")</f>
        <v>KITCHEN PASTRY</v>
      </c>
      <c r="K1433" s="46" t="str">
        <f ca="1">IFERROR(__xludf.DUMMYFUNCTION("""COMPUTED_VALUE"""),"PASTRY")</f>
        <v>PASTRY</v>
      </c>
      <c r="L1433" s="46" t="str">
        <f ca="1">IFERROR(__xludf.DUMMYFUNCTION("""COMPUTED_VALUE"""),"PRO")</f>
        <v>PRO</v>
      </c>
      <c r="M1433" s="46" t="str">
        <f ca="1">IFERROR(__xludf.DUMMYFUNCTION("""COMPUTED_VALUE"""),"On")</f>
        <v>On</v>
      </c>
      <c r="N1433" s="46" t="str">
        <f ca="1">IFERROR(__xludf.DUMMYFUNCTION("""COMPUTED_VALUE"""),"Đủ")</f>
        <v>Đủ</v>
      </c>
    </row>
    <row r="1434" spans="1:14">
      <c r="A1434" s="45">
        <f ca="1">IFERROR(__xludf.DUMMYFUNCTION("""COMPUTED_VALUE"""),46132.5833333333)</f>
        <v>46132.583333333299</v>
      </c>
      <c r="B1434" s="45"/>
      <c r="C1434" s="46">
        <f ca="1">IFERROR(__xludf.DUMMYFUNCTION("""COMPUTED_VALUE"""),1435)</f>
        <v>1435</v>
      </c>
      <c r="D1434" s="47" t="str">
        <f ca="1">IFERROR(__xludf.DUMMYFUNCTION("""COMPUTED_VALUE"""),"C1326")</f>
        <v>C1326</v>
      </c>
      <c r="E1434" s="46" t="str">
        <f ca="1">IFERROR(__xludf.DUMMYFUNCTION("""COMPUTED_VALUE"""),"NGUYỄN VĂN THANH")</f>
        <v>NGUYỄN VĂN THANH</v>
      </c>
      <c r="F1434" s="46" t="str">
        <f ca="1">IFERROR(__xludf.DUMMYFUNCTION("""COMPUTED_VALUE"""),"NGUYEN VAN THANH")</f>
        <v>NGUYEN VAN THANH</v>
      </c>
      <c r="G1434" s="45">
        <f ca="1">IFERROR(__xludf.DUMMYFUNCTION("""COMPUTED_VALUE"""),22499.625)</f>
        <v>22499.625</v>
      </c>
      <c r="H1434" s="45" t="str">
        <f ca="1">IFERROR(__xludf.DUMMYFUNCTION("""COMPUTED_VALUE"""),"BAKES")</f>
        <v>BAKES</v>
      </c>
      <c r="I1434" s="46" t="str">
        <f ca="1">IFERROR(__xludf.DUMMYFUNCTION("""COMPUTED_VALUE"""),"STORE")</f>
        <v>STORE</v>
      </c>
      <c r="J1434" s="46" t="str">
        <f ca="1">IFERROR(__xludf.DUMMYFUNCTION("""COMPUTED_VALUE"""),"BAKES HAM NGHI")</f>
        <v>BAKES HAM NGHI</v>
      </c>
      <c r="K1434" s="46" t="str">
        <f ca="1">IFERROR(__xludf.DUMMYFUNCTION("""COMPUTED_VALUE"""),"SHIPPER")</f>
        <v>SHIPPER</v>
      </c>
      <c r="L1434" s="46" t="str">
        <f ca="1">IFERROR(__xludf.DUMMYFUNCTION("""COMPUTED_VALUE"""),"FTE")</f>
        <v>FTE</v>
      </c>
      <c r="M1434" s="46" t="str">
        <f ca="1">IFERROR(__xludf.DUMMYFUNCTION("""COMPUTED_VALUE"""),"On")</f>
        <v>On</v>
      </c>
      <c r="N1434" s="46" t="str">
        <f ca="1">IFERROR(__xludf.DUMMYFUNCTION("""COMPUTED_VALUE"""),"Đủ")</f>
        <v>Đủ</v>
      </c>
    </row>
    <row r="1435" spans="1:14">
      <c r="A1435" s="45">
        <f ca="1">IFERROR(__xludf.DUMMYFUNCTION("""COMPUTED_VALUE"""),46139.5833333333)</f>
        <v>46139.583333333299</v>
      </c>
      <c r="B1435" s="45">
        <f ca="1">IFERROR(__xludf.DUMMYFUNCTION("""COMPUTED_VALUE"""),46140.5833333333)</f>
        <v>46140.583333333299</v>
      </c>
      <c r="C1435" s="46">
        <f ca="1">IFERROR(__xludf.DUMMYFUNCTION("""COMPUTED_VALUE"""),1436)</f>
        <v>1436</v>
      </c>
      <c r="D1435" s="47" t="str">
        <f ca="1">IFERROR(__xludf.DUMMYFUNCTION("""COMPUTED_VALUE"""),"C1341")</f>
        <v>C1341</v>
      </c>
      <c r="E1435" s="46" t="str">
        <f ca="1">IFERROR(__xludf.DUMMYFUNCTION("""COMPUTED_VALUE"""),"TRẦN GIA BẢO")</f>
        <v>TRẦN GIA BẢO</v>
      </c>
      <c r="F1435" s="46" t="str">
        <f ca="1">IFERROR(__xludf.DUMMYFUNCTION("""COMPUTED_VALUE"""),"TRAN GIA BAO")</f>
        <v>TRAN GIA BAO</v>
      </c>
      <c r="G1435" s="45"/>
      <c r="H1435" s="45" t="str">
        <f ca="1">IFERROR(__xludf.DUMMYFUNCTION("""COMPUTED_VALUE"""),"BAKES")</f>
        <v>BAKES</v>
      </c>
      <c r="I1435" s="46" t="str">
        <f ca="1">IFERROR(__xludf.DUMMYFUNCTION("""COMPUTED_VALUE"""),"STORE")</f>
        <v>STORE</v>
      </c>
      <c r="J1435" s="46" t="str">
        <f ca="1">IFERROR(__xludf.DUMMYFUNCTION("""COMPUTED_VALUE"""),"BAKES D2")</f>
        <v>BAKES D2</v>
      </c>
      <c r="K1435" s="46" t="str">
        <f ca="1">IFERROR(__xludf.DUMMYFUNCTION("""COMPUTED_VALUE"""),"WAITSTAFF")</f>
        <v>WAITSTAFF</v>
      </c>
      <c r="L1435" s="46" t="str">
        <f ca="1">IFERROR(__xludf.DUMMYFUNCTION("""COMPUTED_VALUE"""),"PRO")</f>
        <v>PRO</v>
      </c>
      <c r="M1435" s="46" t="str">
        <f ca="1">IFERROR(__xludf.DUMMYFUNCTION("""COMPUTED_VALUE"""),"Leave")</f>
        <v>Leave</v>
      </c>
      <c r="N1435" s="46" t="str">
        <f ca="1">IFERROR(__xludf.DUMMYFUNCTION("""COMPUTED_VALUE"""),"chua nop")</f>
        <v>chua nop</v>
      </c>
    </row>
    <row r="1436" spans="1:14">
      <c r="A1436" s="45">
        <f ca="1">IFERROR(__xludf.DUMMYFUNCTION("""COMPUTED_VALUE"""),46140.5833333333)</f>
        <v>46140.583333333299</v>
      </c>
      <c r="B1436" s="45"/>
      <c r="C1436" s="46">
        <f ca="1">IFERROR(__xludf.DUMMYFUNCTION("""COMPUTED_VALUE"""),1437)</f>
        <v>1437</v>
      </c>
      <c r="D1436" s="47" t="str">
        <f ca="1">IFERROR(__xludf.DUMMYFUNCTION("""COMPUTED_VALUE"""),"C1340")</f>
        <v>C1340</v>
      </c>
      <c r="E1436" s="46" t="str">
        <f ca="1">IFERROR(__xludf.DUMMYFUNCTION("""COMPUTED_VALUE"""),"VŨ LÊ THANH TÂM")</f>
        <v>VŨ LÊ THANH TÂM</v>
      </c>
      <c r="F1436" s="46" t="str">
        <f ca="1">IFERROR(__xludf.DUMMYFUNCTION("""COMPUTED_VALUE"""),"VU LE THANH TAM")</f>
        <v>VU LE THANH TAM</v>
      </c>
      <c r="G1436" s="45">
        <f ca="1">IFERROR(__xludf.DUMMYFUNCTION("""COMPUTED_VALUE"""),38354.625)</f>
        <v>38354.625</v>
      </c>
      <c r="H1436" s="45" t="str">
        <f ca="1">IFERROR(__xludf.DUMMYFUNCTION("""COMPUTED_VALUE"""),"BAKES")</f>
        <v>BAKES</v>
      </c>
      <c r="I1436" s="46" t="str">
        <f ca="1">IFERROR(__xludf.DUMMYFUNCTION("""COMPUTED_VALUE"""),"STORE")</f>
        <v>STORE</v>
      </c>
      <c r="J1436" s="46" t="str">
        <f ca="1">IFERROR(__xludf.DUMMYFUNCTION("""COMPUTED_VALUE"""),"BAKES D2")</f>
        <v>BAKES D2</v>
      </c>
      <c r="K1436" s="46" t="str">
        <f ca="1">IFERROR(__xludf.DUMMYFUNCTION("""COMPUTED_VALUE"""),"WAITSTAFF")</f>
        <v>WAITSTAFF</v>
      </c>
      <c r="L1436" s="46" t="str">
        <f ca="1">IFERROR(__xludf.DUMMYFUNCTION("""COMPUTED_VALUE"""),"PTEP")</f>
        <v>PTEP</v>
      </c>
      <c r="M1436" s="46" t="str">
        <f ca="1">IFERROR(__xludf.DUMMYFUNCTION("""COMPUTED_VALUE"""),"On")</f>
        <v>On</v>
      </c>
      <c r="N1436" s="46" t="str">
        <f ca="1">IFERROR(__xludf.DUMMYFUNCTION("""COMPUTED_VALUE"""),"Đủ")</f>
        <v>Đủ</v>
      </c>
    </row>
    <row r="1437" spans="1:14">
      <c r="A1437" s="45">
        <f ca="1">IFERROR(__xludf.DUMMYFUNCTION("""COMPUTED_VALUE"""),46133.5833333333)</f>
        <v>46133.583333333299</v>
      </c>
      <c r="B1437" s="45"/>
      <c r="C1437" s="46">
        <f ca="1">IFERROR(__xludf.DUMMYFUNCTION("""COMPUTED_VALUE"""),1438)</f>
        <v>1438</v>
      </c>
      <c r="D1437" s="47" t="str">
        <f ca="1">IFERROR(__xludf.DUMMYFUNCTION("""COMPUTED_VALUE"""),"C1334")</f>
        <v>C1334</v>
      </c>
      <c r="E1437" s="46" t="str">
        <f ca="1">IFERROR(__xludf.DUMMYFUNCTION("""COMPUTED_VALUE"""),"NGUYỄN THỊ THÚY VY")</f>
        <v>NGUYỄN THỊ THÚY VY</v>
      </c>
      <c r="F1437" s="46" t="str">
        <f ca="1">IFERROR(__xludf.DUMMYFUNCTION("""COMPUTED_VALUE"""),"NGUYEN THI THUY VY")</f>
        <v>NGUYEN THI THUY VY</v>
      </c>
      <c r="G1437" s="45">
        <f ca="1">IFERROR(__xludf.DUMMYFUNCTION("""COMPUTED_VALUE"""),38180.5833333333)</f>
        <v>38180.583333333299</v>
      </c>
      <c r="H1437" s="45" t="str">
        <f ca="1">IFERROR(__xludf.DUMMYFUNCTION("""COMPUTED_VALUE"""),"TLC")</f>
        <v>TLC</v>
      </c>
      <c r="I1437" s="46" t="str">
        <f ca="1">IFERROR(__xludf.DUMMYFUNCTION("""COMPUTED_VALUE"""),"HO")</f>
        <v>HO</v>
      </c>
      <c r="J1437" s="46" t="str">
        <f ca="1">IFERROR(__xludf.DUMMYFUNCTION("""COMPUTED_VALUE"""),"HRD")</f>
        <v>HRD</v>
      </c>
      <c r="K1437" s="46" t="str">
        <f ca="1">IFERROR(__xludf.DUMMYFUNCTION("""COMPUTED_VALUE"""),"HRD")</f>
        <v>HRD</v>
      </c>
      <c r="L1437" s="46" t="str">
        <f ca="1">IFERROR(__xludf.DUMMYFUNCTION("""COMPUTED_VALUE"""),"SER")</f>
        <v>SER</v>
      </c>
      <c r="M1437" s="46" t="str">
        <f ca="1">IFERROR(__xludf.DUMMYFUNCTION("""COMPUTED_VALUE"""),"On")</f>
        <v>On</v>
      </c>
      <c r="N1437" s="46" t="str">
        <f ca="1">IFERROR(__xludf.DUMMYFUNCTION("""COMPUTED_VALUE"""),"Đủ")</f>
        <v>Đủ</v>
      </c>
    </row>
    <row r="1438" spans="1:14">
      <c r="A1438" s="45">
        <f ca="1">IFERROR(__xludf.DUMMYFUNCTION("""COMPUTED_VALUE"""),46135.5833333333)</f>
        <v>46135.583333333299</v>
      </c>
      <c r="B1438" s="45"/>
      <c r="C1438" s="46">
        <f ca="1">IFERROR(__xludf.DUMMYFUNCTION("""COMPUTED_VALUE"""),1439)</f>
        <v>1439</v>
      </c>
      <c r="D1438" s="47" t="str">
        <f ca="1">IFERROR(__xludf.DUMMYFUNCTION("""COMPUTED_VALUE"""),"C1335")</f>
        <v>C1335</v>
      </c>
      <c r="E1438" s="46" t="str">
        <f ca="1">IFERROR(__xludf.DUMMYFUNCTION("""COMPUTED_VALUE"""),"NGUYỄN THỊ THANH YẾN VY")</f>
        <v>NGUYỄN THỊ THANH YẾN VY</v>
      </c>
      <c r="F1438" s="46" t="str">
        <f ca="1">IFERROR(__xludf.DUMMYFUNCTION("""COMPUTED_VALUE"""),"NGUYEN THI THANH YEN VY")</f>
        <v>NGUYEN THI THANH YEN VY</v>
      </c>
      <c r="G1438" s="45">
        <f ca="1">IFERROR(__xludf.DUMMYFUNCTION("""COMPUTED_VALUE"""),37488.5833333333)</f>
        <v>37488.583333333299</v>
      </c>
      <c r="H1438" s="45" t="str">
        <f ca="1">IFERROR(__xludf.DUMMYFUNCTION("""COMPUTED_VALUE"""),"BAKES")</f>
        <v>BAKES</v>
      </c>
      <c r="I1438" s="46" t="str">
        <f ca="1">IFERROR(__xludf.DUMMYFUNCTION("""COMPUTED_VALUE"""),"STORE")</f>
        <v>STORE</v>
      </c>
      <c r="J1438" s="46" t="str">
        <f ca="1">IFERROR(__xludf.DUMMYFUNCTION("""COMPUTED_VALUE"""),"BAKES HAM NGHI")</f>
        <v>BAKES HAM NGHI</v>
      </c>
      <c r="K1438" s="46" t="str">
        <f ca="1">IFERROR(__xludf.DUMMYFUNCTION("""COMPUTED_VALUE"""),"SAL")</f>
        <v>SAL</v>
      </c>
      <c r="L1438" s="46" t="str">
        <f ca="1">IFERROR(__xludf.DUMMYFUNCTION("""COMPUTED_VALUE"""),"FTE")</f>
        <v>FTE</v>
      </c>
      <c r="M1438" s="46" t="str">
        <f ca="1">IFERROR(__xludf.DUMMYFUNCTION("""COMPUTED_VALUE"""),"On")</f>
        <v>On</v>
      </c>
      <c r="N1438" s="46" t="str">
        <f ca="1">IFERROR(__xludf.DUMMYFUNCTION("""COMPUTED_VALUE"""),"Đủ")</f>
        <v>Đủ</v>
      </c>
    </row>
    <row r="1439" spans="1:14">
      <c r="A1439" s="45">
        <f ca="1">IFERROR(__xludf.DUMMYFUNCTION("""COMPUTED_VALUE"""),46135.5833333333)</f>
        <v>46135.583333333299</v>
      </c>
      <c r="B1439" s="45"/>
      <c r="C1439" s="46">
        <f ca="1">IFERROR(__xludf.DUMMYFUNCTION("""COMPUTED_VALUE"""),1440)</f>
        <v>1440</v>
      </c>
      <c r="D1439" s="47" t="str">
        <f ca="1">IFERROR(__xludf.DUMMYFUNCTION("""COMPUTED_VALUE"""),"C1336")</f>
        <v>C1336</v>
      </c>
      <c r="E1439" s="46" t="str">
        <f ca="1">IFERROR(__xludf.DUMMYFUNCTION("""COMPUTED_VALUE"""),"LÊ PHƯƠNG QUYÊN")</f>
        <v>LÊ PHƯƠNG QUYÊN</v>
      </c>
      <c r="F1439" s="46" t="str">
        <f ca="1">IFERROR(__xludf.DUMMYFUNCTION("""COMPUTED_VALUE"""),"LE PHUONG QUYEN")</f>
        <v>LE PHUONG QUYEN</v>
      </c>
      <c r="G1439" s="45">
        <f ca="1">IFERROR(__xludf.DUMMYFUNCTION("""COMPUTED_VALUE"""),38203.5833333333)</f>
        <v>38203.583333333299</v>
      </c>
      <c r="H1439" s="45" t="str">
        <f ca="1">IFERROR(__xludf.DUMMYFUNCTION("""COMPUTED_VALUE"""),"TLC")</f>
        <v>TLC</v>
      </c>
      <c r="I1439" s="46" t="str">
        <f ca="1">IFERROR(__xludf.DUMMYFUNCTION("""COMPUTED_VALUE"""),"STORE")</f>
        <v>STORE</v>
      </c>
      <c r="J1439" s="46" t="str">
        <f ca="1">IFERROR(__xludf.DUMMYFUNCTION("""COMPUTED_VALUE"""),"BLANK LOUNGE")</f>
        <v>BLANK LOUNGE</v>
      </c>
      <c r="K1439" s="46" t="str">
        <f ca="1">IFERROR(__xludf.DUMMYFUNCTION("""COMPUTED_VALUE"""),"BAR")</f>
        <v>BAR</v>
      </c>
      <c r="L1439" s="46" t="str">
        <f ca="1">IFERROR(__xludf.DUMMYFUNCTION("""COMPUTED_VALUE"""),"PTE")</f>
        <v>PTE</v>
      </c>
      <c r="M1439" s="46" t="str">
        <f ca="1">IFERROR(__xludf.DUMMYFUNCTION("""COMPUTED_VALUE"""),"On")</f>
        <v>On</v>
      </c>
      <c r="N1439" s="46" t="str">
        <f ca="1">IFERROR(__xludf.DUMMYFUNCTION("""COMPUTED_VALUE"""),"Đủ")</f>
        <v>Đủ</v>
      </c>
    </row>
    <row r="1440" spans="1:14">
      <c r="A1440" s="45">
        <f ca="1">IFERROR(__xludf.DUMMYFUNCTION("""COMPUTED_VALUE"""),46140.5833333333)</f>
        <v>46140.583333333299</v>
      </c>
      <c r="B1440" s="45"/>
      <c r="C1440" s="46">
        <f ca="1">IFERROR(__xludf.DUMMYFUNCTION("""COMPUTED_VALUE"""),1441)</f>
        <v>1441</v>
      </c>
      <c r="D1440" s="47" t="str">
        <f ca="1">IFERROR(__xludf.DUMMYFUNCTION("""COMPUTED_VALUE"""),"C1352")</f>
        <v>C1352</v>
      </c>
      <c r="E1440" s="46" t="str">
        <f ca="1">IFERROR(__xludf.DUMMYFUNCTION("""COMPUTED_VALUE"""),"NGUYỄN THANH SANG")</f>
        <v>NGUYỄN THANH SANG</v>
      </c>
      <c r="F1440" s="46" t="str">
        <f ca="1">IFERROR(__xludf.DUMMYFUNCTION("""COMPUTED_VALUE"""),"NGUYEN THANH SANG")</f>
        <v>NGUYEN THANH SANG</v>
      </c>
      <c r="G1440" s="45" t="str">
        <f ca="1">IFERROR(__xludf.DUMMYFUNCTION("""COMPUTED_VALUE"""),"25/09/1993")</f>
        <v>25/09/1993</v>
      </c>
      <c r="H1440" s="45" t="str">
        <f ca="1">IFERROR(__xludf.DUMMYFUNCTION("""COMPUTED_VALUE"""),"TLC")</f>
        <v>TLC</v>
      </c>
      <c r="I1440" s="46" t="str">
        <f ca="1">IFERROR(__xludf.DUMMYFUNCTION("""COMPUTED_VALUE"""),"STORE")</f>
        <v>STORE</v>
      </c>
      <c r="J1440" s="46" t="str">
        <f ca="1">IFERROR(__xludf.DUMMYFUNCTION("""COMPUTED_VALUE"""),"BAR ROM")</f>
        <v>BAR ROM</v>
      </c>
      <c r="K1440" s="46" t="str">
        <f ca="1">IFERROR(__xludf.DUMMYFUNCTION("""COMPUTED_VALUE"""),"KIT")</f>
        <v>KIT</v>
      </c>
      <c r="L1440" s="46" t="str">
        <f ca="1">IFERROR(__xludf.DUMMYFUNCTION("""COMPUTED_VALUE"""),"PRO")</f>
        <v>PRO</v>
      </c>
      <c r="M1440" s="46" t="str">
        <f ca="1">IFERROR(__xludf.DUMMYFUNCTION("""COMPUTED_VALUE"""),"On")</f>
        <v>On</v>
      </c>
      <c r="N1440" s="46" t="str">
        <f ca="1">IFERROR(__xludf.DUMMYFUNCTION("""COMPUTED_VALUE"""),"Đủ")</f>
        <v>Đủ</v>
      </c>
    </row>
    <row r="1441" spans="1:14">
      <c r="A1441" s="45">
        <f ca="1">IFERROR(__xludf.DUMMYFUNCTION("""COMPUTED_VALUE"""),46128.5833333333)</f>
        <v>46128.583333333299</v>
      </c>
      <c r="B1441" s="45">
        <f ca="1">IFERROR(__xludf.DUMMYFUNCTION("""COMPUTED_VALUE"""),46131.5833333333)</f>
        <v>46131.583333333299</v>
      </c>
      <c r="C1441" s="46">
        <f ca="1">IFERROR(__xludf.DUMMYFUNCTION("""COMPUTED_VALUE"""),1442)</f>
        <v>1442</v>
      </c>
      <c r="D1441" s="47" t="str">
        <f ca="1">IFERROR(__xludf.DUMMYFUNCTION("""COMPUTED_VALUE"""),"C1354")</f>
        <v>C1354</v>
      </c>
      <c r="E1441" s="46" t="str">
        <f ca="1">IFERROR(__xludf.DUMMYFUNCTION("""COMPUTED_VALUE"""),"HOÀNG THỊ BẢO TRÂM")</f>
        <v>HOÀNG THỊ BẢO TRÂM</v>
      </c>
      <c r="F1441" s="46" t="str">
        <f ca="1">IFERROR(__xludf.DUMMYFUNCTION("""COMPUTED_VALUE"""),"HOANG THI BAO TRAM")</f>
        <v>HOANG THI BAO TRAM</v>
      </c>
      <c r="G1441" s="45">
        <f ca="1">IFERROR(__xludf.DUMMYFUNCTION("""COMPUTED_VALUE"""),38292.625)</f>
        <v>38292.625</v>
      </c>
      <c r="H1441" s="45" t="str">
        <f ca="1">IFERROR(__xludf.DUMMYFUNCTION("""COMPUTED_VALUE"""),"MATTE")</f>
        <v>MATTE</v>
      </c>
      <c r="I1441" s="46" t="str">
        <f ca="1">IFERROR(__xludf.DUMMYFUNCTION("""COMPUTED_VALUE"""),"STORE")</f>
        <v>STORE</v>
      </c>
      <c r="J1441" s="46" t="str">
        <f ca="1">IFERROR(__xludf.DUMMYFUNCTION("""COMPUTED_VALUE"""),"MATTE D3")</f>
        <v>MATTE D3</v>
      </c>
      <c r="K1441" s="46" t="str">
        <f ca="1">IFERROR(__xludf.DUMMYFUNCTION("""COMPUTED_VALUE"""),"BAR")</f>
        <v>BAR</v>
      </c>
      <c r="L1441" s="46" t="str">
        <f ca="1">IFERROR(__xludf.DUMMYFUNCTION("""COMPUTED_VALUE"""),"PTEP")</f>
        <v>PTEP</v>
      </c>
      <c r="M1441" s="46" t="str">
        <f ca="1">IFERROR(__xludf.DUMMYFUNCTION("""COMPUTED_VALUE"""),"Leave")</f>
        <v>Leave</v>
      </c>
      <c r="N1441" s="46" t="str">
        <f ca="1">IFERROR(__xludf.DUMMYFUNCTION("""COMPUTED_VALUE"""),"chua nop")</f>
        <v>chua nop</v>
      </c>
    </row>
    <row r="1442" spans="1:14">
      <c r="A1442" s="45">
        <f ca="1">IFERROR(__xludf.DUMMYFUNCTION("""COMPUTED_VALUE"""),46124.5833333333)</f>
        <v>46124.583333333299</v>
      </c>
      <c r="B1442" s="45">
        <f ca="1">IFERROR(__xludf.DUMMYFUNCTION("""COMPUTED_VALUE"""),46126.5833333333)</f>
        <v>46126.583333333299</v>
      </c>
      <c r="C1442" s="46">
        <f ca="1">IFERROR(__xludf.DUMMYFUNCTION("""COMPUTED_VALUE"""),1443)</f>
        <v>1443</v>
      </c>
      <c r="D1442" s="47" t="str">
        <f ca="1">IFERROR(__xludf.DUMMYFUNCTION("""COMPUTED_VALUE"""),"C1355")</f>
        <v>C1355</v>
      </c>
      <c r="E1442" s="46" t="str">
        <f ca="1">IFERROR(__xludf.DUMMYFUNCTION("""COMPUTED_VALUE"""),"ĐỖ NGUYỄN LAM THUYÊN")</f>
        <v>ĐỖ NGUYỄN LAM THUYÊN</v>
      </c>
      <c r="F1442" s="46" t="str">
        <f ca="1">IFERROR(__xludf.DUMMYFUNCTION("""COMPUTED_VALUE"""),"DO NGUYEN LAM THUYEN")</f>
        <v>DO NGUYEN LAM THUYEN</v>
      </c>
      <c r="G1442" s="45">
        <f ca="1">IFERROR(__xludf.DUMMYFUNCTION("""COMPUTED_VALUE"""),36439.5833333333)</f>
        <v>36439.583333333299</v>
      </c>
      <c r="H1442" s="45" t="str">
        <f ca="1">IFERROR(__xludf.DUMMYFUNCTION("""COMPUTED_VALUE"""),"MATTE")</f>
        <v>MATTE</v>
      </c>
      <c r="I1442" s="46" t="str">
        <f ca="1">IFERROR(__xludf.DUMMYFUNCTION("""COMPUTED_VALUE"""),"STORE")</f>
        <v>STORE</v>
      </c>
      <c r="J1442" s="46" t="str">
        <f ca="1">IFERROR(__xludf.DUMMYFUNCTION("""COMPUTED_VALUE"""),"MATTE D3")</f>
        <v>MATTE D3</v>
      </c>
      <c r="K1442" s="46" t="str">
        <f ca="1">IFERROR(__xludf.DUMMYFUNCTION("""COMPUTED_VALUE"""),"BAR")</f>
        <v>BAR</v>
      </c>
      <c r="L1442" s="46" t="str">
        <f ca="1">IFERROR(__xludf.DUMMYFUNCTION("""COMPUTED_VALUE"""),"PTEP")</f>
        <v>PTEP</v>
      </c>
      <c r="M1442" s="46" t="str">
        <f ca="1">IFERROR(__xludf.DUMMYFUNCTION("""COMPUTED_VALUE"""),"Leave")</f>
        <v>Leave</v>
      </c>
      <c r="N1442" s="46" t="str">
        <f ca="1">IFERROR(__xludf.DUMMYFUNCTION("""COMPUTED_VALUE"""),"Đủ")</f>
        <v>Đủ</v>
      </c>
    </row>
    <row r="1443" spans="1:14">
      <c r="A1443" s="45">
        <f ca="1">IFERROR(__xludf.DUMMYFUNCTION("""COMPUTED_VALUE"""),46132.5833333333)</f>
        <v>46132.583333333299</v>
      </c>
      <c r="B1443" s="45">
        <f ca="1">IFERROR(__xludf.DUMMYFUNCTION("""COMPUTED_VALUE"""),46136.5833333333)</f>
        <v>46136.583333333299</v>
      </c>
      <c r="C1443" s="46">
        <f ca="1">IFERROR(__xludf.DUMMYFUNCTION("""COMPUTED_VALUE"""),1444)</f>
        <v>1444</v>
      </c>
      <c r="D1443" s="47" t="str">
        <f ca="1">IFERROR(__xludf.DUMMYFUNCTION("""COMPUTED_VALUE"""),"C1322")</f>
        <v>C1322</v>
      </c>
      <c r="E1443" s="46" t="str">
        <f ca="1">IFERROR(__xludf.DUMMYFUNCTION("""COMPUTED_VALUE"""),"ĐÀO NGUYỄN THIÊN Ý")</f>
        <v>ĐÀO NGUYỄN THIÊN Ý</v>
      </c>
      <c r="F1443" s="46" t="str">
        <f ca="1">IFERROR(__xludf.DUMMYFUNCTION("""COMPUTED_VALUE"""),"DAO NGUYEN THIEN Y")</f>
        <v>DAO NGUYEN THIEN Y</v>
      </c>
      <c r="G1443" s="45">
        <f ca="1">IFERROR(__xludf.DUMMYFUNCTION("""COMPUTED_VALUE"""),37512.5833333333)</f>
        <v>37512.583333333299</v>
      </c>
      <c r="H1443" s="45" t="str">
        <f ca="1">IFERROR(__xludf.DUMMYFUNCTION("""COMPUTED_VALUE"""),"BAKES")</f>
        <v>BAKES</v>
      </c>
      <c r="I1443" s="46" t="str">
        <f ca="1">IFERROR(__xludf.DUMMYFUNCTION("""COMPUTED_VALUE"""),"STORE")</f>
        <v>STORE</v>
      </c>
      <c r="J1443" s="46" t="str">
        <f ca="1">IFERROR(__xludf.DUMMYFUNCTION("""COMPUTED_VALUE"""),"BAKES D2")</f>
        <v>BAKES D2</v>
      </c>
      <c r="K1443" s="46" t="str">
        <f ca="1">IFERROR(__xludf.DUMMYFUNCTION("""COMPUTED_VALUE"""),"WAITSTAFF")</f>
        <v>WAITSTAFF</v>
      </c>
      <c r="L1443" s="46" t="str">
        <f ca="1">IFERROR(__xludf.DUMMYFUNCTION("""COMPUTED_VALUE"""),"PTEP")</f>
        <v>PTEP</v>
      </c>
      <c r="M1443" s="46" t="str">
        <f ca="1">IFERROR(__xludf.DUMMYFUNCTION("""COMPUTED_VALUE"""),"Leave")</f>
        <v>Leave</v>
      </c>
      <c r="N1443" s="46" t="str">
        <f ca="1">IFERROR(__xludf.DUMMYFUNCTION("""COMPUTED_VALUE"""),"chua nop")</f>
        <v>chua nop</v>
      </c>
    </row>
    <row r="1444" spans="1:14">
      <c r="A1444" s="45">
        <f ca="1">IFERROR(__xludf.DUMMYFUNCTION("""COMPUTED_VALUE"""),46150.5833333333)</f>
        <v>46150.583333333299</v>
      </c>
      <c r="B1444" s="45">
        <f ca="1">IFERROR(__xludf.DUMMYFUNCTION("""COMPUTED_VALUE"""),46168.5833333333)</f>
        <v>46168.583333333299</v>
      </c>
      <c r="C1444" s="46">
        <f ca="1">IFERROR(__xludf.DUMMYFUNCTION("""COMPUTED_VALUE"""),1445)</f>
        <v>1445</v>
      </c>
      <c r="D1444" s="47" t="str">
        <f ca="1">IFERROR(__xludf.DUMMYFUNCTION("""COMPUTED_VALUE"""),"C1358")</f>
        <v>C1358</v>
      </c>
      <c r="E1444" s="46" t="str">
        <f ca="1">IFERROR(__xludf.DUMMYFUNCTION("""COMPUTED_VALUE"""),"ĐẶNG BÍCH TRÂM")</f>
        <v>ĐẶNG BÍCH TRÂM</v>
      </c>
      <c r="F1444" s="46" t="str">
        <f ca="1">IFERROR(__xludf.DUMMYFUNCTION("""COMPUTED_VALUE"""),"DANG BICH TRAM")</f>
        <v>DANG BICH TRAM</v>
      </c>
      <c r="G1444" s="45">
        <f ca="1">IFERROR(__xludf.DUMMYFUNCTION("""COMPUTED_VALUE"""),37207.625)</f>
        <v>37207.625</v>
      </c>
      <c r="H1444" s="45" t="str">
        <f ca="1">IFERROR(__xludf.DUMMYFUNCTION("""COMPUTED_VALUE"""),"MATTE")</f>
        <v>MATTE</v>
      </c>
      <c r="I1444" s="46" t="str">
        <f ca="1">IFERROR(__xludf.DUMMYFUNCTION("""COMPUTED_VALUE"""),"STORE")</f>
        <v>STORE</v>
      </c>
      <c r="J1444" s="46" t="str">
        <f ca="1">IFERROR(__xludf.DUMMYFUNCTION("""COMPUTED_VALUE"""),"MATTE D7")</f>
        <v>MATTE D7</v>
      </c>
      <c r="K1444" s="46" t="str">
        <f ca="1">IFERROR(__xludf.DUMMYFUNCTION("""COMPUTED_VALUE"""),"BAR")</f>
        <v>BAR</v>
      </c>
      <c r="L1444" s="46" t="str">
        <f ca="1">IFERROR(__xludf.DUMMYFUNCTION("""COMPUTED_VALUE"""),"PTEP")</f>
        <v>PTEP</v>
      </c>
      <c r="M1444" s="46" t="str">
        <f ca="1">IFERROR(__xludf.DUMMYFUNCTION("""COMPUTED_VALUE"""),"Leave")</f>
        <v>Leave</v>
      </c>
      <c r="N1444" s="46" t="str">
        <f ca="1">IFERROR(__xludf.DUMMYFUNCTION("""COMPUTED_VALUE"""),"Đủ")</f>
        <v>Đủ</v>
      </c>
    </row>
    <row r="1445" spans="1:14">
      <c r="A1445" s="45">
        <f ca="1">IFERROR(__xludf.DUMMYFUNCTION("""COMPUTED_VALUE"""),46150.5833333333)</f>
        <v>46150.583333333299</v>
      </c>
      <c r="B1445" s="45"/>
      <c r="C1445" s="46">
        <f ca="1">IFERROR(__xludf.DUMMYFUNCTION("""COMPUTED_VALUE"""),1446)</f>
        <v>1446</v>
      </c>
      <c r="D1445" s="47" t="str">
        <f ca="1">IFERROR(__xludf.DUMMYFUNCTION("""COMPUTED_VALUE"""),"C1357")</f>
        <v>C1357</v>
      </c>
      <c r="E1445" s="46" t="str">
        <f ca="1">IFERROR(__xludf.DUMMYFUNCTION("""COMPUTED_VALUE"""),"BUI TRUNG NGHIA")</f>
        <v>BUI TRUNG NGHIA</v>
      </c>
      <c r="F1445" s="46" t="str">
        <f ca="1">IFERROR(__xludf.DUMMYFUNCTION("""COMPUTED_VALUE"""),"BUI TRUNG NGHIA")</f>
        <v>BUI TRUNG NGHIA</v>
      </c>
      <c r="G1445" s="45">
        <f ca="1">IFERROR(__xludf.DUMMYFUNCTION("""COMPUTED_VALUE"""),37556.5833333333)</f>
        <v>37556.583333333299</v>
      </c>
      <c r="H1445" s="45" t="str">
        <f ca="1">IFERROR(__xludf.DUMMYFUNCTION("""COMPUTED_VALUE"""),"BAKES")</f>
        <v>BAKES</v>
      </c>
      <c r="I1445" s="46" t="str">
        <f ca="1">IFERROR(__xludf.DUMMYFUNCTION("""COMPUTED_VALUE"""),"STORE")</f>
        <v>STORE</v>
      </c>
      <c r="J1445" s="46" t="str">
        <f ca="1">IFERROR(__xludf.DUMMYFUNCTION("""COMPUTED_VALUE"""),"BAKES D7")</f>
        <v>BAKES D7</v>
      </c>
      <c r="K1445" s="46" t="str">
        <f ca="1">IFERROR(__xludf.DUMMYFUNCTION("""COMPUTED_VALUE"""),"WAITSTAFF")</f>
        <v>WAITSTAFF</v>
      </c>
      <c r="L1445" s="46" t="str">
        <f ca="1">IFERROR(__xludf.DUMMYFUNCTION("""COMPUTED_VALUE"""),"PTEP")</f>
        <v>PTEP</v>
      </c>
      <c r="M1445" s="46" t="str">
        <f ca="1">IFERROR(__xludf.DUMMYFUNCTION("""COMPUTED_VALUE"""),"On")</f>
        <v>On</v>
      </c>
      <c r="N1445" s="46" t="str">
        <f ca="1">IFERROR(__xludf.DUMMYFUNCTION("""COMPUTED_VALUE"""),"Đủ")</f>
        <v>Đủ</v>
      </c>
    </row>
    <row r="1446" spans="1:14">
      <c r="A1446" s="45">
        <f ca="1">IFERROR(__xludf.DUMMYFUNCTION("""COMPUTED_VALUE"""),46150.5833333333)</f>
        <v>46150.583333333299</v>
      </c>
      <c r="B1446" s="45">
        <f ca="1">IFERROR(__xludf.DUMMYFUNCTION("""COMPUTED_VALUE"""),46173.5833333333)</f>
        <v>46173.583333333299</v>
      </c>
      <c r="C1446" s="46">
        <f ca="1">IFERROR(__xludf.DUMMYFUNCTION("""COMPUTED_VALUE"""),1447)</f>
        <v>1447</v>
      </c>
      <c r="D1446" s="47" t="str">
        <f ca="1">IFERROR(__xludf.DUMMYFUNCTION("""COMPUTED_VALUE"""),"C1359")</f>
        <v>C1359</v>
      </c>
      <c r="E1446" s="46" t="str">
        <f ca="1">IFERROR(__xludf.DUMMYFUNCTION("""COMPUTED_VALUE"""),"HỒ HUỲNH NHƯ")</f>
        <v>HỒ HUỲNH NHƯ</v>
      </c>
      <c r="F1446" s="46" t="str">
        <f ca="1">IFERROR(__xludf.DUMMYFUNCTION("""COMPUTED_VALUE"""),"HO HUYNH NHU")</f>
        <v>HO HUYNH NHU</v>
      </c>
      <c r="G1446" s="45">
        <f ca="1">IFERROR(__xludf.DUMMYFUNCTION("""COMPUTED_VALUE"""),38792.625)</f>
        <v>38792.625</v>
      </c>
      <c r="H1446" s="45" t="str">
        <f ca="1">IFERROR(__xludf.DUMMYFUNCTION("""COMPUTED_VALUE"""),"MATTE")</f>
        <v>MATTE</v>
      </c>
      <c r="I1446" s="46" t="str">
        <f ca="1">IFERROR(__xludf.DUMMYFUNCTION("""COMPUTED_VALUE"""),"STORE")</f>
        <v>STORE</v>
      </c>
      <c r="J1446" s="46" t="str">
        <f ca="1">IFERROR(__xludf.DUMMYFUNCTION("""COMPUTED_VALUE"""),"MATTE D7")</f>
        <v>MATTE D7</v>
      </c>
      <c r="K1446" s="46" t="str">
        <f ca="1">IFERROR(__xludf.DUMMYFUNCTION("""COMPUTED_VALUE"""),"BAR")</f>
        <v>BAR</v>
      </c>
      <c r="L1446" s="46" t="str">
        <f ca="1">IFERROR(__xludf.DUMMYFUNCTION("""COMPUTED_VALUE"""),"PTEP")</f>
        <v>PTEP</v>
      </c>
      <c r="M1446" s="46" t="str">
        <f ca="1">IFERROR(__xludf.DUMMYFUNCTION("""COMPUTED_VALUE"""),"Leave")</f>
        <v>Leave</v>
      </c>
      <c r="N1446" s="46" t="str">
        <f ca="1">IFERROR(__xludf.DUMMYFUNCTION("""COMPUTED_VALUE"""),"Đủ")</f>
        <v>Đủ</v>
      </c>
    </row>
    <row r="1447" spans="1:14">
      <c r="A1447" s="45">
        <f ca="1">IFERROR(__xludf.DUMMYFUNCTION("""COMPUTED_VALUE"""),46153.5833333333)</f>
        <v>46153.583333333299</v>
      </c>
      <c r="B1447" s="45"/>
      <c r="C1447" s="48">
        <f ca="1">IFERROR(__xludf.DUMMYFUNCTION("""COMPUTED_VALUE"""),1448)</f>
        <v>1448</v>
      </c>
      <c r="D1447" s="47" t="str">
        <f ca="1">IFERROR(__xludf.DUMMYFUNCTION("""COMPUTED_VALUE"""),"C1366")</f>
        <v>C1366</v>
      </c>
      <c r="E1447" s="46" t="str">
        <f ca="1">IFERROR(__xludf.DUMMYFUNCTION("""COMPUTED_VALUE"""),"HOÀNG TRỌNG LUẬT")</f>
        <v>HOÀNG TRỌNG LUẬT</v>
      </c>
      <c r="F1447" s="46" t="str">
        <f ca="1">IFERROR(__xludf.DUMMYFUNCTION("""COMPUTED_VALUE"""),"HOANG TRONG LUAT")</f>
        <v>HOANG TRONG LUAT</v>
      </c>
      <c r="G1447" s="45">
        <f ca="1">IFERROR(__xludf.DUMMYFUNCTION("""COMPUTED_VALUE"""),35674.5833333333)</f>
        <v>35674.583333333299</v>
      </c>
      <c r="H1447" s="45" t="str">
        <f ca="1">IFERROR(__xludf.DUMMYFUNCTION("""COMPUTED_VALUE"""),"TLC")</f>
        <v>TLC</v>
      </c>
      <c r="I1447" s="46" t="str">
        <f ca="1">IFERROR(__xludf.DUMMYFUNCTION("""COMPUTED_VALUE"""),"STORE")</f>
        <v>STORE</v>
      </c>
      <c r="J1447" s="46" t="str">
        <f ca="1">IFERROR(__xludf.DUMMYFUNCTION("""COMPUTED_VALUE"""),"BAR ROM")</f>
        <v>BAR ROM</v>
      </c>
      <c r="K1447" s="46" t="str">
        <f ca="1">IFERROR(__xludf.DUMMYFUNCTION("""COMPUTED_VALUE"""),"Management team")</f>
        <v>Management team</v>
      </c>
      <c r="L1447" s="46" t="str">
        <f ca="1">IFERROR(__xludf.DUMMYFUNCTION("""COMPUTED_VALUE"""),"PRO")</f>
        <v>PRO</v>
      </c>
      <c r="M1447" s="46" t="str">
        <f ca="1">IFERROR(__xludf.DUMMYFUNCTION("""COMPUTED_VALUE"""),"On")</f>
        <v>On</v>
      </c>
      <c r="N1447" s="46" t="str">
        <f ca="1">IFERROR(__xludf.DUMMYFUNCTION("""COMPUTED_VALUE"""),"Đủ")</f>
        <v>Đủ</v>
      </c>
    </row>
    <row r="1448" spans="1:14">
      <c r="A1448" s="45">
        <f ca="1">IFERROR(__xludf.DUMMYFUNCTION("""COMPUTED_VALUE"""),46146.5833333333)</f>
        <v>46146.583333333299</v>
      </c>
      <c r="B1448" s="45">
        <f ca="1">IFERROR(__xludf.DUMMYFUNCTION("""COMPUTED_VALUE"""),46207.5833333333)</f>
        <v>46207.583333333299</v>
      </c>
      <c r="C1448" s="48">
        <f ca="1">IFERROR(__xludf.DUMMYFUNCTION("""COMPUTED_VALUE"""),1449)</f>
        <v>1449</v>
      </c>
      <c r="D1448" s="47" t="str">
        <f ca="1">IFERROR(__xludf.DUMMYFUNCTION("""COMPUTED_VALUE"""),"C1295")</f>
        <v>C1295</v>
      </c>
      <c r="E1448" s="46" t="str">
        <f ca="1">IFERROR(__xludf.DUMMYFUNCTION("""COMPUTED_VALUE"""),"CAZIN SIMON CLEMENT")</f>
        <v>CAZIN SIMON CLEMENT</v>
      </c>
      <c r="F1448" s="46" t="str">
        <f ca="1">IFERROR(__xludf.DUMMYFUNCTION("""COMPUTED_VALUE"""),"CAZIN SIMON CLEMENT")</f>
        <v>CAZIN SIMON CLEMENT</v>
      </c>
      <c r="G1448" s="45" t="str">
        <f ca="1">IFERROR(__xludf.DUMMYFUNCTION("""COMPUTED_VALUE"""),"29/9/2000")</f>
        <v>29/9/2000</v>
      </c>
      <c r="H1448" s="45" t="str">
        <f ca="1">IFERROR(__xludf.DUMMYFUNCTION("""COMPUTED_VALUE"""),"KITCHEN PASTRY")</f>
        <v>KITCHEN PASTRY</v>
      </c>
      <c r="I1448" s="46" t="str">
        <f ca="1">IFERROR(__xludf.DUMMYFUNCTION("""COMPUTED_VALUE"""),"KITCHEN PASTRY")</f>
        <v>KITCHEN PASTRY</v>
      </c>
      <c r="J1448" s="46" t="str">
        <f ca="1">IFERROR(__xludf.DUMMYFUNCTION("""COMPUTED_VALUE"""),"KITCHEN PASTRY")</f>
        <v>KITCHEN PASTRY</v>
      </c>
      <c r="K1448" s="46" t="str">
        <f ca="1">IFERROR(__xludf.DUMMYFUNCTION("""COMPUTED_VALUE"""),"Management team")</f>
        <v>Management team</v>
      </c>
      <c r="L1448" s="46" t="str">
        <f ca="1">IFERROR(__xludf.DUMMYFUNCTION("""COMPUTED_VALUE"""),"PRO")</f>
        <v>PRO</v>
      </c>
      <c r="M1448" s="46" t="str">
        <f ca="1">IFERROR(__xludf.DUMMYFUNCTION("""COMPUTED_VALUE"""),"Leave")</f>
        <v>Leave</v>
      </c>
      <c r="N1448" s="46" t="str">
        <f ca="1">IFERROR(__xludf.DUMMYFUNCTION("""COMPUTED_VALUE"""),"Đủ")</f>
        <v>Đủ</v>
      </c>
    </row>
    <row r="1449" spans="1:14">
      <c r="A1449" s="45">
        <f ca="1">IFERROR(__xludf.DUMMYFUNCTION("""COMPUTED_VALUE"""),46146.5833333333)</f>
        <v>46146.583333333299</v>
      </c>
      <c r="B1449" s="45"/>
      <c r="C1449" s="48">
        <f ca="1">IFERROR(__xludf.DUMMYFUNCTION("""COMPUTED_VALUE"""),1450)</f>
        <v>1450</v>
      </c>
      <c r="D1449" s="47" t="str">
        <f ca="1">IFERROR(__xludf.DUMMYFUNCTION("""COMPUTED_VALUE"""),"C1342")</f>
        <v>C1342</v>
      </c>
      <c r="E1449" s="46" t="str">
        <f ca="1">IFERROR(__xludf.DUMMYFUNCTION("""COMPUTED_VALUE"""),"NGUYỄN HỒNG SƠN")</f>
        <v>NGUYỄN HỒNG SƠN</v>
      </c>
      <c r="F1449" s="46" t="str">
        <f ca="1">IFERROR(__xludf.DUMMYFUNCTION("""COMPUTED_VALUE"""),"NGUYEN HONG SON")</f>
        <v>NGUYEN HONG SON</v>
      </c>
      <c r="G1449" s="45">
        <f ca="1">IFERROR(__xludf.DUMMYFUNCTION("""COMPUTED_VALUE"""),37562.625)</f>
        <v>37562.625</v>
      </c>
      <c r="H1449" s="45" t="str">
        <f ca="1">IFERROR(__xludf.DUMMYFUNCTION("""COMPUTED_VALUE"""),"KITCHEN PASTRY")</f>
        <v>KITCHEN PASTRY</v>
      </c>
      <c r="I1449" s="46" t="str">
        <f ca="1">IFERROR(__xludf.DUMMYFUNCTION("""COMPUTED_VALUE"""),"KITCHEN PASTRY")</f>
        <v>KITCHEN PASTRY</v>
      </c>
      <c r="J1449" s="46" t="str">
        <f ca="1">IFERROR(__xludf.DUMMYFUNCTION("""COMPUTED_VALUE"""),"KITCHEN PASTRY")</f>
        <v>KITCHEN PASTRY</v>
      </c>
      <c r="K1449" s="46" t="str">
        <f ca="1">IFERROR(__xludf.DUMMYFUNCTION("""COMPUTED_VALUE"""),"ADMIN")</f>
        <v>ADMIN</v>
      </c>
      <c r="L1449" s="46" t="str">
        <f ca="1">IFERROR(__xludf.DUMMYFUNCTION("""COMPUTED_VALUE"""),"PRO")</f>
        <v>PRO</v>
      </c>
      <c r="M1449" s="46" t="str">
        <f ca="1">IFERROR(__xludf.DUMMYFUNCTION("""COMPUTED_VALUE"""),"On")</f>
        <v>On</v>
      </c>
      <c r="N1449" s="46" t="str">
        <f ca="1">IFERROR(__xludf.DUMMYFUNCTION("""COMPUTED_VALUE"""),"Đủ")</f>
        <v>Đủ</v>
      </c>
    </row>
    <row r="1450" spans="1:14">
      <c r="A1450" s="45">
        <f ca="1">IFERROR(__xludf.DUMMYFUNCTION("""COMPUTED_VALUE"""),46146.5833333333)</f>
        <v>46146.583333333299</v>
      </c>
      <c r="B1450" s="45"/>
      <c r="C1450" s="48">
        <f ca="1">IFERROR(__xludf.DUMMYFUNCTION("""COMPUTED_VALUE"""),1451)</f>
        <v>1451</v>
      </c>
      <c r="D1450" s="47" t="str">
        <f ca="1">IFERROR(__xludf.DUMMYFUNCTION("""COMPUTED_VALUE"""),"C1349")</f>
        <v>C1349</v>
      </c>
      <c r="E1450" s="46" t="str">
        <f ca="1">IFERROR(__xludf.DUMMYFUNCTION("""COMPUTED_VALUE"""),"NGUYỄN NGỌC ANH THƯ")</f>
        <v>NGUYỄN NGỌC ANH THƯ</v>
      </c>
      <c r="F1450" s="46" t="str">
        <f ca="1">IFERROR(__xludf.DUMMYFUNCTION("""COMPUTED_VALUE"""),"NGUYEN NGOC ANH THU")</f>
        <v>NGUYEN NGOC ANH THU</v>
      </c>
      <c r="G1450" s="45">
        <f ca="1">IFERROR(__xludf.DUMMYFUNCTION("""COMPUTED_VALUE"""),37121.5833333333)</f>
        <v>37121.583333333299</v>
      </c>
      <c r="H1450" s="45" t="str">
        <f ca="1">IFERROR(__xludf.DUMMYFUNCTION("""COMPUTED_VALUE"""),"BAKES")</f>
        <v>BAKES</v>
      </c>
      <c r="I1450" s="46" t="str">
        <f ca="1">IFERROR(__xludf.DUMMYFUNCTION("""COMPUTED_VALUE"""),"STORE")</f>
        <v>STORE</v>
      </c>
      <c r="J1450" s="46" t="str">
        <f ca="1">IFERROR(__xludf.DUMMYFUNCTION("""COMPUTED_VALUE"""),"BAKES HAM NGHI")</f>
        <v>BAKES HAM NGHI</v>
      </c>
      <c r="K1450" s="46" t="str">
        <f ca="1">IFERROR(__xludf.DUMMYFUNCTION("""COMPUTED_VALUE"""),"SAL")</f>
        <v>SAL</v>
      </c>
      <c r="L1450" s="46" t="str">
        <f ca="1">IFERROR(__xludf.DUMMYFUNCTION("""COMPUTED_VALUE"""),"PRO")</f>
        <v>PRO</v>
      </c>
      <c r="M1450" s="46" t="str">
        <f ca="1">IFERROR(__xludf.DUMMYFUNCTION("""COMPUTED_VALUE"""),"On")</f>
        <v>On</v>
      </c>
      <c r="N1450" s="46" t="str">
        <f ca="1">IFERROR(__xludf.DUMMYFUNCTION("""COMPUTED_VALUE"""),"Đủ")</f>
        <v>Đủ</v>
      </c>
    </row>
    <row r="1451" spans="1:14">
      <c r="A1451" s="45">
        <f ca="1">IFERROR(__xludf.DUMMYFUNCTION("""COMPUTED_VALUE"""),46144.5833333333)</f>
        <v>46144.583333333299</v>
      </c>
      <c r="B1451" s="45"/>
      <c r="C1451" s="48">
        <f ca="1">IFERROR(__xludf.DUMMYFUNCTION("""COMPUTED_VALUE"""),1452)</f>
        <v>1452</v>
      </c>
      <c r="D1451" s="47" t="str">
        <f ca="1">IFERROR(__xludf.DUMMYFUNCTION("""COMPUTED_VALUE"""),"C1345")</f>
        <v>C1345</v>
      </c>
      <c r="E1451" s="46" t="str">
        <f ca="1">IFERROR(__xludf.DUMMYFUNCTION("""COMPUTED_VALUE"""),"LÊ BẢO NHI")</f>
        <v>LÊ BẢO NHI</v>
      </c>
      <c r="F1451" s="46" t="str">
        <f ca="1">IFERROR(__xludf.DUMMYFUNCTION("""COMPUTED_VALUE"""),"LE BAO NHI")</f>
        <v>LE BAO NHI</v>
      </c>
      <c r="G1451" s="45">
        <f ca="1">IFERROR(__xludf.DUMMYFUNCTION("""COMPUTED_VALUE"""),35008.625)</f>
        <v>35008.625</v>
      </c>
      <c r="H1451" s="45" t="str">
        <f ca="1">IFERROR(__xludf.DUMMYFUNCTION("""COMPUTED_VALUE"""),"KITCHEN PASTRY")</f>
        <v>KITCHEN PASTRY</v>
      </c>
      <c r="I1451" s="46" t="str">
        <f ca="1">IFERROR(__xludf.DUMMYFUNCTION("""COMPUTED_VALUE"""),"KITCHEN PASTRY")</f>
        <v>KITCHEN PASTRY</v>
      </c>
      <c r="J1451" s="46" t="str">
        <f ca="1">IFERROR(__xludf.DUMMYFUNCTION("""COMPUTED_VALUE"""),"KITCHEN PASTRY")</f>
        <v>KITCHEN PASTRY</v>
      </c>
      <c r="K1451" s="46" t="str">
        <f ca="1">IFERROR(__xludf.DUMMYFUNCTION("""COMPUTED_VALUE"""),"PASTRY")</f>
        <v>PASTRY</v>
      </c>
      <c r="L1451" s="46" t="str">
        <f ca="1">IFERROR(__xludf.DUMMYFUNCTION("""COMPUTED_VALUE"""),"PRO")</f>
        <v>PRO</v>
      </c>
      <c r="M1451" s="46" t="str">
        <f ca="1">IFERROR(__xludf.DUMMYFUNCTION("""COMPUTED_VALUE"""),"On")</f>
        <v>On</v>
      </c>
      <c r="N1451" s="46" t="str">
        <f ca="1">IFERROR(__xludf.DUMMYFUNCTION("""COMPUTED_VALUE"""),"Đủ")</f>
        <v>Đủ</v>
      </c>
    </row>
    <row r="1452" spans="1:14">
      <c r="A1452" s="45">
        <f ca="1">IFERROR(__xludf.DUMMYFUNCTION("""COMPUTED_VALUE"""),46146.5833333333)</f>
        <v>46146.583333333299</v>
      </c>
      <c r="B1452" s="45"/>
      <c r="C1452" s="48">
        <f ca="1">IFERROR(__xludf.DUMMYFUNCTION("""COMPUTED_VALUE"""),1453)</f>
        <v>1453</v>
      </c>
      <c r="D1452" s="47" t="str">
        <f ca="1">IFERROR(__xludf.DUMMYFUNCTION("""COMPUTED_VALUE"""),"C1347")</f>
        <v>C1347</v>
      </c>
      <c r="E1452" s="46" t="str">
        <f ca="1">IFERROR(__xludf.DUMMYFUNCTION("""COMPUTED_VALUE"""),"NGÔ VÕ BÍCH NGÂN")</f>
        <v>NGÔ VÕ BÍCH NGÂN</v>
      </c>
      <c r="F1452" s="46" t="str">
        <f ca="1">IFERROR(__xludf.DUMMYFUNCTION("""COMPUTED_VALUE"""),"NGO VO BICH NGAN")</f>
        <v>NGO VO BICH NGAN</v>
      </c>
      <c r="G1452" s="45">
        <f ca="1">IFERROR(__xludf.DUMMYFUNCTION("""COMPUTED_VALUE"""),38276.5833333333)</f>
        <v>38276.583333333299</v>
      </c>
      <c r="H1452" s="45" t="str">
        <f ca="1">IFERROR(__xludf.DUMMYFUNCTION("""COMPUTED_VALUE"""),"BAKES")</f>
        <v>BAKES</v>
      </c>
      <c r="I1452" s="46" t="str">
        <f ca="1">IFERROR(__xludf.DUMMYFUNCTION("""COMPUTED_VALUE"""),"STORE")</f>
        <v>STORE</v>
      </c>
      <c r="J1452" s="46" t="str">
        <f ca="1">IFERROR(__xludf.DUMMYFUNCTION("""COMPUTED_VALUE"""),"BAKES HCR")</f>
        <v>BAKES HCR</v>
      </c>
      <c r="K1452" s="46" t="str">
        <f ca="1">IFERROR(__xludf.DUMMYFUNCTION("""COMPUTED_VALUE"""),"WAITSTAFF")</f>
        <v>WAITSTAFF</v>
      </c>
      <c r="L1452" s="46" t="str">
        <f ca="1">IFERROR(__xludf.DUMMYFUNCTION("""COMPUTED_VALUE"""),"PRO")</f>
        <v>PRO</v>
      </c>
      <c r="M1452" s="46" t="str">
        <f ca="1">IFERROR(__xludf.DUMMYFUNCTION("""COMPUTED_VALUE"""),"On")</f>
        <v>On</v>
      </c>
      <c r="N1452" s="46" t="str">
        <f ca="1">IFERROR(__xludf.DUMMYFUNCTION("""COMPUTED_VALUE"""),"Đủ")</f>
        <v>Đủ</v>
      </c>
    </row>
    <row r="1453" spans="1:14">
      <c r="A1453" s="45">
        <f ca="1">IFERROR(__xludf.DUMMYFUNCTION("""COMPUTED_VALUE"""),46163.5833333333)</f>
        <v>46163.583333333299</v>
      </c>
      <c r="B1453" s="45"/>
      <c r="C1453" s="48">
        <f ca="1">IFERROR(__xludf.DUMMYFUNCTION("""COMPUTED_VALUE"""),1454)</f>
        <v>1454</v>
      </c>
      <c r="D1453" s="47" t="str">
        <f ca="1">IFERROR(__xludf.DUMMYFUNCTION("""COMPUTED_VALUE"""),"C1337")</f>
        <v>C1337</v>
      </c>
      <c r="E1453" s="46" t="str">
        <f ca="1">IFERROR(__xludf.DUMMYFUNCTION("""COMPUTED_VALUE"""),"ĐỖ THANH VŨ")</f>
        <v>ĐỖ THANH VŨ</v>
      </c>
      <c r="F1453" s="46" t="str">
        <f ca="1">IFERROR(__xludf.DUMMYFUNCTION("""COMPUTED_VALUE"""),"DO THANH VU")</f>
        <v>DO THANH VU</v>
      </c>
      <c r="G1453" s="45">
        <f ca="1">IFERROR(__xludf.DUMMYFUNCTION("""COMPUTED_VALUE"""),37151.5833333333)</f>
        <v>37151.583333333299</v>
      </c>
      <c r="H1453" s="45" t="str">
        <f ca="1">IFERROR(__xludf.DUMMYFUNCTION("""COMPUTED_VALUE"""),"TLC")</f>
        <v>TLC</v>
      </c>
      <c r="I1453" s="46" t="str">
        <f ca="1">IFERROR(__xludf.DUMMYFUNCTION("""COMPUTED_VALUE"""),"STORE")</f>
        <v>STORE</v>
      </c>
      <c r="J1453" s="46" t="str">
        <f ca="1">IFERROR(__xludf.DUMMYFUNCTION("""COMPUTED_VALUE"""),"BLANK LOUNGE")</f>
        <v>BLANK LOUNGE</v>
      </c>
      <c r="K1453" s="46" t="str">
        <f ca="1">IFERROR(__xludf.DUMMYFUNCTION("""COMPUTED_VALUE"""),"WAITSTAFF")</f>
        <v>WAITSTAFF</v>
      </c>
      <c r="L1453" s="46" t="str">
        <f ca="1">IFERROR(__xludf.DUMMYFUNCTION("""COMPUTED_VALUE"""),"PTEP")</f>
        <v>PTEP</v>
      </c>
      <c r="M1453" s="46" t="str">
        <f ca="1">IFERROR(__xludf.DUMMYFUNCTION("""COMPUTED_VALUE"""),"On")</f>
        <v>On</v>
      </c>
      <c r="N1453" s="46" t="str">
        <f ca="1">IFERROR(__xludf.DUMMYFUNCTION("""COMPUTED_VALUE"""),"chua nop")</f>
        <v>chua nop</v>
      </c>
    </row>
    <row r="1454" spans="1:14">
      <c r="A1454" s="45">
        <f ca="1">IFERROR(__xludf.DUMMYFUNCTION("""COMPUTED_VALUE"""),46146.5833333333)</f>
        <v>46146.583333333299</v>
      </c>
      <c r="B1454" s="45">
        <f ca="1">IFERROR(__xludf.DUMMYFUNCTION("""COMPUTED_VALUE"""),46153.5833333333)</f>
        <v>46153.583333333299</v>
      </c>
      <c r="C1454" s="48">
        <f ca="1">IFERROR(__xludf.DUMMYFUNCTION("""COMPUTED_VALUE"""),1455)</f>
        <v>1455</v>
      </c>
      <c r="D1454" s="47" t="str">
        <f ca="1">IFERROR(__xludf.DUMMYFUNCTION("""COMPUTED_VALUE"""),"C1343")</f>
        <v>C1343</v>
      </c>
      <c r="E1454" s="46" t="str">
        <f ca="1">IFERROR(__xludf.DUMMYFUNCTION("""COMPUTED_VALUE"""),"NGUYỄN HOÀNG PHÚC")</f>
        <v>NGUYỄN HOÀNG PHÚC</v>
      </c>
      <c r="F1454" s="46" t="str">
        <f ca="1">IFERROR(__xludf.DUMMYFUNCTION("""COMPUTED_VALUE"""),"NGUYEN HOANG PHUC")</f>
        <v>NGUYEN HOANG PHUC</v>
      </c>
      <c r="G1454" s="45">
        <f ca="1">IFERROR(__xludf.DUMMYFUNCTION("""COMPUTED_VALUE"""),36067.5833333333)</f>
        <v>36067.583333333299</v>
      </c>
      <c r="H1454" s="45" t="str">
        <f ca="1">IFERROR(__xludf.DUMMYFUNCTION("""COMPUTED_VALUE"""),"KITCHEN PASTRY")</f>
        <v>KITCHEN PASTRY</v>
      </c>
      <c r="I1454" s="46" t="str">
        <f ca="1">IFERROR(__xludf.DUMMYFUNCTION("""COMPUTED_VALUE"""),"KITCHEN PASTRY")</f>
        <v>KITCHEN PASTRY</v>
      </c>
      <c r="J1454" s="46" t="str">
        <f ca="1">IFERROR(__xludf.DUMMYFUNCTION("""COMPUTED_VALUE"""),"KITCHEN PASTRY")</f>
        <v>KITCHEN PASTRY</v>
      </c>
      <c r="K1454" s="46" t="str">
        <f ca="1">IFERROR(__xludf.DUMMYFUNCTION("""COMPUTED_VALUE"""),"ADMIN")</f>
        <v>ADMIN</v>
      </c>
      <c r="L1454" s="46" t="str">
        <f ca="1">IFERROR(__xludf.DUMMYFUNCTION("""COMPUTED_VALUE"""),"PRO")</f>
        <v>PRO</v>
      </c>
      <c r="M1454" s="46" t="str">
        <f ca="1">IFERROR(__xludf.DUMMYFUNCTION("""COMPUTED_VALUE"""),"Leave")</f>
        <v>Leave</v>
      </c>
      <c r="N1454" s="46" t="str">
        <f ca="1">IFERROR(__xludf.DUMMYFUNCTION("""COMPUTED_VALUE"""),"Đủ")</f>
        <v>Đủ</v>
      </c>
    </row>
    <row r="1455" spans="1:14">
      <c r="A1455" s="45">
        <f ca="1">IFERROR(__xludf.DUMMYFUNCTION("""COMPUTED_VALUE"""),46144.5833333333)</f>
        <v>46144.583333333299</v>
      </c>
      <c r="B1455" s="45">
        <f ca="1">IFERROR(__xludf.DUMMYFUNCTION("""COMPUTED_VALUE"""),46181.5833333333)</f>
        <v>46181.583333333299</v>
      </c>
      <c r="C1455" s="48">
        <f ca="1">IFERROR(__xludf.DUMMYFUNCTION("""COMPUTED_VALUE"""),1456)</f>
        <v>1456</v>
      </c>
      <c r="D1455" s="47" t="str">
        <f ca="1">IFERROR(__xludf.DUMMYFUNCTION("""COMPUTED_VALUE"""),"C1350")</f>
        <v>C1350</v>
      </c>
      <c r="E1455" s="46" t="str">
        <f ca="1">IFERROR(__xludf.DUMMYFUNCTION("""COMPUTED_VALUE"""),"HUỲNH NGÔ ANH THƯ")</f>
        <v>HUỲNH NGÔ ANH THƯ</v>
      </c>
      <c r="F1455" s="46" t="str">
        <f ca="1">IFERROR(__xludf.DUMMYFUNCTION("""COMPUTED_VALUE"""),"HUYNH NGO ANH THU")</f>
        <v>HUYNH NGO ANH THU</v>
      </c>
      <c r="G1455" s="45">
        <f ca="1">IFERROR(__xludf.DUMMYFUNCTION("""COMPUTED_VALUE"""),38246.5833333333)</f>
        <v>38246.583333333299</v>
      </c>
      <c r="H1455" s="45" t="str">
        <f ca="1">IFERROR(__xludf.DUMMYFUNCTION("""COMPUTED_VALUE"""),"MATTE")</f>
        <v>MATTE</v>
      </c>
      <c r="I1455" s="46" t="str">
        <f ca="1">IFERROR(__xludf.DUMMYFUNCTION("""COMPUTED_VALUE"""),"STORE")</f>
        <v>STORE</v>
      </c>
      <c r="J1455" s="46" t="str">
        <f ca="1">IFERROR(__xludf.DUMMYFUNCTION("""COMPUTED_VALUE"""),"MATTE D3")</f>
        <v>MATTE D3</v>
      </c>
      <c r="K1455" s="46" t="str">
        <f ca="1">IFERROR(__xludf.DUMMYFUNCTION("""COMPUTED_VALUE"""),"BAR")</f>
        <v>BAR</v>
      </c>
      <c r="L1455" s="46" t="str">
        <f ca="1">IFERROR(__xludf.DUMMYFUNCTION("""COMPUTED_VALUE"""),"PTEP")</f>
        <v>PTEP</v>
      </c>
      <c r="M1455" s="46" t="str">
        <f ca="1">IFERROR(__xludf.DUMMYFUNCTION("""COMPUTED_VALUE"""),"Leave")</f>
        <v>Leave</v>
      </c>
      <c r="N1455" s="46" t="str">
        <f ca="1">IFERROR(__xludf.DUMMYFUNCTION("""COMPUTED_VALUE"""),"Đủ")</f>
        <v>Đủ</v>
      </c>
    </row>
    <row r="1456" spans="1:14">
      <c r="A1456" s="45">
        <f ca="1">IFERROR(__xludf.DUMMYFUNCTION("""COMPUTED_VALUE"""),46146.5833333333)</f>
        <v>46146.583333333299</v>
      </c>
      <c r="B1456" s="45"/>
      <c r="C1456" s="48">
        <f ca="1">IFERROR(__xludf.DUMMYFUNCTION("""COMPUTED_VALUE"""),1457)</f>
        <v>1457</v>
      </c>
      <c r="D1456" s="47" t="str">
        <f ca="1">IFERROR(__xludf.DUMMYFUNCTION("""COMPUTED_VALUE"""),"C1351")</f>
        <v>C1351</v>
      </c>
      <c r="E1456" s="46" t="str">
        <f ca="1">IFERROR(__xludf.DUMMYFUNCTION("""COMPUTED_VALUE"""),"BÙI LÊ ANH KHOA")</f>
        <v>BÙI LÊ ANH KHOA</v>
      </c>
      <c r="F1456" s="46" t="str">
        <f ca="1">IFERROR(__xludf.DUMMYFUNCTION("""COMPUTED_VALUE"""),"BUI LE ANH KHOA")</f>
        <v>BUI LE ANH KHOA</v>
      </c>
      <c r="G1456" s="45">
        <f ca="1">IFERROR(__xludf.DUMMYFUNCTION("""COMPUTED_VALUE"""),38031.625)</f>
        <v>38031.625</v>
      </c>
      <c r="H1456" s="45" t="str">
        <f ca="1">IFERROR(__xludf.DUMMYFUNCTION("""COMPUTED_VALUE"""),"KITCHEN PASTRY")</f>
        <v>KITCHEN PASTRY</v>
      </c>
      <c r="I1456" s="46" t="str">
        <f ca="1">IFERROR(__xludf.DUMMYFUNCTION("""COMPUTED_VALUE"""),"KITCHEN PASTRY")</f>
        <v>KITCHEN PASTRY</v>
      </c>
      <c r="J1456" s="46" t="str">
        <f ca="1">IFERROR(__xludf.DUMMYFUNCTION("""COMPUTED_VALUE"""),"KITCHEN PASTRY")</f>
        <v>KITCHEN PASTRY</v>
      </c>
      <c r="K1456" s="46" t="str">
        <f ca="1">IFERROR(__xludf.DUMMYFUNCTION("""COMPUTED_VALUE"""),"ADMIN")</f>
        <v>ADMIN</v>
      </c>
      <c r="L1456" s="46" t="str">
        <f ca="1">IFERROR(__xludf.DUMMYFUNCTION("""COMPUTED_VALUE"""),"PRO")</f>
        <v>PRO</v>
      </c>
      <c r="M1456" s="46" t="str">
        <f ca="1">IFERROR(__xludf.DUMMYFUNCTION("""COMPUTED_VALUE"""),"On")</f>
        <v>On</v>
      </c>
      <c r="N1456" s="46" t="str">
        <f ca="1">IFERROR(__xludf.DUMMYFUNCTION("""COMPUTED_VALUE"""),"Đủ")</f>
        <v>Đủ</v>
      </c>
    </row>
    <row r="1457" spans="1:14">
      <c r="A1457" s="45">
        <f ca="1">IFERROR(__xludf.DUMMYFUNCTION("""COMPUTED_VALUE"""),46146.5833333333)</f>
        <v>46146.583333333299</v>
      </c>
      <c r="B1457" s="45"/>
      <c r="C1457" s="48">
        <f ca="1">IFERROR(__xludf.DUMMYFUNCTION("""COMPUTED_VALUE"""),1458)</f>
        <v>1458</v>
      </c>
      <c r="D1457" s="47" t="str">
        <f ca="1">IFERROR(__xludf.DUMMYFUNCTION("""COMPUTED_VALUE"""),"C1353")</f>
        <v>C1353</v>
      </c>
      <c r="E1457" s="46" t="str">
        <f ca="1">IFERROR(__xludf.DUMMYFUNCTION("""COMPUTED_VALUE"""),"ĐỖ MINH HIẾU")</f>
        <v>ĐỖ MINH HIẾU</v>
      </c>
      <c r="F1457" s="46" t="str">
        <f ca="1">IFERROR(__xludf.DUMMYFUNCTION("""COMPUTED_VALUE"""),"DO MINH HIEU")</f>
        <v>DO MINH HIEU</v>
      </c>
      <c r="G1457" s="45">
        <f ca="1">IFERROR(__xludf.DUMMYFUNCTION("""COMPUTED_VALUE"""),37595.625)</f>
        <v>37595.625</v>
      </c>
      <c r="H1457" s="45" t="str">
        <f ca="1">IFERROR(__xludf.DUMMYFUNCTION("""COMPUTED_VALUE"""),"TLC")</f>
        <v>TLC</v>
      </c>
      <c r="I1457" s="46" t="str">
        <f ca="1">IFERROR(__xludf.DUMMYFUNCTION("""COMPUTED_VALUE"""),"HO")</f>
        <v>HO</v>
      </c>
      <c r="J1457" s="46" t="str">
        <f ca="1">IFERROR(__xludf.DUMMYFUNCTION("""COMPUTED_VALUE"""),"PREP")</f>
        <v>PREP</v>
      </c>
      <c r="K1457" s="46" t="str">
        <f ca="1">IFERROR(__xludf.DUMMYFUNCTION("""COMPUTED_VALUE"""),"PREP")</f>
        <v>PREP</v>
      </c>
      <c r="L1457" s="46" t="str">
        <f ca="1">IFERROR(__xludf.DUMMYFUNCTION("""COMPUTED_VALUE"""),"PRO")</f>
        <v>PRO</v>
      </c>
      <c r="M1457" s="46" t="str">
        <f ca="1">IFERROR(__xludf.DUMMYFUNCTION("""COMPUTED_VALUE"""),"On")</f>
        <v>On</v>
      </c>
      <c r="N1457" s="46" t="str">
        <f ca="1">IFERROR(__xludf.DUMMYFUNCTION("""COMPUTED_VALUE"""),"Đủ")</f>
        <v>Đủ</v>
      </c>
    </row>
    <row r="1458" spans="1:14">
      <c r="A1458" s="45">
        <f ca="1">IFERROR(__xludf.DUMMYFUNCTION("""COMPUTED_VALUE"""),46148.5833333333)</f>
        <v>46148.583333333299</v>
      </c>
      <c r="B1458" s="45">
        <f ca="1">IFERROR(__xludf.DUMMYFUNCTION("""COMPUTED_VALUE"""),46154.5833333333)</f>
        <v>46154.583333333299</v>
      </c>
      <c r="C1458" s="48">
        <f ca="1">IFERROR(__xludf.DUMMYFUNCTION("""COMPUTED_VALUE"""),1459)</f>
        <v>1459</v>
      </c>
      <c r="D1458" s="47" t="str">
        <f ca="1">IFERROR(__xludf.DUMMYFUNCTION("""COMPUTED_VALUE"""),"C1356")</f>
        <v>C1356</v>
      </c>
      <c r="E1458" s="46" t="str">
        <f ca="1">IFERROR(__xludf.DUMMYFUNCTION("""COMPUTED_VALUE"""),"ĐỚI THỊ KIM PHỤNG")</f>
        <v>ĐỚI THỊ KIM PHỤNG</v>
      </c>
      <c r="F1458" s="46" t="str">
        <f ca="1">IFERROR(__xludf.DUMMYFUNCTION("""COMPUTED_VALUE"""),"DOI THI KIM PHUNG")</f>
        <v>DOI THI KIM PHUNG</v>
      </c>
      <c r="G1458" s="45">
        <f ca="1">IFERROR(__xludf.DUMMYFUNCTION("""COMPUTED_VALUE"""),38355.625)</f>
        <v>38355.625</v>
      </c>
      <c r="H1458" s="45" t="str">
        <f ca="1">IFERROR(__xludf.DUMMYFUNCTION("""COMPUTED_VALUE"""),"MATTE")</f>
        <v>MATTE</v>
      </c>
      <c r="I1458" s="46" t="str">
        <f ca="1">IFERROR(__xludf.DUMMYFUNCTION("""COMPUTED_VALUE"""),"STORE")</f>
        <v>STORE</v>
      </c>
      <c r="J1458" s="46" t="str">
        <f ca="1">IFERROR(__xludf.DUMMYFUNCTION("""COMPUTED_VALUE"""),"MATTE D3")</f>
        <v>MATTE D3</v>
      </c>
      <c r="K1458" s="46" t="str">
        <f ca="1">IFERROR(__xludf.DUMMYFUNCTION("""COMPUTED_VALUE"""),"BAR")</f>
        <v>BAR</v>
      </c>
      <c r="L1458" s="46" t="str">
        <f ca="1">IFERROR(__xludf.DUMMYFUNCTION("""COMPUTED_VALUE"""),"PTEP")</f>
        <v>PTEP</v>
      </c>
      <c r="M1458" s="46" t="str">
        <f ca="1">IFERROR(__xludf.DUMMYFUNCTION("""COMPUTED_VALUE"""),"Leave")</f>
        <v>Leave</v>
      </c>
      <c r="N1458" s="46" t="str">
        <f ca="1">IFERROR(__xludf.DUMMYFUNCTION("""COMPUTED_VALUE"""),"Đủ")</f>
        <v>Đủ</v>
      </c>
    </row>
    <row r="1459" spans="1:14">
      <c r="A1459" s="45">
        <f ca="1">IFERROR(__xludf.DUMMYFUNCTION("""COMPUTED_VALUE"""),46150.5833333333)</f>
        <v>46150.583333333299</v>
      </c>
      <c r="B1459" s="45"/>
      <c r="C1459" s="48">
        <f ca="1">IFERROR(__xludf.DUMMYFUNCTION("""COMPUTED_VALUE"""),1460)</f>
        <v>1460</v>
      </c>
      <c r="D1459" s="47" t="str">
        <f ca="1">IFERROR(__xludf.DUMMYFUNCTION("""COMPUTED_VALUE"""),"C1361")</f>
        <v>C1361</v>
      </c>
      <c r="E1459" s="46" t="str">
        <f ca="1">IFERROR(__xludf.DUMMYFUNCTION("""COMPUTED_VALUE"""),"CHÂU QUỐC NHẬT QUANG")</f>
        <v>CHÂU QUỐC NHẬT QUANG</v>
      </c>
      <c r="F1459" s="46" t="str">
        <f ca="1">IFERROR(__xludf.DUMMYFUNCTION("""COMPUTED_VALUE"""),"CHAU QUOC NHAT QUANG")</f>
        <v>CHAU QUOC NHAT QUANG</v>
      </c>
      <c r="G1459" s="45">
        <f ca="1">IFERROR(__xludf.DUMMYFUNCTION("""COMPUTED_VALUE"""),36537.625)</f>
        <v>36537.625</v>
      </c>
      <c r="H1459" s="45" t="str">
        <f ca="1">IFERROR(__xludf.DUMMYFUNCTION("""COMPUTED_VALUE"""),"BAKES")</f>
        <v>BAKES</v>
      </c>
      <c r="I1459" s="46" t="str">
        <f ca="1">IFERROR(__xludf.DUMMYFUNCTION("""COMPUTED_VALUE"""),"STORE")</f>
        <v>STORE</v>
      </c>
      <c r="J1459" s="46" t="str">
        <f ca="1">IFERROR(__xludf.DUMMYFUNCTION("""COMPUTED_VALUE"""),"BAKES D2")</f>
        <v>BAKES D2</v>
      </c>
      <c r="K1459" s="46" t="str">
        <f ca="1">IFERROR(__xludf.DUMMYFUNCTION("""COMPUTED_VALUE"""),"WAITSTAFF")</f>
        <v>WAITSTAFF</v>
      </c>
      <c r="L1459" s="46" t="str">
        <f ca="1">IFERROR(__xludf.DUMMYFUNCTION("""COMPUTED_VALUE"""),"PRO")</f>
        <v>PRO</v>
      </c>
      <c r="M1459" s="46" t="str">
        <f ca="1">IFERROR(__xludf.DUMMYFUNCTION("""COMPUTED_VALUE"""),"On")</f>
        <v>On</v>
      </c>
      <c r="N1459" s="46" t="str">
        <f ca="1">IFERROR(__xludf.DUMMYFUNCTION("""COMPUTED_VALUE"""),"Đủ")</f>
        <v>Đủ</v>
      </c>
    </row>
    <row r="1460" spans="1:14">
      <c r="A1460" s="45">
        <f ca="1">IFERROR(__xludf.DUMMYFUNCTION("""COMPUTED_VALUE"""),46150.5833333333)</f>
        <v>46150.583333333299</v>
      </c>
      <c r="B1460" s="45"/>
      <c r="C1460" s="48">
        <f ca="1">IFERROR(__xludf.DUMMYFUNCTION("""COMPUTED_VALUE"""),1461)</f>
        <v>1461</v>
      </c>
      <c r="D1460" s="47" t="str">
        <f ca="1">IFERROR(__xludf.DUMMYFUNCTION("""COMPUTED_VALUE"""),"C1360")</f>
        <v>C1360</v>
      </c>
      <c r="E1460" s="46" t="str">
        <f ca="1">IFERROR(__xludf.DUMMYFUNCTION("""COMPUTED_VALUE"""),"NGUYỄN ĐÌNH KHÁNH VY")</f>
        <v>NGUYỄN ĐÌNH KHÁNH VY</v>
      </c>
      <c r="F1460" s="46" t="str">
        <f ca="1">IFERROR(__xludf.DUMMYFUNCTION("""COMPUTED_VALUE"""),"NGUYEN DINH KHANH VY")</f>
        <v>NGUYEN DINH KHANH VY</v>
      </c>
      <c r="G1460" s="45">
        <f ca="1">IFERROR(__xludf.DUMMYFUNCTION("""COMPUTED_VALUE"""),38923.5833333333)</f>
        <v>38923.583333333299</v>
      </c>
      <c r="H1460" s="45" t="str">
        <f ca="1">IFERROR(__xludf.DUMMYFUNCTION("""COMPUTED_VALUE"""),"BAKES")</f>
        <v>BAKES</v>
      </c>
      <c r="I1460" s="46" t="str">
        <f ca="1">IFERROR(__xludf.DUMMYFUNCTION("""COMPUTED_VALUE"""),"STORE")</f>
        <v>STORE</v>
      </c>
      <c r="J1460" s="46" t="str">
        <f ca="1">IFERROR(__xludf.DUMMYFUNCTION("""COMPUTED_VALUE"""),"BAKES D2")</f>
        <v>BAKES D2</v>
      </c>
      <c r="K1460" s="46" t="str">
        <f ca="1">IFERROR(__xludf.DUMMYFUNCTION("""COMPUTED_VALUE"""),"WAITSTAFF")</f>
        <v>WAITSTAFF</v>
      </c>
      <c r="L1460" s="46" t="str">
        <f ca="1">IFERROR(__xludf.DUMMYFUNCTION("""COMPUTED_VALUE"""),"PTEP")</f>
        <v>PTEP</v>
      </c>
      <c r="M1460" s="46" t="str">
        <f ca="1">IFERROR(__xludf.DUMMYFUNCTION("""COMPUTED_VALUE"""),"On")</f>
        <v>On</v>
      </c>
      <c r="N1460" s="46" t="str">
        <f ca="1">IFERROR(__xludf.DUMMYFUNCTION("""COMPUTED_VALUE"""),"Đủ")</f>
        <v>Đủ</v>
      </c>
    </row>
    <row r="1461" spans="1:14">
      <c r="A1461" s="45">
        <f ca="1">IFERROR(__xludf.DUMMYFUNCTION("""COMPUTED_VALUE"""),46167.5833333333)</f>
        <v>46167.583333333299</v>
      </c>
      <c r="B1461" s="45"/>
      <c r="C1461" s="48">
        <f ca="1">IFERROR(__xludf.DUMMYFUNCTION("""COMPUTED_VALUE"""),1462)</f>
        <v>1462</v>
      </c>
      <c r="D1461" s="47" t="str">
        <f ca="1">IFERROR(__xludf.DUMMYFUNCTION("""COMPUTED_VALUE"""),"C1371")</f>
        <v>C1371</v>
      </c>
      <c r="E1461" s="46" t="str">
        <f ca="1">IFERROR(__xludf.DUMMYFUNCTION("""COMPUTED_VALUE"""),"NGUYỄN MẪN NHƯ")</f>
        <v>NGUYỄN MẪN NHƯ</v>
      </c>
      <c r="F1461" s="46" t="str">
        <f ca="1">IFERROR(__xludf.DUMMYFUNCTION("""COMPUTED_VALUE"""),"NGUYEN MAN NHU")</f>
        <v>NGUYEN MAN NHU</v>
      </c>
      <c r="G1461" s="45">
        <f ca="1">IFERROR(__xludf.DUMMYFUNCTION("""COMPUTED_VALUE"""),38713.625)</f>
        <v>38713.625</v>
      </c>
      <c r="H1461" s="45" t="str">
        <f ca="1">IFERROR(__xludf.DUMMYFUNCTION("""COMPUTED_VALUE"""),"MATTE")</f>
        <v>MATTE</v>
      </c>
      <c r="I1461" s="46" t="str">
        <f ca="1">IFERROR(__xludf.DUMMYFUNCTION("""COMPUTED_VALUE"""),"STORE")</f>
        <v>STORE</v>
      </c>
      <c r="J1461" s="46" t="str">
        <f ca="1">IFERROR(__xludf.DUMMYFUNCTION("""COMPUTED_VALUE"""),"MATTE D7")</f>
        <v>MATTE D7</v>
      </c>
      <c r="K1461" s="46" t="str">
        <f ca="1">IFERROR(__xludf.DUMMYFUNCTION("""COMPUTED_VALUE"""),"BAR")</f>
        <v>BAR</v>
      </c>
      <c r="L1461" s="46" t="str">
        <f ca="1">IFERROR(__xludf.DUMMYFUNCTION("""COMPUTED_VALUE"""),"PTEP")</f>
        <v>PTEP</v>
      </c>
      <c r="M1461" s="46" t="str">
        <f ca="1">IFERROR(__xludf.DUMMYFUNCTION("""COMPUTED_VALUE"""),"On")</f>
        <v>On</v>
      </c>
      <c r="N1461" s="46" t="str">
        <f ca="1">IFERROR(__xludf.DUMMYFUNCTION("""COMPUTED_VALUE"""),"Đủ")</f>
        <v>Đủ</v>
      </c>
    </row>
    <row r="1462" spans="1:14">
      <c r="A1462" s="45">
        <f ca="1">IFERROR(__xludf.DUMMYFUNCTION("""COMPUTED_VALUE"""),46154.5833333333)</f>
        <v>46154.583333333299</v>
      </c>
      <c r="B1462" s="45">
        <f ca="1">IFERROR(__xludf.DUMMYFUNCTION("""COMPUTED_VALUE"""),46150.5833333333)</f>
        <v>46150.583333333299</v>
      </c>
      <c r="C1462" s="48">
        <f ca="1">IFERROR(__xludf.DUMMYFUNCTION("""COMPUTED_VALUE"""),1463)</f>
        <v>1463</v>
      </c>
      <c r="D1462" s="47" t="str">
        <f ca="1">IFERROR(__xludf.DUMMYFUNCTION("""COMPUTED_VALUE"""),"C1374")</f>
        <v>C1374</v>
      </c>
      <c r="E1462" s="46" t="str">
        <f ca="1">IFERROR(__xludf.DUMMYFUNCTION("""COMPUTED_VALUE"""),"TRƯƠNG NGỌC ĐẠI")</f>
        <v>TRƯƠNG NGỌC ĐẠI</v>
      </c>
      <c r="F1462" s="46" t="str">
        <f ca="1">IFERROR(__xludf.DUMMYFUNCTION("""COMPUTED_VALUE"""),"TRUONG NGOC DAI")</f>
        <v>TRUONG NGOC DAI</v>
      </c>
      <c r="G1462" s="45">
        <f ca="1">IFERROR(__xludf.DUMMYFUNCTION("""COMPUTED_VALUE"""),37128.5833333333)</f>
        <v>37128.583333333299</v>
      </c>
      <c r="H1462" s="45" t="str">
        <f ca="1">IFERROR(__xludf.DUMMYFUNCTION("""COMPUTED_VALUE"""),"TLC")</f>
        <v>TLC</v>
      </c>
      <c r="I1462" s="46" t="str">
        <f ca="1">IFERROR(__xludf.DUMMYFUNCTION("""COMPUTED_VALUE"""),"STORE")</f>
        <v>STORE</v>
      </c>
      <c r="J1462" s="46" t="str">
        <f ca="1">IFERROR(__xludf.DUMMYFUNCTION("""COMPUTED_VALUE"""),"BAR ROM")</f>
        <v>BAR ROM</v>
      </c>
      <c r="K1462" s="46" t="str">
        <f ca="1">IFERROR(__xludf.DUMMYFUNCTION("""COMPUTED_VALUE"""),"KIT")</f>
        <v>KIT</v>
      </c>
      <c r="L1462" s="46" t="str">
        <f ca="1">IFERROR(__xludf.DUMMYFUNCTION("""COMPUTED_VALUE"""),"PRO")</f>
        <v>PRO</v>
      </c>
      <c r="M1462" s="46" t="str">
        <f ca="1">IFERROR(__xludf.DUMMYFUNCTION("""COMPUTED_VALUE"""),"Leave")</f>
        <v>Leave</v>
      </c>
      <c r="N1462" s="46" t="str">
        <f ca="1">IFERROR(__xludf.DUMMYFUNCTION("""COMPUTED_VALUE"""),"Đủ")</f>
        <v>Đủ</v>
      </c>
    </row>
    <row r="1463" spans="1:14">
      <c r="A1463" s="45">
        <f ca="1">IFERROR(__xludf.DUMMYFUNCTION("""COMPUTED_VALUE"""),46167.5833333333)</f>
        <v>46167.583333333299</v>
      </c>
      <c r="B1463" s="45"/>
      <c r="C1463" s="48">
        <f ca="1">IFERROR(__xludf.DUMMYFUNCTION("""COMPUTED_VALUE"""),1464)</f>
        <v>1464</v>
      </c>
      <c r="D1463" s="47" t="str">
        <f ca="1">IFERROR(__xludf.DUMMYFUNCTION("""COMPUTED_VALUE"""),"C1368")</f>
        <v>C1368</v>
      </c>
      <c r="E1463" s="46" t="str">
        <f ca="1">IFERROR(__xludf.DUMMYFUNCTION("""COMPUTED_VALUE"""),"BÙI YẾN TRANG")</f>
        <v>BÙI YẾN TRANG</v>
      </c>
      <c r="F1463" s="46" t="str">
        <f ca="1">IFERROR(__xludf.DUMMYFUNCTION("""COMPUTED_VALUE"""),"BUI YEN TRANG")</f>
        <v>BUI YEN TRANG</v>
      </c>
      <c r="G1463" s="45" t="str">
        <f ca="1">IFERROR(__xludf.DUMMYFUNCTION("""COMPUTED_VALUE"""),"26/07/2005")</f>
        <v>26/07/2005</v>
      </c>
      <c r="H1463" s="45" t="str">
        <f ca="1">IFERROR(__xludf.DUMMYFUNCTION("""COMPUTED_VALUE"""),"TLC")</f>
        <v>TLC</v>
      </c>
      <c r="I1463" s="46" t="str">
        <f ca="1">IFERROR(__xludf.DUMMYFUNCTION("""COMPUTED_VALUE"""),"STORE")</f>
        <v>STORE</v>
      </c>
      <c r="J1463" s="46" t="str">
        <f ca="1">IFERROR(__xludf.DUMMYFUNCTION("""COMPUTED_VALUE"""),"BLANK LOUNGE")</f>
        <v>BLANK LOUNGE</v>
      </c>
      <c r="K1463" s="46" t="str">
        <f ca="1">IFERROR(__xludf.DUMMYFUNCTION("""COMPUTED_VALUE"""),"WAITSTAFF")</f>
        <v>WAITSTAFF</v>
      </c>
      <c r="L1463" s="46" t="str">
        <f ca="1">IFERROR(__xludf.DUMMYFUNCTION("""COMPUTED_VALUE"""),"PTEP")</f>
        <v>PTEP</v>
      </c>
      <c r="M1463" s="46" t="str">
        <f ca="1">IFERROR(__xludf.DUMMYFUNCTION("""COMPUTED_VALUE"""),"On")</f>
        <v>On</v>
      </c>
      <c r="N1463" s="46" t="str">
        <f ca="1">IFERROR(__xludf.DUMMYFUNCTION("""COMPUTED_VALUE"""),"chua nop")</f>
        <v>chua nop</v>
      </c>
    </row>
    <row r="1464" spans="1:14">
      <c r="A1464" s="45">
        <f ca="1">IFERROR(__xludf.DUMMYFUNCTION("""COMPUTED_VALUE"""),46153.5833333333)</f>
        <v>46153.583333333299</v>
      </c>
      <c r="B1464" s="45"/>
      <c r="C1464" s="48">
        <f ca="1">IFERROR(__xludf.DUMMYFUNCTION("""COMPUTED_VALUE"""),1465)</f>
        <v>1465</v>
      </c>
      <c r="D1464" s="47" t="str">
        <f ca="1">IFERROR(__xludf.DUMMYFUNCTION("""COMPUTED_VALUE"""),"C1369")</f>
        <v>C1369</v>
      </c>
      <c r="E1464" s="46" t="str">
        <f ca="1">IFERROR(__xludf.DUMMYFUNCTION("""COMPUTED_VALUE"""),"NGUYỄN BÍCH NGỌC")</f>
        <v>NGUYỄN BÍCH NGỌC</v>
      </c>
      <c r="F1464" s="46" t="str">
        <f ca="1">IFERROR(__xludf.DUMMYFUNCTION("""COMPUTED_VALUE"""),"NGUYEN BICH NGOC")</f>
        <v>NGUYEN BICH NGOC</v>
      </c>
      <c r="G1464" s="45" t="str">
        <f ca="1">IFERROR(__xludf.DUMMYFUNCTION("""COMPUTED_VALUE"""),"20/11/1998")</f>
        <v>20/11/1998</v>
      </c>
      <c r="H1464" s="45" t="str">
        <f ca="1">IFERROR(__xludf.DUMMYFUNCTION("""COMPUTED_VALUE"""),"TLC")</f>
        <v>TLC</v>
      </c>
      <c r="I1464" s="46" t="str">
        <f ca="1">IFERROR(__xludf.DUMMYFUNCTION("""COMPUTED_VALUE"""),"STORE")</f>
        <v>STORE</v>
      </c>
      <c r="J1464" s="46" t="str">
        <f ca="1">IFERROR(__xludf.DUMMYFUNCTION("""COMPUTED_VALUE"""),"BLANK LOUNGE")</f>
        <v>BLANK LOUNGE</v>
      </c>
      <c r="K1464" s="46" t="str">
        <f ca="1">IFERROR(__xludf.DUMMYFUNCTION("""COMPUTED_VALUE"""),"BAR")</f>
        <v>BAR</v>
      </c>
      <c r="L1464" s="46" t="str">
        <f ca="1">IFERROR(__xludf.DUMMYFUNCTION("""COMPUTED_VALUE"""),"PTEP")</f>
        <v>PTEP</v>
      </c>
      <c r="M1464" s="46" t="str">
        <f ca="1">IFERROR(__xludf.DUMMYFUNCTION("""COMPUTED_VALUE"""),"On")</f>
        <v>On</v>
      </c>
      <c r="N1464" s="46" t="str">
        <f ca="1">IFERROR(__xludf.DUMMYFUNCTION("""COMPUTED_VALUE"""),"chua nop")</f>
        <v>chua nop</v>
      </c>
    </row>
    <row r="1465" spans="1:14">
      <c r="A1465" s="45">
        <f ca="1">IFERROR(__xludf.DUMMYFUNCTION("""COMPUTED_VALUE"""),46153.5833333333)</f>
        <v>46153.583333333299</v>
      </c>
      <c r="B1465" s="45"/>
      <c r="C1465" s="48">
        <f ca="1">IFERROR(__xludf.DUMMYFUNCTION("""COMPUTED_VALUE"""),1466)</f>
        <v>1466</v>
      </c>
      <c r="D1465" s="47" t="str">
        <f ca="1">IFERROR(__xludf.DUMMYFUNCTION("""COMPUTED_VALUE"""),"C1365")</f>
        <v>C1365</v>
      </c>
      <c r="E1465" s="46" t="str">
        <f ca="1">IFERROR(__xludf.DUMMYFUNCTION("""COMPUTED_VALUE"""),"NGUYỄN NGỌC MINH TRANG")</f>
        <v>NGUYỄN NGỌC MINH TRANG</v>
      </c>
      <c r="F1465" s="46" t="str">
        <f ca="1">IFERROR(__xludf.DUMMYFUNCTION("""COMPUTED_VALUE"""),"NGUYEN NGOC MINH TRANG")</f>
        <v>NGUYEN NGOC MINH TRANG</v>
      </c>
      <c r="G1465" s="45">
        <f ca="1">IFERROR(__xludf.DUMMYFUNCTION("""COMPUTED_VALUE"""),34501.5833333333)</f>
        <v>34501.583333333299</v>
      </c>
      <c r="H1465" s="45" t="str">
        <f ca="1">IFERROR(__xludf.DUMMYFUNCTION("""COMPUTED_VALUE"""),"MATTE")</f>
        <v>MATTE</v>
      </c>
      <c r="I1465" s="46" t="str">
        <f ca="1">IFERROR(__xludf.DUMMYFUNCTION("""COMPUTED_VALUE"""),"STORE")</f>
        <v>STORE</v>
      </c>
      <c r="J1465" s="46" t="str">
        <f ca="1">IFERROR(__xludf.DUMMYFUNCTION("""COMPUTED_VALUE"""),"MATTE D3")</f>
        <v>MATTE D3</v>
      </c>
      <c r="K1465" s="46" t="str">
        <f ca="1">IFERROR(__xludf.DUMMYFUNCTION("""COMPUTED_VALUE"""),"Management team")</f>
        <v>Management team</v>
      </c>
      <c r="L1465" s="46" t="str">
        <f ca="1">IFERROR(__xludf.DUMMYFUNCTION("""COMPUTED_VALUE"""),"PRO")</f>
        <v>PRO</v>
      </c>
      <c r="M1465" s="46" t="str">
        <f ca="1">IFERROR(__xludf.DUMMYFUNCTION("""COMPUTED_VALUE"""),"On")</f>
        <v>On</v>
      </c>
      <c r="N1465" s="46" t="str">
        <f ca="1">IFERROR(__xludf.DUMMYFUNCTION("""COMPUTED_VALUE"""),"Đủ")</f>
        <v>Đủ</v>
      </c>
    </row>
    <row r="1466" spans="1:14">
      <c r="A1466" s="45">
        <f ca="1">IFERROR(__xludf.DUMMYFUNCTION("""COMPUTED_VALUE"""),46153.5833333333)</f>
        <v>46153.583333333299</v>
      </c>
      <c r="B1466" s="45">
        <f ca="1">IFERROR(__xludf.DUMMYFUNCTION("""COMPUTED_VALUE"""),46162.5833333333)</f>
        <v>46162.583333333299</v>
      </c>
      <c r="C1466" s="48">
        <f ca="1">IFERROR(__xludf.DUMMYFUNCTION("""COMPUTED_VALUE"""),1467)</f>
        <v>1467</v>
      </c>
      <c r="D1466" s="47" t="str">
        <f ca="1">IFERROR(__xludf.DUMMYFUNCTION("""COMPUTED_VALUE"""),"C1364")</f>
        <v>C1364</v>
      </c>
      <c r="E1466" s="46" t="str">
        <f ca="1">IFERROR(__xludf.DUMMYFUNCTION("""COMPUTED_VALUE"""),"PHAN TRẦN THÀNH CÔNG")</f>
        <v>PHAN TRẦN THÀNH CÔNG</v>
      </c>
      <c r="F1466" s="46" t="str">
        <f ca="1">IFERROR(__xludf.DUMMYFUNCTION("""COMPUTED_VALUE"""),"PHAN TRAN THANH CONG")</f>
        <v>PHAN TRAN THANH CONG</v>
      </c>
      <c r="G1466" s="45">
        <f ca="1">IFERROR(__xludf.DUMMYFUNCTION("""COMPUTED_VALUE"""),36893.625)</f>
        <v>36893.625</v>
      </c>
      <c r="H1466" s="45" t="str">
        <f ca="1">IFERROR(__xludf.DUMMYFUNCTION("""COMPUTED_VALUE"""),"MATTE")</f>
        <v>MATTE</v>
      </c>
      <c r="I1466" s="46" t="str">
        <f ca="1">IFERROR(__xludf.DUMMYFUNCTION("""COMPUTED_VALUE"""),"STORE")</f>
        <v>STORE</v>
      </c>
      <c r="J1466" s="46" t="str">
        <f ca="1">IFERROR(__xludf.DUMMYFUNCTION("""COMPUTED_VALUE"""),"MATTE D7")</f>
        <v>MATTE D7</v>
      </c>
      <c r="K1466" s="46" t="str">
        <f ca="1">IFERROR(__xludf.DUMMYFUNCTION("""COMPUTED_VALUE"""),"Management team")</f>
        <v>Management team</v>
      </c>
      <c r="L1466" s="46" t="str">
        <f ca="1">IFERROR(__xludf.DUMMYFUNCTION("""COMPUTED_VALUE"""),"PRO")</f>
        <v>PRO</v>
      </c>
      <c r="M1466" s="46" t="str">
        <f ca="1">IFERROR(__xludf.DUMMYFUNCTION("""COMPUTED_VALUE"""),"Leave")</f>
        <v>Leave</v>
      </c>
      <c r="N1466" s="46" t="str">
        <f ca="1">IFERROR(__xludf.DUMMYFUNCTION("""COMPUTED_VALUE"""),"Đủ")</f>
        <v>Đủ</v>
      </c>
    </row>
    <row r="1467" spans="1:14">
      <c r="A1467" s="45">
        <f ca="1">IFERROR(__xludf.DUMMYFUNCTION("""COMPUTED_VALUE"""),46153.5833333333)</f>
        <v>46153.583333333299</v>
      </c>
      <c r="B1467" s="45"/>
      <c r="C1467" s="48">
        <f ca="1">IFERROR(__xludf.DUMMYFUNCTION("""COMPUTED_VALUE"""),1468)</f>
        <v>1468</v>
      </c>
      <c r="D1467" s="47" t="str">
        <f ca="1">IFERROR(__xludf.DUMMYFUNCTION("""COMPUTED_VALUE"""),"C1370")</f>
        <v>C1370</v>
      </c>
      <c r="E1467" s="46" t="str">
        <f ca="1">IFERROR(__xludf.DUMMYFUNCTION("""COMPUTED_VALUE"""),"LA THÀNH ĐỨC")</f>
        <v>LA THÀNH ĐỨC</v>
      </c>
      <c r="F1467" s="46" t="str">
        <f ca="1">IFERROR(__xludf.DUMMYFUNCTION("""COMPUTED_VALUE"""),"LA THANH DUC")</f>
        <v>LA THANH DUC</v>
      </c>
      <c r="G1467" s="45">
        <f ca="1">IFERROR(__xludf.DUMMYFUNCTION("""COMPUTED_VALUE"""),36851.625)</f>
        <v>36851.625</v>
      </c>
      <c r="H1467" s="45" t="str">
        <f ca="1">IFERROR(__xludf.DUMMYFUNCTION("""COMPUTED_VALUE"""),"TLC")</f>
        <v>TLC</v>
      </c>
      <c r="I1467" s="46" t="str">
        <f ca="1">IFERROR(__xludf.DUMMYFUNCTION("""COMPUTED_VALUE"""),"HO")</f>
        <v>HO</v>
      </c>
      <c r="J1467" s="46" t="str">
        <f ca="1">IFERROR(__xludf.DUMMYFUNCTION("""COMPUTED_VALUE"""),"CUS")</f>
        <v>CUS</v>
      </c>
      <c r="K1467" s="46" t="str">
        <f ca="1">IFERROR(__xludf.DUMMYFUNCTION("""COMPUTED_VALUE"""),"CUS")</f>
        <v>CUS</v>
      </c>
      <c r="L1467" s="46" t="str">
        <f ca="1">IFERROR(__xludf.DUMMYFUNCTION("""COMPUTED_VALUE"""),"PTEP")</f>
        <v>PTEP</v>
      </c>
      <c r="M1467" s="46" t="str">
        <f ca="1">IFERROR(__xludf.DUMMYFUNCTION("""COMPUTED_VALUE"""),"On")</f>
        <v>On</v>
      </c>
      <c r="N1467" s="46" t="str">
        <f ca="1">IFERROR(__xludf.DUMMYFUNCTION("""COMPUTED_VALUE"""),"Đủ")</f>
        <v>Đủ</v>
      </c>
    </row>
    <row r="1468" spans="1:14">
      <c r="A1468" s="45">
        <f ca="1">IFERROR(__xludf.DUMMYFUNCTION("""COMPUTED_VALUE"""),46155.5833333333)</f>
        <v>46155.583333333299</v>
      </c>
      <c r="B1468" s="45"/>
      <c r="C1468" s="48">
        <f ca="1">IFERROR(__xludf.DUMMYFUNCTION("""COMPUTED_VALUE"""),1469)</f>
        <v>1469</v>
      </c>
      <c r="D1468" s="47" t="str">
        <f ca="1">IFERROR(__xludf.DUMMYFUNCTION("""COMPUTED_VALUE"""),"C1372")</f>
        <v>C1372</v>
      </c>
      <c r="E1468" s="46" t="str">
        <f ca="1">IFERROR(__xludf.DUMMYFUNCTION("""COMPUTED_VALUE"""),"VŨ MẠNH QUANG")</f>
        <v>VŨ MẠNH QUANG</v>
      </c>
      <c r="F1468" s="46" t="str">
        <f ca="1">IFERROR(__xludf.DUMMYFUNCTION("""COMPUTED_VALUE"""),"VU MANH QUANG")</f>
        <v>VU MANH QUANG</v>
      </c>
      <c r="G1468" s="45">
        <f ca="1">IFERROR(__xludf.DUMMYFUNCTION("""COMPUTED_VALUE"""),38836.5833333333)</f>
        <v>38836.583333333299</v>
      </c>
      <c r="H1468" s="45" t="str">
        <f ca="1">IFERROR(__xludf.DUMMYFUNCTION("""COMPUTED_VALUE"""),"MATTE")</f>
        <v>MATTE</v>
      </c>
      <c r="I1468" s="46" t="str">
        <f ca="1">IFERROR(__xludf.DUMMYFUNCTION("""COMPUTED_VALUE"""),"STORE")</f>
        <v>STORE</v>
      </c>
      <c r="J1468" s="46" t="str">
        <f ca="1">IFERROR(__xludf.DUMMYFUNCTION("""COMPUTED_VALUE"""),"MATTE D1")</f>
        <v>MATTE D1</v>
      </c>
      <c r="K1468" s="46" t="str">
        <f ca="1">IFERROR(__xludf.DUMMYFUNCTION("""COMPUTED_VALUE"""),"BAR")</f>
        <v>BAR</v>
      </c>
      <c r="L1468" s="46" t="str">
        <f ca="1">IFERROR(__xludf.DUMMYFUNCTION("""COMPUTED_VALUE"""),"PTEP")</f>
        <v>PTEP</v>
      </c>
      <c r="M1468" s="46" t="str">
        <f ca="1">IFERROR(__xludf.DUMMYFUNCTION("""COMPUTED_VALUE"""),"On")</f>
        <v>On</v>
      </c>
      <c r="N1468" s="46" t="str">
        <f ca="1">IFERROR(__xludf.DUMMYFUNCTION("""COMPUTED_VALUE"""),"Đủ")</f>
        <v>Đủ</v>
      </c>
    </row>
    <row r="1469" spans="1:14">
      <c r="A1469" s="45">
        <f ca="1">IFERROR(__xludf.DUMMYFUNCTION("""COMPUTED_VALUE"""),46156.5833333333)</f>
        <v>46156.583333333299</v>
      </c>
      <c r="B1469" s="45">
        <f ca="1">IFERROR(__xludf.DUMMYFUNCTION("""COMPUTED_VALUE"""),46179.5833333333)</f>
        <v>46179.583333333299</v>
      </c>
      <c r="C1469" s="46">
        <f ca="1">IFERROR(__xludf.DUMMYFUNCTION("""COMPUTED_VALUE"""),1470)</f>
        <v>1470</v>
      </c>
      <c r="D1469" s="47" t="str">
        <f ca="1">IFERROR(__xludf.DUMMYFUNCTION("""COMPUTED_VALUE"""),"C1377")</f>
        <v>C1377</v>
      </c>
      <c r="E1469" s="46" t="str">
        <f ca="1">IFERROR(__xludf.DUMMYFUNCTION("""COMPUTED_VALUE"""),"NGUYỄN PHÚC TOÀN")</f>
        <v>NGUYỄN PHÚC TOÀN</v>
      </c>
      <c r="F1469" s="46" t="str">
        <f ca="1">IFERROR(__xludf.DUMMYFUNCTION("""COMPUTED_VALUE"""),"NGUYEN PHUC TOAN")</f>
        <v>NGUYEN PHUC TOAN</v>
      </c>
      <c r="G1469" s="45">
        <f ca="1">IFERROR(__xludf.DUMMYFUNCTION("""COMPUTED_VALUE"""),37505.5833333333)</f>
        <v>37505.583333333299</v>
      </c>
      <c r="H1469" s="45" t="str">
        <f ca="1">IFERROR(__xludf.DUMMYFUNCTION("""COMPUTED_VALUE"""),"MATTE")</f>
        <v>MATTE</v>
      </c>
      <c r="I1469" s="46" t="str">
        <f ca="1">IFERROR(__xludf.DUMMYFUNCTION("""COMPUTED_VALUE"""),"STORE")</f>
        <v>STORE</v>
      </c>
      <c r="J1469" s="46" t="str">
        <f ca="1">IFERROR(__xludf.DUMMYFUNCTION("""COMPUTED_VALUE"""),"MATTE D2")</f>
        <v>MATTE D2</v>
      </c>
      <c r="K1469" s="46" t="str">
        <f ca="1">IFERROR(__xludf.DUMMYFUNCTION("""COMPUTED_VALUE"""),"BAR")</f>
        <v>BAR</v>
      </c>
      <c r="L1469" s="46" t="str">
        <f ca="1">IFERROR(__xludf.DUMMYFUNCTION("""COMPUTED_VALUE"""),"PRO")</f>
        <v>PRO</v>
      </c>
      <c r="M1469" s="46" t="str">
        <f ca="1">IFERROR(__xludf.DUMMYFUNCTION("""COMPUTED_VALUE"""),"Leave")</f>
        <v>Leave</v>
      </c>
      <c r="N1469" s="46" t="str">
        <f ca="1">IFERROR(__xludf.DUMMYFUNCTION("""COMPUTED_VALUE"""),"Đủ")</f>
        <v>Đủ</v>
      </c>
    </row>
    <row r="1470" spans="1:14">
      <c r="A1470" s="45">
        <f ca="1">IFERROR(__xludf.DUMMYFUNCTION("""COMPUTED_VALUE"""),46153.5833333333)</f>
        <v>46153.583333333299</v>
      </c>
      <c r="B1470" s="45">
        <f ca="1">IFERROR(__xludf.DUMMYFUNCTION("""COMPUTED_VALUE"""),46204.5833333333)</f>
        <v>46204.583333333299</v>
      </c>
      <c r="C1470" s="46">
        <f ca="1">IFERROR(__xludf.DUMMYFUNCTION("""COMPUTED_VALUE"""),1471)</f>
        <v>1471</v>
      </c>
      <c r="D1470" s="47" t="str">
        <f ca="1">IFERROR(__xludf.DUMMYFUNCTION("""COMPUTED_VALUE"""),"C1379")</f>
        <v>C1379</v>
      </c>
      <c r="E1470" s="46" t="str">
        <f ca="1">IFERROR(__xludf.DUMMYFUNCTION("""COMPUTED_VALUE"""),"HOÀNG ĐÀO ÂN ÂN ")</f>
        <v xml:space="preserve">HOÀNG ĐÀO ÂN ÂN </v>
      </c>
      <c r="F1470" s="46" t="str">
        <f ca="1">IFERROR(__xludf.DUMMYFUNCTION("""COMPUTED_VALUE"""),"HOANG DAO AN AN")</f>
        <v>HOANG DAO AN AN</v>
      </c>
      <c r="G1470" s="45">
        <f ca="1">IFERROR(__xludf.DUMMYFUNCTION("""COMPUTED_VALUE"""),36142.625)</f>
        <v>36142.625</v>
      </c>
      <c r="H1470" s="45" t="str">
        <f ca="1">IFERROR(__xludf.DUMMYFUNCTION("""COMPUTED_VALUE"""),"BAKES")</f>
        <v>BAKES</v>
      </c>
      <c r="I1470" s="46" t="str">
        <f ca="1">IFERROR(__xludf.DUMMYFUNCTION("""COMPUTED_VALUE"""),"STORE")</f>
        <v>STORE</v>
      </c>
      <c r="J1470" s="46" t="str">
        <f ca="1">IFERROR(__xludf.DUMMYFUNCTION("""COMPUTED_VALUE"""),"BAKES D2")</f>
        <v>BAKES D2</v>
      </c>
      <c r="K1470" s="46" t="str">
        <f ca="1">IFERROR(__xludf.DUMMYFUNCTION("""COMPUTED_VALUE"""),"WAITSTAFF")</f>
        <v>WAITSTAFF</v>
      </c>
      <c r="L1470" s="46" t="str">
        <f ca="1">IFERROR(__xludf.DUMMYFUNCTION("""COMPUTED_VALUE"""),"PRO")</f>
        <v>PRO</v>
      </c>
      <c r="M1470" s="46" t="str">
        <f ca="1">IFERROR(__xludf.DUMMYFUNCTION("""COMPUTED_VALUE"""),"Leave")</f>
        <v>Leave</v>
      </c>
      <c r="N1470" s="46" t="str">
        <f ca="1">IFERROR(__xludf.DUMMYFUNCTION("""COMPUTED_VALUE"""),"Đủ")</f>
        <v>Đủ</v>
      </c>
    </row>
    <row r="1471" spans="1:14">
      <c r="A1471" s="45">
        <f ca="1">IFERROR(__xludf.DUMMYFUNCTION("""COMPUTED_VALUE"""),46159.5833333333)</f>
        <v>46159.583333333299</v>
      </c>
      <c r="B1471" s="45"/>
      <c r="C1471" s="46">
        <f ca="1">IFERROR(__xludf.DUMMYFUNCTION("""COMPUTED_VALUE"""),1472)</f>
        <v>1472</v>
      </c>
      <c r="D1471" s="47" t="str">
        <f ca="1">IFERROR(__xludf.DUMMYFUNCTION("""COMPUTED_VALUE"""),"C1382")</f>
        <v>C1382</v>
      </c>
      <c r="E1471" s="46" t="str">
        <f ca="1">IFERROR(__xludf.DUMMYFUNCTION("""COMPUTED_VALUE"""),"TRẦN THỊ HOÀI NHƯ")</f>
        <v>TRẦN THỊ HOÀI NHƯ</v>
      </c>
      <c r="F1471" s="46" t="str">
        <f ca="1">IFERROR(__xludf.DUMMYFUNCTION("""COMPUTED_VALUE"""),"TRAN THI HOAI NHU")</f>
        <v>TRAN THI HOAI NHU</v>
      </c>
      <c r="G1471" s="45" t="str">
        <f ca="1">IFERROR(__xludf.DUMMYFUNCTION("""COMPUTED_VALUE"""),"20/02/2006")</f>
        <v>20/02/2006</v>
      </c>
      <c r="H1471" s="45" t="str">
        <f ca="1">IFERROR(__xludf.DUMMYFUNCTION("""COMPUTED_VALUE"""),"KITCHEN PASTRY")</f>
        <v>KITCHEN PASTRY</v>
      </c>
      <c r="I1471" s="46" t="str">
        <f ca="1">IFERROR(__xludf.DUMMYFUNCTION("""COMPUTED_VALUE"""),"KITCHEN PASTRY")</f>
        <v>KITCHEN PASTRY</v>
      </c>
      <c r="J1471" s="46" t="str">
        <f ca="1">IFERROR(__xludf.DUMMYFUNCTION("""COMPUTED_VALUE"""),"KITCHEN PASTRY")</f>
        <v>KITCHEN PASTRY</v>
      </c>
      <c r="K1471" s="46" t="str">
        <f ca="1">IFERROR(__xludf.DUMMYFUNCTION("""COMPUTED_VALUE"""),"PASTRY")</f>
        <v>PASTRY</v>
      </c>
      <c r="L1471" s="46" t="str">
        <f ca="1">IFERROR(__xludf.DUMMYFUNCTION("""COMPUTED_VALUE"""),"PTEP")</f>
        <v>PTEP</v>
      </c>
      <c r="M1471" s="46" t="str">
        <f ca="1">IFERROR(__xludf.DUMMYFUNCTION("""COMPUTED_VALUE"""),"On")</f>
        <v>On</v>
      </c>
      <c r="N1471" s="46" t="str">
        <f ca="1">IFERROR(__xludf.DUMMYFUNCTION("""COMPUTED_VALUE"""),"Đủ")</f>
        <v>Đủ</v>
      </c>
    </row>
    <row r="1472" spans="1:14">
      <c r="A1472" s="45">
        <f ca="1">IFERROR(__xludf.DUMMYFUNCTION("""COMPUTED_VALUE"""),46162.5833333333)</f>
        <v>46162.583333333299</v>
      </c>
      <c r="B1472" s="45"/>
      <c r="C1472" s="46">
        <f ca="1">IFERROR(__xludf.DUMMYFUNCTION("""COMPUTED_VALUE"""),1473)</f>
        <v>1473</v>
      </c>
      <c r="D1472" s="47" t="str">
        <f ca="1">IFERROR(__xludf.DUMMYFUNCTION("""COMPUTED_VALUE"""),"C1392")</f>
        <v>C1392</v>
      </c>
      <c r="E1472" s="46" t="str">
        <f ca="1">IFERROR(__xludf.DUMMYFUNCTION("""COMPUTED_VALUE"""),"DƯƠNG NGUYỄN QUỲNH GIAO")</f>
        <v>DƯƠNG NGUYỄN QUỲNH GIAO</v>
      </c>
      <c r="F1472" s="46" t="str">
        <f ca="1">IFERROR(__xludf.DUMMYFUNCTION("""COMPUTED_VALUE"""),"DUONG NGUYEN QUYNH GIAO")</f>
        <v>DUONG NGUYEN QUYNH GIAO</v>
      </c>
      <c r="G1472" s="45">
        <f ca="1">IFERROR(__xludf.DUMMYFUNCTION("""COMPUTED_VALUE"""),37520.5833333333)</f>
        <v>37520.583333333299</v>
      </c>
      <c r="H1472" s="45" t="str">
        <f ca="1">IFERROR(__xludf.DUMMYFUNCTION("""COMPUTED_VALUE"""),"MATTE")</f>
        <v>MATTE</v>
      </c>
      <c r="I1472" s="46" t="str">
        <f ca="1">IFERROR(__xludf.DUMMYFUNCTION("""COMPUTED_VALUE"""),"STORE")</f>
        <v>STORE</v>
      </c>
      <c r="J1472" s="46" t="str">
        <f ca="1">IFERROR(__xludf.DUMMYFUNCTION("""COMPUTED_VALUE"""),"MATTE D3")</f>
        <v>MATTE D3</v>
      </c>
      <c r="K1472" s="46" t="str">
        <f ca="1">IFERROR(__xludf.DUMMYFUNCTION("""COMPUTED_VALUE"""),"BAR")</f>
        <v>BAR</v>
      </c>
      <c r="L1472" s="46" t="str">
        <f ca="1">IFERROR(__xludf.DUMMYFUNCTION("""COMPUTED_VALUE"""),"PTEP")</f>
        <v>PTEP</v>
      </c>
      <c r="M1472" s="46" t="str">
        <f ca="1">IFERROR(__xludf.DUMMYFUNCTION("""COMPUTED_VALUE"""),"On")</f>
        <v>On</v>
      </c>
      <c r="N1472" s="46" t="str">
        <f ca="1">IFERROR(__xludf.DUMMYFUNCTION("""COMPUTED_VALUE"""),"Đủ")</f>
        <v>Đủ</v>
      </c>
    </row>
    <row r="1473" spans="1:14">
      <c r="A1473" s="45">
        <f ca="1">IFERROR(__xludf.DUMMYFUNCTION("""COMPUTED_VALUE"""),46161.5833333333)</f>
        <v>46161.583333333299</v>
      </c>
      <c r="B1473" s="45">
        <f ca="1">IFERROR(__xludf.DUMMYFUNCTION("""COMPUTED_VALUE"""),46172.5833333333)</f>
        <v>46172.583333333299</v>
      </c>
      <c r="C1473" s="46">
        <f ca="1">IFERROR(__xludf.DUMMYFUNCTION("""COMPUTED_VALUE"""),1474)</f>
        <v>1474</v>
      </c>
      <c r="D1473" s="47" t="str">
        <f ca="1">IFERROR(__xludf.DUMMYFUNCTION("""COMPUTED_VALUE"""),"C1385")</f>
        <v>C1385</v>
      </c>
      <c r="E1473" s="46" t="str">
        <f ca="1">IFERROR(__xludf.DUMMYFUNCTION("""COMPUTED_VALUE"""),"HỒ THỊ THANH TÂM")</f>
        <v>HỒ THỊ THANH TÂM</v>
      </c>
      <c r="F1473" s="46" t="str">
        <f ca="1">IFERROR(__xludf.DUMMYFUNCTION("""COMPUTED_VALUE"""),"HO THI THANH TAM")</f>
        <v>HO THI THANH TAM</v>
      </c>
      <c r="G1473" s="45">
        <f ca="1">IFERROR(__xludf.DUMMYFUNCTION("""COMPUTED_VALUE"""),38170.5833333333)</f>
        <v>38170.583333333299</v>
      </c>
      <c r="H1473" s="45" t="str">
        <f ca="1">IFERROR(__xludf.DUMMYFUNCTION("""COMPUTED_VALUE"""),"TLC")</f>
        <v>TLC</v>
      </c>
      <c r="I1473" s="46" t="str">
        <f ca="1">IFERROR(__xludf.DUMMYFUNCTION("""COMPUTED_VALUE"""),"HO")</f>
        <v>HO</v>
      </c>
      <c r="J1473" s="46" t="str">
        <f ca="1">IFERROR(__xludf.DUMMYFUNCTION("""COMPUTED_VALUE"""),"CUS")</f>
        <v>CUS</v>
      </c>
      <c r="K1473" s="46" t="str">
        <f ca="1">IFERROR(__xludf.DUMMYFUNCTION("""COMPUTED_VALUE"""),"CUS")</f>
        <v>CUS</v>
      </c>
      <c r="L1473" s="46" t="str">
        <f ca="1">IFERROR(__xludf.DUMMYFUNCTION("""COMPUTED_VALUE"""),"PTEP")</f>
        <v>PTEP</v>
      </c>
      <c r="M1473" s="46" t="str">
        <f ca="1">IFERROR(__xludf.DUMMYFUNCTION("""COMPUTED_VALUE"""),"Leave")</f>
        <v>Leave</v>
      </c>
      <c r="N1473" s="46" t="str">
        <f ca="1">IFERROR(__xludf.DUMMYFUNCTION("""COMPUTED_VALUE"""),"Đủ")</f>
        <v>Đủ</v>
      </c>
    </row>
    <row r="1474" spans="1:14">
      <c r="A1474" s="45">
        <f ca="1">IFERROR(__xludf.DUMMYFUNCTION("""COMPUTED_VALUE"""),46161.5833333333)</f>
        <v>46161.583333333299</v>
      </c>
      <c r="B1474" s="45"/>
      <c r="C1474" s="46">
        <f ca="1">IFERROR(__xludf.DUMMYFUNCTION("""COMPUTED_VALUE"""),1475)</f>
        <v>1475</v>
      </c>
      <c r="D1474" s="47" t="str">
        <f ca="1">IFERROR(__xludf.DUMMYFUNCTION("""COMPUTED_VALUE"""),"C1381")</f>
        <v>C1381</v>
      </c>
      <c r="E1474" s="46" t="str">
        <f ca="1">IFERROR(__xludf.DUMMYFUNCTION("""COMPUTED_VALUE"""),"HUỲNH MINH ĐĂNG")</f>
        <v>HUỲNH MINH ĐĂNG</v>
      </c>
      <c r="F1474" s="46" t="str">
        <f ca="1">IFERROR(__xludf.DUMMYFUNCTION("""COMPUTED_VALUE"""),"HUYNH MINH DANG")</f>
        <v>HUYNH MINH DANG</v>
      </c>
      <c r="G1474" s="45">
        <f ca="1">IFERROR(__xludf.DUMMYFUNCTION("""COMPUTED_VALUE"""),35521.625)</f>
        <v>35521.625</v>
      </c>
      <c r="H1474" s="45" t="str">
        <f ca="1">IFERROR(__xludf.DUMMYFUNCTION("""COMPUTED_VALUE"""),"CREATIVE")</f>
        <v>CREATIVE</v>
      </c>
      <c r="I1474" s="46" t="str">
        <f ca="1">IFERROR(__xludf.DUMMYFUNCTION("""COMPUTED_VALUE"""),"HO")</f>
        <v>HO</v>
      </c>
      <c r="J1474" s="46" t="str">
        <f ca="1">IFERROR(__xludf.DUMMYFUNCTION("""COMPUTED_VALUE"""),"IAT")</f>
        <v>IAT</v>
      </c>
      <c r="K1474" s="46" t="str">
        <f ca="1">IFERROR(__xludf.DUMMYFUNCTION("""COMPUTED_VALUE"""),"IAT")</f>
        <v>IAT</v>
      </c>
      <c r="L1474" s="46" t="str">
        <f ca="1">IFERROR(__xludf.DUMMYFUNCTION("""COMPUTED_VALUE"""),"PRO")</f>
        <v>PRO</v>
      </c>
      <c r="M1474" s="46" t="str">
        <f ca="1">IFERROR(__xludf.DUMMYFUNCTION("""COMPUTED_VALUE"""),"On")</f>
        <v>On</v>
      </c>
      <c r="N1474" s="46" t="str">
        <f ca="1">IFERROR(__xludf.DUMMYFUNCTION("""COMPUTED_VALUE"""),"Đủ")</f>
        <v>Đủ</v>
      </c>
    </row>
    <row r="1475" spans="1:14">
      <c r="A1475" s="45">
        <f ca="1">IFERROR(__xludf.DUMMYFUNCTION("""COMPUTED_VALUE"""),46160.5833333333)</f>
        <v>46160.583333333299</v>
      </c>
      <c r="B1475" s="45"/>
      <c r="C1475" s="46">
        <f ca="1">IFERROR(__xludf.DUMMYFUNCTION("""COMPUTED_VALUE"""),1476)</f>
        <v>1476</v>
      </c>
      <c r="D1475" s="47" t="str">
        <f ca="1">IFERROR(__xludf.DUMMYFUNCTION("""COMPUTED_VALUE"""),"C1383")</f>
        <v>C1383</v>
      </c>
      <c r="E1475" s="46" t="str">
        <f ca="1">IFERROR(__xludf.DUMMYFUNCTION("""COMPUTED_VALUE"""),"NGUYỄN TRẦN ANH DUY")</f>
        <v>NGUYỄN TRẦN ANH DUY</v>
      </c>
      <c r="F1475" s="46" t="str">
        <f ca="1">IFERROR(__xludf.DUMMYFUNCTION("""COMPUTED_VALUE"""),"NGUYEN TRAN ANH DUY")</f>
        <v>NGUYEN TRAN ANH DUY</v>
      </c>
      <c r="G1475" s="45">
        <f ca="1">IFERROR(__xludf.DUMMYFUNCTION("""COMPUTED_VALUE"""),34152.5833333333)</f>
        <v>34152.583333333299</v>
      </c>
      <c r="H1475" s="45" t="str">
        <f ca="1">IFERROR(__xludf.DUMMYFUNCTION("""COMPUTED_VALUE"""),"KITCHEN PASTRY")</f>
        <v>KITCHEN PASTRY</v>
      </c>
      <c r="I1475" s="46" t="str">
        <f ca="1">IFERROR(__xludf.DUMMYFUNCTION("""COMPUTED_VALUE"""),"KITCHEN PASTRY")</f>
        <v>KITCHEN PASTRY</v>
      </c>
      <c r="J1475" s="46" t="str">
        <f ca="1">IFERROR(__xludf.DUMMYFUNCTION("""COMPUTED_VALUE"""),"KITCHEN PASTRY")</f>
        <v>KITCHEN PASTRY</v>
      </c>
      <c r="K1475" s="46" t="str">
        <f ca="1">IFERROR(__xludf.DUMMYFUNCTION("""COMPUTED_VALUE"""),"PASTRY")</f>
        <v>PASTRY</v>
      </c>
      <c r="L1475" s="46" t="str">
        <f ca="1">IFERROR(__xludf.DUMMYFUNCTION("""COMPUTED_VALUE"""),"PRO")</f>
        <v>PRO</v>
      </c>
      <c r="M1475" s="46" t="str">
        <f ca="1">IFERROR(__xludf.DUMMYFUNCTION("""COMPUTED_VALUE"""),"On")</f>
        <v>On</v>
      </c>
      <c r="N1475" s="46" t="str">
        <f ca="1">IFERROR(__xludf.DUMMYFUNCTION("""COMPUTED_VALUE"""),"Đủ")</f>
        <v>Đủ</v>
      </c>
    </row>
    <row r="1476" spans="1:14">
      <c r="A1476" s="45">
        <f ca="1">IFERROR(__xludf.DUMMYFUNCTION("""COMPUTED_VALUE"""),46163.5833333333)</f>
        <v>46163.583333333299</v>
      </c>
      <c r="B1476" s="45"/>
      <c r="C1476" s="46">
        <f ca="1">IFERROR(__xludf.DUMMYFUNCTION("""COMPUTED_VALUE"""),1477)</f>
        <v>1477</v>
      </c>
      <c r="D1476" s="47" t="str">
        <f ca="1">IFERROR(__xludf.DUMMYFUNCTION("""COMPUTED_VALUE"""),"C1389")</f>
        <v>C1389</v>
      </c>
      <c r="E1476" s="46" t="str">
        <f ca="1">IFERROR(__xludf.DUMMYFUNCTION("""COMPUTED_VALUE"""),"LÂM HỮU TUẤN")</f>
        <v>LÂM HỮU TUẤN</v>
      </c>
      <c r="F1476" s="46" t="str">
        <f ca="1">IFERROR(__xludf.DUMMYFUNCTION("""COMPUTED_VALUE"""),"LAM HUU TUAN")</f>
        <v>LAM HUU TUAN</v>
      </c>
      <c r="G1476" s="45">
        <f ca="1">IFERROR(__xludf.DUMMYFUNCTION("""COMPUTED_VALUE"""),36544.625)</f>
        <v>36544.625</v>
      </c>
      <c r="H1476" s="45" t="str">
        <f ca="1">IFERROR(__xludf.DUMMYFUNCTION("""COMPUTED_VALUE"""),"BAKES")</f>
        <v>BAKES</v>
      </c>
      <c r="I1476" s="46" t="str">
        <f ca="1">IFERROR(__xludf.DUMMYFUNCTION("""COMPUTED_VALUE"""),"STORE")</f>
        <v>STORE</v>
      </c>
      <c r="J1476" s="46" t="str">
        <f ca="1">IFERROR(__xludf.DUMMYFUNCTION("""COMPUTED_VALUE"""),"BAKES HCR")</f>
        <v>BAKES HCR</v>
      </c>
      <c r="K1476" s="46" t="str">
        <f ca="1">IFERROR(__xludf.DUMMYFUNCTION("""COMPUTED_VALUE"""),"WAITSTAFF")</f>
        <v>WAITSTAFF</v>
      </c>
      <c r="L1476" s="46" t="str">
        <f ca="1">IFERROR(__xludf.DUMMYFUNCTION("""COMPUTED_VALUE"""),"PTEP")</f>
        <v>PTEP</v>
      </c>
      <c r="M1476" s="46" t="str">
        <f ca="1">IFERROR(__xludf.DUMMYFUNCTION("""COMPUTED_VALUE"""),"On")</f>
        <v>On</v>
      </c>
      <c r="N1476" s="46" t="str">
        <f ca="1">IFERROR(__xludf.DUMMYFUNCTION("""COMPUTED_VALUE"""),"chua nop")</f>
        <v>chua nop</v>
      </c>
    </row>
    <row r="1477" spans="1:14">
      <c r="A1477" s="45">
        <f ca="1">IFERROR(__xludf.DUMMYFUNCTION("""COMPUTED_VALUE"""),46162.5833333333)</f>
        <v>46162.583333333299</v>
      </c>
      <c r="B1477" s="45"/>
      <c r="C1477" s="46">
        <f ca="1">IFERROR(__xludf.DUMMYFUNCTION("""COMPUTED_VALUE"""),1478)</f>
        <v>1478</v>
      </c>
      <c r="D1477" s="47" t="str">
        <f ca="1">IFERROR(__xludf.DUMMYFUNCTION("""COMPUTED_VALUE"""),"C1387")</f>
        <v>C1387</v>
      </c>
      <c r="E1477" s="46" t="str">
        <f ca="1">IFERROR(__xludf.DUMMYFUNCTION("""COMPUTED_VALUE"""),"NGUYỄN NGỌC KIM TUYỀN")</f>
        <v>NGUYỄN NGỌC KIM TUYỀN</v>
      </c>
      <c r="F1477" s="46" t="str">
        <f ca="1">IFERROR(__xludf.DUMMYFUNCTION("""COMPUTED_VALUE"""),"NGUYEN NGOC KIM TUYEN")</f>
        <v>NGUYEN NGOC KIM TUYEN</v>
      </c>
      <c r="G1477" s="45">
        <f ca="1">IFERROR(__xludf.DUMMYFUNCTION("""COMPUTED_VALUE"""),38688.625)</f>
        <v>38688.625</v>
      </c>
      <c r="H1477" s="45" t="str">
        <f ca="1">IFERROR(__xludf.DUMMYFUNCTION("""COMPUTED_VALUE"""),"MATTE")</f>
        <v>MATTE</v>
      </c>
      <c r="I1477" s="46" t="str">
        <f ca="1">IFERROR(__xludf.DUMMYFUNCTION("""COMPUTED_VALUE"""),"STORE")</f>
        <v>STORE</v>
      </c>
      <c r="J1477" s="46" t="str">
        <f ca="1">IFERROR(__xludf.DUMMYFUNCTION("""COMPUTED_VALUE"""),"MATTE D3")</f>
        <v>MATTE D3</v>
      </c>
      <c r="K1477" s="46" t="str">
        <f ca="1">IFERROR(__xludf.DUMMYFUNCTION("""COMPUTED_VALUE"""),"BAR")</f>
        <v>BAR</v>
      </c>
      <c r="L1477" s="46" t="str">
        <f ca="1">IFERROR(__xludf.DUMMYFUNCTION("""COMPUTED_VALUE"""),"PTEP")</f>
        <v>PTEP</v>
      </c>
      <c r="M1477" s="46" t="str">
        <f ca="1">IFERROR(__xludf.DUMMYFUNCTION("""COMPUTED_VALUE"""),"On")</f>
        <v>On</v>
      </c>
      <c r="N1477" s="46" t="str">
        <f ca="1">IFERROR(__xludf.DUMMYFUNCTION("""COMPUTED_VALUE"""),"Đủ")</f>
        <v>Đủ</v>
      </c>
    </row>
    <row r="1478" spans="1:14">
      <c r="A1478" s="45">
        <f ca="1">IFERROR(__xludf.DUMMYFUNCTION("""COMPUTED_VALUE"""),46163.5833333333)</f>
        <v>46163.583333333299</v>
      </c>
      <c r="B1478" s="45"/>
      <c r="C1478" s="46">
        <f ca="1">IFERROR(__xludf.DUMMYFUNCTION("""COMPUTED_VALUE"""),1479)</f>
        <v>1479</v>
      </c>
      <c r="D1478" s="47" t="str">
        <f ca="1">IFERROR(__xludf.DUMMYFUNCTION("""COMPUTED_VALUE"""),"C1386")</f>
        <v>C1386</v>
      </c>
      <c r="E1478" s="46" t="str">
        <f ca="1">IFERROR(__xludf.DUMMYFUNCTION("""COMPUTED_VALUE"""),"CHÂU TRẦN BẢO NHI")</f>
        <v>CHÂU TRẦN BẢO NHI</v>
      </c>
      <c r="F1478" s="46" t="str">
        <f ca="1">IFERROR(__xludf.DUMMYFUNCTION("""COMPUTED_VALUE"""),"CHAU TRAN BAO NHI")</f>
        <v>CHAU TRAN BAO NHI</v>
      </c>
      <c r="G1478" s="45">
        <f ca="1">IFERROR(__xludf.DUMMYFUNCTION("""COMPUTED_VALUE"""),37327.625)</f>
        <v>37327.625</v>
      </c>
      <c r="H1478" s="45" t="str">
        <f ca="1">IFERROR(__xludf.DUMMYFUNCTION("""COMPUTED_VALUE"""),"MATTE")</f>
        <v>MATTE</v>
      </c>
      <c r="I1478" s="46" t="str">
        <f ca="1">IFERROR(__xludf.DUMMYFUNCTION("""COMPUTED_VALUE"""),"STORE")</f>
        <v>STORE</v>
      </c>
      <c r="J1478" s="46" t="str">
        <f ca="1">IFERROR(__xludf.DUMMYFUNCTION("""COMPUTED_VALUE"""),"MATTE D3")</f>
        <v>MATTE D3</v>
      </c>
      <c r="K1478" s="46" t="str">
        <f ca="1">IFERROR(__xludf.DUMMYFUNCTION("""COMPUTED_VALUE"""),"BAR")</f>
        <v>BAR</v>
      </c>
      <c r="L1478" s="46" t="str">
        <f ca="1">IFERROR(__xludf.DUMMYFUNCTION("""COMPUTED_VALUE"""),"PTEP")</f>
        <v>PTEP</v>
      </c>
      <c r="M1478" s="46" t="str">
        <f ca="1">IFERROR(__xludf.DUMMYFUNCTION("""COMPUTED_VALUE"""),"On")</f>
        <v>On</v>
      </c>
      <c r="N1478" s="46" t="str">
        <f ca="1">IFERROR(__xludf.DUMMYFUNCTION("""COMPUTED_VALUE"""),"Đủ")</f>
        <v>Đủ</v>
      </c>
    </row>
    <row r="1479" spans="1:14">
      <c r="A1479" s="45">
        <f ca="1">IFERROR(__xludf.DUMMYFUNCTION("""COMPUTED_VALUE"""),46163.5833333333)</f>
        <v>46163.583333333299</v>
      </c>
      <c r="B1479" s="45"/>
      <c r="C1479" s="46">
        <f ca="1">IFERROR(__xludf.DUMMYFUNCTION("""COMPUTED_VALUE"""),1480)</f>
        <v>1480</v>
      </c>
      <c r="D1479" s="47" t="str">
        <f ca="1">IFERROR(__xludf.DUMMYFUNCTION("""COMPUTED_VALUE"""),"C1390")</f>
        <v>C1390</v>
      </c>
      <c r="E1479" s="46" t="str">
        <f ca="1">IFERROR(__xludf.DUMMYFUNCTION("""COMPUTED_VALUE"""),"LÝ KIM XUÂN")</f>
        <v>LÝ KIM XUÂN</v>
      </c>
      <c r="F1479" s="46" t="str">
        <f ca="1">IFERROR(__xludf.DUMMYFUNCTION("""COMPUTED_VALUE"""),"LY KIM XUAN")</f>
        <v>LY KIM XUAN</v>
      </c>
      <c r="G1479" s="45">
        <f ca="1">IFERROR(__xludf.DUMMYFUNCTION("""COMPUTED_VALUE"""),36850.625)</f>
        <v>36850.625</v>
      </c>
      <c r="H1479" s="45" t="str">
        <f ca="1">IFERROR(__xludf.DUMMYFUNCTION("""COMPUTED_VALUE"""),"BAKES")</f>
        <v>BAKES</v>
      </c>
      <c r="I1479" s="46" t="str">
        <f ca="1">IFERROR(__xludf.DUMMYFUNCTION("""COMPUTED_VALUE"""),"STORE")</f>
        <v>STORE</v>
      </c>
      <c r="J1479" s="46" t="str">
        <f ca="1">IFERROR(__xludf.DUMMYFUNCTION("""COMPUTED_VALUE"""),"BAKES HCR")</f>
        <v>BAKES HCR</v>
      </c>
      <c r="K1479" s="46" t="str">
        <f ca="1">IFERROR(__xludf.DUMMYFUNCTION("""COMPUTED_VALUE"""),"WAITSTAFF")</f>
        <v>WAITSTAFF</v>
      </c>
      <c r="L1479" s="46" t="str">
        <f ca="1">IFERROR(__xludf.DUMMYFUNCTION("""COMPUTED_VALUE"""),"PTEP")</f>
        <v>PTEP</v>
      </c>
      <c r="M1479" s="46" t="str">
        <f ca="1">IFERROR(__xludf.DUMMYFUNCTION("""COMPUTED_VALUE"""),"On")</f>
        <v>On</v>
      </c>
      <c r="N1479" s="46" t="str">
        <f ca="1">IFERROR(__xludf.DUMMYFUNCTION("""COMPUTED_VALUE"""),"Đủ")</f>
        <v>Đủ</v>
      </c>
    </row>
    <row r="1480" spans="1:14">
      <c r="A1480" s="45">
        <f ca="1">IFERROR(__xludf.DUMMYFUNCTION("""COMPUTED_VALUE"""),46161.5833333333)</f>
        <v>46161.583333333299</v>
      </c>
      <c r="B1480" s="45">
        <f ca="1">IFERROR(__xludf.DUMMYFUNCTION("""COMPUTED_VALUE"""),46168.5833333333)</f>
        <v>46168.583333333299</v>
      </c>
      <c r="C1480" s="46">
        <f ca="1">IFERROR(__xludf.DUMMYFUNCTION("""COMPUTED_VALUE"""),1481)</f>
        <v>1481</v>
      </c>
      <c r="D1480" s="47" t="str">
        <f ca="1">IFERROR(__xludf.DUMMYFUNCTION("""COMPUTED_VALUE"""),"C1391")</f>
        <v>C1391</v>
      </c>
      <c r="E1480" s="46" t="str">
        <f ca="1">IFERROR(__xludf.DUMMYFUNCTION("""COMPUTED_VALUE"""),"LÊ NGUYỄN PHÚC LÂN")</f>
        <v>LÊ NGUYỄN PHÚC LÂN</v>
      </c>
      <c r="F1480" s="46" t="str">
        <f ca="1">IFERROR(__xludf.DUMMYFUNCTION("""COMPUTED_VALUE"""),"LE NGUYEN PHUC LAN")</f>
        <v>LE NGUYEN PHUC LAN</v>
      </c>
      <c r="G1480" s="45">
        <f ca="1">IFERROR(__xludf.DUMMYFUNCTION("""COMPUTED_VALUE"""),36590.625)</f>
        <v>36590.625</v>
      </c>
      <c r="H1480" s="45" t="str">
        <f ca="1">IFERROR(__xludf.DUMMYFUNCTION("""COMPUTED_VALUE"""),"MATTE")</f>
        <v>MATTE</v>
      </c>
      <c r="I1480" s="46" t="str">
        <f ca="1">IFERROR(__xludf.DUMMYFUNCTION("""COMPUTED_VALUE"""),"STORE")</f>
        <v>STORE</v>
      </c>
      <c r="J1480" s="46" t="str">
        <f ca="1">IFERROR(__xludf.DUMMYFUNCTION("""COMPUTED_VALUE"""),"MATTE D7")</f>
        <v>MATTE D7</v>
      </c>
      <c r="K1480" s="46" t="str">
        <f ca="1">IFERROR(__xludf.DUMMYFUNCTION("""COMPUTED_VALUE"""),"BAR")</f>
        <v>BAR</v>
      </c>
      <c r="L1480" s="46" t="str">
        <f ca="1">IFERROR(__xludf.DUMMYFUNCTION("""COMPUTED_VALUE"""),"PTEP")</f>
        <v>PTEP</v>
      </c>
      <c r="M1480" s="46" t="str">
        <f ca="1">IFERROR(__xludf.DUMMYFUNCTION("""COMPUTED_VALUE"""),"Leave")</f>
        <v>Leave</v>
      </c>
      <c r="N1480" s="46" t="str">
        <f ca="1">IFERROR(__xludf.DUMMYFUNCTION("""COMPUTED_VALUE"""),"Đủ")</f>
        <v>Đủ</v>
      </c>
    </row>
    <row r="1481" spans="1:14">
      <c r="A1481" s="45">
        <f ca="1">IFERROR(__xludf.DUMMYFUNCTION("""COMPUTED_VALUE"""),46160.5833333333)</f>
        <v>46160.583333333299</v>
      </c>
      <c r="B1481" s="45"/>
      <c r="C1481" s="46">
        <f ca="1">IFERROR(__xludf.DUMMYFUNCTION("""COMPUTED_VALUE"""),1482)</f>
        <v>1482</v>
      </c>
      <c r="D1481" s="47" t="str">
        <f ca="1">IFERROR(__xludf.DUMMYFUNCTION("""COMPUTED_VALUE"""),"C1367")</f>
        <v>C1367</v>
      </c>
      <c r="E1481" s="46" t="str">
        <f ca="1">IFERROR(__xludf.DUMMYFUNCTION("""COMPUTED_VALUE"""),"NGUYỄN YẾN TRÀ")</f>
        <v>NGUYỄN YẾN TRÀ</v>
      </c>
      <c r="F1481" s="46" t="str">
        <f ca="1">IFERROR(__xludf.DUMMYFUNCTION("""COMPUTED_VALUE"""),"NGUYEN YEN TRA")</f>
        <v>NGUYEN YEN TRA</v>
      </c>
      <c r="G1481" s="45">
        <f ca="1">IFERROR(__xludf.DUMMYFUNCTION("""COMPUTED_VALUE"""),38070.625)</f>
        <v>38070.625</v>
      </c>
      <c r="H1481" s="45" t="str">
        <f ca="1">IFERROR(__xludf.DUMMYFUNCTION("""COMPUTED_VALUE"""),"TLC")</f>
        <v>TLC</v>
      </c>
      <c r="I1481" s="46" t="str">
        <f ca="1">IFERROR(__xludf.DUMMYFUNCTION("""COMPUTED_VALUE"""),"STORE")</f>
        <v>STORE</v>
      </c>
      <c r="J1481" s="46" t="str">
        <f ca="1">IFERROR(__xludf.DUMMYFUNCTION("""COMPUTED_VALUE"""),"BLANK LOUNGE")</f>
        <v>BLANK LOUNGE</v>
      </c>
      <c r="K1481" s="46" t="str">
        <f ca="1">IFERROR(__xludf.DUMMYFUNCTION("""COMPUTED_VALUE"""),"WAITSTAFF")</f>
        <v>WAITSTAFF</v>
      </c>
      <c r="L1481" s="46" t="str">
        <f ca="1">IFERROR(__xludf.DUMMYFUNCTION("""COMPUTED_VALUE"""),"PTEP")</f>
        <v>PTEP</v>
      </c>
      <c r="M1481" s="46" t="str">
        <f ca="1">IFERROR(__xludf.DUMMYFUNCTION("""COMPUTED_VALUE"""),"On")</f>
        <v>On</v>
      </c>
      <c r="N1481" s="46" t="str">
        <f ca="1">IFERROR(__xludf.DUMMYFUNCTION("""COMPUTED_VALUE"""),"Đủ")</f>
        <v>Đủ</v>
      </c>
    </row>
    <row r="1482" spans="1:14">
      <c r="A1482" s="45">
        <f ca="1">IFERROR(__xludf.DUMMYFUNCTION("""COMPUTED_VALUE"""),46167.5833333333)</f>
        <v>46167.583333333299</v>
      </c>
      <c r="B1482" s="45"/>
      <c r="C1482" s="46">
        <f ca="1">IFERROR(__xludf.DUMMYFUNCTION("""COMPUTED_VALUE"""),1483)</f>
        <v>1483</v>
      </c>
      <c r="D1482" s="47" t="str">
        <f ca="1">IFERROR(__xludf.DUMMYFUNCTION("""COMPUTED_VALUE"""),"C1396")</f>
        <v>C1396</v>
      </c>
      <c r="E1482" s="46" t="str">
        <f ca="1">IFERROR(__xludf.DUMMYFUNCTION("""COMPUTED_VALUE"""),"TRẦN MINH ĐĂNG")</f>
        <v>TRẦN MINH ĐĂNG</v>
      </c>
      <c r="F1482" s="46" t="str">
        <f ca="1">IFERROR(__xludf.DUMMYFUNCTION("""COMPUTED_VALUE"""),"TRAN MINH DANG")</f>
        <v>TRAN MINH DANG</v>
      </c>
      <c r="G1482" s="45">
        <f ca="1">IFERROR(__xludf.DUMMYFUNCTION("""COMPUTED_VALUE"""),36263.5833333333)</f>
        <v>36263.583333333299</v>
      </c>
      <c r="H1482" s="45" t="str">
        <f ca="1">IFERROR(__xludf.DUMMYFUNCTION("""COMPUTED_VALUE"""),"TLC")</f>
        <v>TLC</v>
      </c>
      <c r="I1482" s="46" t="str">
        <f ca="1">IFERROR(__xludf.DUMMYFUNCTION("""COMPUTED_VALUE"""),"STORE")</f>
        <v>STORE</v>
      </c>
      <c r="J1482" s="46" t="str">
        <f ca="1">IFERROR(__xludf.DUMMYFUNCTION("""COMPUTED_VALUE"""),"BAR ROM")</f>
        <v>BAR ROM</v>
      </c>
      <c r="K1482" s="46" t="str">
        <f ca="1">IFERROR(__xludf.DUMMYFUNCTION("""COMPUTED_VALUE"""),"BAR")</f>
        <v>BAR</v>
      </c>
      <c r="L1482" s="46" t="str">
        <f ca="1">IFERROR(__xludf.DUMMYFUNCTION("""COMPUTED_VALUE"""),"PRO")</f>
        <v>PRO</v>
      </c>
      <c r="M1482" s="46" t="str">
        <f ca="1">IFERROR(__xludf.DUMMYFUNCTION("""COMPUTED_VALUE"""),"On")</f>
        <v>On</v>
      </c>
      <c r="N1482" s="46" t="str">
        <f ca="1">IFERROR(__xludf.DUMMYFUNCTION("""COMPUTED_VALUE"""),"Đủ")</f>
        <v>Đủ</v>
      </c>
    </row>
    <row r="1483" spans="1:14">
      <c r="A1483" s="45">
        <f ca="1">IFERROR(__xludf.DUMMYFUNCTION("""COMPUTED_VALUE"""),46168.5833333333)</f>
        <v>46168.583333333299</v>
      </c>
      <c r="B1483" s="45"/>
      <c r="C1483" s="46">
        <f ca="1">IFERROR(__xludf.DUMMYFUNCTION("""COMPUTED_VALUE"""),1484)</f>
        <v>1484</v>
      </c>
      <c r="D1483" s="47" t="str">
        <f ca="1">IFERROR(__xludf.DUMMYFUNCTION("""COMPUTED_VALUE"""),"C1402")</f>
        <v>C1402</v>
      </c>
      <c r="E1483" s="46" t="str">
        <f ca="1">IFERROR(__xludf.DUMMYFUNCTION("""COMPUTED_VALUE"""),"HỒ LÊ HUYỀN LINH")</f>
        <v>HỒ LÊ HUYỀN LINH</v>
      </c>
      <c r="F1483" s="46" t="str">
        <f ca="1">IFERROR(__xludf.DUMMYFUNCTION("""COMPUTED_VALUE"""),"HO LE HUYEN LINH")</f>
        <v>HO LE HUYEN LINH</v>
      </c>
      <c r="G1483" s="45">
        <f ca="1">IFERROR(__xludf.DUMMYFUNCTION("""COMPUTED_VALUE"""),37578.625)</f>
        <v>37578.625</v>
      </c>
      <c r="H1483" s="45" t="str">
        <f ca="1">IFERROR(__xludf.DUMMYFUNCTION("""COMPUTED_VALUE"""),"TLC")</f>
        <v>TLC</v>
      </c>
      <c r="I1483" s="46" t="str">
        <f ca="1">IFERROR(__xludf.DUMMYFUNCTION("""COMPUTED_VALUE"""),"STORE")</f>
        <v>STORE</v>
      </c>
      <c r="J1483" s="46" t="str">
        <f ca="1">IFERROR(__xludf.DUMMYFUNCTION("""COMPUTED_VALUE"""),"BAR ROM")</f>
        <v>BAR ROM</v>
      </c>
      <c r="K1483" s="46" t="str">
        <f ca="1">IFERROR(__xludf.DUMMYFUNCTION("""COMPUTED_VALUE"""),"WAITSTAFF")</f>
        <v>WAITSTAFF</v>
      </c>
      <c r="L1483" s="46" t="str">
        <f ca="1">IFERROR(__xludf.DUMMYFUNCTION("""COMPUTED_VALUE"""),"PRO")</f>
        <v>PRO</v>
      </c>
      <c r="M1483" s="46" t="str">
        <f ca="1">IFERROR(__xludf.DUMMYFUNCTION("""COMPUTED_VALUE"""),"On")</f>
        <v>On</v>
      </c>
      <c r="N1483" s="46" t="str">
        <f ca="1">IFERROR(__xludf.DUMMYFUNCTION("""COMPUTED_VALUE"""),"Đủ")</f>
        <v>Đủ</v>
      </c>
    </row>
    <row r="1484" spans="1:14">
      <c r="A1484" s="45">
        <f ca="1">IFERROR(__xludf.DUMMYFUNCTION("""COMPUTED_VALUE"""),46169.5833333333)</f>
        <v>46169.583333333299</v>
      </c>
      <c r="B1484" s="45"/>
      <c r="C1484" s="46">
        <f ca="1">IFERROR(__xludf.DUMMYFUNCTION("""COMPUTED_VALUE"""),1485)</f>
        <v>1485</v>
      </c>
      <c r="D1484" s="47" t="str">
        <f ca="1">IFERROR(__xludf.DUMMYFUNCTION("""COMPUTED_VALUE"""),"C1380")</f>
        <v>C1380</v>
      </c>
      <c r="E1484" s="46" t="str">
        <f ca="1">IFERROR(__xludf.DUMMYFUNCTION("""COMPUTED_VALUE"""),"VŨ DIỆU THƯƠNG")</f>
        <v>VŨ DIỆU THƯƠNG</v>
      </c>
      <c r="F1484" s="46" t="str">
        <f ca="1">IFERROR(__xludf.DUMMYFUNCTION("""COMPUTED_VALUE"""),"VU DIEU THUONG")</f>
        <v>VU DIEU THUONG</v>
      </c>
      <c r="G1484" s="45">
        <f ca="1">IFERROR(__xludf.DUMMYFUNCTION("""COMPUTED_VALUE"""),37316.625)</f>
        <v>37316.625</v>
      </c>
      <c r="H1484" s="45" t="str">
        <f ca="1">IFERROR(__xludf.DUMMYFUNCTION("""COMPUTED_VALUE"""),"CREATIVE")</f>
        <v>CREATIVE</v>
      </c>
      <c r="I1484" s="46" t="str">
        <f ca="1">IFERROR(__xludf.DUMMYFUNCTION("""COMPUTED_VALUE"""),"HO")</f>
        <v>HO</v>
      </c>
      <c r="J1484" s="46" t="str">
        <f ca="1">IFERROR(__xludf.DUMMYFUNCTION("""COMPUTED_VALUE"""),"CMT")</f>
        <v>CMT</v>
      </c>
      <c r="K1484" s="46" t="str">
        <f ca="1">IFERROR(__xludf.DUMMYFUNCTION("""COMPUTED_VALUE"""),"CMT")</f>
        <v>CMT</v>
      </c>
      <c r="L1484" s="46" t="str">
        <f ca="1">IFERROR(__xludf.DUMMYFUNCTION("""COMPUTED_VALUE"""),"SER")</f>
        <v>SER</v>
      </c>
      <c r="M1484" s="46" t="str">
        <f ca="1">IFERROR(__xludf.DUMMYFUNCTION("""COMPUTED_VALUE"""),"On")</f>
        <v>On</v>
      </c>
      <c r="N1484" s="46" t="str">
        <f ca="1">IFERROR(__xludf.DUMMYFUNCTION("""COMPUTED_VALUE"""),"Đủ")</f>
        <v>Đủ</v>
      </c>
    </row>
    <row r="1485" spans="1:14">
      <c r="A1485" s="45">
        <f ca="1">IFERROR(__xludf.DUMMYFUNCTION("""COMPUTED_VALUE"""),46169.5833333333)</f>
        <v>46169.583333333299</v>
      </c>
      <c r="B1485" s="45">
        <f ca="1">IFERROR(__xludf.DUMMYFUNCTION("""COMPUTED_VALUE"""),46182.5833333333)</f>
        <v>46182.583333333299</v>
      </c>
      <c r="C1485" s="46">
        <f ca="1">IFERROR(__xludf.DUMMYFUNCTION("""COMPUTED_VALUE"""),1486)</f>
        <v>1486</v>
      </c>
      <c r="D1485" s="47" t="str">
        <f ca="1">IFERROR(__xludf.DUMMYFUNCTION("""COMPUTED_VALUE"""),"C1401")</f>
        <v>C1401</v>
      </c>
      <c r="E1485" s="46" t="str">
        <f ca="1">IFERROR(__xludf.DUMMYFUNCTION("""COMPUTED_VALUE"""),"NGUYỄN HỮU KHANG")</f>
        <v>NGUYỄN HỮU KHANG</v>
      </c>
      <c r="F1485" s="46" t="str">
        <f ca="1">IFERROR(__xludf.DUMMYFUNCTION("""COMPUTED_VALUE"""),"NGUYEN HUU KHANG")</f>
        <v>NGUYEN HUU KHANG</v>
      </c>
      <c r="G1485" s="45"/>
      <c r="H1485" s="45" t="str">
        <f ca="1">IFERROR(__xludf.DUMMYFUNCTION("""COMPUTED_VALUE"""),"TLC")</f>
        <v>TLC</v>
      </c>
      <c r="I1485" s="46" t="str">
        <f ca="1">IFERROR(__xludf.DUMMYFUNCTION("""COMPUTED_VALUE"""),"HO")</f>
        <v>HO</v>
      </c>
      <c r="J1485" s="46" t="str">
        <f ca="1">IFERROR(__xludf.DUMMYFUNCTION("""COMPUTED_VALUE"""),"PET")</f>
        <v>PET</v>
      </c>
      <c r="K1485" s="46" t="str">
        <f ca="1">IFERROR(__xludf.DUMMYFUNCTION("""COMPUTED_VALUE"""),"PET")</f>
        <v>PET</v>
      </c>
      <c r="L1485" s="46" t="str">
        <f ca="1">IFERROR(__xludf.DUMMYFUNCTION("""COMPUTED_VALUE"""),"PRO")</f>
        <v>PRO</v>
      </c>
      <c r="M1485" s="46" t="str">
        <f ca="1">IFERROR(__xludf.DUMMYFUNCTION("""COMPUTED_VALUE"""),"Leave")</f>
        <v>Leave</v>
      </c>
      <c r="N1485" s="46" t="str">
        <f ca="1">IFERROR(__xludf.DUMMYFUNCTION("""COMPUTED_VALUE"""),"Đủ")</f>
        <v>Đủ</v>
      </c>
    </row>
    <row r="1486" spans="1:14">
      <c r="A1486" s="45">
        <f ca="1">IFERROR(__xludf.DUMMYFUNCTION("""COMPUTED_VALUE"""),46169.5833333333)</f>
        <v>46169.583333333299</v>
      </c>
      <c r="B1486" s="45"/>
      <c r="C1486" s="46">
        <f ca="1">IFERROR(__xludf.DUMMYFUNCTION("""COMPUTED_VALUE"""),1487)</f>
        <v>1487</v>
      </c>
      <c r="D1486" s="47" t="str">
        <f ca="1">IFERROR(__xludf.DUMMYFUNCTION("""COMPUTED_VALUE"""),"C1400")</f>
        <v>C1400</v>
      </c>
      <c r="E1486" s="46" t="str">
        <f ca="1">IFERROR(__xludf.DUMMYFUNCTION("""COMPUTED_VALUE"""),"LÊ THỊ ÁNH KIỀU")</f>
        <v>LÊ THỊ ÁNH KIỀU</v>
      </c>
      <c r="F1486" s="46" t="str">
        <f ca="1">IFERROR(__xludf.DUMMYFUNCTION("""COMPUTED_VALUE"""),"LE THI ANH KIEU")</f>
        <v>LE THI ANH KIEU</v>
      </c>
      <c r="G1486" s="45">
        <f ca="1">IFERROR(__xludf.DUMMYFUNCTION("""COMPUTED_VALUE"""),38336.625)</f>
        <v>38336.625</v>
      </c>
      <c r="H1486" s="45" t="str">
        <f ca="1">IFERROR(__xludf.DUMMYFUNCTION("""COMPUTED_VALUE"""),"TLC")</f>
        <v>TLC</v>
      </c>
      <c r="I1486" s="46" t="str">
        <f ca="1">IFERROR(__xludf.DUMMYFUNCTION("""COMPUTED_VALUE"""),"HO")</f>
        <v>HO</v>
      </c>
      <c r="J1486" s="46" t="str">
        <f ca="1">IFERROR(__xludf.DUMMYFUNCTION("""COMPUTED_VALUE"""),"PET")</f>
        <v>PET</v>
      </c>
      <c r="K1486" s="46" t="str">
        <f ca="1">IFERROR(__xludf.DUMMYFUNCTION("""COMPUTED_VALUE"""),"PET")</f>
        <v>PET</v>
      </c>
      <c r="L1486" s="46" t="str">
        <f ca="1">IFERROR(__xludf.DUMMYFUNCTION("""COMPUTED_VALUE"""),"SER")</f>
        <v>SER</v>
      </c>
      <c r="M1486" s="46" t="str">
        <f ca="1">IFERROR(__xludf.DUMMYFUNCTION("""COMPUTED_VALUE"""),"On")</f>
        <v>On</v>
      </c>
      <c r="N1486" s="46" t="str">
        <f ca="1">IFERROR(__xludf.DUMMYFUNCTION("""COMPUTED_VALUE"""),"Đủ")</f>
        <v>Đủ</v>
      </c>
    </row>
    <row r="1487" spans="1:14">
      <c r="A1487" s="45">
        <f ca="1">IFERROR(__xludf.DUMMYFUNCTION("""COMPUTED_VALUE"""),46168.5833333333)</f>
        <v>46168.583333333299</v>
      </c>
      <c r="B1487" s="45"/>
      <c r="C1487" s="46">
        <f ca="1">IFERROR(__xludf.DUMMYFUNCTION("""COMPUTED_VALUE"""),1488)</f>
        <v>1488</v>
      </c>
      <c r="D1487" s="47" t="str">
        <f ca="1">IFERROR(__xludf.DUMMYFUNCTION("""COMPUTED_VALUE"""),"C1405")</f>
        <v>C1405</v>
      </c>
      <c r="E1487" s="46" t="str">
        <f ca="1">IFERROR(__xludf.DUMMYFUNCTION("""COMPUTED_VALUE"""),"ĐẶNG THÁI THIÊN KHẢI")</f>
        <v>ĐẶNG THÁI THIÊN KHẢI</v>
      </c>
      <c r="F1487" s="46" t="str">
        <f ca="1">IFERROR(__xludf.DUMMYFUNCTION("""COMPUTED_VALUE"""),"DANG THAI THIEN KHAI")</f>
        <v>DANG THAI THIEN KHAI</v>
      </c>
      <c r="G1487" s="45">
        <f ca="1">IFERROR(__xludf.DUMMYFUNCTION("""COMPUTED_VALUE"""),38722.625)</f>
        <v>38722.625</v>
      </c>
      <c r="H1487" s="45" t="str">
        <f ca="1">IFERROR(__xludf.DUMMYFUNCTION("""COMPUTED_VALUE"""),"MATTE")</f>
        <v>MATTE</v>
      </c>
      <c r="I1487" s="46" t="str">
        <f ca="1">IFERROR(__xludf.DUMMYFUNCTION("""COMPUTED_VALUE"""),"STORE")</f>
        <v>STORE</v>
      </c>
      <c r="J1487" s="46" t="str">
        <f ca="1">IFERROR(__xludf.DUMMYFUNCTION("""COMPUTED_VALUE"""),"MATTE D7")</f>
        <v>MATTE D7</v>
      </c>
      <c r="K1487" s="46" t="str">
        <f ca="1">IFERROR(__xludf.DUMMYFUNCTION("""COMPUTED_VALUE"""),"BAR")</f>
        <v>BAR</v>
      </c>
      <c r="L1487" s="46" t="str">
        <f ca="1">IFERROR(__xludf.DUMMYFUNCTION("""COMPUTED_VALUE"""),"PRO")</f>
        <v>PRO</v>
      </c>
      <c r="M1487" s="46" t="str">
        <f ca="1">IFERROR(__xludf.DUMMYFUNCTION("""COMPUTED_VALUE"""),"On")</f>
        <v>On</v>
      </c>
      <c r="N1487" s="46" t="str">
        <f ca="1">IFERROR(__xludf.DUMMYFUNCTION("""COMPUTED_VALUE"""),"Đủ")</f>
        <v>Đủ</v>
      </c>
    </row>
    <row r="1488" spans="1:14">
      <c r="A1488" s="45">
        <f ca="1">IFERROR(__xludf.DUMMYFUNCTION("""COMPUTED_VALUE"""),46168.5833333333)</f>
        <v>46168.583333333299</v>
      </c>
      <c r="B1488" s="45"/>
      <c r="C1488" s="46">
        <f ca="1">IFERROR(__xludf.DUMMYFUNCTION("""COMPUTED_VALUE"""),1489)</f>
        <v>1489</v>
      </c>
      <c r="D1488" s="47" t="str">
        <f ca="1">IFERROR(__xludf.DUMMYFUNCTION("""COMPUTED_VALUE"""),"C1393")</f>
        <v>C1393</v>
      </c>
      <c r="E1488" s="46" t="str">
        <f ca="1">IFERROR(__xludf.DUMMYFUNCTION("""COMPUTED_VALUE"""),"NGUYỄN TIẾN THẮNG")</f>
        <v>NGUYỄN TIẾN THẮNG</v>
      </c>
      <c r="F1488" s="46" t="str">
        <f ca="1">IFERROR(__xludf.DUMMYFUNCTION("""COMPUTED_VALUE"""),"NGUYEN TIEN THANG")</f>
        <v>NGUYEN TIEN THANG</v>
      </c>
      <c r="G1488" s="45">
        <f ca="1">IFERROR(__xludf.DUMMYFUNCTION("""COMPUTED_VALUE"""),38420.625)</f>
        <v>38420.625</v>
      </c>
      <c r="H1488" s="45" t="str">
        <f ca="1">IFERROR(__xludf.DUMMYFUNCTION("""COMPUTED_VALUE"""),"YESHI")</f>
        <v>YESHI</v>
      </c>
      <c r="I1488" s="46" t="str">
        <f ca="1">IFERROR(__xludf.DUMMYFUNCTION("""COMPUTED_VALUE"""),"STORE")</f>
        <v>STORE</v>
      </c>
      <c r="J1488" s="46" t="str">
        <f ca="1">IFERROR(__xludf.DUMMYFUNCTION("""COMPUTED_VALUE"""),"YESHI D2")</f>
        <v>YESHI D2</v>
      </c>
      <c r="K1488" s="46" t="str">
        <f ca="1">IFERROR(__xludf.DUMMYFUNCTION("""COMPUTED_VALUE"""),"KIT")</f>
        <v>KIT</v>
      </c>
      <c r="L1488" s="46" t="str">
        <f ca="1">IFERROR(__xludf.DUMMYFUNCTION("""COMPUTED_VALUE"""),"PTEP")</f>
        <v>PTEP</v>
      </c>
      <c r="M1488" s="46" t="str">
        <f ca="1">IFERROR(__xludf.DUMMYFUNCTION("""COMPUTED_VALUE"""),"On")</f>
        <v>On</v>
      </c>
      <c r="N1488" s="46" t="str">
        <f ca="1">IFERROR(__xludf.DUMMYFUNCTION("""COMPUTED_VALUE"""),"Đủ")</f>
        <v>Đủ</v>
      </c>
    </row>
    <row r="1489" spans="1:14">
      <c r="A1489" s="45">
        <f ca="1">IFERROR(__xludf.DUMMYFUNCTION("""COMPUTED_VALUE"""),46168.5833333333)</f>
        <v>46168.583333333299</v>
      </c>
      <c r="B1489" s="45"/>
      <c r="C1489" s="46">
        <f ca="1">IFERROR(__xludf.DUMMYFUNCTION("""COMPUTED_VALUE"""),1490)</f>
        <v>1490</v>
      </c>
      <c r="D1489" s="47" t="str">
        <f ca="1">IFERROR(__xludf.DUMMYFUNCTION("""COMPUTED_VALUE"""),"C1397")</f>
        <v>C1397</v>
      </c>
      <c r="E1489" s="46" t="str">
        <f ca="1">IFERROR(__xludf.DUMMYFUNCTION("""COMPUTED_VALUE"""),"NGUYỄN NGỌC LAN ANH")</f>
        <v>NGUYỄN NGỌC LAN ANH</v>
      </c>
      <c r="F1489" s="46" t="str">
        <f ca="1">IFERROR(__xludf.DUMMYFUNCTION("""COMPUTED_VALUE"""),"NGUYEN NGOC LAN ANH")</f>
        <v>NGUYEN NGOC LAN ANH</v>
      </c>
      <c r="G1489" s="45">
        <f ca="1">IFERROR(__xludf.DUMMYFUNCTION("""COMPUTED_VALUE"""),38504.5833333333)</f>
        <v>38504.583333333299</v>
      </c>
      <c r="H1489" s="45" t="str">
        <f ca="1">IFERROR(__xludf.DUMMYFUNCTION("""COMPUTED_VALUE"""),"TLC")</f>
        <v>TLC</v>
      </c>
      <c r="I1489" s="46" t="str">
        <f ca="1">IFERROR(__xludf.DUMMYFUNCTION("""COMPUTED_VALUE"""),"HO")</f>
        <v>HO</v>
      </c>
      <c r="J1489" s="46" t="str">
        <f ca="1">IFERROR(__xludf.DUMMYFUNCTION("""COMPUTED_VALUE"""),"FIN")</f>
        <v>FIN</v>
      </c>
      <c r="K1489" s="46" t="str">
        <f ca="1">IFERROR(__xludf.DUMMYFUNCTION("""COMPUTED_VALUE"""),"FIN")</f>
        <v>FIN</v>
      </c>
      <c r="L1489" s="46" t="str">
        <f ca="1">IFERROR(__xludf.DUMMYFUNCTION("""COMPUTED_VALUE"""),"SER")</f>
        <v>SER</v>
      </c>
      <c r="M1489" s="46" t="str">
        <f ca="1">IFERROR(__xludf.DUMMYFUNCTION("""COMPUTED_VALUE"""),"On")</f>
        <v>On</v>
      </c>
      <c r="N1489" s="46" t="str">
        <f ca="1">IFERROR(__xludf.DUMMYFUNCTION("""COMPUTED_VALUE"""),"Đủ")</f>
        <v>Đủ</v>
      </c>
    </row>
    <row r="1490" spans="1:14">
      <c r="A1490" s="45">
        <f ca="1">IFERROR(__xludf.DUMMYFUNCTION("""COMPUTED_VALUE"""),46168.5833333333)</f>
        <v>46168.583333333299</v>
      </c>
      <c r="B1490" s="45"/>
      <c r="C1490" s="46">
        <f ca="1">IFERROR(__xludf.DUMMYFUNCTION("""COMPUTED_VALUE"""),1491)</f>
        <v>1491</v>
      </c>
      <c r="D1490" s="47" t="str">
        <f ca="1">IFERROR(__xludf.DUMMYFUNCTION("""COMPUTED_VALUE"""),"C1398")</f>
        <v>C1398</v>
      </c>
      <c r="E1490" s="46" t="str">
        <f ca="1">IFERROR(__xludf.DUMMYFUNCTION("""COMPUTED_VALUE"""),"NGUYỄN VÂN NHI")</f>
        <v>NGUYỄN VÂN NHI</v>
      </c>
      <c r="F1490" s="46" t="str">
        <f ca="1">IFERROR(__xludf.DUMMYFUNCTION("""COMPUTED_VALUE"""),"NGUYEN VAN NHI")</f>
        <v>NGUYEN VAN NHI</v>
      </c>
      <c r="G1490" s="45">
        <f ca="1">IFERROR(__xludf.DUMMYFUNCTION("""COMPUTED_VALUE"""),38509.5833333333)</f>
        <v>38509.583333333299</v>
      </c>
      <c r="H1490" s="45" t="str">
        <f ca="1">IFERROR(__xludf.DUMMYFUNCTION("""COMPUTED_VALUE"""),"TLC")</f>
        <v>TLC</v>
      </c>
      <c r="I1490" s="46" t="str">
        <f ca="1">IFERROR(__xludf.DUMMYFUNCTION("""COMPUTED_VALUE"""),"HO")</f>
        <v>HO</v>
      </c>
      <c r="J1490" s="46" t="str">
        <f ca="1">IFERROR(__xludf.DUMMYFUNCTION("""COMPUTED_VALUE"""),"FIN")</f>
        <v>FIN</v>
      </c>
      <c r="K1490" s="46" t="str">
        <f ca="1">IFERROR(__xludf.DUMMYFUNCTION("""COMPUTED_VALUE"""),"FIN")</f>
        <v>FIN</v>
      </c>
      <c r="L1490" s="46" t="str">
        <f ca="1">IFERROR(__xludf.DUMMYFUNCTION("""COMPUTED_VALUE"""),"SER")</f>
        <v>SER</v>
      </c>
      <c r="M1490" s="46" t="str">
        <f ca="1">IFERROR(__xludf.DUMMYFUNCTION("""COMPUTED_VALUE"""),"On")</f>
        <v>On</v>
      </c>
      <c r="N1490" s="46" t="str">
        <f ca="1">IFERROR(__xludf.DUMMYFUNCTION("""COMPUTED_VALUE"""),"Đủ")</f>
        <v>Đủ</v>
      </c>
    </row>
    <row r="1491" spans="1:14">
      <c r="A1491" s="45">
        <f ca="1">IFERROR(__xludf.DUMMYFUNCTION("""COMPUTED_VALUE"""),46169.5833333333)</f>
        <v>46169.583333333299</v>
      </c>
      <c r="B1491" s="45">
        <f ca="1">IFERROR(__xludf.DUMMYFUNCTION("""COMPUTED_VALUE"""),46179.5833333333)</f>
        <v>46179.583333333299</v>
      </c>
      <c r="C1491" s="46">
        <f ca="1">IFERROR(__xludf.DUMMYFUNCTION("""COMPUTED_VALUE"""),1492)</f>
        <v>1492</v>
      </c>
      <c r="D1491" s="47" t="str">
        <f ca="1">IFERROR(__xludf.DUMMYFUNCTION("""COMPUTED_VALUE"""),"C1404")</f>
        <v>C1404</v>
      </c>
      <c r="E1491" s="46" t="str">
        <f ca="1">IFERROR(__xludf.DUMMYFUNCTION("""COMPUTED_VALUE"""),"TRẦN PHƯƠNG ANH")</f>
        <v>TRẦN PHƯƠNG ANH</v>
      </c>
      <c r="F1491" s="46" t="str">
        <f ca="1">IFERROR(__xludf.DUMMYFUNCTION("""COMPUTED_VALUE"""),"TRAN PHUONG ANH ")</f>
        <v xml:space="preserve">TRAN PHUONG ANH </v>
      </c>
      <c r="G1491" s="45"/>
      <c r="H1491" s="45" t="str">
        <f ca="1">IFERROR(__xludf.DUMMYFUNCTION("""COMPUTED_VALUE"""),"TLC")</f>
        <v>TLC</v>
      </c>
      <c r="I1491" s="46" t="str">
        <f ca="1">IFERROR(__xludf.DUMMYFUNCTION("""COMPUTED_VALUE"""),"STORE")</f>
        <v>STORE</v>
      </c>
      <c r="J1491" s="46" t="str">
        <f ca="1">IFERROR(__xludf.DUMMYFUNCTION("""COMPUTED_VALUE"""),"BAR ROM")</f>
        <v>BAR ROM</v>
      </c>
      <c r="K1491" s="46" t="str">
        <f ca="1">IFERROR(__xludf.DUMMYFUNCTION("""COMPUTED_VALUE"""),"CLEANER")</f>
        <v>CLEANER</v>
      </c>
      <c r="L1491" s="46" t="str">
        <f ca="1">IFERROR(__xludf.DUMMYFUNCTION("""COMPUTED_VALUE"""),"PRO")</f>
        <v>PRO</v>
      </c>
      <c r="M1491" s="46" t="str">
        <f ca="1">IFERROR(__xludf.DUMMYFUNCTION("""COMPUTED_VALUE"""),"Leave")</f>
        <v>Leave</v>
      </c>
      <c r="N1491" s="46" t="str">
        <f ca="1">IFERROR(__xludf.DUMMYFUNCTION("""COMPUTED_VALUE"""),"chua nop")</f>
        <v>chua nop</v>
      </c>
    </row>
    <row r="1492" spans="1:14">
      <c r="A1492" s="45">
        <f ca="1">IFERROR(__xludf.DUMMYFUNCTION("""COMPUTED_VALUE"""),46170.5833333333)</f>
        <v>46170.583333333299</v>
      </c>
      <c r="B1492" s="45"/>
      <c r="C1492" s="46">
        <f ca="1">IFERROR(__xludf.DUMMYFUNCTION("""COMPUTED_VALUE"""),1493)</f>
        <v>1493</v>
      </c>
      <c r="D1492" s="47" t="str">
        <f ca="1">IFERROR(__xludf.DUMMYFUNCTION("""COMPUTED_VALUE"""),"C1384")</f>
        <v>C1384</v>
      </c>
      <c r="E1492" s="46" t="str">
        <f ca="1">IFERROR(__xludf.DUMMYFUNCTION("""COMPUTED_VALUE"""),"HUỲNH NGỌC THẢO UYÊN")</f>
        <v>HUỲNH NGỌC THẢO UYÊN</v>
      </c>
      <c r="F1492" s="46" t="str">
        <f ca="1">IFERROR(__xludf.DUMMYFUNCTION("""COMPUTED_VALUE"""),"HUYNH NGOC THAO UYEN")</f>
        <v>HUYNH NGOC THAO UYEN</v>
      </c>
      <c r="G1492" s="45">
        <f ca="1">IFERROR(__xludf.DUMMYFUNCTION("""COMPUTED_VALUE"""),35975.5833333333)</f>
        <v>35975.583333333299</v>
      </c>
      <c r="H1492" s="45" t="str">
        <f ca="1">IFERROR(__xludf.DUMMYFUNCTION("""COMPUTED_VALUE"""),"KITCHEN PASTRY")</f>
        <v>KITCHEN PASTRY</v>
      </c>
      <c r="I1492" s="46" t="str">
        <f ca="1">IFERROR(__xludf.DUMMYFUNCTION("""COMPUTED_VALUE"""),"KITCHEN PASTRY")</f>
        <v>KITCHEN PASTRY</v>
      </c>
      <c r="J1492" s="46" t="str">
        <f ca="1">IFERROR(__xludf.DUMMYFUNCTION("""COMPUTED_VALUE"""),"KITCHEN PASTRY")</f>
        <v>KITCHEN PASTRY</v>
      </c>
      <c r="K1492" s="46" t="str">
        <f ca="1">IFERROR(__xludf.DUMMYFUNCTION("""COMPUTED_VALUE"""),"PASTRY")</f>
        <v>PASTRY</v>
      </c>
      <c r="L1492" s="46" t="str">
        <f ca="1">IFERROR(__xludf.DUMMYFUNCTION("""COMPUTED_VALUE"""),"PRO")</f>
        <v>PRO</v>
      </c>
      <c r="M1492" s="46" t="str">
        <f ca="1">IFERROR(__xludf.DUMMYFUNCTION("""COMPUTED_VALUE"""),"On")</f>
        <v>On</v>
      </c>
      <c r="N1492" s="46" t="str">
        <f ca="1">IFERROR(__xludf.DUMMYFUNCTION("""COMPUTED_VALUE"""),"chua nop")</f>
        <v>chua nop</v>
      </c>
    </row>
    <row r="1493" spans="1:14">
      <c r="A1493" s="45">
        <f ca="1">IFERROR(__xludf.DUMMYFUNCTION("""COMPUTED_VALUE"""),46174.5833333333)</f>
        <v>46174.583333333299</v>
      </c>
      <c r="B1493" s="45"/>
      <c r="C1493" s="46">
        <f ca="1">IFERROR(__xludf.DUMMYFUNCTION("""COMPUTED_VALUE"""),1494)</f>
        <v>1494</v>
      </c>
      <c r="D1493" s="47" t="str">
        <f ca="1">IFERROR(__xludf.DUMMYFUNCTION("""COMPUTED_VALUE"""),"C1338")</f>
        <v>C1338</v>
      </c>
      <c r="E1493" s="46" t="str">
        <f ca="1">IFERROR(__xludf.DUMMYFUNCTION("""COMPUTED_VALUE"""),"TRỊNH NGỌC PHƯƠNG THẢO")</f>
        <v>TRỊNH NGỌC PHƯƠNG THẢO</v>
      </c>
      <c r="F1493" s="46" t="str">
        <f ca="1">IFERROR(__xludf.DUMMYFUNCTION("""COMPUTED_VALUE"""),"TRINH NGOC PHUONG THAO")</f>
        <v>TRINH NGOC PHUONG THAO</v>
      </c>
      <c r="G1493" s="45">
        <f ca="1">IFERROR(__xludf.DUMMYFUNCTION("""COMPUTED_VALUE"""),35644.5833333333)</f>
        <v>35644.583333333299</v>
      </c>
      <c r="H1493" s="45" t="str">
        <f ca="1">IFERROR(__xludf.DUMMYFUNCTION("""COMPUTED_VALUE"""),"TLC")</f>
        <v>TLC</v>
      </c>
      <c r="I1493" s="46" t="str">
        <f ca="1">IFERROR(__xludf.DUMMYFUNCTION("""COMPUTED_VALUE"""),"HO")</f>
        <v>HO</v>
      </c>
      <c r="J1493" s="46" t="str">
        <f ca="1">IFERROR(__xludf.DUMMYFUNCTION("""COMPUTED_VALUE"""),"HRD")</f>
        <v>HRD</v>
      </c>
      <c r="K1493" s="46" t="str">
        <f ca="1">IFERROR(__xludf.DUMMYFUNCTION("""COMPUTED_VALUE"""),"OPS")</f>
        <v>OPS</v>
      </c>
      <c r="L1493" s="46" t="str">
        <f ca="1">IFERROR(__xludf.DUMMYFUNCTION("""COMPUTED_VALUE"""),"PRO")</f>
        <v>PRO</v>
      </c>
      <c r="M1493" s="46" t="str">
        <f ca="1">IFERROR(__xludf.DUMMYFUNCTION("""COMPUTED_VALUE"""),"On")</f>
        <v>On</v>
      </c>
      <c r="N1493" s="46" t="str">
        <f ca="1">IFERROR(__xludf.DUMMYFUNCTION("""COMPUTED_VALUE"""),"Đủ")</f>
        <v>Đủ</v>
      </c>
    </row>
    <row r="1494" spans="1:14">
      <c r="A1494" s="45">
        <f ca="1">IFERROR(__xludf.DUMMYFUNCTION("""COMPUTED_VALUE"""),46175.5833333333)</f>
        <v>46175.583333333299</v>
      </c>
      <c r="B1494" s="45"/>
      <c r="C1494" s="46">
        <f ca="1">IFERROR(__xludf.DUMMYFUNCTION("""COMPUTED_VALUE"""),1495)</f>
        <v>1495</v>
      </c>
      <c r="D1494" s="47" t="str">
        <f ca="1">IFERROR(__xludf.DUMMYFUNCTION("""COMPUTED_VALUE"""),"C1376")</f>
        <v>C1376</v>
      </c>
      <c r="E1494" s="46" t="str">
        <f ca="1">IFERROR(__xludf.DUMMYFUNCTION("""COMPUTED_VALUE"""),"PHẠM TÚ QUYÊN")</f>
        <v>PHẠM TÚ QUYÊN</v>
      </c>
      <c r="F1494" s="46" t="str">
        <f ca="1">IFERROR(__xludf.DUMMYFUNCTION("""COMPUTED_VALUE"""),"PHAM TU QUYEN")</f>
        <v>PHAM TU QUYEN</v>
      </c>
      <c r="G1494" s="45">
        <f ca="1">IFERROR(__xludf.DUMMYFUNCTION("""COMPUTED_VALUE"""),37659.625)</f>
        <v>37659.625</v>
      </c>
      <c r="H1494" s="45" t="str">
        <f ca="1">IFERROR(__xludf.DUMMYFUNCTION("""COMPUTED_VALUE"""),"TLC")</f>
        <v>TLC</v>
      </c>
      <c r="I1494" s="46" t="str">
        <f ca="1">IFERROR(__xludf.DUMMYFUNCTION("""COMPUTED_VALUE"""),"HO")</f>
        <v>HO</v>
      </c>
      <c r="J1494" s="46" t="str">
        <f ca="1">IFERROR(__xludf.DUMMYFUNCTION("""COMPUTED_VALUE"""),"SAL")</f>
        <v>SAL</v>
      </c>
      <c r="K1494" s="46" t="str">
        <f ca="1">IFERROR(__xludf.DUMMYFUNCTION("""COMPUTED_VALUE"""),"SAL")</f>
        <v>SAL</v>
      </c>
      <c r="L1494" s="46" t="str">
        <f ca="1">IFERROR(__xludf.DUMMYFUNCTION("""COMPUTED_VALUE"""),"PRO")</f>
        <v>PRO</v>
      </c>
      <c r="M1494" s="46" t="str">
        <f ca="1">IFERROR(__xludf.DUMMYFUNCTION("""COMPUTED_VALUE"""),"On")</f>
        <v>On</v>
      </c>
      <c r="N1494" s="46" t="str">
        <f ca="1">IFERROR(__xludf.DUMMYFUNCTION("""COMPUTED_VALUE"""),"Đủ")</f>
        <v>Đủ</v>
      </c>
    </row>
    <row r="1495" spans="1:14">
      <c r="A1495" s="45">
        <f ca="1">IFERROR(__xludf.DUMMYFUNCTION("""COMPUTED_VALUE"""),46174.5833333333)</f>
        <v>46174.583333333299</v>
      </c>
      <c r="B1495" s="45"/>
      <c r="C1495" s="46">
        <f ca="1">IFERROR(__xludf.DUMMYFUNCTION("""COMPUTED_VALUE"""),1496)</f>
        <v>1496</v>
      </c>
      <c r="D1495" s="47" t="str">
        <f ca="1">IFERROR(__xludf.DUMMYFUNCTION("""COMPUTED_VALUE"""),"C1409")</f>
        <v>C1409</v>
      </c>
      <c r="E1495" s="46" t="str">
        <f ca="1">IFERROR(__xludf.DUMMYFUNCTION("""COMPUTED_VALUE"""),"LÂM THỊ BÍCH TUYỀN")</f>
        <v>LÂM THỊ BÍCH TUYỀN</v>
      </c>
      <c r="F1495" s="46" t="str">
        <f ca="1">IFERROR(__xludf.DUMMYFUNCTION("""COMPUTED_VALUE"""),"LAM THI BICH TUYEN")</f>
        <v>LAM THI BICH TUYEN</v>
      </c>
      <c r="G1495" s="45">
        <f ca="1">IFERROR(__xludf.DUMMYFUNCTION("""COMPUTED_VALUE"""),35310.5833333333)</f>
        <v>35310.583333333299</v>
      </c>
      <c r="H1495" s="45" t="str">
        <f ca="1">IFERROR(__xludf.DUMMYFUNCTION("""COMPUTED_VALUE"""),"MATTE")</f>
        <v>MATTE</v>
      </c>
      <c r="I1495" s="46" t="str">
        <f ca="1">IFERROR(__xludf.DUMMYFUNCTION("""COMPUTED_VALUE"""),"STORE")</f>
        <v>STORE</v>
      </c>
      <c r="J1495" s="46" t="str">
        <f ca="1">IFERROR(__xludf.DUMMYFUNCTION("""COMPUTED_VALUE"""),"MATTE D1")</f>
        <v>MATTE D1</v>
      </c>
      <c r="K1495" s="46" t="str">
        <f ca="1">IFERROR(__xludf.DUMMYFUNCTION("""COMPUTED_VALUE"""),"Management team")</f>
        <v>Management team</v>
      </c>
      <c r="L1495" s="46" t="str">
        <f ca="1">IFERROR(__xludf.DUMMYFUNCTION("""COMPUTED_VALUE"""),"PRO")</f>
        <v>PRO</v>
      </c>
      <c r="M1495" s="46" t="str">
        <f ca="1">IFERROR(__xludf.DUMMYFUNCTION("""COMPUTED_VALUE"""),"On")</f>
        <v>On</v>
      </c>
      <c r="N1495" s="46" t="str">
        <f ca="1">IFERROR(__xludf.DUMMYFUNCTION("""COMPUTED_VALUE"""),"Đủ")</f>
        <v>Đủ</v>
      </c>
    </row>
    <row r="1496" spans="1:14">
      <c r="A1496" s="45">
        <f ca="1">IFERROR(__xludf.DUMMYFUNCTION("""COMPUTED_VALUE"""),46176.5833333333)</f>
        <v>46176.583333333299</v>
      </c>
      <c r="B1496" s="45"/>
      <c r="C1496" s="46">
        <f ca="1">IFERROR(__xludf.DUMMYFUNCTION("""COMPUTED_VALUE"""),1497)</f>
        <v>1497</v>
      </c>
      <c r="D1496" s="47" t="str">
        <f ca="1">IFERROR(__xludf.DUMMYFUNCTION("""COMPUTED_VALUE"""),"C1414")</f>
        <v>C1414</v>
      </c>
      <c r="E1496" s="46" t="str">
        <f ca="1">IFERROR(__xludf.DUMMYFUNCTION("""COMPUTED_VALUE"""),"NGUYỄN HUỲNH THÁI HUY")</f>
        <v>NGUYỄN HUỲNH THÁI HUY</v>
      </c>
      <c r="F1496" s="46" t="str">
        <f ca="1">IFERROR(__xludf.DUMMYFUNCTION("""COMPUTED_VALUE"""),"NGUYEN HUYNH THAI HUY")</f>
        <v>NGUYEN HUYNH THAI HUY</v>
      </c>
      <c r="G1496" s="45">
        <f ca="1">IFERROR(__xludf.DUMMYFUNCTION("""COMPUTED_VALUE"""),37388.5833333333)</f>
        <v>37388.583333333299</v>
      </c>
      <c r="H1496" s="45" t="str">
        <f ca="1">IFERROR(__xludf.DUMMYFUNCTION("""COMPUTED_VALUE"""),"YESHI")</f>
        <v>YESHI</v>
      </c>
      <c r="I1496" s="46" t="str">
        <f ca="1">IFERROR(__xludf.DUMMYFUNCTION("""COMPUTED_VALUE"""),"STORE")</f>
        <v>STORE</v>
      </c>
      <c r="J1496" s="46" t="str">
        <f ca="1">IFERROR(__xludf.DUMMYFUNCTION("""COMPUTED_VALUE"""),"YESHI D2")</f>
        <v>YESHI D2</v>
      </c>
      <c r="K1496" s="46" t="str">
        <f ca="1">IFERROR(__xludf.DUMMYFUNCTION("""COMPUTED_VALUE"""),"KIT")</f>
        <v>KIT</v>
      </c>
      <c r="L1496" s="46" t="str">
        <f ca="1">IFERROR(__xludf.DUMMYFUNCTION("""COMPUTED_VALUE"""),"PTEP")</f>
        <v>PTEP</v>
      </c>
      <c r="M1496" s="46" t="str">
        <f ca="1">IFERROR(__xludf.DUMMYFUNCTION("""COMPUTED_VALUE"""),"On")</f>
        <v>On</v>
      </c>
      <c r="N1496" s="46" t="str">
        <f ca="1">IFERROR(__xludf.DUMMYFUNCTION("""COMPUTED_VALUE"""),"chua nop")</f>
        <v>chua nop</v>
      </c>
    </row>
    <row r="1497" spans="1:14">
      <c r="A1497" s="45">
        <f ca="1">IFERROR(__xludf.DUMMYFUNCTION("""COMPUTED_VALUE"""),46174.5833333333)</f>
        <v>46174.583333333299</v>
      </c>
      <c r="B1497" s="45"/>
      <c r="C1497" s="46">
        <f ca="1">IFERROR(__xludf.DUMMYFUNCTION("""COMPUTED_VALUE"""),1498)</f>
        <v>1498</v>
      </c>
      <c r="D1497" s="47" t="str">
        <f ca="1">IFERROR(__xludf.DUMMYFUNCTION("""COMPUTED_VALUE"""),"C1412")</f>
        <v>C1412</v>
      </c>
      <c r="E1497" s="46" t="str">
        <f ca="1">IFERROR(__xludf.DUMMYFUNCTION("""COMPUTED_VALUE"""),"NGUYỄN TUẤN KIỆT")</f>
        <v>NGUYỄN TUẤN KIỆT</v>
      </c>
      <c r="F1497" s="46" t="str">
        <f ca="1">IFERROR(__xludf.DUMMYFUNCTION("""COMPUTED_VALUE"""),"NGUYEN TUAN KIET")</f>
        <v>NGUYEN TUAN KIET</v>
      </c>
      <c r="G1497" s="45">
        <f ca="1">IFERROR(__xludf.DUMMYFUNCTION("""COMPUTED_VALUE"""),36405.5833333333)</f>
        <v>36405.583333333299</v>
      </c>
      <c r="H1497" s="45" t="str">
        <f ca="1">IFERROR(__xludf.DUMMYFUNCTION("""COMPUTED_VALUE"""),"KITCHEN PASTRY")</f>
        <v>KITCHEN PASTRY</v>
      </c>
      <c r="I1497" s="46" t="str">
        <f ca="1">IFERROR(__xludf.DUMMYFUNCTION("""COMPUTED_VALUE"""),"KITCHEN PASTRY")</f>
        <v>KITCHEN PASTRY</v>
      </c>
      <c r="J1497" s="46" t="str">
        <f ca="1">IFERROR(__xludf.DUMMYFUNCTION("""COMPUTED_VALUE"""),"KITCHEN PASTRY")</f>
        <v>KITCHEN PASTRY</v>
      </c>
      <c r="K1497" s="46" t="str">
        <f ca="1">IFERROR(__xludf.DUMMYFUNCTION("""COMPUTED_VALUE"""),"ADMIN")</f>
        <v>ADMIN</v>
      </c>
      <c r="L1497" s="46" t="str">
        <f ca="1">IFERROR(__xludf.DUMMYFUNCTION("""COMPUTED_VALUE"""),"PRO")</f>
        <v>PRO</v>
      </c>
      <c r="M1497" s="46" t="str">
        <f ca="1">IFERROR(__xludf.DUMMYFUNCTION("""COMPUTED_VALUE"""),"On")</f>
        <v>On</v>
      </c>
      <c r="N1497" s="46" t="str">
        <f ca="1">IFERROR(__xludf.DUMMYFUNCTION("""COMPUTED_VALUE"""),"Đủ")</f>
        <v>Đủ</v>
      </c>
    </row>
    <row r="1498" spans="1:14">
      <c r="A1498" s="45">
        <f ca="1">IFERROR(__xludf.DUMMYFUNCTION("""COMPUTED_VALUE"""),46175.5833333333)</f>
        <v>46175.583333333299</v>
      </c>
      <c r="B1498" s="45"/>
      <c r="C1498" s="46">
        <f ca="1">IFERROR(__xludf.DUMMYFUNCTION("""COMPUTED_VALUE"""),1499)</f>
        <v>1499</v>
      </c>
      <c r="D1498" s="47" t="str">
        <f ca="1">IFERROR(__xludf.DUMMYFUNCTION("""COMPUTED_VALUE"""),"C1407")</f>
        <v>C1407</v>
      </c>
      <c r="E1498" s="46" t="str">
        <f ca="1">IFERROR(__xludf.DUMMYFUNCTION("""COMPUTED_VALUE"""),"NGUYỄN ĐỨC LỘC")</f>
        <v>NGUYỄN ĐỨC LỘC</v>
      </c>
      <c r="F1498" s="46" t="str">
        <f ca="1">IFERROR(__xludf.DUMMYFUNCTION("""COMPUTED_VALUE"""),"NGUYEN DUC LOC")</f>
        <v>NGUYEN DUC LOC</v>
      </c>
      <c r="G1498" s="45"/>
      <c r="H1498" s="45" t="str">
        <f ca="1">IFERROR(__xludf.DUMMYFUNCTION("""COMPUTED_VALUE"""),"YESHI")</f>
        <v>YESHI</v>
      </c>
      <c r="I1498" s="46" t="str">
        <f ca="1">IFERROR(__xludf.DUMMYFUNCTION("""COMPUTED_VALUE"""),"STORE")</f>
        <v>STORE</v>
      </c>
      <c r="J1498" s="46" t="str">
        <f ca="1">IFERROR(__xludf.DUMMYFUNCTION("""COMPUTED_VALUE"""),"YESHI D2")</f>
        <v>YESHI D2</v>
      </c>
      <c r="K1498" s="46" t="str">
        <f ca="1">IFERROR(__xludf.DUMMYFUNCTION("""COMPUTED_VALUE"""),"KIT")</f>
        <v>KIT</v>
      </c>
      <c r="L1498" s="46" t="str">
        <f ca="1">IFERROR(__xludf.DUMMYFUNCTION("""COMPUTED_VALUE"""),"PRO")</f>
        <v>PRO</v>
      </c>
      <c r="M1498" s="46" t="str">
        <f ca="1">IFERROR(__xludf.DUMMYFUNCTION("""COMPUTED_VALUE"""),"On")</f>
        <v>On</v>
      </c>
      <c r="N1498" s="46" t="str">
        <f ca="1">IFERROR(__xludf.DUMMYFUNCTION("""COMPUTED_VALUE"""),"chua nop")</f>
        <v>chua nop</v>
      </c>
    </row>
    <row r="1499" spans="1:14">
      <c r="A1499" s="45">
        <f ca="1">IFERROR(__xludf.DUMMYFUNCTION("""COMPUTED_VALUE"""),46174.5833333333)</f>
        <v>46174.583333333299</v>
      </c>
      <c r="B1499" s="45"/>
      <c r="C1499" s="46">
        <f ca="1">IFERROR(__xludf.DUMMYFUNCTION("""COMPUTED_VALUE"""),1500)</f>
        <v>1500</v>
      </c>
      <c r="D1499" s="47" t="str">
        <f ca="1">IFERROR(__xludf.DUMMYFUNCTION("""COMPUTED_VALUE"""),"C1413")</f>
        <v>C1413</v>
      </c>
      <c r="E1499" s="46" t="str">
        <f ca="1">IFERROR(__xludf.DUMMYFUNCTION("""COMPUTED_VALUE"""),"LÊ THỊ DI")</f>
        <v>LÊ THỊ DI</v>
      </c>
      <c r="F1499" s="46" t="str">
        <f ca="1">IFERROR(__xludf.DUMMYFUNCTION("""COMPUTED_VALUE"""),"LE THI DI")</f>
        <v>LE THI DI</v>
      </c>
      <c r="G1499" s="45">
        <f ca="1">IFERROR(__xludf.DUMMYFUNCTION("""COMPUTED_VALUE"""),33095.5833333333)</f>
        <v>33095.583333333299</v>
      </c>
      <c r="H1499" s="45" t="str">
        <f ca="1">IFERROR(__xludf.DUMMYFUNCTION("""COMPUTED_VALUE"""),"TLC")</f>
        <v>TLC</v>
      </c>
      <c r="I1499" s="46" t="str">
        <f ca="1">IFERROR(__xludf.DUMMYFUNCTION("""COMPUTED_VALUE"""),"STORE")</f>
        <v>STORE</v>
      </c>
      <c r="J1499" s="46" t="str">
        <f ca="1">IFERROR(__xludf.DUMMYFUNCTION("""COMPUTED_VALUE"""),"BAR ROM")</f>
        <v>BAR ROM</v>
      </c>
      <c r="K1499" s="46" t="str">
        <f ca="1">IFERROR(__xludf.DUMMYFUNCTION("""COMPUTED_VALUE"""),"KIT")</f>
        <v>KIT</v>
      </c>
      <c r="L1499" s="46" t="str">
        <f ca="1">IFERROR(__xludf.DUMMYFUNCTION("""COMPUTED_VALUE"""),"PRO")</f>
        <v>PRO</v>
      </c>
      <c r="M1499" s="46" t="str">
        <f ca="1">IFERROR(__xludf.DUMMYFUNCTION("""COMPUTED_VALUE"""),"On")</f>
        <v>On</v>
      </c>
      <c r="N1499" s="46" t="str">
        <f ca="1">IFERROR(__xludf.DUMMYFUNCTION("""COMPUTED_VALUE"""),"chua nop")</f>
        <v>chua nop</v>
      </c>
    </row>
    <row r="1500" spans="1:14">
      <c r="A1500" s="45">
        <f ca="1">IFERROR(__xludf.DUMMYFUNCTION("""COMPUTED_VALUE"""),46176.5833333333)</f>
        <v>46176.583333333299</v>
      </c>
      <c r="B1500" s="45"/>
      <c r="C1500" s="46">
        <f ca="1">IFERROR(__xludf.DUMMYFUNCTION("""COMPUTED_VALUE"""),1501)</f>
        <v>1501</v>
      </c>
      <c r="D1500" s="47" t="str">
        <f ca="1">IFERROR(__xludf.DUMMYFUNCTION("""COMPUTED_VALUE"""),"C1417")</f>
        <v>C1417</v>
      </c>
      <c r="E1500" s="46" t="str">
        <f ca="1">IFERROR(__xludf.DUMMYFUNCTION("""COMPUTED_VALUE"""),"NGUYỄN CAO HOÀNG PHÚC")</f>
        <v>NGUYỄN CAO HOÀNG PHÚC</v>
      </c>
      <c r="F1500" s="46" t="str">
        <f ca="1">IFERROR(__xludf.DUMMYFUNCTION("""COMPUTED_VALUE"""),"NGUYEN CAO HOANG PHUC")</f>
        <v>NGUYEN CAO HOANG PHUC</v>
      </c>
      <c r="G1500" s="45"/>
      <c r="H1500" s="45" t="str">
        <f ca="1">IFERROR(__xludf.DUMMYFUNCTION("""COMPUTED_VALUE"""),"TLC")</f>
        <v>TLC</v>
      </c>
      <c r="I1500" s="46" t="str">
        <f ca="1">IFERROR(__xludf.DUMMYFUNCTION("""COMPUTED_VALUE"""),"STORE")</f>
        <v>STORE</v>
      </c>
      <c r="J1500" s="46" t="str">
        <f ca="1">IFERROR(__xludf.DUMMYFUNCTION("""COMPUTED_VALUE"""),"BAR ROM")</f>
        <v>BAR ROM</v>
      </c>
      <c r="K1500" s="46" t="str">
        <f ca="1">IFERROR(__xludf.DUMMYFUNCTION("""COMPUTED_VALUE"""),"KIT")</f>
        <v>KIT</v>
      </c>
      <c r="L1500" s="46" t="str">
        <f ca="1">IFERROR(__xludf.DUMMYFUNCTION("""COMPUTED_VALUE"""),"SER")</f>
        <v>SER</v>
      </c>
      <c r="M1500" s="46" t="str">
        <f ca="1">IFERROR(__xludf.DUMMYFUNCTION("""COMPUTED_VALUE"""),"On")</f>
        <v>On</v>
      </c>
      <c r="N1500" s="46" t="str">
        <f ca="1">IFERROR(__xludf.DUMMYFUNCTION("""COMPUTED_VALUE"""),"chua nop")</f>
        <v>chua nop</v>
      </c>
    </row>
    <row r="1501" spans="1:14">
      <c r="A1501" s="45">
        <f ca="1">IFERROR(__xludf.DUMMYFUNCTION("""COMPUTED_VALUE"""),46178.5833333333)</f>
        <v>46178.583333333299</v>
      </c>
      <c r="B1501" s="45"/>
      <c r="C1501" s="46">
        <f ca="1">IFERROR(__xludf.DUMMYFUNCTION("""COMPUTED_VALUE"""),1502)</f>
        <v>1502</v>
      </c>
      <c r="D1501" s="47" t="str">
        <f ca="1">IFERROR(__xludf.DUMMYFUNCTION("""COMPUTED_VALUE"""),"C1421")</f>
        <v>C1421</v>
      </c>
      <c r="E1501" s="46" t="str">
        <f ca="1">IFERROR(__xludf.DUMMYFUNCTION("""COMPUTED_VALUE"""),"HUỲNH MINH KHA")</f>
        <v>HUỲNH MINH KHA</v>
      </c>
      <c r="F1501" s="46" t="str">
        <f ca="1">IFERROR(__xludf.DUMMYFUNCTION("""COMPUTED_VALUE"""),"HUYNH MINH KHA")</f>
        <v>HUYNH MINH KHA</v>
      </c>
      <c r="G1501" s="45"/>
      <c r="H1501" s="45" t="str">
        <f ca="1">IFERROR(__xludf.DUMMYFUNCTION("""COMPUTED_VALUE"""),"YESHI")</f>
        <v>YESHI</v>
      </c>
      <c r="I1501" s="46" t="str">
        <f ca="1">IFERROR(__xludf.DUMMYFUNCTION("""COMPUTED_VALUE"""),"STORE")</f>
        <v>STORE</v>
      </c>
      <c r="J1501" s="46" t="str">
        <f ca="1">IFERROR(__xludf.DUMMYFUNCTION("""COMPUTED_VALUE"""),"YESHI D2")</f>
        <v>YESHI D2</v>
      </c>
      <c r="K1501" s="46" t="str">
        <f ca="1">IFERROR(__xludf.DUMMYFUNCTION("""COMPUTED_VALUE"""),"KIT")</f>
        <v>KIT</v>
      </c>
      <c r="L1501" s="46" t="str">
        <f ca="1">IFERROR(__xludf.DUMMYFUNCTION("""COMPUTED_VALUE"""),"PTEP")</f>
        <v>PTEP</v>
      </c>
      <c r="M1501" s="46" t="str">
        <f ca="1">IFERROR(__xludf.DUMMYFUNCTION("""COMPUTED_VALUE"""),"On")</f>
        <v>On</v>
      </c>
      <c r="N1501" s="46" t="str">
        <f ca="1">IFERROR(__xludf.DUMMYFUNCTION("""COMPUTED_VALUE"""),"chua nop")</f>
        <v>chua nop</v>
      </c>
    </row>
    <row r="1502" spans="1:14">
      <c r="A1502" s="45">
        <f ca="1">IFERROR(__xludf.DUMMYFUNCTION("""COMPUTED_VALUE"""),46177.5833333333)</f>
        <v>46177.583333333299</v>
      </c>
      <c r="B1502" s="45"/>
      <c r="C1502" s="46">
        <f ca="1">IFERROR(__xludf.DUMMYFUNCTION("""COMPUTED_VALUE"""),1503)</f>
        <v>1503</v>
      </c>
      <c r="D1502" s="47" t="str">
        <f ca="1">IFERROR(__xludf.DUMMYFUNCTION("""COMPUTED_VALUE"""),"C1419")</f>
        <v>C1419</v>
      </c>
      <c r="E1502" s="46" t="str">
        <f ca="1">IFERROR(__xludf.DUMMYFUNCTION("""COMPUTED_VALUE"""),"LÊ THẠCH DUY TRƯỜNG")</f>
        <v>LÊ THẠCH DUY TRƯỜNG</v>
      </c>
      <c r="F1502" s="46" t="str">
        <f ca="1">IFERROR(__xludf.DUMMYFUNCTION("""COMPUTED_VALUE"""),"LE THACH DUY TRUONG")</f>
        <v>LE THACH DUY TRUONG</v>
      </c>
      <c r="G1502" s="45">
        <f ca="1">IFERROR(__xludf.DUMMYFUNCTION("""COMPUTED_VALUE"""),36516.625)</f>
        <v>36516.625</v>
      </c>
      <c r="H1502" s="45" t="str">
        <f ca="1">IFERROR(__xludf.DUMMYFUNCTION("""COMPUTED_VALUE"""),"TLC")</f>
        <v>TLC</v>
      </c>
      <c r="I1502" s="46" t="str">
        <f ca="1">IFERROR(__xludf.DUMMYFUNCTION("""COMPUTED_VALUE"""),"STORE")</f>
        <v>STORE</v>
      </c>
      <c r="J1502" s="46" t="str">
        <f ca="1">IFERROR(__xludf.DUMMYFUNCTION("""COMPUTED_VALUE"""),"BAR ROM")</f>
        <v>BAR ROM</v>
      </c>
      <c r="K1502" s="46" t="str">
        <f ca="1">IFERROR(__xludf.DUMMYFUNCTION("""COMPUTED_VALUE"""),"KIT")</f>
        <v>KIT</v>
      </c>
      <c r="L1502" s="46" t="str">
        <f ca="1">IFERROR(__xludf.DUMMYFUNCTION("""COMPUTED_VALUE"""),"PRO")</f>
        <v>PRO</v>
      </c>
      <c r="M1502" s="46" t="str">
        <f ca="1">IFERROR(__xludf.DUMMYFUNCTION("""COMPUTED_VALUE"""),"On")</f>
        <v>On</v>
      </c>
      <c r="N1502" s="46" t="str">
        <f ca="1">IFERROR(__xludf.DUMMYFUNCTION("""COMPUTED_VALUE"""),"chua nop")</f>
        <v>chua nop</v>
      </c>
    </row>
    <row r="1503" spans="1:14">
      <c r="A1503" s="45">
        <f ca="1">IFERROR(__xludf.DUMMYFUNCTION("""COMPUTED_VALUE"""),46175.5833333333)</f>
        <v>46175.583333333299</v>
      </c>
      <c r="B1503" s="45"/>
      <c r="C1503" s="46">
        <f ca="1">IFERROR(__xludf.DUMMYFUNCTION("""COMPUTED_VALUE"""),1504)</f>
        <v>1504</v>
      </c>
      <c r="D1503" s="47" t="str">
        <f ca="1">IFERROR(__xludf.DUMMYFUNCTION("""COMPUTED_VALUE"""),"C1420")</f>
        <v>C1420</v>
      </c>
      <c r="E1503" s="46" t="str">
        <f ca="1">IFERROR(__xludf.DUMMYFUNCTION("""COMPUTED_VALUE"""),"NGUYỄN QUỐC ANH CƯỜNG")</f>
        <v>NGUYỄN QUỐC ANH CƯỜNG</v>
      </c>
      <c r="F1503" s="46" t="str">
        <f ca="1">IFERROR(__xludf.DUMMYFUNCTION("""COMPUTED_VALUE"""),"NGUYEN QUOC ANH CUONG")</f>
        <v>NGUYEN QUOC ANH CUONG</v>
      </c>
      <c r="G1503" s="45">
        <f ca="1">IFERROR(__xludf.DUMMYFUNCTION("""COMPUTED_VALUE"""),38013.625)</f>
        <v>38013.625</v>
      </c>
      <c r="H1503" s="45" t="str">
        <f ca="1">IFERROR(__xludf.DUMMYFUNCTION("""COMPUTED_VALUE"""),"TLC")</f>
        <v>TLC</v>
      </c>
      <c r="I1503" s="46" t="str">
        <f ca="1">IFERROR(__xludf.DUMMYFUNCTION("""COMPUTED_VALUE"""),"STORE")</f>
        <v>STORE</v>
      </c>
      <c r="J1503" s="46" t="str">
        <f ca="1">IFERROR(__xludf.DUMMYFUNCTION("""COMPUTED_VALUE"""),"BAR ROM")</f>
        <v>BAR ROM</v>
      </c>
      <c r="K1503" s="46" t="str">
        <f ca="1">IFERROR(__xludf.DUMMYFUNCTION("""COMPUTED_VALUE"""),"WAITSTAFF")</f>
        <v>WAITSTAFF</v>
      </c>
      <c r="L1503" s="46" t="str">
        <f ca="1">IFERROR(__xludf.DUMMYFUNCTION("""COMPUTED_VALUE"""),"PTEP")</f>
        <v>PTEP</v>
      </c>
      <c r="M1503" s="46" t="str">
        <f ca="1">IFERROR(__xludf.DUMMYFUNCTION("""COMPUTED_VALUE"""),"On")</f>
        <v>On</v>
      </c>
      <c r="N1503" s="46" t="str">
        <f ca="1">IFERROR(__xludf.DUMMYFUNCTION("""COMPUTED_VALUE"""),"chua nop")</f>
        <v>chua nop</v>
      </c>
    </row>
    <row r="1504" spans="1:14">
      <c r="A1504" s="45">
        <f ca="1">IFERROR(__xludf.DUMMYFUNCTION("""COMPUTED_VALUE"""),46181.5833333333)</f>
        <v>46181.583333333299</v>
      </c>
      <c r="B1504" s="45"/>
      <c r="C1504" s="46">
        <f ca="1">IFERROR(__xludf.DUMMYFUNCTION("""COMPUTED_VALUE"""),1505)</f>
        <v>1505</v>
      </c>
      <c r="D1504" s="47" t="str">
        <f ca="1">IFERROR(__xludf.DUMMYFUNCTION("""COMPUTED_VALUE"""),"C1410")</f>
        <v>C1410</v>
      </c>
      <c r="E1504" s="46" t="str">
        <f ca="1">IFERROR(__xludf.DUMMYFUNCTION("""COMPUTED_VALUE"""),"LƯƠNG THUỴ HOÀNG MY")</f>
        <v>LƯƠNG THUỴ HOÀNG MY</v>
      </c>
      <c r="F1504" s="46" t="str">
        <f ca="1">IFERROR(__xludf.DUMMYFUNCTION("""COMPUTED_VALUE"""),"LUONG THUY HOANG MY")</f>
        <v>LUONG THUY HOANG MY</v>
      </c>
      <c r="G1504" s="45">
        <f ca="1">IFERROR(__xludf.DUMMYFUNCTION("""COMPUTED_VALUE"""),35921.5833333333)</f>
        <v>35921.583333333299</v>
      </c>
      <c r="H1504" s="45" t="str">
        <f ca="1">IFERROR(__xludf.DUMMYFUNCTION("""COMPUTED_VALUE"""),"TLC")</f>
        <v>TLC</v>
      </c>
      <c r="I1504" s="46" t="str">
        <f ca="1">IFERROR(__xludf.DUMMYFUNCTION("""COMPUTED_VALUE"""),"HO")</f>
        <v>HO</v>
      </c>
      <c r="J1504" s="46" t="str">
        <f ca="1">IFERROR(__xludf.DUMMYFUNCTION("""COMPUTED_VALUE"""),"PRO")</f>
        <v>PRO</v>
      </c>
      <c r="K1504" s="46" t="str">
        <f ca="1">IFERROR(__xludf.DUMMYFUNCTION("""COMPUTED_VALUE"""),"PRO")</f>
        <v>PRO</v>
      </c>
      <c r="L1504" s="46" t="str">
        <f ca="1">IFERROR(__xludf.DUMMYFUNCTION("""COMPUTED_VALUE"""),"PRO")</f>
        <v>PRO</v>
      </c>
      <c r="M1504" s="46" t="str">
        <f ca="1">IFERROR(__xludf.DUMMYFUNCTION("""COMPUTED_VALUE"""),"On")</f>
        <v>On</v>
      </c>
      <c r="N1504" s="46" t="str">
        <f ca="1">IFERROR(__xludf.DUMMYFUNCTION("""COMPUTED_VALUE"""),"chua nop")</f>
        <v>chua nop</v>
      </c>
    </row>
    <row r="1505" spans="1:14">
      <c r="A1505" s="45">
        <f ca="1">IFERROR(__xludf.DUMMYFUNCTION("""COMPUTED_VALUE"""),46182.5833333333)</f>
        <v>46182.583333333299</v>
      </c>
      <c r="B1505" s="45"/>
      <c r="C1505" s="46">
        <f ca="1">IFERROR(__xludf.DUMMYFUNCTION("""COMPUTED_VALUE"""),1506)</f>
        <v>1506</v>
      </c>
      <c r="D1505" s="47" t="str">
        <f ca="1">IFERROR(__xludf.DUMMYFUNCTION("""COMPUTED_VALUE"""),"C1423")</f>
        <v>C1423</v>
      </c>
      <c r="E1505" s="46" t="str">
        <f ca="1">IFERROR(__xludf.DUMMYFUNCTION("""COMPUTED_VALUE"""),"HỒ BẢO NGHI")</f>
        <v>HỒ BẢO NGHI</v>
      </c>
      <c r="F1505" s="46" t="str">
        <f ca="1">IFERROR(__xludf.DUMMYFUNCTION("""COMPUTED_VALUE"""),"HO BAO  NGHI")</f>
        <v>HO BAO  NGHI</v>
      </c>
      <c r="G1505" s="45" t="str">
        <f ca="1">IFERROR(__xludf.DUMMYFUNCTION("""COMPUTED_VALUE"""),"28/12/2002")</f>
        <v>28/12/2002</v>
      </c>
      <c r="H1505" s="45" t="str">
        <f ca="1">IFERROR(__xludf.DUMMYFUNCTION("""COMPUTED_VALUE"""),"TLC")</f>
        <v>TLC</v>
      </c>
      <c r="I1505" s="46" t="str">
        <f ca="1">IFERROR(__xludf.DUMMYFUNCTION("""COMPUTED_VALUE"""),"HO")</f>
        <v>HO</v>
      </c>
      <c r="J1505" s="46" t="str">
        <f ca="1">IFERROR(__xludf.DUMMYFUNCTION("""COMPUTED_VALUE"""),"SAL")</f>
        <v>SAL</v>
      </c>
      <c r="K1505" s="46" t="str">
        <f ca="1">IFERROR(__xludf.DUMMYFUNCTION("""COMPUTED_VALUE"""),"SAL")</f>
        <v>SAL</v>
      </c>
      <c r="L1505" s="46" t="str">
        <f ca="1">IFERROR(__xludf.DUMMYFUNCTION("""COMPUTED_VALUE"""),"PRO")</f>
        <v>PRO</v>
      </c>
      <c r="M1505" s="46" t="str">
        <f ca="1">IFERROR(__xludf.DUMMYFUNCTION("""COMPUTED_VALUE"""),"On")</f>
        <v>On</v>
      </c>
      <c r="N1505" s="46" t="str">
        <f ca="1">IFERROR(__xludf.DUMMYFUNCTION("""COMPUTED_VALUE"""),"chua nop")</f>
        <v>chua nop</v>
      </c>
    </row>
    <row r="1506" spans="1:14">
      <c r="A1506" s="45">
        <f ca="1">IFERROR(__xludf.DUMMYFUNCTION("""COMPUTED_VALUE"""),46182.5833333333)</f>
        <v>46182.583333333299</v>
      </c>
      <c r="B1506" s="45"/>
      <c r="C1506" s="46">
        <f ca="1">IFERROR(__xludf.DUMMYFUNCTION("""COMPUTED_VALUE"""),1507)</f>
        <v>1507</v>
      </c>
      <c r="D1506" s="47" t="str">
        <f ca="1">IFERROR(__xludf.DUMMYFUNCTION("""COMPUTED_VALUE"""),"C1422")</f>
        <v>C1422</v>
      </c>
      <c r="E1506" s="46" t="str">
        <f ca="1">IFERROR(__xludf.DUMMYFUNCTION("""COMPUTED_VALUE"""),"TRẦN NGỌC THIÊN")</f>
        <v>TRẦN NGỌC THIÊN</v>
      </c>
      <c r="F1506" s="46" t="str">
        <f ca="1">IFERROR(__xludf.DUMMYFUNCTION("""COMPUTED_VALUE"""),"TRAN NGOC THIEN")</f>
        <v>TRAN NGOC THIEN</v>
      </c>
      <c r="G1506" s="45">
        <f ca="1">IFERROR(__xludf.DUMMYFUNCTION("""COMPUTED_VALUE"""),35619.5833333333)</f>
        <v>35619.583333333299</v>
      </c>
      <c r="H1506" s="45" t="str">
        <f ca="1">IFERROR(__xludf.DUMMYFUNCTION("""COMPUTED_VALUE"""),"YESHI")</f>
        <v>YESHI</v>
      </c>
      <c r="I1506" s="46" t="str">
        <f ca="1">IFERROR(__xludf.DUMMYFUNCTION("""COMPUTED_VALUE"""),"STORE")</f>
        <v>STORE</v>
      </c>
      <c r="J1506" s="46" t="str">
        <f ca="1">IFERROR(__xludf.DUMMYFUNCTION("""COMPUTED_VALUE"""),"YESHI D3")</f>
        <v>YESHI D3</v>
      </c>
      <c r="K1506" s="46" t="str">
        <f ca="1">IFERROR(__xludf.DUMMYFUNCTION("""COMPUTED_VALUE"""),"KIT")</f>
        <v>KIT</v>
      </c>
      <c r="L1506" s="46" t="str">
        <f ca="1">IFERROR(__xludf.DUMMYFUNCTION("""COMPUTED_VALUE"""),"PTEP")</f>
        <v>PTEP</v>
      </c>
      <c r="M1506" s="46" t="str">
        <f ca="1">IFERROR(__xludf.DUMMYFUNCTION("""COMPUTED_VALUE"""),"On")</f>
        <v>On</v>
      </c>
      <c r="N1506" s="46" t="str">
        <f ca="1">IFERROR(__xludf.DUMMYFUNCTION("""COMPUTED_VALUE"""),"chua nop")</f>
        <v>chua nop</v>
      </c>
    </row>
    <row r="1507" spans="1:14">
      <c r="A1507" s="45">
        <f ca="1">IFERROR(__xludf.DUMMYFUNCTION("""COMPUTED_VALUE"""),46182.5833333333)</f>
        <v>46182.583333333299</v>
      </c>
      <c r="B1507" s="45"/>
      <c r="C1507" s="46">
        <f ca="1">IFERROR(__xludf.DUMMYFUNCTION("""COMPUTED_VALUE"""),1508)</f>
        <v>1508</v>
      </c>
      <c r="D1507" s="47" t="str">
        <f ca="1">IFERROR(__xludf.DUMMYFUNCTION("""COMPUTED_VALUE"""),"C1436")</f>
        <v>C1436</v>
      </c>
      <c r="E1507" s="46" t="str">
        <f ca="1">IFERROR(__xludf.DUMMYFUNCTION("""COMPUTED_VALUE"""),"NGUYỄN TRƯỜNG ĐAN THANH")</f>
        <v>NGUYỄN TRƯỜNG ĐAN THANH</v>
      </c>
      <c r="F1507" s="46" t="str">
        <f ca="1">IFERROR(__xludf.DUMMYFUNCTION("""COMPUTED_VALUE"""),"NGUYEN TRUONG DAN THANH")</f>
        <v>NGUYEN TRUONG DAN THANH</v>
      </c>
      <c r="G1507" s="45">
        <f ca="1">IFERROR(__xludf.DUMMYFUNCTION("""COMPUTED_VALUE"""),37269.625)</f>
        <v>37269.625</v>
      </c>
      <c r="H1507" s="45" t="str">
        <f ca="1">IFERROR(__xludf.DUMMYFUNCTION("""COMPUTED_VALUE"""),"TLC")</f>
        <v>TLC</v>
      </c>
      <c r="I1507" s="46" t="str">
        <f ca="1">IFERROR(__xludf.DUMMYFUNCTION("""COMPUTED_VALUE"""),"HO")</f>
        <v>HO</v>
      </c>
      <c r="J1507" s="46" t="str">
        <f ca="1">IFERROR(__xludf.DUMMYFUNCTION("""COMPUTED_VALUE"""),"CUS")</f>
        <v>CUS</v>
      </c>
      <c r="K1507" s="46" t="str">
        <f ca="1">IFERROR(__xludf.DUMMYFUNCTION("""COMPUTED_VALUE"""),"CUS")</f>
        <v>CUS</v>
      </c>
      <c r="L1507" s="46" t="str">
        <f ca="1">IFERROR(__xludf.DUMMYFUNCTION("""COMPUTED_VALUE"""),"PTEP")</f>
        <v>PTEP</v>
      </c>
      <c r="M1507" s="46" t="str">
        <f ca="1">IFERROR(__xludf.DUMMYFUNCTION("""COMPUTED_VALUE"""),"On")</f>
        <v>On</v>
      </c>
      <c r="N1507" s="46" t="str">
        <f ca="1">IFERROR(__xludf.DUMMYFUNCTION("""COMPUTED_VALUE"""),"chua nop")</f>
        <v>chua nop</v>
      </c>
    </row>
    <row r="1508" spans="1:14">
      <c r="A1508" s="45">
        <f ca="1">IFERROR(__xludf.DUMMYFUNCTION("""COMPUTED_VALUE"""),46181.5833333333)</f>
        <v>46181.583333333299</v>
      </c>
      <c r="B1508" s="45"/>
      <c r="C1508" s="46">
        <f ca="1">IFERROR(__xludf.DUMMYFUNCTION("""COMPUTED_VALUE"""),1509)</f>
        <v>1509</v>
      </c>
      <c r="D1508" s="47" t="str">
        <f ca="1">IFERROR(__xludf.DUMMYFUNCTION("""COMPUTED_VALUE"""),"C1425")</f>
        <v>C1425</v>
      </c>
      <c r="E1508" s="46" t="str">
        <f ca="1">IFERROR(__xludf.DUMMYFUNCTION("""COMPUTED_VALUE"""),"PHAN HUỲNH PHI HỔ")</f>
        <v>PHAN HUỲNH PHI HỔ</v>
      </c>
      <c r="F1508" s="46" t="str">
        <f ca="1">IFERROR(__xludf.DUMMYFUNCTION("""COMPUTED_VALUE"""),"PHAN HUYNH PHI HO")</f>
        <v>PHAN HUYNH PHI HO</v>
      </c>
      <c r="G1508" s="45">
        <f ca="1">IFERROR(__xludf.DUMMYFUNCTION("""COMPUTED_VALUE"""),34254.5833333333)</f>
        <v>34254.583333333299</v>
      </c>
      <c r="H1508" s="45" t="str">
        <f ca="1">IFERROR(__xludf.DUMMYFUNCTION("""COMPUTED_VALUE"""),"TLC")</f>
        <v>TLC</v>
      </c>
      <c r="I1508" s="46" t="str">
        <f ca="1">IFERROR(__xludf.DUMMYFUNCTION("""COMPUTED_VALUE"""),"STORE")</f>
        <v>STORE</v>
      </c>
      <c r="J1508" s="46" t="str">
        <f ca="1">IFERROR(__xludf.DUMMYFUNCTION("""COMPUTED_VALUE"""),"BAR ROM")</f>
        <v>BAR ROM</v>
      </c>
      <c r="K1508" s="46" t="str">
        <f ca="1">IFERROR(__xludf.DUMMYFUNCTION("""COMPUTED_VALUE"""),"KIT")</f>
        <v>KIT</v>
      </c>
      <c r="L1508" s="46" t="str">
        <f ca="1">IFERROR(__xludf.DUMMYFUNCTION("""COMPUTED_VALUE"""),"PRO")</f>
        <v>PRO</v>
      </c>
      <c r="M1508" s="46" t="str">
        <f ca="1">IFERROR(__xludf.DUMMYFUNCTION("""COMPUTED_VALUE"""),"On")</f>
        <v>On</v>
      </c>
      <c r="N1508" s="46" t="str">
        <f ca="1">IFERROR(__xludf.DUMMYFUNCTION("""COMPUTED_VALUE"""),"chua nop")</f>
        <v>chua nop</v>
      </c>
    </row>
    <row r="1509" spans="1:14">
      <c r="A1509" s="45">
        <f ca="1">IFERROR(__xludf.DUMMYFUNCTION("""COMPUTED_VALUE"""),46182.5833333333)</f>
        <v>46182.583333333299</v>
      </c>
      <c r="B1509" s="45"/>
      <c r="C1509" s="46">
        <f ca="1">IFERROR(__xludf.DUMMYFUNCTION("""COMPUTED_VALUE"""),1510)</f>
        <v>1510</v>
      </c>
      <c r="D1509" s="47" t="str">
        <f ca="1">IFERROR(__xludf.DUMMYFUNCTION("""COMPUTED_VALUE"""),"C1437")</f>
        <v>C1437</v>
      </c>
      <c r="E1509" s="46" t="str">
        <f ca="1">IFERROR(__xludf.DUMMYFUNCTION("""COMPUTED_VALUE"""),"NGUYỄN NGỌC TÂN")</f>
        <v>NGUYỄN NGỌC TÂN</v>
      </c>
      <c r="F1509" s="46" t="str">
        <f ca="1">IFERROR(__xludf.DUMMYFUNCTION("""COMPUTED_VALUE"""),"NGUYEN NGOC TAN")</f>
        <v>NGUYEN NGOC TAN</v>
      </c>
      <c r="G1509" s="45">
        <f ca="1">IFERROR(__xludf.DUMMYFUNCTION("""COMPUTED_VALUE"""),37462.5833333333)</f>
        <v>37462.583333333299</v>
      </c>
      <c r="H1509" s="45" t="str">
        <f ca="1">IFERROR(__xludf.DUMMYFUNCTION("""COMPUTED_VALUE"""),"YESHI")</f>
        <v>YESHI</v>
      </c>
      <c r="I1509" s="46" t="str">
        <f ca="1">IFERROR(__xludf.DUMMYFUNCTION("""COMPUTED_VALUE"""),"STORE")</f>
        <v>STORE</v>
      </c>
      <c r="J1509" s="46" t="str">
        <f ca="1">IFERROR(__xludf.DUMMYFUNCTION("""COMPUTED_VALUE"""),"YESHI D2")</f>
        <v>YESHI D2</v>
      </c>
      <c r="K1509" s="46" t="str">
        <f ca="1">IFERROR(__xludf.DUMMYFUNCTION("""COMPUTED_VALUE"""),"BAR")</f>
        <v>BAR</v>
      </c>
      <c r="L1509" s="46" t="str">
        <f ca="1">IFERROR(__xludf.DUMMYFUNCTION("""COMPUTED_VALUE"""),"PRO")</f>
        <v>PRO</v>
      </c>
      <c r="M1509" s="46" t="str">
        <f ca="1">IFERROR(__xludf.DUMMYFUNCTION("""COMPUTED_VALUE"""),"On")</f>
        <v>On</v>
      </c>
      <c r="N1509" s="46" t="str">
        <f ca="1">IFERROR(__xludf.DUMMYFUNCTION("""COMPUTED_VALUE"""),"chua nop")</f>
        <v>chua nop</v>
      </c>
    </row>
    <row r="1510" spans="1:14">
      <c r="A1510" s="45">
        <f ca="1">IFERROR(__xludf.DUMMYFUNCTION("""COMPUTED_VALUE"""),46185.5833333333)</f>
        <v>46185.583333333299</v>
      </c>
      <c r="B1510" s="45"/>
      <c r="C1510" s="46">
        <f ca="1">IFERROR(__xludf.DUMMYFUNCTION("""COMPUTED_VALUE"""),1511)</f>
        <v>1511</v>
      </c>
      <c r="D1510" s="47" t="str">
        <f ca="1">IFERROR(__xludf.DUMMYFUNCTION("""COMPUTED_VALUE"""),"C1440")</f>
        <v>C1440</v>
      </c>
      <c r="E1510" s="46" t="str">
        <f ca="1">IFERROR(__xludf.DUMMYFUNCTION("""COMPUTED_VALUE"""),"VŨ THỊ PHƯƠNG LY")</f>
        <v>VŨ THỊ PHƯƠNG LY</v>
      </c>
      <c r="F1510" s="46" t="str">
        <f ca="1">IFERROR(__xludf.DUMMYFUNCTION("""COMPUTED_VALUE"""),"VU THI PHUONG LY")</f>
        <v>VU THI PHUONG LY</v>
      </c>
      <c r="G1510" s="45"/>
      <c r="H1510" s="45" t="str">
        <f ca="1">IFERROR(__xludf.DUMMYFUNCTION("""COMPUTED_VALUE"""),"TLC")</f>
        <v>TLC</v>
      </c>
      <c r="I1510" s="46" t="str">
        <f ca="1">IFERROR(__xludf.DUMMYFUNCTION("""COMPUTED_VALUE"""),"STORE")</f>
        <v>STORE</v>
      </c>
      <c r="J1510" s="46" t="str">
        <f ca="1">IFERROR(__xludf.DUMMYFUNCTION("""COMPUTED_VALUE"""),"BAR ROM")</f>
        <v>BAR ROM</v>
      </c>
      <c r="K1510" s="46" t="str">
        <f ca="1">IFERROR(__xludf.DUMMYFUNCTION("""COMPUTED_VALUE"""),"CLEANER")</f>
        <v>CLEANER</v>
      </c>
      <c r="L1510" s="46" t="str">
        <f ca="1">IFERROR(__xludf.DUMMYFUNCTION("""COMPUTED_VALUE"""),"PRO")</f>
        <v>PRO</v>
      </c>
      <c r="M1510" s="46" t="str">
        <f ca="1">IFERROR(__xludf.DUMMYFUNCTION("""COMPUTED_VALUE"""),"On")</f>
        <v>On</v>
      </c>
      <c r="N1510" s="46" t="str">
        <f ca="1">IFERROR(__xludf.DUMMYFUNCTION("""COMPUTED_VALUE"""),"chua nop")</f>
        <v>chua nop</v>
      </c>
    </row>
    <row r="1511" spans="1:14">
      <c r="A1511" s="45"/>
      <c r="B1511" s="45"/>
      <c r="C1511" s="46"/>
      <c r="D1511" s="47"/>
      <c r="E1511" s="46"/>
      <c r="F1511" s="46"/>
      <c r="G1511" s="45"/>
      <c r="H1511" s="45"/>
      <c r="I1511" s="46"/>
      <c r="J1511" s="46"/>
      <c r="K1511" s="46"/>
      <c r="L1511" s="46"/>
      <c r="M1511" s="46"/>
      <c r="N1511" s="46"/>
    </row>
    <row r="1512" spans="1:14">
      <c r="A1512" s="45"/>
      <c r="B1512" s="45"/>
      <c r="C1512" s="46"/>
      <c r="D1512" s="47"/>
      <c r="E1512" s="46"/>
      <c r="F1512" s="46"/>
      <c r="G1512" s="45"/>
      <c r="H1512" s="45"/>
      <c r="I1512" s="46"/>
      <c r="J1512" s="46"/>
      <c r="K1512" s="46"/>
      <c r="L1512" s="46"/>
      <c r="M1512" s="46"/>
      <c r="N1512" s="46"/>
    </row>
    <row r="1513" spans="1:14">
      <c r="A1513" s="45"/>
      <c r="B1513" s="45"/>
      <c r="C1513" s="46"/>
      <c r="D1513" s="47"/>
      <c r="E1513" s="46"/>
      <c r="F1513" s="46"/>
      <c r="G1513" s="45"/>
      <c r="H1513" s="45"/>
      <c r="I1513" s="46"/>
      <c r="J1513" s="46"/>
      <c r="K1513" s="46"/>
      <c r="L1513" s="46"/>
      <c r="M1513" s="46"/>
      <c r="N1513" s="46"/>
    </row>
    <row r="1514" spans="1:14">
      <c r="A1514" s="45"/>
      <c r="B1514" s="45"/>
      <c r="C1514" s="46"/>
      <c r="D1514" s="47"/>
      <c r="E1514" s="46"/>
      <c r="F1514" s="46"/>
      <c r="G1514" s="45"/>
      <c r="H1514" s="45"/>
      <c r="I1514" s="46"/>
      <c r="J1514" s="46"/>
      <c r="K1514" s="46"/>
      <c r="L1514" s="46"/>
      <c r="M1514" s="46"/>
      <c r="N1514" s="46"/>
    </row>
    <row r="1515" spans="1:14">
      <c r="A1515" s="45"/>
      <c r="B1515" s="45"/>
      <c r="C1515" s="46"/>
      <c r="D1515" s="47"/>
      <c r="E1515" s="46"/>
      <c r="F1515" s="46"/>
      <c r="G1515" s="45"/>
      <c r="H1515" s="45"/>
      <c r="I1515" s="46"/>
      <c r="J1515" s="46"/>
      <c r="K1515" s="46"/>
      <c r="L1515" s="46"/>
      <c r="M1515" s="46"/>
      <c r="N1515" s="46"/>
    </row>
    <row r="1516" spans="1:14">
      <c r="A1516" s="45"/>
      <c r="B1516" s="45"/>
      <c r="C1516" s="46"/>
      <c r="D1516" s="47"/>
      <c r="E1516" s="46"/>
      <c r="F1516" s="46"/>
      <c r="G1516" s="45"/>
      <c r="H1516" s="45"/>
      <c r="I1516" s="46"/>
      <c r="J1516" s="46"/>
      <c r="K1516" s="46"/>
      <c r="L1516" s="46"/>
      <c r="M1516" s="46"/>
      <c r="N1516" s="46"/>
    </row>
    <row r="1517" spans="1:14">
      <c r="A1517" s="45"/>
      <c r="B1517" s="45"/>
      <c r="C1517" s="46"/>
      <c r="D1517" s="47"/>
      <c r="E1517" s="46"/>
      <c r="F1517" s="46"/>
      <c r="G1517" s="45"/>
      <c r="H1517" s="45"/>
      <c r="I1517" s="46"/>
      <c r="J1517" s="46"/>
      <c r="K1517" s="46"/>
      <c r="L1517" s="46"/>
      <c r="M1517" s="46"/>
      <c r="N1517" s="46"/>
    </row>
    <row r="1518" spans="1:14">
      <c r="A1518" s="45"/>
      <c r="B1518" s="45"/>
      <c r="C1518" s="46"/>
      <c r="D1518" s="47"/>
      <c r="E1518" s="46"/>
      <c r="F1518" s="46"/>
      <c r="G1518" s="45"/>
      <c r="H1518" s="45"/>
      <c r="I1518" s="46"/>
      <c r="J1518" s="46"/>
      <c r="K1518" s="46"/>
      <c r="L1518" s="46"/>
      <c r="M1518" s="46"/>
      <c r="N1518" s="46"/>
    </row>
    <row r="1519" spans="1:14">
      <c r="A1519" s="45"/>
      <c r="B1519" s="45"/>
      <c r="C1519" s="46"/>
      <c r="D1519" s="47"/>
      <c r="E1519" s="46"/>
      <c r="F1519" s="46"/>
      <c r="G1519" s="45"/>
      <c r="H1519" s="45"/>
      <c r="I1519" s="46"/>
      <c r="J1519" s="46"/>
      <c r="K1519" s="46"/>
      <c r="L1519" s="46"/>
      <c r="M1519" s="46"/>
      <c r="N1519" s="46"/>
    </row>
    <row r="1520" spans="1:14">
      <c r="A1520" s="45"/>
      <c r="B1520" s="45"/>
      <c r="C1520" s="46"/>
      <c r="D1520" s="47"/>
      <c r="E1520" s="46"/>
      <c r="F1520" s="46"/>
      <c r="G1520" s="45"/>
      <c r="H1520" s="45"/>
      <c r="I1520" s="46"/>
      <c r="J1520" s="46"/>
      <c r="K1520" s="46"/>
      <c r="L1520" s="46"/>
      <c r="M1520" s="46"/>
      <c r="N1520" s="46"/>
    </row>
    <row r="1521" spans="1:14">
      <c r="A1521" s="45"/>
      <c r="B1521" s="45"/>
      <c r="C1521" s="46"/>
      <c r="D1521" s="47"/>
      <c r="E1521" s="46"/>
      <c r="F1521" s="46"/>
      <c r="G1521" s="45"/>
      <c r="H1521" s="45"/>
      <c r="I1521" s="46"/>
      <c r="J1521" s="46"/>
      <c r="K1521" s="46"/>
      <c r="L1521" s="46"/>
      <c r="M1521" s="46"/>
      <c r="N1521" s="46"/>
    </row>
    <row r="1522" spans="1:14">
      <c r="A1522" s="45"/>
      <c r="B1522" s="45"/>
      <c r="C1522" s="46"/>
      <c r="D1522" s="47"/>
      <c r="E1522" s="46"/>
      <c r="F1522" s="46"/>
      <c r="G1522" s="45"/>
      <c r="H1522" s="45"/>
      <c r="I1522" s="46"/>
      <c r="J1522" s="46"/>
      <c r="K1522" s="46"/>
      <c r="L1522" s="46"/>
      <c r="M1522" s="46"/>
      <c r="N1522" s="46"/>
    </row>
    <row r="1523" spans="1:14">
      <c r="A1523" s="45"/>
      <c r="B1523" s="45"/>
      <c r="C1523" s="46"/>
      <c r="D1523" s="47"/>
      <c r="E1523" s="46"/>
      <c r="F1523" s="46"/>
      <c r="G1523" s="45"/>
      <c r="H1523" s="45"/>
      <c r="I1523" s="46"/>
      <c r="J1523" s="46"/>
      <c r="K1523" s="46"/>
      <c r="L1523" s="46"/>
      <c r="M1523" s="46"/>
      <c r="N1523" s="46"/>
    </row>
    <row r="1524" spans="1:14">
      <c r="A1524" s="45"/>
      <c r="B1524" s="45"/>
      <c r="C1524" s="46"/>
      <c r="D1524" s="47"/>
      <c r="E1524" s="46"/>
      <c r="F1524" s="46"/>
      <c r="G1524" s="45"/>
      <c r="H1524" s="45"/>
      <c r="I1524" s="46"/>
      <c r="J1524" s="46"/>
      <c r="K1524" s="46"/>
      <c r="L1524" s="46"/>
      <c r="M1524" s="46"/>
      <c r="N1524" s="46"/>
    </row>
    <row r="1525" spans="1:14">
      <c r="A1525" s="45"/>
      <c r="B1525" s="45"/>
      <c r="C1525" s="46"/>
      <c r="D1525" s="47"/>
      <c r="E1525" s="46"/>
      <c r="F1525" s="46"/>
      <c r="G1525" s="45"/>
      <c r="H1525" s="45"/>
      <c r="I1525" s="46"/>
      <c r="J1525" s="46"/>
      <c r="K1525" s="46"/>
      <c r="L1525" s="46"/>
      <c r="M1525" s="46"/>
      <c r="N1525" s="46"/>
    </row>
    <row r="1526" spans="1:14">
      <c r="A1526" s="45"/>
      <c r="B1526" s="45"/>
      <c r="C1526" s="46"/>
      <c r="D1526" s="47"/>
      <c r="E1526" s="46"/>
      <c r="F1526" s="46"/>
      <c r="G1526" s="45"/>
      <c r="H1526" s="45"/>
      <c r="I1526" s="46"/>
      <c r="J1526" s="46"/>
      <c r="K1526" s="46"/>
      <c r="L1526" s="46"/>
      <c r="M1526" s="46"/>
      <c r="N1526" s="46"/>
    </row>
    <row r="1527" spans="1:14">
      <c r="A1527" s="45"/>
      <c r="B1527" s="45"/>
      <c r="C1527" s="46"/>
      <c r="D1527" s="47"/>
      <c r="E1527" s="46"/>
      <c r="F1527" s="46"/>
      <c r="G1527" s="45"/>
      <c r="H1527" s="45"/>
      <c r="I1527" s="46"/>
      <c r="J1527" s="46"/>
      <c r="K1527" s="46"/>
      <c r="L1527" s="46"/>
      <c r="M1527" s="46"/>
      <c r="N1527" s="46"/>
    </row>
    <row r="1528" spans="1:14">
      <c r="A1528" s="45"/>
      <c r="B1528" s="45"/>
      <c r="C1528" s="46"/>
      <c r="D1528" s="47"/>
      <c r="E1528" s="46"/>
      <c r="F1528" s="46"/>
      <c r="G1528" s="45"/>
      <c r="H1528" s="45"/>
      <c r="I1528" s="46"/>
      <c r="J1528" s="46"/>
      <c r="K1528" s="46"/>
      <c r="L1528" s="46"/>
      <c r="M1528" s="46"/>
      <c r="N1528" s="46"/>
    </row>
    <row r="1529" spans="1:14">
      <c r="A1529" s="45"/>
      <c r="B1529" s="45"/>
      <c r="C1529" s="46"/>
      <c r="D1529" s="47"/>
      <c r="E1529" s="46"/>
      <c r="F1529" s="46"/>
      <c r="G1529" s="45"/>
      <c r="H1529" s="45"/>
      <c r="I1529" s="46"/>
      <c r="J1529" s="46"/>
      <c r="K1529" s="46"/>
      <c r="L1529" s="46"/>
      <c r="M1529" s="46"/>
      <c r="N1529" s="46"/>
    </row>
    <row r="1530" spans="1:14">
      <c r="A1530" s="45"/>
      <c r="B1530" s="45"/>
      <c r="C1530" s="46"/>
      <c r="D1530" s="47"/>
      <c r="E1530" s="46"/>
      <c r="F1530" s="46"/>
      <c r="G1530" s="45"/>
      <c r="H1530" s="45"/>
      <c r="I1530" s="46"/>
      <c r="J1530" s="46"/>
      <c r="K1530" s="46"/>
      <c r="L1530" s="46"/>
      <c r="M1530" s="46"/>
      <c r="N1530" s="46"/>
    </row>
    <row r="1531" spans="1:14">
      <c r="A1531" s="45"/>
      <c r="B1531" s="45"/>
      <c r="C1531" s="46"/>
      <c r="D1531" s="47"/>
      <c r="E1531" s="46"/>
      <c r="F1531" s="46"/>
      <c r="G1531" s="45"/>
      <c r="H1531" s="45"/>
      <c r="I1531" s="46"/>
      <c r="J1531" s="46"/>
      <c r="K1531" s="46"/>
      <c r="L1531" s="46"/>
      <c r="M1531" s="46"/>
      <c r="N1531" s="46"/>
    </row>
    <row r="1532" spans="1:14">
      <c r="A1532" s="45"/>
      <c r="B1532" s="45"/>
      <c r="C1532" s="46"/>
      <c r="D1532" s="47"/>
      <c r="E1532" s="46"/>
      <c r="F1532" s="46"/>
      <c r="G1532" s="45"/>
      <c r="H1532" s="45"/>
      <c r="I1532" s="46"/>
      <c r="J1532" s="46"/>
      <c r="K1532" s="46"/>
      <c r="L1532" s="46"/>
      <c r="M1532" s="46"/>
      <c r="N1532" s="46"/>
    </row>
    <row r="1533" spans="1:14">
      <c r="A1533" s="45"/>
      <c r="B1533" s="45"/>
      <c r="C1533" s="46"/>
      <c r="D1533" s="47"/>
      <c r="E1533" s="46"/>
      <c r="F1533" s="46"/>
      <c r="G1533" s="45"/>
      <c r="H1533" s="45"/>
      <c r="I1533" s="46"/>
      <c r="J1533" s="46"/>
      <c r="K1533" s="46"/>
      <c r="L1533" s="46"/>
      <c r="M1533" s="46"/>
      <c r="N1533" s="46"/>
    </row>
    <row r="1534" spans="1:14">
      <c r="A1534" s="45"/>
      <c r="B1534" s="45"/>
      <c r="C1534" s="46"/>
      <c r="D1534" s="47"/>
      <c r="E1534" s="46"/>
      <c r="F1534" s="46"/>
      <c r="G1534" s="45"/>
      <c r="H1534" s="45"/>
      <c r="I1534" s="46"/>
      <c r="J1534" s="46"/>
      <c r="K1534" s="46"/>
      <c r="L1534" s="46"/>
      <c r="M1534" s="46"/>
      <c r="N1534" s="46"/>
    </row>
    <row r="1535" spans="1:14">
      <c r="A1535" s="45"/>
      <c r="B1535" s="45"/>
      <c r="C1535" s="46"/>
      <c r="D1535" s="47"/>
      <c r="E1535" s="46"/>
      <c r="F1535" s="46"/>
      <c r="G1535" s="45"/>
      <c r="H1535" s="45"/>
      <c r="I1535" s="46"/>
      <c r="J1535" s="46"/>
      <c r="K1535" s="46"/>
      <c r="L1535" s="46"/>
      <c r="M1535" s="46"/>
      <c r="N1535" s="46"/>
    </row>
    <row r="1536" spans="1:14">
      <c r="A1536" s="45"/>
      <c r="B1536" s="45"/>
      <c r="C1536" s="46"/>
      <c r="D1536" s="47"/>
      <c r="E1536" s="46"/>
      <c r="F1536" s="46"/>
      <c r="G1536" s="45"/>
      <c r="H1536" s="45"/>
      <c r="I1536" s="46"/>
      <c r="J1536" s="46"/>
      <c r="K1536" s="46"/>
      <c r="L1536" s="46"/>
      <c r="M1536" s="46"/>
      <c r="N1536" s="46"/>
    </row>
    <row r="1537" spans="1:14">
      <c r="A1537" s="45"/>
      <c r="B1537" s="45"/>
      <c r="C1537" s="46"/>
      <c r="D1537" s="47"/>
      <c r="E1537" s="46"/>
      <c r="F1537" s="46"/>
      <c r="G1537" s="45"/>
      <c r="H1537" s="45"/>
      <c r="I1537" s="46"/>
      <c r="J1537" s="46"/>
      <c r="K1537" s="46"/>
      <c r="L1537" s="46"/>
      <c r="M1537" s="46"/>
      <c r="N1537" s="46"/>
    </row>
    <row r="1538" spans="1:14">
      <c r="A1538" s="45"/>
      <c r="B1538" s="45"/>
      <c r="C1538" s="46"/>
      <c r="D1538" s="47"/>
      <c r="E1538" s="46"/>
      <c r="F1538" s="46"/>
      <c r="G1538" s="45"/>
      <c r="H1538" s="45"/>
      <c r="I1538" s="46"/>
      <c r="J1538" s="46"/>
      <c r="K1538" s="46"/>
      <c r="L1538" s="46"/>
      <c r="M1538" s="46"/>
      <c r="N1538" s="46"/>
    </row>
    <row r="1539" spans="1:14">
      <c r="A1539" s="45"/>
      <c r="B1539" s="45"/>
      <c r="C1539" s="46"/>
      <c r="D1539" s="47"/>
      <c r="E1539" s="46"/>
      <c r="F1539" s="46"/>
      <c r="G1539" s="45"/>
      <c r="H1539" s="45"/>
      <c r="I1539" s="46"/>
      <c r="J1539" s="46"/>
      <c r="K1539" s="46"/>
      <c r="L1539" s="46"/>
      <c r="M1539" s="46"/>
      <c r="N1539" s="46"/>
    </row>
    <row r="1540" spans="1:14">
      <c r="A1540" s="45"/>
      <c r="B1540" s="45"/>
      <c r="C1540" s="46"/>
      <c r="D1540" s="47"/>
      <c r="E1540" s="46"/>
      <c r="F1540" s="46"/>
      <c r="G1540" s="45"/>
      <c r="H1540" s="45"/>
      <c r="I1540" s="46"/>
      <c r="J1540" s="46"/>
      <c r="K1540" s="46"/>
      <c r="L1540" s="46"/>
      <c r="M1540" s="46"/>
      <c r="N1540" s="46"/>
    </row>
    <row r="1541" spans="1:14">
      <c r="A1541" s="45"/>
      <c r="B1541" s="45"/>
      <c r="C1541" s="46"/>
      <c r="D1541" s="47"/>
      <c r="E1541" s="46"/>
      <c r="F1541" s="46"/>
      <c r="G1541" s="45"/>
      <c r="H1541" s="45"/>
      <c r="I1541" s="46"/>
      <c r="J1541" s="46"/>
      <c r="K1541" s="46"/>
      <c r="L1541" s="46"/>
      <c r="M1541" s="46"/>
      <c r="N1541" s="46"/>
    </row>
    <row r="1542" spans="1:14">
      <c r="A1542" s="45"/>
      <c r="B1542" s="45"/>
      <c r="C1542" s="46"/>
      <c r="D1542" s="47"/>
      <c r="E1542" s="46"/>
      <c r="F1542" s="46"/>
      <c r="G1542" s="45"/>
      <c r="H1542" s="45"/>
      <c r="I1542" s="46"/>
      <c r="J1542" s="46"/>
      <c r="K1542" s="46"/>
      <c r="L1542" s="46"/>
      <c r="M1542" s="46"/>
      <c r="N1542" s="46"/>
    </row>
    <row r="1543" spans="1:14">
      <c r="A1543" s="45"/>
      <c r="B1543" s="45"/>
      <c r="C1543" s="46"/>
      <c r="D1543" s="47"/>
      <c r="E1543" s="46"/>
      <c r="F1543" s="46"/>
      <c r="G1543" s="45"/>
      <c r="H1543" s="45"/>
      <c r="I1543" s="46"/>
      <c r="J1543" s="46"/>
      <c r="K1543" s="46"/>
      <c r="L1543" s="46"/>
      <c r="M1543" s="46"/>
      <c r="N1543" s="46"/>
    </row>
    <row r="1544" spans="1:14">
      <c r="A1544" s="45"/>
      <c r="B1544" s="45"/>
      <c r="C1544" s="46"/>
      <c r="D1544" s="47"/>
      <c r="E1544" s="46"/>
      <c r="F1544" s="46"/>
      <c r="G1544" s="45"/>
      <c r="H1544" s="45"/>
      <c r="I1544" s="46"/>
      <c r="J1544" s="46"/>
      <c r="K1544" s="46"/>
      <c r="L1544" s="46"/>
      <c r="M1544" s="46"/>
      <c r="N1544" s="46"/>
    </row>
    <row r="1545" spans="1:14">
      <c r="A1545" s="45"/>
      <c r="B1545" s="45"/>
      <c r="C1545" s="46"/>
      <c r="D1545" s="47"/>
      <c r="E1545" s="46"/>
      <c r="F1545" s="46"/>
      <c r="G1545" s="45"/>
      <c r="H1545" s="45"/>
      <c r="I1545" s="46"/>
      <c r="J1545" s="46"/>
      <c r="K1545" s="46"/>
      <c r="L1545" s="46"/>
      <c r="M1545" s="46"/>
      <c r="N1545" s="46"/>
    </row>
    <row r="1546" spans="1:14">
      <c r="A1546" s="45"/>
      <c r="B1546" s="45"/>
      <c r="C1546" s="46"/>
      <c r="D1546" s="47"/>
      <c r="E1546" s="46"/>
      <c r="F1546" s="46"/>
      <c r="G1546" s="45"/>
      <c r="H1546" s="45"/>
      <c r="I1546" s="46"/>
      <c r="J1546" s="46"/>
      <c r="K1546" s="46"/>
      <c r="L1546" s="46"/>
      <c r="M1546" s="46"/>
      <c r="N1546" s="46"/>
    </row>
    <row r="1547" spans="1:14">
      <c r="A1547" s="45"/>
      <c r="B1547" s="45"/>
      <c r="C1547" s="46"/>
      <c r="D1547" s="47"/>
      <c r="E1547" s="46"/>
      <c r="F1547" s="46"/>
      <c r="G1547" s="45"/>
      <c r="H1547" s="45"/>
      <c r="I1547" s="46"/>
      <c r="J1547" s="46"/>
      <c r="K1547" s="46"/>
      <c r="L1547" s="46"/>
      <c r="M1547" s="46"/>
      <c r="N1547" s="46"/>
    </row>
    <row r="1548" spans="1:14">
      <c r="A1548" s="45"/>
      <c r="B1548" s="45"/>
      <c r="C1548" s="46"/>
      <c r="D1548" s="47"/>
      <c r="E1548" s="46"/>
      <c r="F1548" s="46"/>
      <c r="G1548" s="45"/>
      <c r="H1548" s="45"/>
      <c r="I1548" s="46"/>
      <c r="J1548" s="46"/>
      <c r="K1548" s="46"/>
      <c r="L1548" s="46"/>
      <c r="M1548" s="46"/>
      <c r="N1548" s="46"/>
    </row>
    <row r="1549" spans="1:14">
      <c r="A1549" s="45"/>
      <c r="B1549" s="45"/>
      <c r="C1549" s="46"/>
      <c r="D1549" s="47"/>
      <c r="E1549" s="46"/>
      <c r="F1549" s="46"/>
      <c r="G1549" s="45"/>
      <c r="H1549" s="45"/>
      <c r="I1549" s="46"/>
      <c r="J1549" s="46"/>
      <c r="K1549" s="46"/>
      <c r="L1549" s="46"/>
      <c r="M1549" s="46"/>
      <c r="N1549" s="46"/>
    </row>
    <row r="1550" spans="1:14">
      <c r="A1550" s="45"/>
      <c r="B1550" s="45"/>
      <c r="C1550" s="46"/>
      <c r="D1550" s="47"/>
      <c r="E1550" s="46"/>
      <c r="F1550" s="46"/>
      <c r="G1550" s="45"/>
      <c r="H1550" s="45"/>
      <c r="I1550" s="46"/>
      <c r="J1550" s="46"/>
      <c r="K1550" s="46"/>
      <c r="L1550" s="46"/>
      <c r="M1550" s="46"/>
      <c r="N1550" s="46"/>
    </row>
    <row r="1551" spans="1:14">
      <c r="A1551" s="45"/>
      <c r="B1551" s="45"/>
      <c r="C1551" s="46"/>
      <c r="D1551" s="47"/>
      <c r="E1551" s="46"/>
      <c r="F1551" s="46"/>
      <c r="G1551" s="45"/>
      <c r="H1551" s="45"/>
      <c r="I1551" s="46"/>
      <c r="J1551" s="46"/>
      <c r="K1551" s="46"/>
      <c r="L1551" s="46"/>
      <c r="M1551" s="46"/>
      <c r="N1551" s="46"/>
    </row>
    <row r="1552" spans="1:14">
      <c r="A1552" s="45"/>
      <c r="B1552" s="45"/>
      <c r="C1552" s="46"/>
      <c r="D1552" s="47"/>
      <c r="E1552" s="46"/>
      <c r="F1552" s="46"/>
      <c r="G1552" s="45"/>
      <c r="H1552" s="45"/>
      <c r="I1552" s="46"/>
      <c r="J1552" s="46"/>
      <c r="K1552" s="46"/>
      <c r="L1552" s="46"/>
      <c r="M1552" s="46"/>
      <c r="N1552" s="46"/>
    </row>
    <row r="1553" spans="1:14">
      <c r="A1553" s="45"/>
      <c r="B1553" s="45"/>
      <c r="C1553" s="46"/>
      <c r="D1553" s="47"/>
      <c r="E1553" s="46"/>
      <c r="F1553" s="46"/>
      <c r="G1553" s="45"/>
      <c r="H1553" s="45"/>
      <c r="I1553" s="46"/>
      <c r="J1553" s="46"/>
      <c r="K1553" s="46"/>
      <c r="L1553" s="46"/>
      <c r="M1553" s="46"/>
      <c r="N1553" s="46"/>
    </row>
    <row r="1554" spans="1:14">
      <c r="A1554" s="45"/>
      <c r="B1554" s="45"/>
      <c r="C1554" s="46"/>
      <c r="D1554" s="47"/>
      <c r="E1554" s="46"/>
      <c r="F1554" s="46"/>
      <c r="G1554" s="45"/>
      <c r="H1554" s="45"/>
      <c r="I1554" s="46"/>
      <c r="J1554" s="46"/>
      <c r="K1554" s="46"/>
      <c r="L1554" s="46"/>
      <c r="M1554" s="46"/>
      <c r="N1554" s="46"/>
    </row>
    <row r="1555" spans="1:14">
      <c r="A1555" s="45"/>
      <c r="B1555" s="45"/>
      <c r="C1555" s="46"/>
      <c r="D1555" s="47"/>
      <c r="E1555" s="46"/>
      <c r="F1555" s="46"/>
      <c r="G1555" s="45"/>
      <c r="H1555" s="45"/>
      <c r="I1555" s="46"/>
      <c r="J1555" s="46"/>
      <c r="K1555" s="46"/>
      <c r="L1555" s="46"/>
      <c r="M1555" s="46"/>
      <c r="N1555" s="46"/>
    </row>
    <row r="1556" spans="1:14">
      <c r="A1556" s="45"/>
      <c r="B1556" s="45"/>
      <c r="C1556" s="46"/>
      <c r="D1556" s="47"/>
      <c r="E1556" s="46"/>
      <c r="F1556" s="46"/>
      <c r="G1556" s="45"/>
      <c r="H1556" s="45"/>
      <c r="I1556" s="46"/>
      <c r="J1556" s="46"/>
      <c r="K1556" s="46"/>
      <c r="L1556" s="46"/>
      <c r="M1556" s="46"/>
      <c r="N1556" s="46"/>
    </row>
    <row r="1557" spans="1:14">
      <c r="A1557" s="45"/>
      <c r="B1557" s="45"/>
      <c r="C1557" s="46"/>
      <c r="D1557" s="47"/>
      <c r="E1557" s="46"/>
      <c r="F1557" s="46"/>
      <c r="G1557" s="45"/>
      <c r="H1557" s="45"/>
      <c r="I1557" s="46"/>
      <c r="J1557" s="46"/>
      <c r="K1557" s="46"/>
      <c r="L1557" s="46"/>
      <c r="M1557" s="46"/>
      <c r="N1557" s="46"/>
    </row>
    <row r="1558" spans="1:14">
      <c r="A1558" s="45"/>
      <c r="B1558" s="45"/>
      <c r="C1558" s="46"/>
      <c r="D1558" s="47"/>
      <c r="E1558" s="46"/>
      <c r="F1558" s="46"/>
      <c r="G1558" s="45"/>
      <c r="H1558" s="45"/>
      <c r="I1558" s="46"/>
      <c r="J1558" s="46"/>
      <c r="K1558" s="46"/>
      <c r="L1558" s="46"/>
      <c r="M1558" s="46"/>
      <c r="N1558" s="46"/>
    </row>
    <row r="1559" spans="1:14">
      <c r="A1559" s="45"/>
      <c r="B1559" s="45"/>
      <c r="C1559" s="46"/>
      <c r="D1559" s="47"/>
      <c r="E1559" s="46"/>
      <c r="F1559" s="46"/>
      <c r="G1559" s="45"/>
      <c r="H1559" s="45"/>
      <c r="I1559" s="46"/>
      <c r="J1559" s="46"/>
      <c r="K1559" s="46"/>
      <c r="L1559" s="46"/>
      <c r="M1559" s="46"/>
      <c r="N1559" s="46"/>
    </row>
    <row r="1560" spans="1:14">
      <c r="A1560" s="45"/>
      <c r="B1560" s="45"/>
      <c r="C1560" s="46"/>
      <c r="D1560" s="47"/>
      <c r="E1560" s="46"/>
      <c r="F1560" s="46"/>
      <c r="G1560" s="45"/>
      <c r="H1560" s="45"/>
      <c r="I1560" s="46"/>
      <c r="J1560" s="46"/>
      <c r="K1560" s="46"/>
      <c r="L1560" s="46"/>
      <c r="M1560" s="46"/>
      <c r="N1560" s="46"/>
    </row>
    <row r="1561" spans="1:14">
      <c r="A1561" s="45"/>
      <c r="B1561" s="45"/>
      <c r="C1561" s="46"/>
      <c r="D1561" s="47"/>
      <c r="E1561" s="46"/>
      <c r="F1561" s="46"/>
      <c r="G1561" s="45"/>
      <c r="H1561" s="45"/>
      <c r="I1561" s="46"/>
      <c r="J1561" s="46"/>
      <c r="K1561" s="46"/>
      <c r="L1561" s="46"/>
      <c r="M1561" s="46"/>
      <c r="N1561" s="46"/>
    </row>
    <row r="1562" spans="1:14">
      <c r="A1562" s="45"/>
      <c r="B1562" s="45"/>
      <c r="C1562" s="46"/>
      <c r="D1562" s="47"/>
      <c r="E1562" s="46"/>
      <c r="F1562" s="46"/>
      <c r="G1562" s="45"/>
      <c r="H1562" s="45"/>
      <c r="I1562" s="46"/>
      <c r="J1562" s="46"/>
      <c r="K1562" s="46"/>
      <c r="L1562" s="46"/>
      <c r="M1562" s="46"/>
      <c r="N1562" s="46"/>
    </row>
    <row r="1563" spans="1:14">
      <c r="A1563" s="45"/>
      <c r="B1563" s="45"/>
      <c r="C1563" s="46"/>
      <c r="D1563" s="47"/>
      <c r="E1563" s="46"/>
      <c r="F1563" s="46"/>
      <c r="G1563" s="45"/>
      <c r="H1563" s="45"/>
      <c r="I1563" s="46"/>
      <c r="J1563" s="46"/>
      <c r="K1563" s="46"/>
      <c r="L1563" s="46"/>
      <c r="M1563" s="46"/>
      <c r="N1563" s="46"/>
    </row>
    <row r="1564" spans="1:14">
      <c r="A1564" s="45"/>
      <c r="B1564" s="45"/>
      <c r="C1564" s="46"/>
      <c r="D1564" s="47"/>
      <c r="E1564" s="46"/>
      <c r="F1564" s="46"/>
      <c r="G1564" s="45"/>
      <c r="H1564" s="45"/>
      <c r="I1564" s="46"/>
      <c r="J1564" s="46"/>
      <c r="K1564" s="46"/>
      <c r="L1564" s="46"/>
      <c r="M1564" s="46"/>
      <c r="N1564" s="46"/>
    </row>
    <row r="1565" spans="1:14">
      <c r="A1565" s="45"/>
      <c r="B1565" s="45"/>
      <c r="C1565" s="46"/>
      <c r="D1565" s="47"/>
      <c r="E1565" s="46"/>
      <c r="F1565" s="46"/>
      <c r="G1565" s="45"/>
      <c r="H1565" s="45"/>
      <c r="I1565" s="46"/>
      <c r="J1565" s="46"/>
      <c r="K1565" s="46"/>
      <c r="L1565" s="46"/>
      <c r="M1565" s="46"/>
      <c r="N1565" s="46"/>
    </row>
    <row r="1566" spans="1:14">
      <c r="A1566" s="45"/>
      <c r="B1566" s="45"/>
      <c r="C1566" s="46"/>
      <c r="D1566" s="47"/>
      <c r="E1566" s="46"/>
      <c r="F1566" s="46"/>
      <c r="G1566" s="45"/>
      <c r="H1566" s="45"/>
      <c r="I1566" s="46"/>
      <c r="J1566" s="46"/>
      <c r="K1566" s="46"/>
      <c r="L1566" s="46"/>
      <c r="M1566" s="46"/>
      <c r="N1566" s="46"/>
    </row>
    <row r="1567" spans="1:14">
      <c r="A1567" s="45"/>
      <c r="B1567" s="45"/>
      <c r="C1567" s="46"/>
      <c r="D1567" s="47"/>
      <c r="E1567" s="46"/>
      <c r="F1567" s="46"/>
      <c r="G1567" s="45"/>
      <c r="H1567" s="45"/>
      <c r="I1567" s="46"/>
      <c r="J1567" s="46"/>
      <c r="K1567" s="46"/>
      <c r="L1567" s="46"/>
      <c r="M1567" s="46"/>
      <c r="N1567" s="46"/>
    </row>
    <row r="1568" spans="1:14">
      <c r="A1568" s="45"/>
      <c r="B1568" s="45"/>
      <c r="C1568" s="46"/>
      <c r="D1568" s="47"/>
      <c r="E1568" s="46"/>
      <c r="F1568" s="46"/>
      <c r="G1568" s="45"/>
      <c r="H1568" s="45"/>
      <c r="I1568" s="46"/>
      <c r="J1568" s="46"/>
      <c r="K1568" s="46"/>
      <c r="L1568" s="46"/>
      <c r="M1568" s="46"/>
      <c r="N1568" s="46"/>
    </row>
    <row r="1569" spans="1:14">
      <c r="A1569" s="45"/>
      <c r="B1569" s="45"/>
      <c r="C1569" s="46"/>
      <c r="D1569" s="47"/>
      <c r="E1569" s="46"/>
      <c r="F1569" s="46"/>
      <c r="G1569" s="45"/>
      <c r="H1569" s="45"/>
      <c r="I1569" s="46"/>
      <c r="J1569" s="46"/>
      <c r="K1569" s="46"/>
      <c r="L1569" s="46"/>
      <c r="M1569" s="46"/>
      <c r="N1569" s="46"/>
    </row>
    <row r="1570" spans="1:14">
      <c r="A1570" s="45"/>
      <c r="B1570" s="45"/>
      <c r="C1570" s="46"/>
      <c r="D1570" s="47"/>
      <c r="E1570" s="46"/>
      <c r="F1570" s="46"/>
      <c r="G1570" s="45"/>
      <c r="H1570" s="45"/>
      <c r="I1570" s="46"/>
      <c r="J1570" s="46"/>
      <c r="K1570" s="46"/>
      <c r="L1570" s="46"/>
      <c r="M1570" s="46"/>
      <c r="N1570" s="46"/>
    </row>
    <row r="1571" spans="1:14">
      <c r="A1571" s="45"/>
      <c r="B1571" s="45"/>
      <c r="C1571" s="46"/>
      <c r="D1571" s="47"/>
      <c r="E1571" s="46"/>
      <c r="F1571" s="46"/>
      <c r="G1571" s="45"/>
      <c r="H1571" s="45"/>
      <c r="I1571" s="46"/>
      <c r="J1571" s="46"/>
      <c r="K1571" s="46"/>
      <c r="L1571" s="46"/>
      <c r="M1571" s="46"/>
      <c r="N1571" s="46"/>
    </row>
    <row r="1572" spans="1:14">
      <c r="A1572" s="45"/>
      <c r="B1572" s="45"/>
      <c r="C1572" s="46"/>
      <c r="D1572" s="47"/>
      <c r="E1572" s="46"/>
      <c r="F1572" s="46"/>
      <c r="G1572" s="45"/>
      <c r="H1572" s="45"/>
      <c r="I1572" s="46"/>
      <c r="J1572" s="46"/>
      <c r="K1572" s="46"/>
      <c r="L1572" s="46"/>
      <c r="M1572" s="46"/>
      <c r="N1572" s="46"/>
    </row>
    <row r="1573" spans="1:14">
      <c r="A1573" s="45"/>
      <c r="B1573" s="45"/>
      <c r="C1573" s="46"/>
      <c r="D1573" s="47"/>
      <c r="E1573" s="46"/>
      <c r="F1573" s="46"/>
      <c r="G1573" s="45"/>
      <c r="H1573" s="45"/>
      <c r="I1573" s="46"/>
      <c r="J1573" s="46"/>
      <c r="K1573" s="46"/>
      <c r="L1573" s="46"/>
      <c r="M1573" s="46"/>
      <c r="N1573" s="46"/>
    </row>
    <row r="1574" spans="1:14">
      <c r="A1574" s="45"/>
      <c r="B1574" s="45"/>
      <c r="C1574" s="46"/>
      <c r="D1574" s="47"/>
      <c r="E1574" s="46"/>
      <c r="F1574" s="46"/>
      <c r="G1574" s="45"/>
      <c r="H1574" s="45"/>
      <c r="I1574" s="46"/>
      <c r="J1574" s="46"/>
      <c r="K1574" s="46"/>
      <c r="L1574" s="46"/>
      <c r="M1574" s="46"/>
      <c r="N1574" s="46"/>
    </row>
    <row r="1575" spans="1:14">
      <c r="A1575" s="45"/>
      <c r="B1575" s="45"/>
      <c r="C1575" s="46"/>
      <c r="D1575" s="47"/>
      <c r="E1575" s="46"/>
      <c r="F1575" s="46"/>
      <c r="G1575" s="45"/>
      <c r="H1575" s="45"/>
      <c r="I1575" s="46"/>
      <c r="J1575" s="46"/>
      <c r="K1575" s="46"/>
      <c r="L1575" s="46"/>
      <c r="M1575" s="46"/>
      <c r="N1575" s="46"/>
    </row>
    <row r="1576" spans="1:14">
      <c r="A1576" s="45"/>
      <c r="B1576" s="45"/>
      <c r="C1576" s="46"/>
      <c r="D1576" s="47"/>
      <c r="E1576" s="46"/>
      <c r="F1576" s="46"/>
      <c r="G1576" s="45"/>
      <c r="H1576" s="45"/>
      <c r="I1576" s="46"/>
      <c r="J1576" s="46"/>
      <c r="K1576" s="46"/>
      <c r="L1576" s="46"/>
      <c r="M1576" s="46"/>
      <c r="N1576" s="46"/>
    </row>
    <row r="1577" spans="1:14">
      <c r="A1577" s="45"/>
      <c r="B1577" s="45"/>
      <c r="C1577" s="46"/>
      <c r="D1577" s="47"/>
      <c r="E1577" s="46"/>
      <c r="F1577" s="46"/>
      <c r="G1577" s="45"/>
      <c r="H1577" s="45"/>
      <c r="I1577" s="46"/>
      <c r="J1577" s="46"/>
      <c r="K1577" s="46"/>
      <c r="L1577" s="46"/>
      <c r="M1577" s="46"/>
      <c r="N1577" s="46"/>
    </row>
    <row r="1578" spans="1:14">
      <c r="A1578" s="45"/>
      <c r="B1578" s="45"/>
      <c r="C1578" s="46"/>
      <c r="D1578" s="47"/>
      <c r="E1578" s="46"/>
      <c r="F1578" s="46"/>
      <c r="G1578" s="45"/>
      <c r="H1578" s="45"/>
      <c r="I1578" s="46"/>
      <c r="J1578" s="46"/>
      <c r="K1578" s="46"/>
      <c r="L1578" s="46"/>
      <c r="M1578" s="46"/>
      <c r="N1578" s="46"/>
    </row>
    <row r="1579" spans="1:14">
      <c r="A1579" s="45"/>
      <c r="B1579" s="45"/>
      <c r="C1579" s="46"/>
      <c r="D1579" s="47"/>
      <c r="E1579" s="46"/>
      <c r="F1579" s="46"/>
      <c r="G1579" s="45"/>
      <c r="H1579" s="45"/>
      <c r="I1579" s="46"/>
      <c r="J1579" s="46"/>
      <c r="K1579" s="46"/>
      <c r="L1579" s="46"/>
      <c r="M1579" s="46"/>
      <c r="N1579" s="46"/>
    </row>
    <row r="1580" spans="1:14">
      <c r="A1580" s="45"/>
      <c r="B1580" s="45"/>
      <c r="C1580" s="46"/>
      <c r="D1580" s="47"/>
      <c r="E1580" s="46"/>
      <c r="F1580" s="46"/>
      <c r="G1580" s="45"/>
      <c r="H1580" s="45"/>
      <c r="I1580" s="46"/>
      <c r="J1580" s="46"/>
      <c r="K1580" s="46"/>
      <c r="L1580" s="46"/>
      <c r="M1580" s="46"/>
      <c r="N1580" s="46"/>
    </row>
    <row r="1581" spans="1:14">
      <c r="A1581" s="45"/>
      <c r="B1581" s="45"/>
      <c r="C1581" s="46"/>
      <c r="D1581" s="47"/>
      <c r="E1581" s="46"/>
      <c r="F1581" s="46"/>
      <c r="G1581" s="45"/>
      <c r="H1581" s="45"/>
      <c r="I1581" s="46"/>
      <c r="J1581" s="46"/>
      <c r="K1581" s="46"/>
      <c r="L1581" s="46"/>
      <c r="M1581" s="46"/>
      <c r="N1581" s="46"/>
    </row>
    <row r="1582" spans="1:14">
      <c r="A1582" s="45"/>
      <c r="B1582" s="45"/>
      <c r="C1582" s="46"/>
      <c r="D1582" s="47"/>
      <c r="E1582" s="46"/>
      <c r="F1582" s="46"/>
      <c r="G1582" s="45"/>
      <c r="H1582" s="45"/>
      <c r="I1582" s="46"/>
      <c r="J1582" s="46"/>
      <c r="K1582" s="46"/>
      <c r="L1582" s="46"/>
      <c r="M1582" s="46"/>
      <c r="N1582" s="46"/>
    </row>
    <row r="1583" spans="1:14">
      <c r="A1583" s="45"/>
      <c r="B1583" s="45"/>
      <c r="C1583" s="46"/>
      <c r="D1583" s="47"/>
      <c r="E1583" s="46"/>
      <c r="F1583" s="46"/>
      <c r="G1583" s="45"/>
      <c r="H1583" s="45"/>
      <c r="I1583" s="46"/>
      <c r="J1583" s="46"/>
      <c r="K1583" s="46"/>
      <c r="L1583" s="46"/>
      <c r="M1583" s="46"/>
      <c r="N1583" s="46"/>
    </row>
    <row r="1584" spans="1:14">
      <c r="A1584" s="45"/>
      <c r="B1584" s="45"/>
      <c r="C1584" s="46"/>
      <c r="D1584" s="47"/>
      <c r="E1584" s="46"/>
      <c r="F1584" s="46"/>
      <c r="G1584" s="45"/>
      <c r="H1584" s="45"/>
      <c r="I1584" s="46"/>
      <c r="J1584" s="46"/>
      <c r="K1584" s="46"/>
      <c r="L1584" s="46"/>
      <c r="M1584" s="46"/>
      <c r="N1584" s="46"/>
    </row>
    <row r="1585" spans="1:14">
      <c r="A1585" s="45"/>
      <c r="B1585" s="45"/>
      <c r="C1585" s="46"/>
      <c r="D1585" s="47"/>
      <c r="E1585" s="46"/>
      <c r="F1585" s="46"/>
      <c r="G1585" s="45"/>
      <c r="H1585" s="45"/>
      <c r="I1585" s="46"/>
      <c r="J1585" s="46"/>
      <c r="K1585" s="46"/>
      <c r="L1585" s="46"/>
      <c r="M1585" s="46"/>
      <c r="N1585" s="46"/>
    </row>
    <row r="1586" spans="1:14">
      <c r="A1586" s="45"/>
      <c r="B1586" s="45"/>
      <c r="C1586" s="46"/>
      <c r="D1586" s="47"/>
      <c r="E1586" s="46"/>
      <c r="F1586" s="46"/>
      <c r="G1586" s="45"/>
      <c r="H1586" s="45"/>
      <c r="I1586" s="46"/>
      <c r="J1586" s="46"/>
      <c r="K1586" s="46"/>
      <c r="L1586" s="46"/>
      <c r="M1586" s="46"/>
      <c r="N1586" s="46"/>
    </row>
    <row r="1587" spans="1:14">
      <c r="A1587" s="45"/>
      <c r="B1587" s="45"/>
      <c r="C1587" s="46"/>
      <c r="D1587" s="47"/>
      <c r="E1587" s="46"/>
      <c r="F1587" s="46"/>
      <c r="G1587" s="45"/>
      <c r="H1587" s="45"/>
      <c r="I1587" s="46"/>
      <c r="J1587" s="46"/>
      <c r="K1587" s="46"/>
      <c r="L1587" s="46"/>
      <c r="M1587" s="46"/>
      <c r="N1587" s="46"/>
    </row>
    <row r="1588" spans="1:14">
      <c r="A1588" s="45"/>
      <c r="B1588" s="45"/>
      <c r="C1588" s="46"/>
      <c r="D1588" s="47"/>
      <c r="E1588" s="46"/>
      <c r="F1588" s="46"/>
      <c r="G1588" s="45"/>
      <c r="H1588" s="45"/>
      <c r="I1588" s="46"/>
      <c r="J1588" s="46"/>
      <c r="K1588" s="46"/>
      <c r="L1588" s="46"/>
      <c r="M1588" s="46"/>
      <c r="N1588" s="46"/>
    </row>
    <row r="1589" spans="1:14">
      <c r="A1589" s="45"/>
      <c r="B1589" s="45"/>
      <c r="C1589" s="46"/>
      <c r="D1589" s="47"/>
      <c r="E1589" s="46"/>
      <c r="F1589" s="46"/>
      <c r="G1589" s="45"/>
      <c r="H1589" s="45"/>
      <c r="I1589" s="46"/>
      <c r="J1589" s="46"/>
      <c r="K1589" s="46"/>
      <c r="L1589" s="46"/>
      <c r="M1589" s="46"/>
      <c r="N1589" s="46"/>
    </row>
    <row r="1590" spans="1:14">
      <c r="A1590" s="45"/>
      <c r="B1590" s="45"/>
      <c r="C1590" s="46"/>
      <c r="D1590" s="47"/>
      <c r="E1590" s="46"/>
      <c r="F1590" s="46"/>
      <c r="G1590" s="45"/>
      <c r="H1590" s="45"/>
      <c r="I1590" s="46"/>
      <c r="J1590" s="46"/>
      <c r="K1590" s="46"/>
      <c r="L1590" s="46"/>
      <c r="M1590" s="46"/>
      <c r="N1590" s="46"/>
    </row>
    <row r="1591" spans="1:14">
      <c r="A1591" s="45"/>
      <c r="B1591" s="45"/>
      <c r="C1591" s="46"/>
      <c r="D1591" s="47"/>
      <c r="E1591" s="46"/>
      <c r="F1591" s="46"/>
      <c r="G1591" s="45"/>
      <c r="H1591" s="45"/>
      <c r="I1591" s="46"/>
      <c r="J1591" s="46"/>
      <c r="K1591" s="46"/>
      <c r="L1591" s="46"/>
      <c r="M1591" s="46"/>
      <c r="N1591" s="46"/>
    </row>
    <row r="1592" spans="1:14">
      <c r="A1592" s="45"/>
      <c r="B1592" s="45"/>
      <c r="C1592" s="46"/>
      <c r="D1592" s="47"/>
      <c r="E1592" s="46"/>
      <c r="F1592" s="46"/>
      <c r="G1592" s="45"/>
      <c r="H1592" s="45"/>
      <c r="I1592" s="46"/>
      <c r="J1592" s="46"/>
      <c r="K1592" s="46"/>
      <c r="L1592" s="46"/>
      <c r="M1592" s="46"/>
      <c r="N1592" s="46"/>
    </row>
    <row r="1593" spans="1:14">
      <c r="A1593" s="45"/>
      <c r="B1593" s="45"/>
      <c r="C1593" s="46"/>
      <c r="D1593" s="47"/>
      <c r="E1593" s="46"/>
      <c r="F1593" s="46"/>
      <c r="G1593" s="45"/>
      <c r="H1593" s="45"/>
      <c r="I1593" s="46"/>
      <c r="J1593" s="46"/>
      <c r="K1593" s="46"/>
      <c r="L1593" s="46"/>
      <c r="M1593" s="46"/>
      <c r="N1593" s="46"/>
    </row>
    <row r="1594" spans="1:14">
      <c r="A1594" s="45"/>
      <c r="B1594" s="45"/>
      <c r="C1594" s="46"/>
      <c r="D1594" s="47"/>
      <c r="E1594" s="46"/>
      <c r="F1594" s="46"/>
      <c r="G1594" s="45"/>
      <c r="H1594" s="45"/>
      <c r="I1594" s="46"/>
      <c r="J1594" s="46"/>
      <c r="K1594" s="46"/>
      <c r="L1594" s="46"/>
      <c r="M1594" s="46"/>
      <c r="N1594" s="46"/>
    </row>
    <row r="1595" spans="1:14">
      <c r="A1595" s="45"/>
      <c r="B1595" s="45"/>
      <c r="C1595" s="46"/>
      <c r="D1595" s="47"/>
      <c r="E1595" s="46"/>
      <c r="F1595" s="46"/>
      <c r="G1595" s="45"/>
      <c r="H1595" s="45"/>
      <c r="I1595" s="46"/>
      <c r="J1595" s="46"/>
      <c r="K1595" s="46"/>
      <c r="L1595" s="46"/>
      <c r="M1595" s="46"/>
      <c r="N1595" s="46"/>
    </row>
    <row r="1596" spans="1:14">
      <c r="A1596" s="45"/>
      <c r="B1596" s="45"/>
      <c r="C1596" s="46"/>
      <c r="D1596" s="47"/>
      <c r="E1596" s="46"/>
      <c r="F1596" s="46"/>
      <c r="G1596" s="45"/>
      <c r="H1596" s="45"/>
      <c r="I1596" s="46"/>
      <c r="J1596" s="46"/>
      <c r="K1596" s="46"/>
      <c r="L1596" s="46"/>
      <c r="M1596" s="46"/>
      <c r="N1596" s="46"/>
    </row>
    <row r="1597" spans="1:14">
      <c r="A1597" s="45"/>
      <c r="B1597" s="45"/>
      <c r="C1597" s="46"/>
      <c r="D1597" s="47"/>
      <c r="E1597" s="46"/>
      <c r="F1597" s="46"/>
      <c r="G1597" s="45"/>
      <c r="H1597" s="45"/>
      <c r="I1597" s="46"/>
      <c r="J1597" s="46"/>
      <c r="K1597" s="46"/>
      <c r="L1597" s="46"/>
      <c r="M1597" s="46"/>
      <c r="N1597" s="46"/>
    </row>
    <row r="1598" spans="1:14">
      <c r="A1598" s="45"/>
      <c r="B1598" s="45"/>
      <c r="C1598" s="46"/>
      <c r="D1598" s="47"/>
      <c r="E1598" s="46"/>
      <c r="F1598" s="46"/>
      <c r="G1598" s="45"/>
      <c r="H1598" s="45"/>
      <c r="I1598" s="46"/>
      <c r="J1598" s="46"/>
      <c r="K1598" s="46"/>
      <c r="L1598" s="46"/>
      <c r="M1598" s="46"/>
      <c r="N1598" s="46"/>
    </row>
    <row r="1599" spans="1:14">
      <c r="A1599" s="45"/>
      <c r="B1599" s="45"/>
      <c r="C1599" s="46"/>
      <c r="D1599" s="47"/>
      <c r="E1599" s="46"/>
      <c r="F1599" s="46"/>
      <c r="G1599" s="45"/>
      <c r="H1599" s="45"/>
      <c r="I1599" s="46"/>
      <c r="J1599" s="46"/>
      <c r="K1599" s="46"/>
      <c r="L1599" s="46"/>
      <c r="M1599" s="46"/>
      <c r="N1599" s="46"/>
    </row>
    <row r="1600" spans="1:14">
      <c r="A1600" s="45"/>
      <c r="B1600" s="45"/>
      <c r="C1600" s="46"/>
      <c r="D1600" s="47"/>
      <c r="E1600" s="46"/>
      <c r="F1600" s="46"/>
      <c r="G1600" s="45"/>
      <c r="H1600" s="45"/>
      <c r="I1600" s="46"/>
      <c r="J1600" s="46"/>
      <c r="K1600" s="46"/>
      <c r="L1600" s="46"/>
      <c r="M1600" s="46"/>
      <c r="N1600" s="46"/>
    </row>
    <row r="1601" spans="1:14">
      <c r="A1601" s="45"/>
      <c r="B1601" s="45"/>
      <c r="C1601" s="46"/>
      <c r="D1601" s="47"/>
      <c r="E1601" s="46"/>
      <c r="F1601" s="46"/>
      <c r="G1601" s="45"/>
      <c r="H1601" s="45"/>
      <c r="I1601" s="46"/>
      <c r="J1601" s="46"/>
      <c r="K1601" s="46"/>
      <c r="L1601" s="46"/>
      <c r="M1601" s="46"/>
      <c r="N1601" s="46"/>
    </row>
    <row r="1602" spans="1:14">
      <c r="A1602" s="45"/>
      <c r="B1602" s="45"/>
      <c r="C1602" s="46"/>
      <c r="D1602" s="47"/>
      <c r="E1602" s="46"/>
      <c r="F1602" s="46"/>
      <c r="G1602" s="45"/>
      <c r="H1602" s="45"/>
      <c r="I1602" s="46"/>
      <c r="J1602" s="46"/>
      <c r="K1602" s="46"/>
      <c r="L1602" s="46"/>
      <c r="M1602" s="46"/>
      <c r="N1602" s="46"/>
    </row>
    <row r="1603" spans="1:14">
      <c r="A1603" s="45"/>
      <c r="B1603" s="45"/>
      <c r="C1603" s="46"/>
      <c r="D1603" s="47"/>
      <c r="E1603" s="46"/>
      <c r="F1603" s="46"/>
      <c r="G1603" s="45"/>
      <c r="H1603" s="45"/>
      <c r="I1603" s="46"/>
      <c r="J1603" s="46"/>
      <c r="K1603" s="46"/>
      <c r="L1603" s="46"/>
      <c r="M1603" s="46"/>
      <c r="N1603" s="46"/>
    </row>
    <row r="1604" spans="1:14">
      <c r="A1604" s="45"/>
      <c r="B1604" s="45"/>
      <c r="C1604" s="46"/>
      <c r="D1604" s="47"/>
      <c r="E1604" s="46"/>
      <c r="F1604" s="46"/>
      <c r="G1604" s="45"/>
      <c r="H1604" s="45"/>
      <c r="I1604" s="46"/>
      <c r="J1604" s="46"/>
      <c r="K1604" s="46"/>
      <c r="L1604" s="46"/>
      <c r="M1604" s="46"/>
      <c r="N1604" s="46"/>
    </row>
    <row r="1605" spans="1:14">
      <c r="A1605" s="45"/>
      <c r="B1605" s="45"/>
      <c r="C1605" s="46"/>
      <c r="D1605" s="47"/>
      <c r="E1605" s="46"/>
      <c r="F1605" s="46"/>
      <c r="G1605" s="45"/>
      <c r="H1605" s="45"/>
      <c r="I1605" s="46"/>
      <c r="J1605" s="46"/>
      <c r="K1605" s="46"/>
      <c r="L1605" s="46"/>
      <c r="M1605" s="46"/>
      <c r="N1605" s="46"/>
    </row>
    <row r="1606" spans="1:14">
      <c r="A1606" s="45"/>
      <c r="B1606" s="45"/>
      <c r="C1606" s="46"/>
      <c r="D1606" s="47"/>
      <c r="E1606" s="46"/>
      <c r="F1606" s="46"/>
      <c r="G1606" s="45"/>
      <c r="H1606" s="45"/>
      <c r="I1606" s="46"/>
      <c r="J1606" s="46"/>
      <c r="K1606" s="46"/>
      <c r="L1606" s="46"/>
      <c r="M1606" s="46"/>
      <c r="N1606" s="46"/>
    </row>
    <row r="1607" spans="1:14">
      <c r="A1607" s="45"/>
      <c r="B1607" s="45"/>
      <c r="C1607" s="46"/>
      <c r="D1607" s="47"/>
      <c r="E1607" s="46"/>
      <c r="F1607" s="46"/>
      <c r="G1607" s="45"/>
      <c r="H1607" s="45"/>
      <c r="I1607" s="46"/>
      <c r="J1607" s="46"/>
      <c r="K1607" s="46"/>
      <c r="L1607" s="46"/>
      <c r="M1607" s="46"/>
      <c r="N1607" s="46"/>
    </row>
    <row r="1608" spans="1:14">
      <c r="A1608" s="45"/>
      <c r="B1608" s="45"/>
      <c r="C1608" s="46"/>
      <c r="D1608" s="47"/>
      <c r="E1608" s="46"/>
      <c r="F1608" s="46"/>
      <c r="G1608" s="45"/>
      <c r="H1608" s="45"/>
      <c r="I1608" s="46"/>
      <c r="J1608" s="46"/>
      <c r="K1608" s="46"/>
      <c r="L1608" s="46"/>
      <c r="M1608" s="46"/>
      <c r="N1608" s="46"/>
    </row>
    <row r="1609" spans="1:14">
      <c r="A1609" s="45"/>
      <c r="B1609" s="45"/>
      <c r="C1609" s="46"/>
      <c r="D1609" s="47"/>
      <c r="E1609" s="46"/>
      <c r="F1609" s="46"/>
      <c r="G1609" s="45"/>
      <c r="H1609" s="45"/>
      <c r="I1609" s="46"/>
      <c r="J1609" s="46"/>
      <c r="K1609" s="46"/>
      <c r="L1609" s="46"/>
      <c r="M1609" s="46"/>
      <c r="N1609" s="46"/>
    </row>
    <row r="1610" spans="1:14">
      <c r="A1610" s="45"/>
      <c r="B1610" s="45"/>
      <c r="C1610" s="46"/>
      <c r="D1610" s="47"/>
      <c r="E1610" s="46"/>
      <c r="F1610" s="46"/>
      <c r="G1610" s="45"/>
      <c r="H1610" s="45"/>
      <c r="I1610" s="46"/>
      <c r="J1610" s="46"/>
      <c r="K1610" s="46"/>
      <c r="L1610" s="46"/>
      <c r="M1610" s="46"/>
      <c r="N1610" s="46"/>
    </row>
    <row r="1611" spans="1:14">
      <c r="A1611" s="45"/>
      <c r="B1611" s="45"/>
      <c r="C1611" s="46"/>
      <c r="D1611" s="47"/>
      <c r="E1611" s="46"/>
      <c r="F1611" s="46"/>
      <c r="G1611" s="45"/>
      <c r="H1611" s="45"/>
      <c r="I1611" s="46"/>
      <c r="J1611" s="46"/>
      <c r="K1611" s="46"/>
      <c r="L1611" s="46"/>
      <c r="M1611" s="46"/>
      <c r="N1611" s="46"/>
    </row>
    <row r="1612" spans="1:14">
      <c r="A1612" s="45"/>
      <c r="B1612" s="45"/>
      <c r="C1612" s="46"/>
      <c r="D1612" s="47"/>
      <c r="E1612" s="46"/>
      <c r="F1612" s="46"/>
      <c r="G1612" s="45"/>
      <c r="H1612" s="45"/>
      <c r="I1612" s="46"/>
      <c r="J1612" s="46"/>
      <c r="K1612" s="46"/>
      <c r="L1612" s="46"/>
      <c r="M1612" s="46"/>
      <c r="N1612" s="46"/>
    </row>
    <row r="1613" spans="1:14">
      <c r="A1613" s="45"/>
      <c r="B1613" s="45"/>
      <c r="C1613" s="46"/>
      <c r="D1613" s="47"/>
      <c r="E1613" s="46"/>
      <c r="F1613" s="46"/>
      <c r="G1613" s="45"/>
      <c r="H1613" s="45"/>
      <c r="I1613" s="46"/>
      <c r="J1613" s="46"/>
      <c r="K1613" s="46"/>
      <c r="L1613" s="46"/>
      <c r="M1613" s="46"/>
      <c r="N1613" s="46"/>
    </row>
    <row r="1614" spans="1:14">
      <c r="A1614" s="45"/>
      <c r="B1614" s="45"/>
      <c r="C1614" s="46"/>
      <c r="D1614" s="47"/>
      <c r="E1614" s="46"/>
      <c r="F1614" s="46"/>
      <c r="G1614" s="45"/>
      <c r="H1614" s="45"/>
      <c r="I1614" s="46"/>
      <c r="J1614" s="46"/>
      <c r="K1614" s="46"/>
      <c r="L1614" s="46"/>
      <c r="M1614" s="46"/>
      <c r="N1614" s="46"/>
    </row>
    <row r="1615" spans="1:14">
      <c r="A1615" s="45"/>
      <c r="B1615" s="45"/>
      <c r="C1615" s="46"/>
      <c r="D1615" s="47"/>
      <c r="E1615" s="46"/>
      <c r="F1615" s="46"/>
      <c r="G1615" s="45"/>
      <c r="H1615" s="45"/>
      <c r="I1615" s="46"/>
      <c r="J1615" s="46"/>
      <c r="K1615" s="46"/>
      <c r="L1615" s="46"/>
      <c r="M1615" s="46"/>
      <c r="N1615" s="46"/>
    </row>
    <row r="1616" spans="1:14">
      <c r="A1616" s="45"/>
      <c r="B1616" s="45"/>
      <c r="C1616" s="46"/>
      <c r="D1616" s="47"/>
      <c r="E1616" s="46"/>
      <c r="F1616" s="46"/>
      <c r="G1616" s="45"/>
      <c r="H1616" s="45"/>
      <c r="I1616" s="46"/>
      <c r="J1616" s="46"/>
      <c r="K1616" s="46"/>
      <c r="L1616" s="46"/>
      <c r="M1616" s="46"/>
      <c r="N1616" s="46"/>
    </row>
    <row r="1617" spans="1:14">
      <c r="A1617" s="45"/>
      <c r="B1617" s="45"/>
      <c r="C1617" s="46"/>
      <c r="D1617" s="47"/>
      <c r="E1617" s="46"/>
      <c r="F1617" s="46"/>
      <c r="G1617" s="45"/>
      <c r="H1617" s="45"/>
      <c r="I1617" s="46"/>
      <c r="J1617" s="46"/>
      <c r="K1617" s="46"/>
      <c r="L1617" s="46"/>
      <c r="M1617" s="46"/>
      <c r="N1617" s="46"/>
    </row>
    <row r="1618" spans="1:14">
      <c r="A1618" s="45"/>
      <c r="B1618" s="45"/>
      <c r="C1618" s="46"/>
      <c r="D1618" s="47"/>
      <c r="E1618" s="46"/>
      <c r="F1618" s="46"/>
      <c r="G1618" s="45"/>
      <c r="H1618" s="45"/>
      <c r="I1618" s="46"/>
      <c r="J1618" s="46"/>
      <c r="K1618" s="46"/>
      <c r="L1618" s="46"/>
      <c r="M1618" s="46"/>
      <c r="N1618" s="46"/>
    </row>
    <row r="1619" spans="1:14">
      <c r="A1619" s="45"/>
      <c r="B1619" s="45"/>
      <c r="C1619" s="46"/>
      <c r="D1619" s="47"/>
      <c r="E1619" s="46"/>
      <c r="F1619" s="46"/>
      <c r="G1619" s="45"/>
      <c r="H1619" s="45"/>
      <c r="I1619" s="46"/>
      <c r="J1619" s="46"/>
      <c r="K1619" s="46"/>
      <c r="L1619" s="46"/>
      <c r="M1619" s="46"/>
      <c r="N1619" s="46"/>
    </row>
    <row r="1620" spans="1:14">
      <c r="A1620" s="45"/>
      <c r="B1620" s="45"/>
      <c r="C1620" s="46"/>
      <c r="D1620" s="47"/>
      <c r="E1620" s="46"/>
      <c r="F1620" s="46"/>
      <c r="G1620" s="45"/>
      <c r="H1620" s="45"/>
      <c r="I1620" s="46"/>
      <c r="J1620" s="46"/>
      <c r="K1620" s="46"/>
      <c r="L1620" s="46"/>
      <c r="M1620" s="46"/>
      <c r="N1620" s="46"/>
    </row>
    <row r="1621" spans="1:14">
      <c r="A1621" s="45"/>
      <c r="B1621" s="45"/>
      <c r="C1621" s="46"/>
      <c r="D1621" s="47"/>
      <c r="E1621" s="46"/>
      <c r="F1621" s="46"/>
      <c r="G1621" s="45"/>
      <c r="H1621" s="45"/>
      <c r="I1621" s="46"/>
      <c r="J1621" s="46"/>
      <c r="K1621" s="46"/>
      <c r="L1621" s="46"/>
      <c r="M1621" s="46"/>
      <c r="N1621" s="46"/>
    </row>
    <row r="1622" spans="1:14">
      <c r="A1622" s="45"/>
      <c r="B1622" s="45"/>
      <c r="C1622" s="46"/>
      <c r="D1622" s="47"/>
      <c r="E1622" s="46"/>
      <c r="F1622" s="46"/>
      <c r="G1622" s="45"/>
      <c r="H1622" s="45"/>
      <c r="I1622" s="46"/>
      <c r="J1622" s="46"/>
      <c r="K1622" s="46"/>
      <c r="L1622" s="46"/>
      <c r="M1622" s="46"/>
      <c r="N1622" s="46"/>
    </row>
    <row r="1623" spans="1:14">
      <c r="A1623" s="45"/>
      <c r="B1623" s="45"/>
      <c r="C1623" s="46"/>
      <c r="D1623" s="47"/>
      <c r="E1623" s="46"/>
      <c r="F1623" s="46"/>
      <c r="G1623" s="45"/>
      <c r="H1623" s="45"/>
      <c r="I1623" s="46"/>
      <c r="J1623" s="46"/>
      <c r="K1623" s="46"/>
      <c r="L1623" s="46"/>
      <c r="M1623" s="46"/>
      <c r="N1623" s="46"/>
    </row>
    <row r="1624" spans="1:14">
      <c r="A1624" s="45"/>
      <c r="B1624" s="45"/>
      <c r="C1624" s="46"/>
      <c r="D1624" s="47"/>
      <c r="E1624" s="46"/>
      <c r="F1624" s="46"/>
      <c r="G1624" s="45"/>
      <c r="H1624" s="45"/>
      <c r="I1624" s="46"/>
      <c r="J1624" s="46"/>
      <c r="K1624" s="46"/>
      <c r="L1624" s="46"/>
      <c r="M1624" s="46"/>
      <c r="N1624" s="46"/>
    </row>
    <row r="1625" spans="1:14">
      <c r="A1625" s="45"/>
      <c r="B1625" s="45"/>
      <c r="C1625" s="46"/>
      <c r="D1625" s="47"/>
      <c r="E1625" s="46"/>
      <c r="F1625" s="46"/>
      <c r="G1625" s="45"/>
      <c r="H1625" s="45"/>
      <c r="I1625" s="46"/>
      <c r="J1625" s="46"/>
      <c r="K1625" s="46"/>
      <c r="L1625" s="46"/>
      <c r="M1625" s="46"/>
      <c r="N1625" s="46"/>
    </row>
    <row r="1626" spans="1:14">
      <c r="A1626" s="45"/>
      <c r="B1626" s="45"/>
      <c r="C1626" s="46"/>
      <c r="D1626" s="47"/>
      <c r="E1626" s="46"/>
      <c r="F1626" s="46"/>
      <c r="G1626" s="45"/>
      <c r="H1626" s="45"/>
      <c r="I1626" s="46"/>
      <c r="J1626" s="46"/>
      <c r="K1626" s="46"/>
      <c r="L1626" s="46"/>
      <c r="M1626" s="46"/>
      <c r="N1626" s="46"/>
    </row>
    <row r="1627" spans="1:14">
      <c r="A1627" s="45"/>
      <c r="B1627" s="45"/>
      <c r="C1627" s="46"/>
      <c r="D1627" s="47"/>
      <c r="E1627" s="46"/>
      <c r="F1627" s="46"/>
      <c r="G1627" s="45"/>
      <c r="H1627" s="45"/>
      <c r="I1627" s="46"/>
      <c r="J1627" s="46"/>
      <c r="K1627" s="46"/>
      <c r="L1627" s="46"/>
      <c r="M1627" s="46"/>
      <c r="N1627" s="46"/>
    </row>
    <row r="1628" spans="1:14">
      <c r="A1628" s="45"/>
      <c r="B1628" s="45"/>
      <c r="C1628" s="46"/>
      <c r="D1628" s="47"/>
      <c r="E1628" s="46"/>
      <c r="F1628" s="46"/>
      <c r="G1628" s="45"/>
      <c r="H1628" s="45"/>
      <c r="I1628" s="46"/>
      <c r="J1628" s="46"/>
      <c r="K1628" s="46"/>
      <c r="L1628" s="46"/>
      <c r="M1628" s="46"/>
      <c r="N1628" s="46"/>
    </row>
    <row r="1629" spans="1:14">
      <c r="A1629" s="45"/>
      <c r="B1629" s="45"/>
      <c r="C1629" s="46"/>
      <c r="D1629" s="47"/>
      <c r="E1629" s="46"/>
      <c r="F1629" s="46"/>
      <c r="G1629" s="45"/>
      <c r="H1629" s="45"/>
      <c r="I1629" s="46"/>
      <c r="J1629" s="46"/>
      <c r="K1629" s="46"/>
      <c r="L1629" s="46"/>
      <c r="M1629" s="46"/>
      <c r="N1629" s="46"/>
    </row>
    <row r="1630" spans="1:14">
      <c r="A1630" s="45"/>
      <c r="B1630" s="45"/>
      <c r="C1630" s="46"/>
      <c r="D1630" s="47"/>
      <c r="E1630" s="46"/>
      <c r="F1630" s="46"/>
      <c r="G1630" s="45"/>
      <c r="H1630" s="45"/>
      <c r="I1630" s="46"/>
      <c r="J1630" s="46"/>
      <c r="K1630" s="46"/>
      <c r="L1630" s="46"/>
      <c r="M1630" s="46"/>
      <c r="N1630" s="46"/>
    </row>
    <row r="1631" spans="1:14">
      <c r="A1631" s="45"/>
      <c r="B1631" s="45"/>
      <c r="C1631" s="46"/>
      <c r="D1631" s="47"/>
      <c r="E1631" s="46"/>
      <c r="F1631" s="46"/>
      <c r="G1631" s="45"/>
      <c r="H1631" s="45"/>
      <c r="I1631" s="46"/>
      <c r="J1631" s="46"/>
      <c r="K1631" s="46"/>
      <c r="L1631" s="46"/>
      <c r="M1631" s="46"/>
      <c r="N1631" s="46"/>
    </row>
    <row r="1632" spans="1:14">
      <c r="A1632" s="45"/>
      <c r="B1632" s="45"/>
      <c r="C1632" s="46"/>
      <c r="D1632" s="47"/>
      <c r="E1632" s="46"/>
      <c r="F1632" s="46"/>
      <c r="G1632" s="45"/>
      <c r="H1632" s="45"/>
      <c r="I1632" s="46"/>
      <c r="J1632" s="46"/>
      <c r="K1632" s="46"/>
      <c r="L1632" s="46"/>
      <c r="M1632" s="46"/>
      <c r="N1632" s="46"/>
    </row>
    <row r="1633" spans="1:14">
      <c r="A1633" s="45"/>
      <c r="B1633" s="45"/>
      <c r="C1633" s="46"/>
      <c r="D1633" s="47"/>
      <c r="E1633" s="46"/>
      <c r="F1633" s="46"/>
      <c r="G1633" s="45"/>
      <c r="H1633" s="45"/>
      <c r="I1633" s="46"/>
      <c r="J1633" s="46"/>
      <c r="K1633" s="46"/>
      <c r="L1633" s="46"/>
      <c r="M1633" s="46"/>
      <c r="N1633" s="46"/>
    </row>
    <row r="1634" spans="1:14">
      <c r="A1634" s="45"/>
      <c r="B1634" s="45"/>
      <c r="C1634" s="46"/>
      <c r="D1634" s="47"/>
      <c r="E1634" s="46"/>
      <c r="F1634" s="46"/>
      <c r="G1634" s="45"/>
      <c r="H1634" s="45"/>
      <c r="I1634" s="46"/>
      <c r="J1634" s="46"/>
      <c r="K1634" s="46"/>
      <c r="L1634" s="46"/>
      <c r="M1634" s="46"/>
      <c r="N1634" s="46"/>
    </row>
    <row r="1635" spans="1:14">
      <c r="A1635" s="45"/>
      <c r="B1635" s="45"/>
      <c r="C1635" s="46"/>
      <c r="D1635" s="47"/>
      <c r="E1635" s="46"/>
      <c r="F1635" s="46"/>
      <c r="G1635" s="45"/>
      <c r="H1635" s="45"/>
      <c r="I1635" s="46"/>
      <c r="J1635" s="46"/>
      <c r="K1635" s="46"/>
      <c r="L1635" s="46"/>
      <c r="M1635" s="46"/>
      <c r="N1635" s="46"/>
    </row>
    <row r="1636" spans="1:14">
      <c r="A1636" s="45"/>
      <c r="B1636" s="45"/>
      <c r="C1636" s="46"/>
      <c r="D1636" s="47"/>
      <c r="E1636" s="46"/>
      <c r="F1636" s="46"/>
      <c r="G1636" s="45"/>
      <c r="H1636" s="45"/>
      <c r="I1636" s="46"/>
      <c r="J1636" s="46"/>
      <c r="K1636" s="46"/>
      <c r="L1636" s="46"/>
      <c r="M1636" s="46"/>
      <c r="N1636" s="46"/>
    </row>
    <row r="1637" spans="1:14">
      <c r="A1637" s="45"/>
      <c r="B1637" s="45"/>
      <c r="C1637" s="46"/>
      <c r="D1637" s="47"/>
      <c r="E1637" s="46"/>
      <c r="F1637" s="46"/>
      <c r="G1637" s="45"/>
      <c r="H1637" s="45"/>
      <c r="I1637" s="46"/>
      <c r="J1637" s="46"/>
      <c r="K1637" s="46"/>
      <c r="L1637" s="46"/>
      <c r="M1637" s="46"/>
      <c r="N1637" s="46"/>
    </row>
    <row r="1638" spans="1:14">
      <c r="A1638" s="45"/>
      <c r="B1638" s="45"/>
      <c r="C1638" s="46"/>
      <c r="D1638" s="47"/>
      <c r="E1638" s="46"/>
      <c r="F1638" s="46"/>
      <c r="G1638" s="45"/>
      <c r="H1638" s="45"/>
      <c r="I1638" s="46"/>
      <c r="J1638" s="46"/>
      <c r="K1638" s="46"/>
      <c r="L1638" s="46"/>
      <c r="M1638" s="46"/>
      <c r="N1638" s="46"/>
    </row>
    <row r="1639" spans="1:14">
      <c r="A1639" s="45"/>
      <c r="B1639" s="45"/>
      <c r="C1639" s="46"/>
      <c r="D1639" s="47"/>
      <c r="E1639" s="46"/>
      <c r="F1639" s="46"/>
      <c r="G1639" s="45"/>
      <c r="H1639" s="45"/>
      <c r="I1639" s="46"/>
      <c r="J1639" s="46"/>
      <c r="K1639" s="46"/>
      <c r="L1639" s="46"/>
      <c r="M1639" s="46"/>
      <c r="N1639" s="46"/>
    </row>
    <row r="1640" spans="1:14">
      <c r="A1640" s="45"/>
      <c r="B1640" s="45"/>
      <c r="C1640" s="46"/>
      <c r="D1640" s="47"/>
      <c r="E1640" s="46"/>
      <c r="F1640" s="46"/>
      <c r="G1640" s="45"/>
      <c r="H1640" s="45"/>
      <c r="I1640" s="46"/>
      <c r="J1640" s="46"/>
      <c r="K1640" s="46"/>
      <c r="L1640" s="46"/>
      <c r="M1640" s="46"/>
      <c r="N1640" s="46"/>
    </row>
    <row r="1641" spans="1:14">
      <c r="A1641" s="45"/>
      <c r="B1641" s="45"/>
      <c r="C1641" s="46"/>
      <c r="D1641" s="47"/>
      <c r="E1641" s="46"/>
      <c r="F1641" s="46"/>
      <c r="G1641" s="45"/>
      <c r="H1641" s="45"/>
      <c r="I1641" s="46"/>
      <c r="J1641" s="46"/>
      <c r="K1641" s="46"/>
      <c r="L1641" s="46"/>
      <c r="M1641" s="46"/>
      <c r="N1641" s="46"/>
    </row>
    <row r="1642" spans="1:14">
      <c r="A1642" s="45"/>
      <c r="B1642" s="45"/>
      <c r="C1642" s="46"/>
      <c r="D1642" s="47"/>
      <c r="E1642" s="46"/>
      <c r="F1642" s="46"/>
      <c r="G1642" s="45"/>
      <c r="H1642" s="45"/>
      <c r="I1642" s="46"/>
      <c r="J1642" s="46"/>
      <c r="K1642" s="46"/>
      <c r="L1642" s="46"/>
      <c r="M1642" s="46"/>
      <c r="N1642" s="46"/>
    </row>
    <row r="1643" spans="1:14">
      <c r="A1643" s="45"/>
      <c r="B1643" s="45"/>
      <c r="C1643" s="46"/>
      <c r="D1643" s="47"/>
      <c r="E1643" s="46"/>
      <c r="F1643" s="46"/>
      <c r="G1643" s="45"/>
      <c r="H1643" s="45"/>
      <c r="I1643" s="46"/>
      <c r="J1643" s="46"/>
      <c r="K1643" s="46"/>
      <c r="L1643" s="46"/>
      <c r="M1643" s="46"/>
      <c r="N1643" s="46"/>
    </row>
    <row r="1644" spans="1:14">
      <c r="A1644" s="45"/>
      <c r="B1644" s="45"/>
      <c r="C1644" s="46"/>
      <c r="D1644" s="47"/>
      <c r="E1644" s="46"/>
      <c r="F1644" s="46"/>
      <c r="G1644" s="45"/>
      <c r="H1644" s="45"/>
      <c r="I1644" s="46"/>
      <c r="J1644" s="46"/>
      <c r="K1644" s="46"/>
      <c r="L1644" s="46"/>
      <c r="M1644" s="46"/>
      <c r="N1644" s="46"/>
    </row>
    <row r="1645" spans="1:14">
      <c r="A1645" s="45"/>
      <c r="B1645" s="45"/>
      <c r="C1645" s="46"/>
      <c r="D1645" s="47"/>
      <c r="E1645" s="46"/>
      <c r="F1645" s="46"/>
      <c r="G1645" s="45"/>
      <c r="H1645" s="45"/>
      <c r="I1645" s="46"/>
      <c r="J1645" s="46"/>
      <c r="K1645" s="46"/>
      <c r="L1645" s="46"/>
      <c r="M1645" s="46"/>
      <c r="N1645" s="46"/>
    </row>
    <row r="1646" spans="1:14">
      <c r="A1646" s="45"/>
      <c r="B1646" s="45"/>
      <c r="C1646" s="46"/>
      <c r="D1646" s="47"/>
      <c r="E1646" s="46"/>
      <c r="F1646" s="46"/>
      <c r="G1646" s="45"/>
      <c r="H1646" s="45"/>
      <c r="I1646" s="46"/>
      <c r="J1646" s="46"/>
      <c r="K1646" s="46"/>
      <c r="L1646" s="46"/>
      <c r="M1646" s="46"/>
      <c r="N1646" s="46"/>
    </row>
    <row r="1647" spans="1:14">
      <c r="A1647" s="45"/>
      <c r="B1647" s="45"/>
      <c r="C1647" s="46"/>
      <c r="D1647" s="47"/>
      <c r="E1647" s="46"/>
      <c r="F1647" s="46"/>
      <c r="G1647" s="45"/>
      <c r="H1647" s="45"/>
      <c r="I1647" s="46"/>
      <c r="J1647" s="46"/>
      <c r="K1647" s="46"/>
      <c r="L1647" s="46"/>
      <c r="M1647" s="46"/>
      <c r="N1647" s="46"/>
    </row>
    <row r="1648" spans="1:14">
      <c r="A1648" s="45"/>
      <c r="B1648" s="45"/>
      <c r="C1648" s="46"/>
      <c r="D1648" s="47"/>
      <c r="E1648" s="46"/>
      <c r="F1648" s="46"/>
      <c r="G1648" s="45"/>
      <c r="H1648" s="45"/>
      <c r="I1648" s="46"/>
      <c r="J1648" s="46"/>
      <c r="K1648" s="46"/>
      <c r="L1648" s="46"/>
      <c r="M1648" s="46"/>
      <c r="N1648" s="46"/>
    </row>
    <row r="1649" spans="1:14">
      <c r="A1649" s="45"/>
      <c r="B1649" s="45"/>
      <c r="C1649" s="46"/>
      <c r="D1649" s="47"/>
      <c r="E1649" s="46"/>
      <c r="F1649" s="46"/>
      <c r="G1649" s="45"/>
      <c r="H1649" s="45"/>
      <c r="I1649" s="46"/>
      <c r="J1649" s="46"/>
      <c r="K1649" s="46"/>
      <c r="L1649" s="46"/>
      <c r="M1649" s="46"/>
      <c r="N1649" s="46"/>
    </row>
    <row r="1650" spans="1:14">
      <c r="A1650" s="45"/>
      <c r="B1650" s="45"/>
      <c r="C1650" s="46"/>
      <c r="D1650" s="47"/>
      <c r="E1650" s="46"/>
      <c r="F1650" s="46"/>
      <c r="G1650" s="45"/>
      <c r="H1650" s="45"/>
      <c r="I1650" s="46"/>
      <c r="J1650" s="46"/>
      <c r="K1650" s="46"/>
      <c r="L1650" s="46"/>
      <c r="M1650" s="46"/>
      <c r="N1650" s="46"/>
    </row>
    <row r="1651" spans="1:14">
      <c r="A1651" s="45"/>
      <c r="B1651" s="45"/>
      <c r="C1651" s="46"/>
      <c r="D1651" s="47"/>
      <c r="E1651" s="46"/>
      <c r="F1651" s="46"/>
      <c r="G1651" s="45"/>
      <c r="H1651" s="45"/>
      <c r="I1651" s="46"/>
      <c r="J1651" s="46"/>
      <c r="K1651" s="46"/>
      <c r="L1651" s="46"/>
      <c r="M1651" s="46"/>
      <c r="N1651" s="46"/>
    </row>
    <row r="1652" spans="1:14">
      <c r="A1652" s="45"/>
      <c r="B1652" s="45"/>
      <c r="C1652" s="46"/>
      <c r="D1652" s="47"/>
      <c r="E1652" s="46"/>
      <c r="F1652" s="46"/>
      <c r="G1652" s="45"/>
      <c r="H1652" s="45"/>
      <c r="I1652" s="46"/>
      <c r="J1652" s="46"/>
      <c r="K1652" s="46"/>
      <c r="L1652" s="46"/>
      <c r="M1652" s="46"/>
      <c r="N1652" s="46"/>
    </row>
    <row r="1653" spans="1:14">
      <c r="A1653" s="45"/>
      <c r="B1653" s="45"/>
      <c r="C1653" s="46"/>
      <c r="D1653" s="47"/>
      <c r="E1653" s="46"/>
      <c r="F1653" s="46"/>
      <c r="G1653" s="45"/>
      <c r="H1653" s="45"/>
      <c r="I1653" s="46"/>
      <c r="J1653" s="46"/>
      <c r="K1653" s="46"/>
      <c r="L1653" s="46"/>
      <c r="M1653" s="46"/>
      <c r="N1653" s="46"/>
    </row>
    <row r="1654" spans="1:14">
      <c r="A1654" s="45"/>
      <c r="B1654" s="45"/>
      <c r="C1654" s="46"/>
      <c r="D1654" s="47"/>
      <c r="E1654" s="46"/>
      <c r="F1654" s="46"/>
      <c r="G1654" s="45"/>
      <c r="H1654" s="45"/>
      <c r="I1654" s="46"/>
      <c r="J1654" s="46"/>
      <c r="K1654" s="46"/>
      <c r="L1654" s="46"/>
      <c r="M1654" s="46"/>
      <c r="N1654" s="46"/>
    </row>
    <row r="1655" spans="1:14">
      <c r="A1655" s="45"/>
      <c r="B1655" s="45"/>
      <c r="C1655" s="46"/>
      <c r="D1655" s="47"/>
      <c r="E1655" s="46"/>
      <c r="F1655" s="46"/>
      <c r="G1655" s="45"/>
      <c r="H1655" s="45"/>
      <c r="I1655" s="46"/>
      <c r="J1655" s="46"/>
      <c r="K1655" s="46"/>
      <c r="L1655" s="46"/>
      <c r="M1655" s="46"/>
      <c r="N1655" s="46"/>
    </row>
    <row r="1656" spans="1:14">
      <c r="A1656" s="45"/>
      <c r="B1656" s="45"/>
      <c r="C1656" s="46"/>
      <c r="D1656" s="47"/>
      <c r="E1656" s="46"/>
      <c r="F1656" s="46"/>
      <c r="G1656" s="45"/>
      <c r="H1656" s="45"/>
      <c r="I1656" s="46"/>
      <c r="J1656" s="46"/>
      <c r="K1656" s="46"/>
      <c r="L1656" s="46"/>
      <c r="M1656" s="46"/>
      <c r="N1656" s="46"/>
    </row>
    <row r="1657" spans="1:14">
      <c r="A1657" s="45"/>
      <c r="B1657" s="45"/>
      <c r="C1657" s="46"/>
      <c r="D1657" s="47"/>
      <c r="E1657" s="46"/>
      <c r="F1657" s="46"/>
      <c r="G1657" s="45"/>
      <c r="H1657" s="45"/>
      <c r="I1657" s="46"/>
      <c r="J1657" s="46"/>
      <c r="K1657" s="46"/>
      <c r="L1657" s="46"/>
      <c r="M1657" s="46"/>
      <c r="N1657" s="46"/>
    </row>
    <row r="1658" spans="1:14">
      <c r="A1658" s="45"/>
      <c r="B1658" s="45"/>
      <c r="C1658" s="46"/>
      <c r="D1658" s="47"/>
      <c r="E1658" s="46"/>
      <c r="F1658" s="46"/>
      <c r="G1658" s="45"/>
      <c r="H1658" s="45"/>
      <c r="I1658" s="46"/>
      <c r="J1658" s="46"/>
      <c r="K1658" s="46"/>
      <c r="L1658" s="46"/>
      <c r="M1658" s="46"/>
      <c r="N1658" s="46"/>
    </row>
    <row r="1659" spans="1:14">
      <c r="A1659" s="45"/>
      <c r="B1659" s="45"/>
      <c r="C1659" s="46"/>
      <c r="D1659" s="47"/>
      <c r="E1659" s="46"/>
      <c r="F1659" s="46"/>
      <c r="G1659" s="45"/>
      <c r="H1659" s="45"/>
      <c r="I1659" s="46"/>
      <c r="J1659" s="46"/>
      <c r="K1659" s="46"/>
      <c r="L1659" s="46"/>
      <c r="M1659" s="46"/>
      <c r="N1659" s="46"/>
    </row>
    <row r="1660" spans="1:14">
      <c r="A1660" s="45"/>
      <c r="B1660" s="45"/>
      <c r="C1660" s="46"/>
      <c r="D1660" s="47"/>
      <c r="E1660" s="46"/>
      <c r="F1660" s="46"/>
      <c r="G1660" s="45"/>
      <c r="H1660" s="45"/>
      <c r="I1660" s="46"/>
      <c r="J1660" s="46"/>
      <c r="K1660" s="46"/>
      <c r="L1660" s="46"/>
      <c r="M1660" s="46"/>
      <c r="N1660" s="46"/>
    </row>
    <row r="1661" spans="1:14">
      <c r="A1661" s="45"/>
      <c r="B1661" s="45"/>
      <c r="C1661" s="46"/>
      <c r="D1661" s="47"/>
      <c r="E1661" s="46"/>
      <c r="F1661" s="46"/>
      <c r="G1661" s="45"/>
      <c r="H1661" s="45"/>
      <c r="I1661" s="46"/>
      <c r="J1661" s="46"/>
      <c r="K1661" s="46"/>
      <c r="L1661" s="46"/>
      <c r="M1661" s="46"/>
      <c r="N1661" s="46"/>
    </row>
    <row r="1662" spans="1:14">
      <c r="A1662" s="45"/>
      <c r="B1662" s="45"/>
      <c r="C1662" s="46"/>
      <c r="D1662" s="47"/>
      <c r="E1662" s="46"/>
      <c r="F1662" s="46"/>
      <c r="G1662" s="45"/>
      <c r="H1662" s="45"/>
      <c r="I1662" s="46"/>
      <c r="J1662" s="46"/>
      <c r="K1662" s="46"/>
      <c r="L1662" s="46"/>
      <c r="M1662" s="46"/>
      <c r="N1662" s="46"/>
    </row>
    <row r="1663" spans="1:14">
      <c r="A1663" s="45"/>
      <c r="B1663" s="45"/>
      <c r="C1663" s="46"/>
      <c r="D1663" s="47"/>
      <c r="E1663" s="46"/>
      <c r="F1663" s="46"/>
      <c r="G1663" s="45"/>
      <c r="H1663" s="45"/>
      <c r="I1663" s="46"/>
      <c r="J1663" s="46"/>
      <c r="K1663" s="46"/>
      <c r="L1663" s="46"/>
      <c r="M1663" s="46"/>
      <c r="N1663" s="46"/>
    </row>
    <row r="1664" spans="1:14">
      <c r="A1664" s="45"/>
      <c r="B1664" s="45"/>
      <c r="C1664" s="46"/>
      <c r="D1664" s="47"/>
      <c r="E1664" s="46"/>
      <c r="F1664" s="46"/>
      <c r="G1664" s="45"/>
      <c r="H1664" s="45"/>
      <c r="I1664" s="46"/>
      <c r="J1664" s="46"/>
      <c r="K1664" s="46"/>
      <c r="L1664" s="46"/>
      <c r="M1664" s="46"/>
      <c r="N1664" s="46"/>
    </row>
    <row r="1665" spans="1:14">
      <c r="A1665" s="45"/>
      <c r="B1665" s="45"/>
      <c r="C1665" s="46"/>
      <c r="D1665" s="47"/>
      <c r="E1665" s="46"/>
      <c r="F1665" s="46"/>
      <c r="G1665" s="45"/>
      <c r="H1665" s="45"/>
      <c r="I1665" s="46"/>
      <c r="J1665" s="46"/>
      <c r="K1665" s="46"/>
      <c r="L1665" s="46"/>
      <c r="M1665" s="46"/>
      <c r="N1665" s="46"/>
    </row>
    <row r="1666" spans="1:14">
      <c r="A1666" s="45"/>
      <c r="B1666" s="45"/>
      <c r="C1666" s="46"/>
      <c r="D1666" s="47"/>
      <c r="E1666" s="46"/>
      <c r="F1666" s="46"/>
      <c r="G1666" s="45"/>
      <c r="H1666" s="45"/>
      <c r="I1666" s="46"/>
      <c r="J1666" s="46"/>
      <c r="K1666" s="46"/>
      <c r="L1666" s="46"/>
      <c r="M1666" s="46"/>
      <c r="N1666" s="46"/>
    </row>
    <row r="1667" spans="1:14">
      <c r="A1667" s="45"/>
      <c r="B1667" s="45"/>
      <c r="C1667" s="46"/>
      <c r="D1667" s="47"/>
      <c r="E1667" s="46"/>
      <c r="F1667" s="46"/>
      <c r="G1667" s="45"/>
      <c r="H1667" s="45"/>
      <c r="I1667" s="46"/>
      <c r="J1667" s="46"/>
      <c r="K1667" s="46"/>
      <c r="L1667" s="46"/>
      <c r="M1667" s="46"/>
      <c r="N1667" s="46"/>
    </row>
    <row r="1668" spans="1:14">
      <c r="A1668" s="45"/>
      <c r="B1668" s="45"/>
      <c r="C1668" s="46"/>
      <c r="D1668" s="47"/>
      <c r="E1668" s="46"/>
      <c r="F1668" s="46"/>
      <c r="G1668" s="45"/>
      <c r="H1668" s="45"/>
      <c r="I1668" s="46"/>
      <c r="J1668" s="46"/>
      <c r="K1668" s="46"/>
      <c r="L1668" s="46"/>
      <c r="M1668" s="46"/>
      <c r="N1668" s="46"/>
    </row>
    <row r="1669" spans="1:14">
      <c r="A1669" s="45"/>
      <c r="B1669" s="45"/>
      <c r="C1669" s="46"/>
      <c r="D1669" s="47"/>
      <c r="E1669" s="46"/>
      <c r="F1669" s="46"/>
      <c r="G1669" s="45"/>
      <c r="H1669" s="45"/>
      <c r="I1669" s="46"/>
      <c r="J1669" s="46"/>
      <c r="K1669" s="46"/>
      <c r="L1669" s="46"/>
      <c r="M1669" s="46"/>
      <c r="N1669" s="46"/>
    </row>
    <row r="1670" spans="1:14">
      <c r="A1670" s="45"/>
      <c r="B1670" s="45"/>
      <c r="C1670" s="46"/>
      <c r="D1670" s="47"/>
      <c r="E1670" s="46"/>
      <c r="F1670" s="46"/>
      <c r="G1670" s="45"/>
      <c r="H1670" s="45"/>
      <c r="I1670" s="46"/>
      <c r="J1670" s="46"/>
      <c r="K1670" s="46"/>
      <c r="L1670" s="46"/>
      <c r="M1670" s="46"/>
      <c r="N1670" s="46"/>
    </row>
    <row r="1671" spans="1:14">
      <c r="A1671" s="45"/>
      <c r="B1671" s="45"/>
      <c r="C1671" s="46"/>
      <c r="D1671" s="47"/>
      <c r="E1671" s="46"/>
      <c r="F1671" s="46"/>
      <c r="G1671" s="45"/>
      <c r="H1671" s="45"/>
      <c r="I1671" s="46"/>
      <c r="J1671" s="46"/>
      <c r="K1671" s="46"/>
      <c r="L1671" s="46"/>
      <c r="M1671" s="46"/>
      <c r="N1671" s="46"/>
    </row>
    <row r="1672" spans="1:14">
      <c r="A1672" s="45"/>
      <c r="B1672" s="45"/>
      <c r="C1672" s="46"/>
      <c r="D1672" s="47"/>
      <c r="E1672" s="46"/>
      <c r="F1672" s="46"/>
      <c r="G1672" s="45"/>
      <c r="H1672" s="45"/>
      <c r="I1672" s="46"/>
      <c r="J1672" s="46"/>
      <c r="K1672" s="46"/>
      <c r="L1672" s="46"/>
      <c r="M1672" s="46"/>
      <c r="N1672" s="46"/>
    </row>
    <row r="1673" spans="1:14">
      <c r="A1673" s="45"/>
      <c r="B1673" s="45"/>
      <c r="C1673" s="46"/>
      <c r="D1673" s="47"/>
      <c r="E1673" s="46"/>
      <c r="F1673" s="46"/>
      <c r="G1673" s="45"/>
      <c r="H1673" s="45"/>
      <c r="I1673" s="46"/>
      <c r="J1673" s="46"/>
      <c r="K1673" s="46"/>
      <c r="L1673" s="46"/>
      <c r="M1673" s="46"/>
      <c r="N1673" s="46"/>
    </row>
    <row r="1674" spans="1:14">
      <c r="A1674" s="45"/>
      <c r="B1674" s="45"/>
      <c r="C1674" s="46"/>
      <c r="D1674" s="47"/>
      <c r="E1674" s="46"/>
      <c r="F1674" s="46"/>
      <c r="G1674" s="45"/>
      <c r="H1674" s="45"/>
      <c r="I1674" s="46"/>
      <c r="J1674" s="46"/>
      <c r="K1674" s="46"/>
      <c r="L1674" s="46"/>
      <c r="M1674" s="46"/>
      <c r="N1674" s="46"/>
    </row>
    <row r="1675" spans="1:14">
      <c r="A1675" s="45"/>
      <c r="B1675" s="45"/>
      <c r="C1675" s="46"/>
      <c r="D1675" s="47"/>
      <c r="E1675" s="46"/>
      <c r="F1675" s="46"/>
      <c r="G1675" s="45"/>
      <c r="H1675" s="45"/>
      <c r="I1675" s="46"/>
      <c r="J1675" s="46"/>
      <c r="K1675" s="46"/>
      <c r="L1675" s="46"/>
      <c r="M1675" s="46"/>
      <c r="N1675" s="46"/>
    </row>
    <row r="1676" spans="1:14">
      <c r="A1676" s="45"/>
      <c r="B1676" s="45"/>
      <c r="C1676" s="46"/>
      <c r="D1676" s="47"/>
      <c r="E1676" s="46"/>
      <c r="F1676" s="46"/>
      <c r="G1676" s="45"/>
      <c r="H1676" s="45"/>
      <c r="I1676" s="46"/>
      <c r="J1676" s="46"/>
      <c r="K1676" s="46"/>
      <c r="L1676" s="46"/>
      <c r="M1676" s="46"/>
      <c r="N1676" s="46"/>
    </row>
    <row r="1677" spans="1:14">
      <c r="A1677" s="45"/>
      <c r="B1677" s="45"/>
      <c r="C1677" s="46"/>
      <c r="D1677" s="47"/>
      <c r="E1677" s="46"/>
      <c r="F1677" s="46"/>
      <c r="G1677" s="45"/>
      <c r="H1677" s="45"/>
      <c r="I1677" s="46"/>
      <c r="J1677" s="46"/>
      <c r="K1677" s="46"/>
      <c r="L1677" s="46"/>
      <c r="M1677" s="46"/>
      <c r="N1677" s="46"/>
    </row>
    <row r="1678" spans="1:14">
      <c r="A1678" s="45"/>
      <c r="B1678" s="45"/>
      <c r="C1678" s="46"/>
      <c r="D1678" s="47"/>
      <c r="E1678" s="46"/>
      <c r="F1678" s="46"/>
      <c r="G1678" s="45"/>
      <c r="H1678" s="45"/>
      <c r="I1678" s="46"/>
      <c r="J1678" s="46"/>
      <c r="K1678" s="46"/>
      <c r="L1678" s="46"/>
      <c r="M1678" s="46"/>
      <c r="N1678" s="46"/>
    </row>
    <row r="1679" spans="1:14">
      <c r="A1679" s="45"/>
      <c r="B1679" s="45"/>
      <c r="C1679" s="46"/>
      <c r="D1679" s="47"/>
      <c r="E1679" s="46"/>
      <c r="F1679" s="46"/>
      <c r="G1679" s="45"/>
      <c r="H1679" s="45"/>
      <c r="I1679" s="46"/>
      <c r="J1679" s="46"/>
      <c r="K1679" s="46"/>
      <c r="L1679" s="46"/>
      <c r="M1679" s="46"/>
      <c r="N1679" s="46"/>
    </row>
    <row r="1680" spans="1:14">
      <c r="A1680" s="45"/>
      <c r="B1680" s="45"/>
      <c r="C1680" s="46"/>
      <c r="D1680" s="47"/>
      <c r="E1680" s="46"/>
      <c r="F1680" s="46"/>
      <c r="G1680" s="45"/>
      <c r="H1680" s="45"/>
      <c r="I1680" s="46"/>
      <c r="J1680" s="46"/>
      <c r="K1680" s="46"/>
      <c r="L1680" s="46"/>
      <c r="M1680" s="46"/>
      <c r="N1680" s="46"/>
    </row>
    <row r="1681" spans="1:14">
      <c r="A1681" s="45"/>
      <c r="B1681" s="45"/>
      <c r="C1681" s="46"/>
      <c r="D1681" s="47"/>
      <c r="E1681" s="46"/>
      <c r="F1681" s="46"/>
      <c r="G1681" s="45"/>
      <c r="H1681" s="45"/>
      <c r="I1681" s="46"/>
      <c r="J1681" s="46"/>
      <c r="K1681" s="46"/>
      <c r="L1681" s="46"/>
      <c r="M1681" s="46"/>
      <c r="N1681" s="46"/>
    </row>
    <row r="1682" spans="1:14">
      <c r="A1682" s="45"/>
      <c r="B1682" s="45"/>
      <c r="C1682" s="46"/>
      <c r="D1682" s="47"/>
      <c r="E1682" s="46"/>
      <c r="F1682" s="46"/>
      <c r="G1682" s="45"/>
      <c r="H1682" s="45"/>
      <c r="I1682" s="46"/>
      <c r="J1682" s="46"/>
      <c r="K1682" s="46"/>
      <c r="L1682" s="46"/>
      <c r="M1682" s="46"/>
      <c r="N1682" s="46"/>
    </row>
    <row r="1683" spans="1:14">
      <c r="A1683" s="45"/>
      <c r="B1683" s="45"/>
      <c r="C1683" s="46"/>
      <c r="D1683" s="47"/>
      <c r="E1683" s="46"/>
      <c r="F1683" s="46"/>
      <c r="G1683" s="45"/>
      <c r="H1683" s="45"/>
      <c r="I1683" s="46"/>
      <c r="J1683" s="46"/>
      <c r="K1683" s="46"/>
      <c r="L1683" s="46"/>
      <c r="M1683" s="46"/>
      <c r="N1683" s="46"/>
    </row>
    <row r="1684" spans="1:14">
      <c r="A1684" s="45"/>
      <c r="B1684" s="45"/>
      <c r="C1684" s="46"/>
      <c r="D1684" s="47"/>
      <c r="E1684" s="46"/>
      <c r="F1684" s="46"/>
      <c r="G1684" s="45"/>
      <c r="H1684" s="45"/>
      <c r="I1684" s="46"/>
      <c r="J1684" s="46"/>
      <c r="K1684" s="46"/>
      <c r="L1684" s="46"/>
      <c r="M1684" s="46"/>
      <c r="N1684" s="46"/>
    </row>
    <row r="1685" spans="1:14">
      <c r="A1685" s="45"/>
      <c r="B1685" s="45"/>
      <c r="C1685" s="46"/>
      <c r="D1685" s="47"/>
      <c r="E1685" s="46"/>
      <c r="F1685" s="46"/>
      <c r="G1685" s="45"/>
      <c r="H1685" s="45"/>
      <c r="I1685" s="46"/>
      <c r="J1685" s="46"/>
      <c r="K1685" s="46"/>
      <c r="L1685" s="46"/>
      <c r="M1685" s="46"/>
      <c r="N1685" s="46"/>
    </row>
    <row r="1686" spans="1:14">
      <c r="A1686" s="45"/>
      <c r="B1686" s="45"/>
      <c r="C1686" s="46"/>
      <c r="D1686" s="47"/>
      <c r="E1686" s="46"/>
      <c r="F1686" s="46"/>
      <c r="G1686" s="45"/>
      <c r="H1686" s="45"/>
      <c r="I1686" s="46"/>
      <c r="J1686" s="46"/>
      <c r="K1686" s="46"/>
      <c r="L1686" s="46"/>
      <c r="M1686" s="46"/>
      <c r="N1686" s="46"/>
    </row>
    <row r="1687" spans="1:14">
      <c r="A1687" s="45"/>
      <c r="B1687" s="45"/>
      <c r="C1687" s="46"/>
      <c r="D1687" s="47"/>
      <c r="E1687" s="46"/>
      <c r="F1687" s="46"/>
      <c r="G1687" s="45"/>
      <c r="H1687" s="45"/>
      <c r="I1687" s="46"/>
      <c r="J1687" s="46"/>
      <c r="K1687" s="46"/>
      <c r="L1687" s="46"/>
      <c r="M1687" s="46"/>
      <c r="N1687" s="46"/>
    </row>
    <row r="1688" spans="1:14">
      <c r="A1688" s="45"/>
      <c r="B1688" s="45"/>
      <c r="C1688" s="46"/>
      <c r="D1688" s="47"/>
      <c r="E1688" s="46"/>
      <c r="F1688" s="46"/>
      <c r="G1688" s="45"/>
      <c r="H1688" s="45"/>
      <c r="I1688" s="46"/>
      <c r="J1688" s="46"/>
      <c r="K1688" s="46"/>
      <c r="L1688" s="46"/>
      <c r="M1688" s="46"/>
      <c r="N1688" s="46"/>
    </row>
    <row r="1689" spans="1:14">
      <c r="A1689" s="45"/>
      <c r="B1689" s="45"/>
      <c r="C1689" s="46"/>
      <c r="D1689" s="47"/>
      <c r="E1689" s="46"/>
      <c r="F1689" s="46"/>
      <c r="G1689" s="45"/>
      <c r="H1689" s="45"/>
      <c r="I1689" s="46"/>
      <c r="J1689" s="46"/>
      <c r="K1689" s="46"/>
      <c r="L1689" s="46"/>
      <c r="M1689" s="46"/>
      <c r="N1689" s="46"/>
    </row>
    <row r="1690" spans="1:14">
      <c r="A1690" s="45"/>
      <c r="B1690" s="45"/>
      <c r="C1690" s="46"/>
      <c r="D1690" s="47"/>
      <c r="E1690" s="46"/>
      <c r="F1690" s="46"/>
      <c r="G1690" s="45"/>
      <c r="H1690" s="45"/>
      <c r="I1690" s="46"/>
      <c r="J1690" s="46"/>
      <c r="K1690" s="46"/>
      <c r="L1690" s="46"/>
      <c r="M1690" s="46"/>
      <c r="N1690" s="46"/>
    </row>
    <row r="1691" spans="1:14">
      <c r="A1691" s="45"/>
      <c r="B1691" s="45"/>
      <c r="C1691" s="46"/>
      <c r="D1691" s="47"/>
      <c r="E1691" s="46"/>
      <c r="F1691" s="46"/>
      <c r="G1691" s="45"/>
      <c r="H1691" s="45"/>
      <c r="I1691" s="46"/>
      <c r="J1691" s="46"/>
      <c r="K1691" s="46"/>
      <c r="L1691" s="46"/>
      <c r="M1691" s="46"/>
      <c r="N1691" s="46"/>
    </row>
    <row r="1692" spans="1:14">
      <c r="A1692" s="45"/>
      <c r="B1692" s="45"/>
      <c r="C1692" s="46"/>
      <c r="D1692" s="47"/>
      <c r="E1692" s="46"/>
      <c r="F1692" s="46"/>
      <c r="G1692" s="45"/>
      <c r="H1692" s="45"/>
      <c r="I1692" s="46"/>
      <c r="J1692" s="46"/>
      <c r="K1692" s="46"/>
      <c r="L1692" s="46"/>
      <c r="M1692" s="46"/>
      <c r="N1692" s="46"/>
    </row>
    <row r="1693" spans="1:14">
      <c r="A1693" s="45"/>
      <c r="B1693" s="45"/>
      <c r="C1693" s="46"/>
      <c r="D1693" s="47"/>
      <c r="E1693" s="46"/>
      <c r="F1693" s="46"/>
      <c r="G1693" s="45"/>
      <c r="H1693" s="45"/>
      <c r="I1693" s="46"/>
      <c r="J1693" s="46"/>
      <c r="K1693" s="46"/>
      <c r="L1693" s="46"/>
      <c r="M1693" s="46"/>
      <c r="N1693" s="46"/>
    </row>
    <row r="1694" spans="1:14">
      <c r="A1694" s="45"/>
      <c r="B1694" s="45"/>
      <c r="C1694" s="46"/>
      <c r="D1694" s="47"/>
      <c r="E1694" s="46"/>
      <c r="F1694" s="46"/>
      <c r="G1694" s="45"/>
      <c r="H1694" s="45"/>
      <c r="I1694" s="46"/>
      <c r="J1694" s="46"/>
      <c r="K1694" s="46"/>
      <c r="L1694" s="46"/>
      <c r="M1694" s="46"/>
      <c r="N1694" s="46"/>
    </row>
    <row r="1695" spans="1:14">
      <c r="A1695" s="45"/>
      <c r="B1695" s="45"/>
      <c r="C1695" s="46"/>
      <c r="D1695" s="47"/>
      <c r="E1695" s="46"/>
      <c r="F1695" s="46"/>
      <c r="G1695" s="45"/>
      <c r="H1695" s="45"/>
      <c r="I1695" s="46"/>
      <c r="J1695" s="46"/>
      <c r="K1695" s="46"/>
      <c r="L1695" s="46"/>
      <c r="M1695" s="46"/>
      <c r="N1695" s="46"/>
    </row>
    <row r="1696" spans="1:14">
      <c r="A1696" s="45"/>
      <c r="B1696" s="45"/>
      <c r="C1696" s="46"/>
      <c r="D1696" s="47"/>
      <c r="E1696" s="46"/>
      <c r="F1696" s="46"/>
      <c r="G1696" s="45"/>
      <c r="H1696" s="45"/>
      <c r="I1696" s="46"/>
      <c r="J1696" s="46"/>
      <c r="K1696" s="46"/>
      <c r="L1696" s="46"/>
      <c r="M1696" s="46"/>
      <c r="N1696" s="46"/>
    </row>
    <row r="1697" spans="1:14">
      <c r="A1697" s="45"/>
      <c r="B1697" s="45"/>
      <c r="C1697" s="46"/>
      <c r="D1697" s="47"/>
      <c r="E1697" s="46"/>
      <c r="F1697" s="46"/>
      <c r="G1697" s="45"/>
      <c r="H1697" s="45"/>
      <c r="I1697" s="46"/>
      <c r="J1697" s="46"/>
      <c r="K1697" s="46"/>
      <c r="L1697" s="46"/>
      <c r="M1697" s="46"/>
      <c r="N1697" s="46"/>
    </row>
    <row r="1698" spans="1:14">
      <c r="A1698" s="45"/>
      <c r="B1698" s="45"/>
      <c r="C1698" s="46"/>
      <c r="D1698" s="47"/>
      <c r="E1698" s="46"/>
      <c r="F1698" s="46"/>
      <c r="G1698" s="45"/>
      <c r="H1698" s="45"/>
      <c r="I1698" s="46"/>
      <c r="J1698" s="46"/>
      <c r="K1698" s="46"/>
      <c r="L1698" s="46"/>
      <c r="M1698" s="46"/>
      <c r="N1698" s="46"/>
    </row>
    <row r="1699" spans="1:14">
      <c r="A1699" s="45"/>
      <c r="B1699" s="45"/>
      <c r="C1699" s="46"/>
      <c r="D1699" s="47"/>
      <c r="E1699" s="46"/>
      <c r="F1699" s="46"/>
      <c r="G1699" s="45"/>
      <c r="H1699" s="45"/>
      <c r="I1699" s="46"/>
      <c r="J1699" s="46"/>
      <c r="K1699" s="46"/>
      <c r="L1699" s="46"/>
      <c r="M1699" s="46"/>
      <c r="N1699" s="46"/>
    </row>
    <row r="1700" spans="1:14">
      <c r="A1700" s="45"/>
      <c r="B1700" s="45"/>
      <c r="C1700" s="46"/>
      <c r="D1700" s="47"/>
      <c r="E1700" s="46"/>
      <c r="F1700" s="46"/>
      <c r="G1700" s="45"/>
      <c r="H1700" s="45"/>
      <c r="I1700" s="46"/>
      <c r="J1700" s="46"/>
      <c r="K1700" s="46"/>
      <c r="L1700" s="46"/>
      <c r="M1700" s="46"/>
      <c r="N1700" s="46"/>
    </row>
    <row r="1701" spans="1:14">
      <c r="A1701" s="45"/>
      <c r="B1701" s="45"/>
      <c r="C1701" s="46"/>
      <c r="D1701" s="47"/>
      <c r="E1701" s="46"/>
      <c r="F1701" s="46"/>
      <c r="G1701" s="45"/>
      <c r="H1701" s="45"/>
      <c r="I1701" s="46"/>
      <c r="J1701" s="46"/>
      <c r="K1701" s="46"/>
      <c r="L1701" s="46"/>
      <c r="M1701" s="46"/>
      <c r="N1701" s="46"/>
    </row>
    <row r="1702" spans="1:14">
      <c r="A1702" s="45"/>
      <c r="B1702" s="45"/>
      <c r="C1702" s="46"/>
      <c r="D1702" s="47"/>
      <c r="E1702" s="46"/>
      <c r="F1702" s="46"/>
      <c r="G1702" s="45"/>
      <c r="H1702" s="45"/>
      <c r="I1702" s="46"/>
      <c r="J1702" s="46"/>
      <c r="K1702" s="46"/>
      <c r="L1702" s="46"/>
      <c r="M1702" s="46"/>
      <c r="N1702" s="46"/>
    </row>
    <row r="1703" spans="1:14">
      <c r="A1703" s="45"/>
      <c r="B1703" s="45"/>
      <c r="C1703" s="46"/>
      <c r="D1703" s="47"/>
      <c r="E1703" s="46"/>
      <c r="F1703" s="46"/>
      <c r="G1703" s="45"/>
      <c r="H1703" s="45"/>
      <c r="I1703" s="46"/>
      <c r="J1703" s="46"/>
      <c r="K1703" s="46"/>
      <c r="L1703" s="46"/>
      <c r="M1703" s="46"/>
      <c r="N1703" s="46"/>
    </row>
    <row r="1704" spans="1:14">
      <c r="A1704" s="45"/>
      <c r="B1704" s="45"/>
      <c r="C1704" s="46"/>
      <c r="D1704" s="47"/>
      <c r="E1704" s="46"/>
      <c r="F1704" s="46"/>
      <c r="G1704" s="45"/>
      <c r="H1704" s="45"/>
      <c r="I1704" s="46"/>
      <c r="J1704" s="46"/>
      <c r="K1704" s="46"/>
      <c r="L1704" s="46"/>
      <c r="M1704" s="46"/>
      <c r="N1704" s="46"/>
    </row>
    <row r="1705" spans="1:14">
      <c r="A1705" s="45"/>
      <c r="B1705" s="45"/>
      <c r="C1705" s="46"/>
      <c r="D1705" s="47"/>
      <c r="E1705" s="46"/>
      <c r="F1705" s="46"/>
      <c r="G1705" s="45"/>
      <c r="H1705" s="45"/>
      <c r="I1705" s="46"/>
      <c r="J1705" s="46"/>
      <c r="K1705" s="46"/>
      <c r="L1705" s="46"/>
      <c r="M1705" s="46"/>
      <c r="N1705" s="46"/>
    </row>
    <row r="1706" spans="1:14">
      <c r="A1706" s="45"/>
      <c r="B1706" s="45"/>
      <c r="C1706" s="46"/>
      <c r="D1706" s="47"/>
      <c r="E1706" s="46"/>
      <c r="F1706" s="46"/>
      <c r="G1706" s="45"/>
      <c r="H1706" s="45"/>
      <c r="I1706" s="46"/>
      <c r="J1706" s="46"/>
      <c r="K1706" s="46"/>
      <c r="L1706" s="46"/>
      <c r="M1706" s="46"/>
      <c r="N1706" s="46"/>
    </row>
    <row r="1707" spans="1:14">
      <c r="A1707" s="45"/>
      <c r="B1707" s="45"/>
      <c r="C1707" s="46"/>
      <c r="D1707" s="47"/>
      <c r="E1707" s="46"/>
      <c r="F1707" s="46"/>
      <c r="G1707" s="45"/>
      <c r="H1707" s="45"/>
      <c r="I1707" s="46"/>
      <c r="J1707" s="46"/>
      <c r="K1707" s="46"/>
      <c r="L1707" s="46"/>
      <c r="M1707" s="46"/>
      <c r="N1707" s="46"/>
    </row>
    <row r="1708" spans="1:14">
      <c r="A1708" s="45"/>
      <c r="B1708" s="45"/>
      <c r="C1708" s="46"/>
      <c r="D1708" s="47"/>
      <c r="E1708" s="46"/>
      <c r="F1708" s="46"/>
      <c r="G1708" s="45"/>
      <c r="H1708" s="45"/>
      <c r="I1708" s="46"/>
      <c r="J1708" s="46"/>
      <c r="K1708" s="46"/>
      <c r="L1708" s="46"/>
      <c r="M1708" s="46"/>
      <c r="N1708" s="46"/>
    </row>
    <row r="1709" spans="1:14">
      <c r="A1709" s="45"/>
      <c r="B1709" s="45"/>
      <c r="C1709" s="46"/>
      <c r="D1709" s="47"/>
      <c r="E1709" s="46"/>
      <c r="F1709" s="46"/>
      <c r="G1709" s="45"/>
      <c r="H1709" s="45"/>
      <c r="I1709" s="46"/>
      <c r="J1709" s="46"/>
      <c r="K1709" s="46"/>
      <c r="L1709" s="46"/>
      <c r="M1709" s="46"/>
      <c r="N1709" s="46"/>
    </row>
    <row r="1710" spans="1:14">
      <c r="A1710" s="45"/>
      <c r="B1710" s="45"/>
      <c r="C1710" s="46"/>
      <c r="D1710" s="47"/>
      <c r="E1710" s="46"/>
      <c r="F1710" s="46"/>
      <c r="G1710" s="45"/>
      <c r="H1710" s="45"/>
      <c r="I1710" s="46"/>
      <c r="J1710" s="46"/>
      <c r="K1710" s="46"/>
      <c r="L1710" s="46"/>
      <c r="M1710" s="46"/>
      <c r="N1710" s="46"/>
    </row>
    <row r="1711" spans="1:14">
      <c r="A1711" s="45"/>
      <c r="B1711" s="45"/>
      <c r="C1711" s="46"/>
      <c r="D1711" s="47"/>
      <c r="E1711" s="46"/>
      <c r="F1711" s="46"/>
      <c r="G1711" s="45"/>
      <c r="H1711" s="45"/>
      <c r="I1711" s="46"/>
      <c r="J1711" s="46"/>
      <c r="K1711" s="46"/>
      <c r="L1711" s="46"/>
      <c r="M1711" s="46"/>
      <c r="N1711" s="46"/>
    </row>
    <row r="1712" spans="1:14">
      <c r="A1712" s="45"/>
      <c r="B1712" s="45"/>
      <c r="C1712" s="46"/>
      <c r="D1712" s="47"/>
      <c r="E1712" s="46"/>
      <c r="F1712" s="46"/>
      <c r="G1712" s="45"/>
      <c r="H1712" s="45"/>
      <c r="I1712" s="46"/>
      <c r="J1712" s="46"/>
      <c r="K1712" s="46"/>
      <c r="L1712" s="46"/>
      <c r="M1712" s="46"/>
      <c r="N1712" s="46"/>
    </row>
    <row r="1713" spans="1:14">
      <c r="A1713" s="45"/>
      <c r="B1713" s="45"/>
      <c r="C1713" s="46"/>
      <c r="D1713" s="47"/>
      <c r="E1713" s="46"/>
      <c r="F1713" s="46"/>
      <c r="G1713" s="45"/>
      <c r="H1713" s="45"/>
      <c r="I1713" s="46"/>
      <c r="J1713" s="46"/>
      <c r="K1713" s="46"/>
      <c r="L1713" s="46"/>
      <c r="M1713" s="46"/>
      <c r="N1713" s="46"/>
    </row>
    <row r="1714" spans="1:14">
      <c r="A1714" s="45"/>
      <c r="B1714" s="45"/>
      <c r="C1714" s="46"/>
      <c r="D1714" s="47"/>
      <c r="E1714" s="46"/>
      <c r="F1714" s="46"/>
      <c r="G1714" s="45"/>
      <c r="H1714" s="45"/>
      <c r="I1714" s="46"/>
      <c r="J1714" s="46"/>
      <c r="K1714" s="46"/>
      <c r="L1714" s="46"/>
      <c r="M1714" s="46"/>
      <c r="N1714" s="46"/>
    </row>
    <row r="1715" spans="1:14">
      <c r="A1715" s="45"/>
      <c r="B1715" s="45"/>
      <c r="C1715" s="46"/>
      <c r="D1715" s="47"/>
      <c r="E1715" s="46"/>
      <c r="F1715" s="46"/>
      <c r="G1715" s="45"/>
      <c r="H1715" s="45"/>
      <c r="I1715" s="46"/>
      <c r="J1715" s="46"/>
      <c r="K1715" s="46"/>
      <c r="L1715" s="46"/>
      <c r="M1715" s="46"/>
      <c r="N1715" s="46"/>
    </row>
    <row r="1716" spans="1:14">
      <c r="A1716" s="45"/>
      <c r="B1716" s="45"/>
      <c r="C1716" s="46"/>
      <c r="D1716" s="47"/>
      <c r="E1716" s="46"/>
      <c r="F1716" s="46"/>
      <c r="G1716" s="45"/>
      <c r="H1716" s="45"/>
      <c r="I1716" s="46"/>
      <c r="J1716" s="46"/>
      <c r="K1716" s="46"/>
      <c r="L1716" s="46"/>
      <c r="M1716" s="46"/>
      <c r="N1716" s="46"/>
    </row>
    <row r="1717" spans="1:14">
      <c r="A1717" s="45"/>
      <c r="B1717" s="45"/>
      <c r="C1717" s="46"/>
      <c r="D1717" s="47"/>
      <c r="E1717" s="46"/>
      <c r="F1717" s="46"/>
      <c r="G1717" s="45"/>
      <c r="H1717" s="45"/>
      <c r="I1717" s="46"/>
      <c r="J1717" s="46"/>
      <c r="K1717" s="46"/>
      <c r="L1717" s="46"/>
      <c r="M1717" s="46"/>
      <c r="N1717" s="46"/>
    </row>
    <row r="1718" spans="1:14">
      <c r="A1718" s="45"/>
      <c r="B1718" s="45"/>
      <c r="C1718" s="46"/>
      <c r="D1718" s="47"/>
      <c r="E1718" s="46"/>
      <c r="F1718" s="46"/>
      <c r="G1718" s="45"/>
      <c r="H1718" s="45"/>
      <c r="I1718" s="46"/>
      <c r="J1718" s="46"/>
      <c r="K1718" s="46"/>
      <c r="L1718" s="46"/>
      <c r="M1718" s="46"/>
      <c r="N1718" s="46"/>
    </row>
    <row r="1719" spans="1:14">
      <c r="A1719" s="45"/>
      <c r="B1719" s="45"/>
      <c r="C1719" s="46"/>
      <c r="D1719" s="47"/>
      <c r="E1719" s="46"/>
      <c r="F1719" s="46"/>
      <c r="G1719" s="45"/>
      <c r="H1719" s="45"/>
      <c r="I1719" s="46"/>
      <c r="J1719" s="46"/>
      <c r="K1719" s="46"/>
      <c r="L1719" s="46"/>
      <c r="M1719" s="46"/>
      <c r="N1719" s="46"/>
    </row>
    <row r="1720" spans="1:14">
      <c r="A1720" s="45"/>
      <c r="B1720" s="45"/>
      <c r="C1720" s="46"/>
      <c r="D1720" s="47"/>
      <c r="E1720" s="46"/>
      <c r="F1720" s="46"/>
      <c r="G1720" s="45"/>
      <c r="H1720" s="45"/>
      <c r="I1720" s="46"/>
      <c r="J1720" s="46"/>
      <c r="K1720" s="46"/>
      <c r="L1720" s="46"/>
      <c r="M1720" s="46"/>
      <c r="N1720" s="46"/>
    </row>
    <row r="1721" spans="1:14">
      <c r="A1721" s="45"/>
      <c r="B1721" s="45"/>
      <c r="C1721" s="46"/>
      <c r="D1721" s="47"/>
      <c r="E1721" s="46"/>
      <c r="F1721" s="46"/>
      <c r="G1721" s="45"/>
      <c r="H1721" s="45"/>
      <c r="I1721" s="46"/>
      <c r="J1721" s="46"/>
      <c r="K1721" s="46"/>
      <c r="L1721" s="46"/>
      <c r="M1721" s="46"/>
      <c r="N1721" s="46"/>
    </row>
    <row r="1722" spans="1:14">
      <c r="A1722" s="45"/>
      <c r="B1722" s="45"/>
      <c r="C1722" s="46"/>
      <c r="D1722" s="47"/>
      <c r="E1722" s="46"/>
      <c r="F1722" s="46"/>
      <c r="G1722" s="45"/>
      <c r="H1722" s="45"/>
      <c r="I1722" s="46"/>
      <c r="J1722" s="46"/>
      <c r="K1722" s="46"/>
      <c r="L1722" s="46"/>
      <c r="M1722" s="46"/>
      <c r="N1722" s="46"/>
    </row>
    <row r="1723" spans="1:14">
      <c r="A1723" s="45"/>
      <c r="B1723" s="45"/>
      <c r="C1723" s="46"/>
      <c r="D1723" s="47"/>
      <c r="E1723" s="46"/>
      <c r="F1723" s="46"/>
      <c r="G1723" s="45"/>
      <c r="H1723" s="45"/>
      <c r="I1723" s="46"/>
      <c r="J1723" s="46"/>
      <c r="K1723" s="46"/>
      <c r="L1723" s="46"/>
      <c r="M1723" s="46"/>
      <c r="N1723" s="46"/>
    </row>
    <row r="1724" spans="1:14">
      <c r="A1724" s="45"/>
      <c r="B1724" s="45"/>
      <c r="C1724" s="46"/>
      <c r="D1724" s="47"/>
      <c r="E1724" s="46"/>
      <c r="F1724" s="46"/>
      <c r="G1724" s="45"/>
      <c r="H1724" s="45"/>
      <c r="I1724" s="46"/>
      <c r="J1724" s="46"/>
      <c r="K1724" s="46"/>
      <c r="L1724" s="46"/>
      <c r="M1724" s="46"/>
      <c r="N1724" s="46"/>
    </row>
    <row r="1725" spans="1:14">
      <c r="A1725" s="45"/>
      <c r="B1725" s="45"/>
      <c r="C1725" s="46"/>
      <c r="D1725" s="47"/>
      <c r="E1725" s="46"/>
      <c r="F1725" s="46"/>
      <c r="G1725" s="45"/>
      <c r="H1725" s="45"/>
      <c r="I1725" s="46"/>
      <c r="J1725" s="46"/>
      <c r="K1725" s="46"/>
      <c r="L1725" s="46"/>
      <c r="M1725" s="46"/>
      <c r="N1725" s="46"/>
    </row>
    <row r="1726" spans="1:14">
      <c r="A1726" s="45"/>
      <c r="B1726" s="45"/>
      <c r="C1726" s="46"/>
      <c r="D1726" s="47"/>
      <c r="E1726" s="46"/>
      <c r="F1726" s="46"/>
      <c r="G1726" s="45"/>
      <c r="H1726" s="45"/>
      <c r="I1726" s="46"/>
      <c r="J1726" s="46"/>
      <c r="K1726" s="46"/>
      <c r="L1726" s="46"/>
      <c r="M1726" s="46"/>
      <c r="N1726" s="46"/>
    </row>
    <row r="1727" spans="1:14">
      <c r="A1727" s="45"/>
      <c r="B1727" s="45"/>
      <c r="C1727" s="46"/>
      <c r="D1727" s="47"/>
      <c r="E1727" s="46"/>
      <c r="F1727" s="46"/>
      <c r="G1727" s="45"/>
      <c r="H1727" s="45"/>
      <c r="I1727" s="46"/>
      <c r="J1727" s="46"/>
      <c r="K1727" s="46"/>
      <c r="L1727" s="46"/>
      <c r="M1727" s="46"/>
      <c r="N1727" s="46"/>
    </row>
    <row r="1728" spans="1:14">
      <c r="A1728" s="45"/>
      <c r="B1728" s="45"/>
      <c r="C1728" s="46"/>
      <c r="D1728" s="47"/>
      <c r="E1728" s="46"/>
      <c r="F1728" s="46"/>
      <c r="G1728" s="45"/>
      <c r="H1728" s="45"/>
      <c r="I1728" s="46"/>
      <c r="J1728" s="46"/>
      <c r="K1728" s="46"/>
      <c r="L1728" s="46"/>
      <c r="M1728" s="46"/>
      <c r="N1728" s="46"/>
    </row>
    <row r="1729" spans="1:14">
      <c r="A1729" s="45"/>
      <c r="B1729" s="45"/>
      <c r="C1729" s="46"/>
      <c r="D1729" s="47"/>
      <c r="E1729" s="46"/>
      <c r="F1729" s="46"/>
      <c r="G1729" s="45"/>
      <c r="H1729" s="45"/>
      <c r="I1729" s="46"/>
      <c r="J1729" s="46"/>
      <c r="K1729" s="46"/>
      <c r="L1729" s="46"/>
      <c r="M1729" s="46"/>
      <c r="N1729" s="46"/>
    </row>
    <row r="1730" spans="1:14">
      <c r="A1730" s="45"/>
      <c r="B1730" s="45"/>
      <c r="C1730" s="46"/>
      <c r="D1730" s="47"/>
      <c r="E1730" s="46"/>
      <c r="F1730" s="46"/>
      <c r="G1730" s="45"/>
      <c r="H1730" s="45"/>
      <c r="I1730" s="46"/>
      <c r="J1730" s="46"/>
      <c r="K1730" s="46"/>
      <c r="L1730" s="46"/>
      <c r="M1730" s="46"/>
      <c r="N1730" s="46"/>
    </row>
    <row r="1731" spans="1:14">
      <c r="A1731" s="45"/>
      <c r="B1731" s="45"/>
      <c r="C1731" s="46"/>
      <c r="D1731" s="47"/>
      <c r="E1731" s="46"/>
      <c r="F1731" s="46"/>
      <c r="G1731" s="45"/>
      <c r="H1731" s="45"/>
      <c r="I1731" s="46"/>
      <c r="J1731" s="46"/>
      <c r="K1731" s="46"/>
      <c r="L1731" s="46"/>
      <c r="M1731" s="46"/>
      <c r="N1731" s="46"/>
    </row>
    <row r="1732" spans="1:14">
      <c r="A1732" s="45"/>
      <c r="B1732" s="45"/>
      <c r="C1732" s="46"/>
      <c r="D1732" s="47"/>
      <c r="E1732" s="46"/>
      <c r="F1732" s="46"/>
      <c r="G1732" s="45"/>
      <c r="H1732" s="45"/>
      <c r="I1732" s="46"/>
      <c r="J1732" s="46"/>
      <c r="K1732" s="46"/>
      <c r="L1732" s="46"/>
      <c r="M1732" s="46"/>
      <c r="N1732" s="46"/>
    </row>
    <row r="1733" spans="1:14">
      <c r="A1733" s="45"/>
      <c r="B1733" s="45"/>
      <c r="C1733" s="46"/>
      <c r="D1733" s="47"/>
      <c r="E1733" s="46"/>
      <c r="F1733" s="46"/>
      <c r="G1733" s="45"/>
      <c r="H1733" s="45"/>
      <c r="I1733" s="46"/>
      <c r="J1733" s="46"/>
      <c r="K1733" s="46"/>
      <c r="L1733" s="46"/>
      <c r="M1733" s="46"/>
      <c r="N1733" s="46"/>
    </row>
    <row r="1734" spans="1:14">
      <c r="A1734" s="45"/>
      <c r="B1734" s="45"/>
      <c r="C1734" s="46"/>
      <c r="D1734" s="47"/>
      <c r="E1734" s="46"/>
      <c r="F1734" s="46"/>
      <c r="G1734" s="45"/>
      <c r="H1734" s="45"/>
      <c r="I1734" s="46"/>
      <c r="J1734" s="46"/>
      <c r="K1734" s="46"/>
      <c r="L1734" s="46"/>
      <c r="M1734" s="46"/>
      <c r="N1734" s="46"/>
    </row>
    <row r="1735" spans="1:14">
      <c r="A1735" s="45"/>
      <c r="B1735" s="45"/>
      <c r="C1735" s="46"/>
      <c r="D1735" s="47"/>
      <c r="E1735" s="46"/>
      <c r="F1735" s="46"/>
      <c r="G1735" s="45"/>
      <c r="H1735" s="45"/>
      <c r="I1735" s="46"/>
      <c r="J1735" s="46"/>
      <c r="K1735" s="46"/>
      <c r="L1735" s="46"/>
      <c r="M1735" s="46"/>
      <c r="N1735" s="46"/>
    </row>
    <row r="1736" spans="1:14">
      <c r="A1736" s="45"/>
      <c r="B1736" s="45"/>
      <c r="C1736" s="46"/>
      <c r="D1736" s="47"/>
      <c r="E1736" s="46"/>
      <c r="F1736" s="46"/>
      <c r="G1736" s="45"/>
      <c r="H1736" s="45"/>
      <c r="I1736" s="46"/>
      <c r="J1736" s="46"/>
      <c r="K1736" s="46"/>
      <c r="L1736" s="46"/>
      <c r="M1736" s="46"/>
      <c r="N1736" s="46"/>
    </row>
    <row r="1737" spans="1:14">
      <c r="A1737" s="45"/>
      <c r="B1737" s="45"/>
      <c r="C1737" s="46"/>
      <c r="D1737" s="47"/>
      <c r="E1737" s="46"/>
      <c r="F1737" s="46"/>
      <c r="G1737" s="45"/>
      <c r="H1737" s="45"/>
      <c r="I1737" s="46"/>
      <c r="J1737" s="46"/>
      <c r="K1737" s="46"/>
      <c r="L1737" s="46"/>
      <c r="M1737" s="46"/>
      <c r="N1737" s="46"/>
    </row>
    <row r="1738" spans="1:14">
      <c r="A1738" s="45"/>
      <c r="B1738" s="45"/>
      <c r="C1738" s="46"/>
      <c r="D1738" s="47"/>
      <c r="E1738" s="46"/>
      <c r="F1738" s="46"/>
      <c r="G1738" s="45"/>
      <c r="H1738" s="45"/>
      <c r="I1738" s="46"/>
      <c r="J1738" s="46"/>
      <c r="K1738" s="46"/>
      <c r="L1738" s="46"/>
      <c r="M1738" s="46"/>
      <c r="N1738" s="46"/>
    </row>
    <row r="1739" spans="1:14">
      <c r="A1739" s="45"/>
      <c r="B1739" s="45"/>
      <c r="C1739" s="46"/>
      <c r="D1739" s="47"/>
      <c r="E1739" s="46"/>
      <c r="F1739" s="46"/>
      <c r="G1739" s="45"/>
      <c r="H1739" s="45"/>
      <c r="I1739" s="46"/>
      <c r="J1739" s="46"/>
      <c r="K1739" s="46"/>
      <c r="L1739" s="46"/>
      <c r="M1739" s="46"/>
      <c r="N1739" s="46"/>
    </row>
    <row r="1740" spans="1:14">
      <c r="A1740" s="45"/>
      <c r="B1740" s="45"/>
      <c r="C1740" s="46"/>
      <c r="D1740" s="47"/>
      <c r="E1740" s="46"/>
      <c r="F1740" s="46"/>
      <c r="G1740" s="45"/>
      <c r="H1740" s="45"/>
      <c r="I1740" s="46"/>
      <c r="J1740" s="46"/>
      <c r="K1740" s="46"/>
      <c r="L1740" s="46"/>
      <c r="M1740" s="46"/>
      <c r="N1740" s="46"/>
    </row>
    <row r="1741" spans="1:14">
      <c r="A1741" s="45"/>
      <c r="B1741" s="45"/>
      <c r="C1741" s="46"/>
      <c r="D1741" s="47"/>
      <c r="E1741" s="46"/>
      <c r="F1741" s="46"/>
      <c r="G1741" s="45"/>
      <c r="H1741" s="45"/>
      <c r="I1741" s="46"/>
      <c r="J1741" s="46"/>
      <c r="K1741" s="46"/>
      <c r="L1741" s="46"/>
      <c r="M1741" s="46"/>
      <c r="N1741" s="46"/>
    </row>
    <row r="1742" spans="1:14">
      <c r="A1742" s="45"/>
      <c r="B1742" s="45"/>
      <c r="C1742" s="46"/>
      <c r="D1742" s="47"/>
      <c r="E1742" s="46"/>
      <c r="F1742" s="46"/>
      <c r="G1742" s="45"/>
      <c r="H1742" s="45"/>
      <c r="I1742" s="46"/>
      <c r="J1742" s="46"/>
      <c r="K1742" s="46"/>
      <c r="L1742" s="46"/>
      <c r="M1742" s="46"/>
      <c r="N1742" s="46"/>
    </row>
    <row r="1743" spans="1:14">
      <c r="A1743" s="45"/>
      <c r="B1743" s="45"/>
      <c r="C1743" s="46"/>
      <c r="D1743" s="47"/>
      <c r="E1743" s="46"/>
      <c r="F1743" s="46"/>
      <c r="G1743" s="45"/>
      <c r="H1743" s="45"/>
      <c r="I1743" s="46"/>
      <c r="J1743" s="46"/>
      <c r="K1743" s="46"/>
      <c r="L1743" s="46"/>
      <c r="M1743" s="46"/>
      <c r="N1743" s="46"/>
    </row>
    <row r="1744" spans="1:14">
      <c r="A1744" s="45"/>
      <c r="B1744" s="45"/>
      <c r="C1744" s="46"/>
      <c r="D1744" s="47"/>
      <c r="E1744" s="46"/>
      <c r="F1744" s="46"/>
      <c r="G1744" s="45"/>
      <c r="H1744" s="45"/>
      <c r="I1744" s="46"/>
      <c r="J1744" s="46"/>
      <c r="K1744" s="46"/>
      <c r="L1744" s="46"/>
      <c r="M1744" s="46"/>
      <c r="N1744" s="46"/>
    </row>
    <row r="1745" spans="1:14">
      <c r="A1745" s="45"/>
      <c r="B1745" s="45"/>
      <c r="C1745" s="46"/>
      <c r="D1745" s="47"/>
      <c r="E1745" s="46"/>
      <c r="F1745" s="46"/>
      <c r="G1745" s="45"/>
      <c r="H1745" s="45"/>
      <c r="I1745" s="46"/>
      <c r="J1745" s="46"/>
      <c r="K1745" s="46"/>
      <c r="L1745" s="46"/>
      <c r="M1745" s="46"/>
      <c r="N1745" s="46"/>
    </row>
    <row r="1746" spans="1:14">
      <c r="A1746" s="45"/>
      <c r="B1746" s="45"/>
      <c r="C1746" s="46"/>
      <c r="D1746" s="47"/>
      <c r="E1746" s="46"/>
      <c r="F1746" s="46"/>
      <c r="G1746" s="45"/>
      <c r="H1746" s="45"/>
      <c r="I1746" s="46"/>
      <c r="J1746" s="46"/>
      <c r="K1746" s="46"/>
      <c r="L1746" s="46"/>
      <c r="M1746" s="46"/>
      <c r="N1746" s="46"/>
    </row>
    <row r="1747" spans="1:14">
      <c r="A1747" s="45"/>
      <c r="B1747" s="45"/>
      <c r="C1747" s="46"/>
      <c r="D1747" s="47"/>
      <c r="E1747" s="46"/>
      <c r="F1747" s="46"/>
      <c r="G1747" s="45"/>
      <c r="H1747" s="45"/>
      <c r="I1747" s="46"/>
      <c r="J1747" s="46"/>
      <c r="K1747" s="46"/>
      <c r="L1747" s="46"/>
      <c r="M1747" s="46"/>
      <c r="N1747" s="46"/>
    </row>
    <row r="1748" spans="1:14">
      <c r="A1748" s="45"/>
      <c r="B1748" s="45"/>
      <c r="C1748" s="46"/>
      <c r="D1748" s="47"/>
      <c r="E1748" s="46"/>
      <c r="F1748" s="46"/>
      <c r="G1748" s="45"/>
      <c r="H1748" s="45"/>
      <c r="I1748" s="46"/>
      <c r="J1748" s="46"/>
      <c r="K1748" s="46"/>
      <c r="L1748" s="46"/>
      <c r="M1748" s="46"/>
      <c r="N1748" s="46"/>
    </row>
    <row r="1749" spans="1:14">
      <c r="A1749" s="45"/>
      <c r="B1749" s="45"/>
      <c r="C1749" s="46"/>
      <c r="D1749" s="47"/>
      <c r="E1749" s="46"/>
      <c r="F1749" s="46"/>
      <c r="G1749" s="45"/>
      <c r="H1749" s="45"/>
      <c r="I1749" s="46"/>
      <c r="J1749" s="46"/>
      <c r="K1749" s="46"/>
      <c r="L1749" s="46"/>
      <c r="M1749" s="46"/>
      <c r="N1749" s="46"/>
    </row>
    <row r="1750" spans="1:14">
      <c r="A1750" s="45"/>
      <c r="B1750" s="45"/>
      <c r="C1750" s="46"/>
      <c r="D1750" s="47"/>
      <c r="E1750" s="46"/>
      <c r="F1750" s="46"/>
      <c r="G1750" s="45"/>
      <c r="H1750" s="45"/>
      <c r="I1750" s="46"/>
      <c r="J1750" s="46"/>
      <c r="K1750" s="46"/>
      <c r="L1750" s="46"/>
      <c r="M1750" s="46"/>
      <c r="N1750" s="46"/>
    </row>
    <row r="1751" spans="1:14">
      <c r="A1751" s="45"/>
      <c r="B1751" s="45"/>
      <c r="C1751" s="46"/>
      <c r="D1751" s="47"/>
      <c r="E1751" s="46"/>
      <c r="F1751" s="46"/>
      <c r="G1751" s="45"/>
      <c r="H1751" s="45"/>
      <c r="I1751" s="46"/>
      <c r="J1751" s="46"/>
      <c r="K1751" s="46"/>
      <c r="L1751" s="46"/>
      <c r="M1751" s="46"/>
      <c r="N1751" s="46"/>
    </row>
    <row r="1752" spans="1:14">
      <c r="A1752" s="45"/>
      <c r="B1752" s="45"/>
      <c r="C1752" s="46"/>
      <c r="D1752" s="47"/>
      <c r="E1752" s="46"/>
      <c r="F1752" s="46"/>
      <c r="G1752" s="45"/>
      <c r="H1752" s="45"/>
      <c r="I1752" s="46"/>
      <c r="J1752" s="46"/>
      <c r="K1752" s="46"/>
      <c r="L1752" s="46"/>
      <c r="M1752" s="46"/>
      <c r="N1752" s="46"/>
    </row>
    <row r="1753" spans="1:14">
      <c r="A1753" s="45"/>
      <c r="B1753" s="45"/>
      <c r="C1753" s="46"/>
      <c r="D1753" s="47"/>
      <c r="E1753" s="46"/>
      <c r="F1753" s="46"/>
      <c r="G1753" s="45"/>
      <c r="H1753" s="45"/>
      <c r="I1753" s="46"/>
      <c r="J1753" s="46"/>
      <c r="K1753" s="46"/>
      <c r="L1753" s="46"/>
      <c r="M1753" s="46"/>
      <c r="N1753" s="46"/>
    </row>
    <row r="1754" spans="1:14">
      <c r="A1754" s="45"/>
      <c r="B1754" s="45"/>
      <c r="C1754" s="46"/>
      <c r="D1754" s="47"/>
      <c r="E1754" s="46"/>
      <c r="F1754" s="46"/>
      <c r="G1754" s="45"/>
      <c r="H1754" s="45"/>
      <c r="I1754" s="46"/>
      <c r="J1754" s="46"/>
      <c r="K1754" s="46"/>
      <c r="L1754" s="46"/>
      <c r="M1754" s="46"/>
      <c r="N1754" s="46"/>
    </row>
    <row r="1755" spans="1:14">
      <c r="A1755" s="45"/>
      <c r="B1755" s="45"/>
      <c r="C1755" s="46"/>
      <c r="D1755" s="47"/>
      <c r="E1755" s="46"/>
      <c r="F1755" s="46"/>
      <c r="G1755" s="45"/>
      <c r="H1755" s="45"/>
      <c r="I1755" s="46"/>
      <c r="J1755" s="46"/>
      <c r="K1755" s="46"/>
      <c r="L1755" s="46"/>
      <c r="M1755" s="46"/>
      <c r="N1755" s="46"/>
    </row>
    <row r="1756" spans="1:14">
      <c r="A1756" s="45"/>
      <c r="B1756" s="45"/>
      <c r="C1756" s="46"/>
      <c r="D1756" s="47"/>
      <c r="E1756" s="46"/>
      <c r="F1756" s="46"/>
      <c r="G1756" s="45"/>
      <c r="H1756" s="45"/>
      <c r="I1756" s="46"/>
      <c r="J1756" s="46"/>
      <c r="K1756" s="46"/>
      <c r="L1756" s="46"/>
      <c r="M1756" s="46"/>
      <c r="N1756" s="46"/>
    </row>
    <row r="1757" spans="1:14">
      <c r="A1757" s="45"/>
      <c r="B1757" s="45"/>
      <c r="C1757" s="46"/>
      <c r="D1757" s="47"/>
      <c r="E1757" s="46"/>
      <c r="F1757" s="46"/>
      <c r="G1757" s="45"/>
      <c r="H1757" s="45"/>
      <c r="I1757" s="46"/>
      <c r="J1757" s="46"/>
      <c r="K1757" s="46"/>
      <c r="L1757" s="46"/>
      <c r="M1757" s="46"/>
      <c r="N1757" s="46"/>
    </row>
    <row r="1758" spans="1:14">
      <c r="A1758" s="45"/>
      <c r="B1758" s="45"/>
      <c r="C1758" s="46"/>
      <c r="D1758" s="47"/>
      <c r="E1758" s="46"/>
      <c r="F1758" s="46"/>
      <c r="G1758" s="45"/>
      <c r="H1758" s="45"/>
      <c r="I1758" s="46"/>
      <c r="J1758" s="46"/>
      <c r="K1758" s="46"/>
      <c r="L1758" s="46"/>
      <c r="M1758" s="46"/>
      <c r="N1758" s="46"/>
    </row>
    <row r="1759" spans="1:14">
      <c r="A1759" s="45"/>
      <c r="B1759" s="45"/>
      <c r="C1759" s="46"/>
      <c r="D1759" s="47"/>
      <c r="E1759" s="46"/>
      <c r="F1759" s="46"/>
      <c r="G1759" s="45"/>
      <c r="H1759" s="45"/>
      <c r="I1759" s="46"/>
      <c r="J1759" s="46"/>
      <c r="K1759" s="46"/>
      <c r="L1759" s="46"/>
      <c r="M1759" s="46"/>
      <c r="N1759" s="46"/>
    </row>
    <row r="1760" spans="1:14">
      <c r="A1760" s="45"/>
      <c r="B1760" s="45"/>
      <c r="C1760" s="46"/>
      <c r="D1760" s="47"/>
      <c r="E1760" s="46"/>
      <c r="F1760" s="46"/>
      <c r="G1760" s="45"/>
      <c r="H1760" s="45"/>
      <c r="I1760" s="46"/>
      <c r="J1760" s="46"/>
      <c r="K1760" s="46"/>
      <c r="L1760" s="46"/>
      <c r="M1760" s="46"/>
      <c r="N1760" s="46"/>
    </row>
    <row r="1761" spans="1:14">
      <c r="A1761" s="45"/>
      <c r="B1761" s="45"/>
      <c r="C1761" s="46"/>
      <c r="D1761" s="47"/>
      <c r="E1761" s="46"/>
      <c r="F1761" s="46"/>
      <c r="G1761" s="45"/>
      <c r="H1761" s="45"/>
      <c r="I1761" s="46"/>
      <c r="J1761" s="46"/>
      <c r="K1761" s="46"/>
      <c r="L1761" s="46"/>
      <c r="M1761" s="46"/>
      <c r="N1761" s="46"/>
    </row>
    <row r="1762" spans="1:14">
      <c r="A1762" s="45"/>
      <c r="B1762" s="45"/>
      <c r="C1762" s="46"/>
      <c r="D1762" s="47"/>
      <c r="E1762" s="46"/>
      <c r="F1762" s="46"/>
      <c r="G1762" s="45"/>
      <c r="H1762" s="45"/>
      <c r="I1762" s="46"/>
      <c r="J1762" s="46"/>
      <c r="K1762" s="46"/>
      <c r="L1762" s="46"/>
      <c r="M1762" s="46"/>
      <c r="N1762" s="46"/>
    </row>
    <row r="1763" spans="1:14">
      <c r="A1763" s="45"/>
      <c r="B1763" s="45"/>
      <c r="C1763" s="46"/>
      <c r="D1763" s="47"/>
      <c r="E1763" s="46"/>
      <c r="F1763" s="46"/>
      <c r="G1763" s="45"/>
      <c r="H1763" s="45"/>
      <c r="I1763" s="46"/>
      <c r="J1763" s="46"/>
      <c r="K1763" s="46"/>
      <c r="L1763" s="46"/>
      <c r="M1763" s="46"/>
      <c r="N1763" s="46"/>
    </row>
    <row r="1764" spans="1:14">
      <c r="A1764" s="45"/>
      <c r="B1764" s="45"/>
      <c r="C1764" s="46"/>
      <c r="D1764" s="47"/>
      <c r="E1764" s="46"/>
      <c r="F1764" s="46"/>
      <c r="G1764" s="45"/>
      <c r="H1764" s="45"/>
      <c r="I1764" s="46"/>
      <c r="J1764" s="46"/>
      <c r="K1764" s="46"/>
      <c r="L1764" s="46"/>
      <c r="M1764" s="46"/>
      <c r="N1764" s="46"/>
    </row>
    <row r="1765" spans="1:14">
      <c r="A1765" s="45"/>
      <c r="B1765" s="45"/>
      <c r="C1765" s="46"/>
      <c r="D1765" s="47"/>
      <c r="E1765" s="46"/>
      <c r="F1765" s="46"/>
      <c r="G1765" s="45"/>
      <c r="H1765" s="45"/>
      <c r="I1765" s="46"/>
      <c r="J1765" s="46"/>
      <c r="K1765" s="46"/>
      <c r="L1765" s="46"/>
      <c r="M1765" s="46"/>
      <c r="N1765" s="46"/>
    </row>
    <row r="1766" spans="1:14">
      <c r="A1766" s="45"/>
      <c r="B1766" s="45"/>
      <c r="C1766" s="46"/>
      <c r="D1766" s="47"/>
      <c r="E1766" s="46"/>
      <c r="F1766" s="46"/>
      <c r="G1766" s="45"/>
      <c r="H1766" s="45"/>
      <c r="I1766" s="46"/>
      <c r="J1766" s="46"/>
      <c r="K1766" s="46"/>
      <c r="L1766" s="46"/>
      <c r="M1766" s="46"/>
      <c r="N1766" s="46"/>
    </row>
    <row r="1767" spans="1:14">
      <c r="A1767" s="45"/>
      <c r="B1767" s="45"/>
      <c r="C1767" s="46"/>
      <c r="D1767" s="47"/>
      <c r="E1767" s="46"/>
      <c r="F1767" s="46"/>
      <c r="G1767" s="45"/>
      <c r="H1767" s="45"/>
      <c r="I1767" s="46"/>
      <c r="J1767" s="46"/>
      <c r="K1767" s="46"/>
      <c r="L1767" s="46"/>
      <c r="M1767" s="46"/>
      <c r="N1767" s="46"/>
    </row>
    <row r="1768" spans="1:14">
      <c r="A1768" s="45"/>
      <c r="B1768" s="45"/>
      <c r="C1768" s="46"/>
      <c r="D1768" s="47"/>
      <c r="E1768" s="46"/>
      <c r="F1768" s="46"/>
      <c r="G1768" s="45"/>
      <c r="H1768" s="45"/>
      <c r="I1768" s="46"/>
      <c r="J1768" s="46"/>
      <c r="K1768" s="46"/>
      <c r="L1768" s="46"/>
      <c r="M1768" s="46"/>
      <c r="N1768" s="46"/>
    </row>
    <row r="1769" spans="1:14">
      <c r="A1769" s="45"/>
      <c r="B1769" s="45"/>
      <c r="C1769" s="46"/>
      <c r="D1769" s="47"/>
      <c r="E1769" s="46"/>
      <c r="F1769" s="46"/>
      <c r="G1769" s="45"/>
      <c r="H1769" s="45"/>
      <c r="I1769" s="46"/>
      <c r="J1769" s="46"/>
      <c r="K1769" s="46"/>
      <c r="L1769" s="46"/>
      <c r="M1769" s="46"/>
      <c r="N1769" s="46"/>
    </row>
    <row r="1770" spans="1:14">
      <c r="A1770" s="45"/>
      <c r="B1770" s="45"/>
      <c r="C1770" s="46"/>
      <c r="D1770" s="47"/>
      <c r="E1770" s="46"/>
      <c r="F1770" s="46"/>
      <c r="G1770" s="45"/>
      <c r="H1770" s="45"/>
      <c r="I1770" s="46"/>
      <c r="J1770" s="46"/>
      <c r="K1770" s="46"/>
      <c r="L1770" s="46"/>
      <c r="M1770" s="46"/>
      <c r="N1770" s="46"/>
    </row>
    <row r="1771" spans="1:14">
      <c r="A1771" s="45"/>
      <c r="B1771" s="45"/>
      <c r="C1771" s="46"/>
      <c r="D1771" s="47"/>
      <c r="E1771" s="46"/>
      <c r="F1771" s="46"/>
      <c r="G1771" s="45"/>
      <c r="H1771" s="45"/>
      <c r="I1771" s="46"/>
      <c r="J1771" s="46"/>
      <c r="K1771" s="46"/>
      <c r="L1771" s="46"/>
      <c r="M1771" s="46"/>
      <c r="N1771" s="46"/>
    </row>
    <row r="1772" spans="1:14">
      <c r="A1772" s="45"/>
      <c r="B1772" s="45"/>
      <c r="C1772" s="46"/>
      <c r="D1772" s="47"/>
      <c r="E1772" s="46"/>
      <c r="F1772" s="46"/>
      <c r="G1772" s="45"/>
      <c r="H1772" s="45"/>
      <c r="I1772" s="46"/>
      <c r="J1772" s="46"/>
      <c r="K1772" s="46"/>
      <c r="L1772" s="46"/>
      <c r="M1772" s="46"/>
      <c r="N1772" s="46"/>
    </row>
    <row r="1773" spans="1:14">
      <c r="A1773" s="45"/>
      <c r="B1773" s="45"/>
      <c r="C1773" s="46"/>
      <c r="D1773" s="47"/>
      <c r="E1773" s="46"/>
      <c r="F1773" s="46"/>
      <c r="G1773" s="45"/>
      <c r="H1773" s="45"/>
      <c r="I1773" s="46"/>
      <c r="J1773" s="46"/>
      <c r="K1773" s="46"/>
      <c r="L1773" s="46"/>
      <c r="M1773" s="46"/>
      <c r="N1773" s="46"/>
    </row>
    <row r="1774" spans="1:14">
      <c r="A1774" s="45"/>
      <c r="B1774" s="45"/>
      <c r="C1774" s="46"/>
      <c r="D1774" s="47"/>
      <c r="E1774" s="46"/>
      <c r="F1774" s="46"/>
      <c r="G1774" s="45"/>
      <c r="H1774" s="45"/>
      <c r="I1774" s="46"/>
      <c r="J1774" s="46"/>
      <c r="K1774" s="46"/>
      <c r="L1774" s="46"/>
      <c r="M1774" s="46"/>
      <c r="N1774" s="46"/>
    </row>
    <row r="1775" spans="1:14">
      <c r="A1775" s="45"/>
      <c r="B1775" s="45"/>
      <c r="C1775" s="46"/>
      <c r="D1775" s="47"/>
      <c r="E1775" s="46"/>
      <c r="F1775" s="46"/>
      <c r="G1775" s="45"/>
      <c r="H1775" s="45"/>
      <c r="I1775" s="46"/>
      <c r="J1775" s="46"/>
      <c r="K1775" s="46"/>
      <c r="L1775" s="46"/>
      <c r="M1775" s="46"/>
      <c r="N1775" s="46"/>
    </row>
    <row r="1776" spans="1:14">
      <c r="A1776" s="45"/>
      <c r="B1776" s="45"/>
      <c r="C1776" s="46"/>
      <c r="D1776" s="47"/>
      <c r="E1776" s="46"/>
      <c r="F1776" s="46"/>
      <c r="G1776" s="45"/>
      <c r="H1776" s="45"/>
      <c r="I1776" s="46"/>
      <c r="J1776" s="46"/>
      <c r="K1776" s="46"/>
      <c r="L1776" s="46"/>
      <c r="M1776" s="46"/>
      <c r="N1776" s="46"/>
    </row>
    <row r="1777" spans="1:14">
      <c r="A1777" s="45"/>
      <c r="B1777" s="45"/>
      <c r="C1777" s="46"/>
      <c r="D1777" s="47"/>
      <c r="E1777" s="46"/>
      <c r="F1777" s="46"/>
      <c r="G1777" s="45"/>
      <c r="H1777" s="45"/>
      <c r="I1777" s="46"/>
      <c r="J1777" s="46"/>
      <c r="K1777" s="46"/>
      <c r="L1777" s="46"/>
      <c r="M1777" s="46"/>
      <c r="N1777" s="46"/>
    </row>
    <row r="1778" spans="1:14">
      <c r="A1778" s="45"/>
      <c r="B1778" s="45"/>
      <c r="C1778" s="46"/>
      <c r="D1778" s="47"/>
      <c r="E1778" s="46"/>
      <c r="F1778" s="46"/>
      <c r="G1778" s="45"/>
      <c r="H1778" s="45"/>
      <c r="I1778" s="46"/>
      <c r="J1778" s="46"/>
      <c r="K1778" s="46"/>
      <c r="L1778" s="46"/>
      <c r="M1778" s="46"/>
      <c r="N1778" s="46"/>
    </row>
    <row r="1779" spans="1:14">
      <c r="A1779" s="45"/>
      <c r="B1779" s="45"/>
      <c r="C1779" s="46"/>
      <c r="D1779" s="47"/>
      <c r="E1779" s="46"/>
      <c r="F1779" s="46"/>
      <c r="G1779" s="45"/>
      <c r="H1779" s="45"/>
      <c r="I1779" s="46"/>
      <c r="J1779" s="46"/>
      <c r="K1779" s="46"/>
      <c r="L1779" s="46"/>
      <c r="M1779" s="46"/>
      <c r="N1779" s="46"/>
    </row>
    <row r="1780" spans="1:14">
      <c r="A1780" s="45"/>
      <c r="B1780" s="45"/>
      <c r="C1780" s="46"/>
      <c r="D1780" s="47"/>
      <c r="E1780" s="46"/>
      <c r="F1780" s="46"/>
      <c r="G1780" s="45"/>
      <c r="H1780" s="45"/>
      <c r="I1780" s="46"/>
      <c r="J1780" s="46"/>
      <c r="K1780" s="46"/>
      <c r="L1780" s="46"/>
      <c r="M1780" s="46"/>
      <c r="N1780" s="46"/>
    </row>
    <row r="1781" spans="1:14">
      <c r="A1781" s="45"/>
      <c r="B1781" s="45"/>
      <c r="C1781" s="46"/>
      <c r="D1781" s="47"/>
      <c r="E1781" s="46"/>
      <c r="F1781" s="46"/>
      <c r="G1781" s="45"/>
      <c r="H1781" s="45"/>
      <c r="I1781" s="46"/>
      <c r="J1781" s="46"/>
      <c r="K1781" s="46"/>
      <c r="L1781" s="46"/>
      <c r="M1781" s="46"/>
      <c r="N1781" s="46"/>
    </row>
    <row r="1782" spans="1:14">
      <c r="A1782" s="45"/>
      <c r="B1782" s="45"/>
      <c r="C1782" s="46"/>
      <c r="D1782" s="47"/>
      <c r="E1782" s="46"/>
      <c r="F1782" s="46"/>
      <c r="G1782" s="45"/>
      <c r="H1782" s="45"/>
      <c r="I1782" s="46"/>
      <c r="J1782" s="46"/>
      <c r="K1782" s="46"/>
      <c r="L1782" s="46"/>
      <c r="M1782" s="46"/>
      <c r="N1782" s="46"/>
    </row>
    <row r="1783" spans="1:14">
      <c r="A1783" s="45"/>
      <c r="B1783" s="45"/>
      <c r="C1783" s="46"/>
      <c r="D1783" s="47"/>
      <c r="E1783" s="46"/>
      <c r="F1783" s="46"/>
      <c r="G1783" s="45"/>
      <c r="H1783" s="45"/>
      <c r="I1783" s="46"/>
      <c r="J1783" s="46"/>
      <c r="K1783" s="46"/>
      <c r="L1783" s="46"/>
      <c r="M1783" s="46"/>
      <c r="N1783" s="46"/>
    </row>
    <row r="1784" spans="1:14">
      <c r="A1784" s="45"/>
      <c r="B1784" s="45"/>
      <c r="C1784" s="46"/>
      <c r="D1784" s="47"/>
      <c r="E1784" s="46"/>
      <c r="F1784" s="46"/>
      <c r="G1784" s="45"/>
      <c r="H1784" s="45"/>
      <c r="I1784" s="46"/>
      <c r="J1784" s="46"/>
      <c r="K1784" s="46"/>
      <c r="L1784" s="46"/>
      <c r="M1784" s="46"/>
      <c r="N1784" s="46"/>
    </row>
    <row r="1785" spans="1:14">
      <c r="A1785" s="45"/>
      <c r="B1785" s="45"/>
      <c r="C1785" s="46"/>
      <c r="D1785" s="47"/>
      <c r="E1785" s="46"/>
      <c r="F1785" s="46"/>
      <c r="G1785" s="45"/>
      <c r="H1785" s="45"/>
      <c r="I1785" s="46"/>
      <c r="J1785" s="46"/>
      <c r="K1785" s="46"/>
      <c r="L1785" s="46"/>
      <c r="M1785" s="46"/>
      <c r="N1785" s="46"/>
    </row>
    <row r="1786" spans="1:14">
      <c r="A1786" s="45"/>
      <c r="B1786" s="45"/>
      <c r="C1786" s="46"/>
      <c r="D1786" s="47"/>
      <c r="E1786" s="46"/>
      <c r="F1786" s="46"/>
      <c r="G1786" s="45"/>
      <c r="H1786" s="45"/>
      <c r="I1786" s="46"/>
      <c r="J1786" s="46"/>
      <c r="K1786" s="46"/>
      <c r="L1786" s="46"/>
      <c r="M1786" s="46"/>
      <c r="N1786" s="46"/>
    </row>
    <row r="1787" spans="1:14">
      <c r="A1787" s="45"/>
      <c r="B1787" s="45"/>
      <c r="C1787" s="46"/>
      <c r="D1787" s="47"/>
      <c r="E1787" s="46"/>
      <c r="F1787" s="46"/>
      <c r="G1787" s="45"/>
      <c r="H1787" s="45"/>
      <c r="I1787" s="46"/>
      <c r="J1787" s="46"/>
      <c r="K1787" s="46"/>
      <c r="L1787" s="46"/>
      <c r="M1787" s="46"/>
      <c r="N1787" s="46"/>
    </row>
    <row r="1788" spans="1:14">
      <c r="A1788" s="45"/>
      <c r="B1788" s="45"/>
      <c r="C1788" s="46"/>
      <c r="D1788" s="47"/>
      <c r="E1788" s="46"/>
      <c r="F1788" s="46"/>
      <c r="G1788" s="45"/>
      <c r="H1788" s="45"/>
      <c r="I1788" s="46"/>
      <c r="J1788" s="46"/>
      <c r="K1788" s="46"/>
      <c r="L1788" s="46"/>
      <c r="M1788" s="46"/>
      <c r="N1788" s="46"/>
    </row>
    <row r="1789" spans="1:14">
      <c r="A1789" s="45"/>
      <c r="B1789" s="45"/>
      <c r="C1789" s="46"/>
      <c r="D1789" s="47"/>
      <c r="E1789" s="46"/>
      <c r="F1789" s="46"/>
      <c r="G1789" s="45"/>
      <c r="H1789" s="45"/>
      <c r="I1789" s="46"/>
      <c r="J1789" s="46"/>
      <c r="K1789" s="46"/>
      <c r="L1789" s="46"/>
      <c r="M1789" s="46"/>
      <c r="N1789" s="46"/>
    </row>
    <row r="1790" spans="1:14">
      <c r="A1790" s="45"/>
      <c r="B1790" s="45"/>
      <c r="C1790" s="46"/>
      <c r="D1790" s="47"/>
      <c r="E1790" s="46"/>
      <c r="F1790" s="46"/>
      <c r="G1790" s="45"/>
      <c r="H1790" s="45"/>
      <c r="I1790" s="46"/>
      <c r="J1790" s="46"/>
      <c r="K1790" s="46"/>
      <c r="L1790" s="46"/>
      <c r="M1790" s="46"/>
      <c r="N1790" s="46"/>
    </row>
    <row r="1791" spans="1:14">
      <c r="A1791" s="45"/>
      <c r="B1791" s="45"/>
      <c r="C1791" s="46"/>
      <c r="D1791" s="47"/>
      <c r="E1791" s="46"/>
      <c r="F1791" s="46"/>
      <c r="G1791" s="45"/>
      <c r="H1791" s="45"/>
      <c r="I1791" s="46"/>
      <c r="J1791" s="46"/>
      <c r="K1791" s="46"/>
      <c r="L1791" s="46"/>
      <c r="M1791" s="46"/>
      <c r="N1791" s="46"/>
    </row>
    <row r="1792" spans="1:14">
      <c r="A1792" s="45"/>
      <c r="B1792" s="45"/>
      <c r="C1792" s="46"/>
      <c r="D1792" s="47"/>
      <c r="E1792" s="46"/>
      <c r="F1792" s="46"/>
      <c r="G1792" s="45"/>
      <c r="H1792" s="45"/>
      <c r="I1792" s="46"/>
      <c r="J1792" s="46"/>
      <c r="K1792" s="46"/>
      <c r="L1792" s="46"/>
      <c r="M1792" s="46"/>
      <c r="N1792" s="46"/>
    </row>
    <row r="1793" spans="1:14">
      <c r="A1793" s="45"/>
      <c r="B1793" s="45"/>
      <c r="C1793" s="46"/>
      <c r="D1793" s="47"/>
      <c r="E1793" s="46"/>
      <c r="F1793" s="46"/>
      <c r="G1793" s="45"/>
      <c r="H1793" s="45"/>
      <c r="I1793" s="46"/>
      <c r="J1793" s="46"/>
      <c r="K1793" s="46"/>
      <c r="L1793" s="46"/>
      <c r="M1793" s="46"/>
      <c r="N1793" s="46"/>
    </row>
    <row r="1794" spans="1:14">
      <c r="A1794" s="45"/>
      <c r="B1794" s="45"/>
      <c r="C1794" s="46"/>
      <c r="D1794" s="47"/>
      <c r="E1794" s="46"/>
      <c r="F1794" s="46"/>
      <c r="G1794" s="45"/>
      <c r="H1794" s="45"/>
      <c r="I1794" s="46"/>
      <c r="J1794" s="46"/>
      <c r="K1794" s="46"/>
      <c r="L1794" s="46"/>
      <c r="M1794" s="46"/>
      <c r="N1794" s="46"/>
    </row>
    <row r="1795" spans="1:14">
      <c r="A1795" s="45"/>
      <c r="B1795" s="45"/>
      <c r="C1795" s="46"/>
      <c r="D1795" s="47"/>
      <c r="E1795" s="46"/>
      <c r="F1795" s="46"/>
      <c r="G1795" s="45"/>
      <c r="H1795" s="45"/>
      <c r="I1795" s="46"/>
      <c r="J1795" s="46"/>
      <c r="K1795" s="46"/>
      <c r="L1795" s="46"/>
      <c r="M1795" s="46"/>
      <c r="N1795" s="46"/>
    </row>
    <row r="1796" spans="1:14">
      <c r="A1796" s="45"/>
      <c r="B1796" s="45"/>
      <c r="C1796" s="46"/>
      <c r="D1796" s="47"/>
      <c r="E1796" s="46"/>
      <c r="F1796" s="46"/>
      <c r="G1796" s="45"/>
      <c r="H1796" s="45"/>
      <c r="I1796" s="46"/>
      <c r="J1796" s="46"/>
      <c r="K1796" s="46"/>
      <c r="L1796" s="46"/>
      <c r="M1796" s="46"/>
      <c r="N1796" s="46"/>
    </row>
    <row r="1797" spans="1:14">
      <c r="A1797" s="45"/>
      <c r="B1797" s="45"/>
      <c r="C1797" s="46"/>
      <c r="D1797" s="47"/>
      <c r="E1797" s="46"/>
      <c r="F1797" s="46"/>
      <c r="G1797" s="45"/>
      <c r="H1797" s="45"/>
      <c r="I1797" s="46"/>
      <c r="J1797" s="46"/>
      <c r="K1797" s="46"/>
      <c r="L1797" s="46"/>
      <c r="M1797" s="46"/>
      <c r="N1797" s="46"/>
    </row>
    <row r="1798" spans="1:14">
      <c r="A1798" s="45"/>
      <c r="B1798" s="45"/>
      <c r="C1798" s="46"/>
      <c r="D1798" s="47"/>
      <c r="E1798" s="46"/>
      <c r="F1798" s="46"/>
      <c r="G1798" s="45"/>
      <c r="H1798" s="45"/>
      <c r="I1798" s="46"/>
      <c r="J1798" s="46"/>
      <c r="K1798" s="46"/>
      <c r="L1798" s="46"/>
      <c r="M1798" s="46"/>
      <c r="N1798" s="46"/>
    </row>
    <row r="1799" spans="1:14">
      <c r="A1799" s="45"/>
      <c r="B1799" s="45"/>
      <c r="C1799" s="46"/>
      <c r="D1799" s="47"/>
      <c r="E1799" s="46"/>
      <c r="F1799" s="46"/>
      <c r="G1799" s="45"/>
      <c r="H1799" s="45"/>
      <c r="I1799" s="46"/>
      <c r="J1799" s="46"/>
      <c r="K1799" s="46"/>
      <c r="L1799" s="46"/>
      <c r="M1799" s="46"/>
      <c r="N1799" s="46"/>
    </row>
    <row r="1800" spans="1:14">
      <c r="A1800" s="45"/>
      <c r="B1800" s="45"/>
      <c r="C1800" s="46"/>
      <c r="D1800" s="47"/>
      <c r="E1800" s="46"/>
      <c r="F1800" s="46"/>
      <c r="G1800" s="45"/>
      <c r="H1800" s="45"/>
      <c r="I1800" s="46"/>
      <c r="J1800" s="46"/>
      <c r="K1800" s="46"/>
      <c r="L1800" s="46"/>
      <c r="M1800" s="46"/>
      <c r="N1800" s="46"/>
    </row>
    <row r="1801" spans="1:14">
      <c r="A1801" s="45"/>
      <c r="B1801" s="45"/>
      <c r="C1801" s="46"/>
      <c r="D1801" s="47"/>
      <c r="E1801" s="46"/>
      <c r="F1801" s="46"/>
      <c r="G1801" s="45"/>
      <c r="H1801" s="45"/>
      <c r="I1801" s="46"/>
      <c r="J1801" s="46"/>
      <c r="K1801" s="46"/>
      <c r="L1801" s="46"/>
      <c r="M1801" s="46"/>
      <c r="N1801" s="46"/>
    </row>
    <row r="1802" spans="1:14">
      <c r="A1802" s="45"/>
      <c r="B1802" s="45"/>
      <c r="C1802" s="46"/>
      <c r="D1802" s="47"/>
      <c r="E1802" s="46"/>
      <c r="F1802" s="46"/>
      <c r="G1802" s="45"/>
      <c r="H1802" s="45"/>
      <c r="I1802" s="46"/>
      <c r="J1802" s="46"/>
      <c r="K1802" s="46"/>
      <c r="L1802" s="46"/>
      <c r="M1802" s="46"/>
      <c r="N1802" s="46"/>
    </row>
    <row r="1803" spans="1:14">
      <c r="A1803" s="45"/>
      <c r="B1803" s="45"/>
      <c r="C1803" s="46"/>
      <c r="D1803" s="47"/>
      <c r="E1803" s="46"/>
      <c r="F1803" s="46"/>
      <c r="G1803" s="45"/>
      <c r="H1803" s="45"/>
      <c r="I1803" s="46"/>
      <c r="J1803" s="46"/>
      <c r="K1803" s="46"/>
      <c r="L1803" s="46"/>
      <c r="M1803" s="46"/>
      <c r="N1803" s="46"/>
    </row>
    <row r="1804" spans="1:14">
      <c r="A1804" s="45"/>
      <c r="B1804" s="45"/>
      <c r="C1804" s="46"/>
      <c r="D1804" s="47"/>
      <c r="E1804" s="46"/>
      <c r="F1804" s="46"/>
      <c r="G1804" s="45"/>
      <c r="H1804" s="45"/>
      <c r="I1804" s="46"/>
      <c r="J1804" s="46"/>
      <c r="K1804" s="46"/>
      <c r="L1804" s="46"/>
      <c r="M1804" s="46"/>
      <c r="N1804" s="46"/>
    </row>
    <row r="1805" spans="1:14">
      <c r="A1805" s="45"/>
      <c r="B1805" s="45"/>
      <c r="C1805" s="46"/>
      <c r="D1805" s="47"/>
      <c r="E1805" s="46"/>
      <c r="F1805" s="46"/>
      <c r="G1805" s="45"/>
      <c r="H1805" s="45"/>
      <c r="I1805" s="46"/>
      <c r="J1805" s="46"/>
      <c r="K1805" s="46"/>
      <c r="L1805" s="46"/>
      <c r="M1805" s="46"/>
      <c r="N1805" s="46"/>
    </row>
    <row r="1806" spans="1:14">
      <c r="A1806" s="45"/>
      <c r="B1806" s="45"/>
      <c r="C1806" s="46"/>
      <c r="D1806" s="47"/>
      <c r="E1806" s="46"/>
      <c r="F1806" s="46"/>
      <c r="G1806" s="45"/>
      <c r="H1806" s="45"/>
      <c r="I1806" s="46"/>
      <c r="J1806" s="46"/>
      <c r="K1806" s="46"/>
      <c r="L1806" s="46"/>
      <c r="M1806" s="46"/>
      <c r="N1806" s="46"/>
    </row>
    <row r="1807" spans="1:14">
      <c r="A1807" s="45"/>
      <c r="B1807" s="45"/>
      <c r="C1807" s="46"/>
      <c r="D1807" s="47"/>
      <c r="E1807" s="46"/>
      <c r="F1807" s="46"/>
      <c r="G1807" s="45"/>
      <c r="H1807" s="45"/>
      <c r="I1807" s="46"/>
      <c r="J1807" s="46"/>
      <c r="K1807" s="46"/>
      <c r="L1807" s="46"/>
      <c r="M1807" s="46"/>
      <c r="N1807" s="46"/>
    </row>
    <row r="1808" spans="1:14">
      <c r="A1808" s="45"/>
      <c r="B1808" s="45"/>
      <c r="C1808" s="46"/>
      <c r="D1808" s="47"/>
      <c r="E1808" s="46"/>
      <c r="F1808" s="46"/>
      <c r="G1808" s="45"/>
      <c r="H1808" s="45"/>
      <c r="I1808" s="46"/>
      <c r="J1808" s="46"/>
      <c r="K1808" s="46"/>
      <c r="L1808" s="46"/>
      <c r="M1808" s="46"/>
      <c r="N1808" s="46"/>
    </row>
    <row r="1809" spans="1:14">
      <c r="A1809" s="45"/>
      <c r="B1809" s="45"/>
      <c r="C1809" s="46"/>
      <c r="D1809" s="47"/>
      <c r="E1809" s="46"/>
      <c r="F1809" s="46"/>
      <c r="G1809" s="45"/>
      <c r="H1809" s="45"/>
      <c r="I1809" s="46"/>
      <c r="J1809" s="46"/>
      <c r="K1809" s="46"/>
      <c r="L1809" s="46"/>
      <c r="M1809" s="46"/>
      <c r="N1809" s="46"/>
    </row>
    <row r="1810" spans="1:14">
      <c r="A1810" s="45"/>
      <c r="B1810" s="45"/>
      <c r="C1810" s="46"/>
      <c r="D1810" s="47"/>
      <c r="E1810" s="46"/>
      <c r="F1810" s="46"/>
      <c r="G1810" s="45"/>
      <c r="H1810" s="45"/>
      <c r="I1810" s="46"/>
      <c r="J1810" s="46"/>
      <c r="K1810" s="46"/>
      <c r="L1810" s="46"/>
      <c r="M1810" s="46"/>
      <c r="N1810" s="46"/>
    </row>
    <row r="1811" spans="1:14">
      <c r="A1811" s="45"/>
      <c r="B1811" s="45"/>
      <c r="C1811" s="46"/>
      <c r="D1811" s="47"/>
      <c r="E1811" s="46"/>
      <c r="F1811" s="46"/>
      <c r="G1811" s="45"/>
      <c r="H1811" s="45"/>
      <c r="I1811" s="46"/>
      <c r="J1811" s="46"/>
      <c r="K1811" s="46"/>
      <c r="L1811" s="46"/>
      <c r="M1811" s="46"/>
      <c r="N1811" s="46"/>
    </row>
    <row r="1812" spans="1:14">
      <c r="A1812" s="45"/>
      <c r="B1812" s="45"/>
      <c r="C1812" s="46"/>
      <c r="D1812" s="47"/>
      <c r="E1812" s="46"/>
      <c r="F1812" s="46"/>
      <c r="G1812" s="45"/>
      <c r="H1812" s="45"/>
      <c r="I1812" s="46"/>
      <c r="J1812" s="46"/>
      <c r="K1812" s="46"/>
      <c r="L1812" s="46"/>
      <c r="M1812" s="46"/>
      <c r="N1812" s="46"/>
    </row>
    <row r="1813" spans="1:14">
      <c r="A1813" s="45"/>
      <c r="B1813" s="45"/>
      <c r="C1813" s="46"/>
      <c r="D1813" s="47"/>
      <c r="E1813" s="46"/>
      <c r="F1813" s="46"/>
      <c r="G1813" s="45"/>
      <c r="H1813" s="45"/>
      <c r="I1813" s="46"/>
      <c r="J1813" s="46"/>
      <c r="K1813" s="46"/>
      <c r="L1813" s="46"/>
      <c r="M1813" s="46"/>
      <c r="N1813" s="46"/>
    </row>
    <row r="1814" spans="1:14">
      <c r="A1814" s="45"/>
      <c r="B1814" s="45"/>
      <c r="C1814" s="46"/>
      <c r="D1814" s="47"/>
      <c r="E1814" s="46"/>
      <c r="F1814" s="46"/>
      <c r="G1814" s="45"/>
      <c r="H1814" s="45"/>
      <c r="I1814" s="46"/>
      <c r="J1814" s="46"/>
      <c r="K1814" s="46"/>
      <c r="L1814" s="46"/>
      <c r="M1814" s="46"/>
      <c r="N1814" s="46"/>
    </row>
    <row r="1815" spans="1:14">
      <c r="A1815" s="45"/>
      <c r="B1815" s="45"/>
      <c r="C1815" s="46"/>
      <c r="D1815" s="47"/>
      <c r="E1815" s="46"/>
      <c r="F1815" s="46"/>
      <c r="G1815" s="45"/>
      <c r="H1815" s="45"/>
      <c r="I1815" s="46"/>
      <c r="J1815" s="46"/>
      <c r="K1815" s="46"/>
      <c r="L1815" s="46"/>
      <c r="M1815" s="46"/>
      <c r="N1815" s="46"/>
    </row>
    <row r="1816" spans="1:14">
      <c r="A1816" s="45"/>
      <c r="B1816" s="45"/>
      <c r="C1816" s="46"/>
      <c r="D1816" s="47"/>
      <c r="E1816" s="46"/>
      <c r="F1816" s="46"/>
      <c r="G1816" s="45"/>
      <c r="H1816" s="45"/>
      <c r="I1816" s="46"/>
      <c r="J1816" s="46"/>
      <c r="K1816" s="46"/>
      <c r="L1816" s="46"/>
      <c r="M1816" s="46"/>
      <c r="N1816" s="46"/>
    </row>
    <row r="1817" spans="1:14">
      <c r="A1817" s="45"/>
      <c r="B1817" s="45"/>
      <c r="C1817" s="46"/>
      <c r="D1817" s="47"/>
      <c r="E1817" s="46"/>
      <c r="F1817" s="46"/>
      <c r="G1817" s="45"/>
      <c r="H1817" s="45"/>
      <c r="I1817" s="46"/>
      <c r="J1817" s="46"/>
      <c r="K1817" s="46"/>
      <c r="L1817" s="46"/>
      <c r="M1817" s="46"/>
      <c r="N1817" s="46"/>
    </row>
    <row r="1818" spans="1:14">
      <c r="A1818" s="45"/>
      <c r="B1818" s="45"/>
      <c r="C1818" s="46"/>
      <c r="D1818" s="47"/>
      <c r="E1818" s="46"/>
      <c r="F1818" s="46"/>
      <c r="G1818" s="45"/>
      <c r="H1818" s="45"/>
      <c r="I1818" s="46"/>
      <c r="J1818" s="46"/>
      <c r="K1818" s="46"/>
      <c r="L1818" s="46"/>
      <c r="M1818" s="46"/>
      <c r="N1818" s="46"/>
    </row>
    <row r="1819" spans="1:14">
      <c r="A1819" s="45"/>
      <c r="B1819" s="45"/>
      <c r="C1819" s="46"/>
      <c r="D1819" s="47"/>
      <c r="E1819" s="46"/>
      <c r="F1819" s="46"/>
      <c r="G1819" s="45"/>
      <c r="H1819" s="45"/>
      <c r="I1819" s="46"/>
      <c r="J1819" s="46"/>
      <c r="K1819" s="46"/>
      <c r="L1819" s="46"/>
      <c r="M1819" s="46"/>
      <c r="N1819" s="46"/>
    </row>
    <row r="1820" spans="1:14">
      <c r="A1820" s="45"/>
      <c r="B1820" s="45"/>
      <c r="C1820" s="46"/>
      <c r="D1820" s="47"/>
      <c r="E1820" s="46"/>
      <c r="F1820" s="46"/>
      <c r="G1820" s="45"/>
      <c r="H1820" s="45"/>
      <c r="I1820" s="46"/>
      <c r="J1820" s="46"/>
      <c r="K1820" s="46"/>
      <c r="L1820" s="46"/>
      <c r="M1820" s="46"/>
      <c r="N1820" s="46"/>
    </row>
    <row r="1821" spans="1:14">
      <c r="A1821" s="45"/>
      <c r="B1821" s="45"/>
      <c r="C1821" s="46"/>
      <c r="D1821" s="47"/>
      <c r="E1821" s="46"/>
      <c r="F1821" s="46"/>
      <c r="G1821" s="45"/>
      <c r="H1821" s="45"/>
      <c r="I1821" s="46"/>
      <c r="J1821" s="46"/>
      <c r="K1821" s="46"/>
      <c r="L1821" s="46"/>
      <c r="M1821" s="46"/>
      <c r="N1821" s="46"/>
    </row>
    <row r="1822" spans="1:14">
      <c r="A1822" s="45"/>
      <c r="B1822" s="45"/>
      <c r="C1822" s="46"/>
      <c r="D1822" s="47"/>
      <c r="E1822" s="46"/>
      <c r="F1822" s="46"/>
      <c r="G1822" s="45"/>
      <c r="H1822" s="45"/>
      <c r="I1822" s="46"/>
      <c r="J1822" s="46"/>
      <c r="K1822" s="46"/>
      <c r="L1822" s="46"/>
      <c r="M1822" s="46"/>
      <c r="N1822" s="46"/>
    </row>
    <row r="1823" spans="1:14">
      <c r="A1823" s="45"/>
      <c r="B1823" s="45"/>
      <c r="C1823" s="46"/>
      <c r="D1823" s="47"/>
      <c r="E1823" s="46"/>
      <c r="F1823" s="46"/>
      <c r="G1823" s="45"/>
      <c r="H1823" s="45"/>
      <c r="I1823" s="46"/>
      <c r="J1823" s="46"/>
      <c r="K1823" s="46"/>
      <c r="L1823" s="46"/>
      <c r="M1823" s="46"/>
      <c r="N1823" s="46"/>
    </row>
    <row r="1824" spans="1:14">
      <c r="A1824" s="45"/>
      <c r="B1824" s="45"/>
      <c r="C1824" s="46"/>
      <c r="D1824" s="47"/>
      <c r="E1824" s="46"/>
      <c r="F1824" s="46"/>
      <c r="G1824" s="45"/>
      <c r="H1824" s="45"/>
      <c r="I1824" s="46"/>
      <c r="J1824" s="46"/>
      <c r="K1824" s="46"/>
      <c r="L1824" s="46"/>
      <c r="M1824" s="46"/>
      <c r="N1824" s="46"/>
    </row>
    <row r="1825" spans="1:14">
      <c r="A1825" s="45"/>
      <c r="B1825" s="45"/>
      <c r="C1825" s="46"/>
      <c r="D1825" s="47"/>
      <c r="E1825" s="46"/>
      <c r="F1825" s="46"/>
      <c r="G1825" s="45"/>
      <c r="H1825" s="45"/>
      <c r="I1825" s="46"/>
      <c r="J1825" s="46"/>
      <c r="K1825" s="46"/>
      <c r="L1825" s="46"/>
      <c r="M1825" s="46"/>
      <c r="N1825" s="46"/>
    </row>
    <row r="1826" spans="1:14">
      <c r="A1826" s="45"/>
      <c r="B1826" s="45"/>
      <c r="C1826" s="46"/>
      <c r="D1826" s="47"/>
      <c r="E1826" s="46"/>
      <c r="F1826" s="46"/>
      <c r="G1826" s="45"/>
      <c r="H1826" s="45"/>
      <c r="I1826" s="46"/>
      <c r="J1826" s="46"/>
      <c r="K1826" s="46"/>
      <c r="L1826" s="46"/>
      <c r="M1826" s="46"/>
      <c r="N1826" s="46"/>
    </row>
    <row r="1827" spans="1:14">
      <c r="A1827" s="45"/>
      <c r="B1827" s="45"/>
      <c r="C1827" s="46"/>
      <c r="D1827" s="47"/>
      <c r="E1827" s="46"/>
      <c r="F1827" s="46"/>
      <c r="G1827" s="45"/>
      <c r="H1827" s="45"/>
      <c r="I1827" s="46"/>
      <c r="J1827" s="46"/>
      <c r="K1827" s="46"/>
      <c r="L1827" s="46"/>
      <c r="M1827" s="46"/>
      <c r="N1827" s="46"/>
    </row>
    <row r="1828" spans="1:14">
      <c r="A1828" s="45"/>
      <c r="B1828" s="45"/>
      <c r="C1828" s="46"/>
      <c r="D1828" s="47"/>
      <c r="E1828" s="46"/>
      <c r="F1828" s="46"/>
      <c r="G1828" s="45"/>
      <c r="H1828" s="45"/>
      <c r="I1828" s="46"/>
      <c r="J1828" s="46"/>
      <c r="K1828" s="46"/>
      <c r="L1828" s="46"/>
      <c r="M1828" s="46"/>
      <c r="N1828" s="46"/>
    </row>
    <row r="1829" spans="1:14">
      <c r="A1829" s="45"/>
      <c r="B1829" s="45"/>
      <c r="C1829" s="46"/>
      <c r="D1829" s="47"/>
      <c r="E1829" s="46"/>
      <c r="F1829" s="46"/>
      <c r="G1829" s="45"/>
      <c r="H1829" s="45"/>
      <c r="I1829" s="46"/>
      <c r="J1829" s="46"/>
      <c r="K1829" s="46"/>
      <c r="L1829" s="46"/>
      <c r="M1829" s="46"/>
      <c r="N1829" s="46"/>
    </row>
    <row r="1830" spans="1:14">
      <c r="A1830" s="45"/>
      <c r="B1830" s="45"/>
      <c r="C1830" s="46"/>
      <c r="D1830" s="47"/>
      <c r="E1830" s="46"/>
      <c r="F1830" s="46"/>
      <c r="G1830" s="45"/>
      <c r="H1830" s="45"/>
      <c r="I1830" s="46"/>
      <c r="J1830" s="46"/>
      <c r="K1830" s="46"/>
      <c r="L1830" s="46"/>
      <c r="M1830" s="46"/>
      <c r="N1830" s="46"/>
    </row>
    <row r="1831" spans="1:14">
      <c r="A1831" s="45"/>
      <c r="B1831" s="45"/>
      <c r="C1831" s="46"/>
      <c r="D1831" s="47"/>
      <c r="E1831" s="46"/>
      <c r="F1831" s="46"/>
      <c r="G1831" s="45"/>
      <c r="H1831" s="45"/>
      <c r="I1831" s="46"/>
      <c r="J1831" s="46"/>
      <c r="K1831" s="46"/>
      <c r="L1831" s="46"/>
      <c r="M1831" s="46"/>
      <c r="N1831" s="46"/>
    </row>
    <row r="1832" spans="1:14">
      <c r="A1832" s="45"/>
      <c r="B1832" s="45"/>
      <c r="C1832" s="46"/>
      <c r="D1832" s="47"/>
      <c r="E1832" s="46"/>
      <c r="F1832" s="46"/>
      <c r="G1832" s="45"/>
      <c r="H1832" s="45"/>
      <c r="I1832" s="46"/>
      <c r="J1832" s="46"/>
      <c r="K1832" s="46"/>
      <c r="L1832" s="46"/>
      <c r="M1832" s="46"/>
      <c r="N1832" s="46"/>
    </row>
    <row r="1833" spans="1:14">
      <c r="A1833" s="45"/>
      <c r="B1833" s="45"/>
      <c r="C1833" s="46"/>
      <c r="D1833" s="47"/>
      <c r="E1833" s="46"/>
      <c r="F1833" s="46"/>
      <c r="G1833" s="45"/>
      <c r="H1833" s="45"/>
      <c r="I1833" s="46"/>
      <c r="J1833" s="46"/>
      <c r="K1833" s="46"/>
      <c r="L1833" s="46"/>
      <c r="M1833" s="46"/>
      <c r="N1833" s="46"/>
    </row>
    <row r="1834" spans="1:14">
      <c r="A1834" s="45"/>
      <c r="B1834" s="45"/>
      <c r="C1834" s="46"/>
      <c r="D1834" s="47"/>
      <c r="E1834" s="46"/>
      <c r="F1834" s="46"/>
      <c r="G1834" s="45"/>
      <c r="H1834" s="45"/>
      <c r="I1834" s="46"/>
      <c r="J1834" s="46"/>
      <c r="K1834" s="46"/>
      <c r="L1834" s="46"/>
      <c r="M1834" s="46"/>
      <c r="N1834" s="46"/>
    </row>
    <row r="1835" spans="1:14">
      <c r="A1835" s="45"/>
      <c r="B1835" s="45"/>
      <c r="C1835" s="46"/>
      <c r="D1835" s="47"/>
      <c r="E1835" s="46"/>
      <c r="F1835" s="46"/>
      <c r="G1835" s="45"/>
      <c r="H1835" s="45"/>
      <c r="I1835" s="46"/>
      <c r="J1835" s="46"/>
      <c r="K1835" s="46"/>
      <c r="L1835" s="46"/>
      <c r="M1835" s="46"/>
      <c r="N1835" s="46"/>
    </row>
    <row r="1836" spans="1:14">
      <c r="A1836" s="45"/>
      <c r="B1836" s="45"/>
      <c r="C1836" s="46"/>
      <c r="D1836" s="47"/>
      <c r="E1836" s="46"/>
      <c r="F1836" s="46"/>
      <c r="G1836" s="45"/>
      <c r="H1836" s="45"/>
      <c r="I1836" s="46"/>
      <c r="J1836" s="46"/>
      <c r="K1836" s="46"/>
      <c r="L1836" s="46"/>
      <c r="M1836" s="46"/>
      <c r="N1836" s="46"/>
    </row>
    <row r="1837" spans="1:14">
      <c r="A1837" s="45"/>
      <c r="B1837" s="45"/>
      <c r="C1837" s="46"/>
      <c r="D1837" s="47"/>
      <c r="E1837" s="46"/>
      <c r="F1837" s="46"/>
      <c r="G1837" s="45"/>
      <c r="H1837" s="45"/>
      <c r="I1837" s="46"/>
      <c r="J1837" s="46"/>
      <c r="K1837" s="46"/>
      <c r="L1837" s="46"/>
      <c r="M1837" s="46"/>
      <c r="N1837" s="46"/>
    </row>
    <row r="1838" spans="1:14">
      <c r="A1838" s="45"/>
      <c r="B1838" s="45"/>
      <c r="C1838" s="46"/>
      <c r="D1838" s="47"/>
      <c r="E1838" s="46"/>
      <c r="F1838" s="46"/>
      <c r="G1838" s="45"/>
      <c r="H1838" s="45"/>
      <c r="I1838" s="46"/>
      <c r="J1838" s="46"/>
      <c r="K1838" s="46"/>
      <c r="L1838" s="46"/>
      <c r="M1838" s="46"/>
      <c r="N1838" s="46"/>
    </row>
    <row r="1839" spans="1:14">
      <c r="A1839" s="45"/>
      <c r="B1839" s="45"/>
      <c r="C1839" s="46"/>
      <c r="D1839" s="47"/>
      <c r="E1839" s="46"/>
      <c r="F1839" s="46"/>
      <c r="G1839" s="45"/>
      <c r="H1839" s="45"/>
      <c r="I1839" s="46"/>
      <c r="J1839" s="46"/>
      <c r="K1839" s="46"/>
      <c r="L1839" s="46"/>
      <c r="M1839" s="46"/>
      <c r="N1839" s="46"/>
    </row>
    <row r="1840" spans="1:14">
      <c r="A1840" s="45"/>
      <c r="B1840" s="45"/>
      <c r="C1840" s="46"/>
      <c r="D1840" s="47"/>
      <c r="E1840" s="46"/>
      <c r="F1840" s="46"/>
      <c r="G1840" s="45"/>
      <c r="H1840" s="45"/>
      <c r="I1840" s="46"/>
      <c r="J1840" s="46"/>
      <c r="K1840" s="46"/>
      <c r="L1840" s="46"/>
      <c r="M1840" s="46"/>
      <c r="N1840" s="46"/>
    </row>
    <row r="1841" spans="1:14">
      <c r="A1841" s="45"/>
      <c r="B1841" s="45"/>
      <c r="C1841" s="46"/>
      <c r="D1841" s="47"/>
      <c r="E1841" s="46"/>
      <c r="F1841" s="46"/>
      <c r="G1841" s="45"/>
      <c r="H1841" s="45"/>
      <c r="I1841" s="46"/>
      <c r="J1841" s="46"/>
      <c r="K1841" s="46"/>
      <c r="L1841" s="46"/>
      <c r="M1841" s="46"/>
      <c r="N1841" s="46"/>
    </row>
    <row r="1842" spans="1:14">
      <c r="A1842" s="45"/>
      <c r="B1842" s="45"/>
      <c r="C1842" s="46"/>
      <c r="D1842" s="47"/>
      <c r="E1842" s="46"/>
      <c r="F1842" s="46"/>
      <c r="G1842" s="45"/>
      <c r="H1842" s="45"/>
      <c r="I1842" s="46"/>
      <c r="J1842" s="46"/>
      <c r="K1842" s="46"/>
      <c r="L1842" s="46"/>
      <c r="M1842" s="46"/>
      <c r="N1842" s="46"/>
    </row>
    <row r="1843" spans="1:14">
      <c r="A1843" s="45"/>
      <c r="B1843" s="45"/>
      <c r="C1843" s="46"/>
      <c r="D1843" s="47"/>
      <c r="E1843" s="46"/>
      <c r="F1843" s="46"/>
      <c r="G1843" s="45"/>
      <c r="H1843" s="45"/>
      <c r="I1843" s="46"/>
      <c r="J1843" s="46"/>
      <c r="K1843" s="46"/>
      <c r="L1843" s="46"/>
      <c r="M1843" s="46"/>
      <c r="N1843" s="46"/>
    </row>
    <row r="1844" spans="1:14">
      <c r="A1844" s="45"/>
      <c r="B1844" s="45"/>
      <c r="C1844" s="46"/>
      <c r="D1844" s="47"/>
      <c r="E1844" s="46"/>
      <c r="F1844" s="46"/>
      <c r="G1844" s="45"/>
      <c r="H1844" s="45"/>
      <c r="I1844" s="46"/>
      <c r="J1844" s="46"/>
      <c r="K1844" s="46"/>
      <c r="L1844" s="46"/>
      <c r="M1844" s="46"/>
      <c r="N1844" s="46"/>
    </row>
    <row r="1845" spans="1:14">
      <c r="A1845" s="45"/>
      <c r="B1845" s="45"/>
      <c r="C1845" s="46"/>
      <c r="D1845" s="47"/>
      <c r="E1845" s="46"/>
      <c r="F1845" s="46"/>
      <c r="G1845" s="45"/>
      <c r="H1845" s="45"/>
      <c r="I1845" s="46"/>
      <c r="J1845" s="46"/>
      <c r="K1845" s="46"/>
      <c r="L1845" s="46"/>
      <c r="M1845" s="46"/>
      <c r="N1845" s="46"/>
    </row>
    <row r="1846" spans="1:14">
      <c r="A1846" s="45"/>
      <c r="B1846" s="45"/>
      <c r="C1846" s="46"/>
      <c r="D1846" s="47"/>
      <c r="E1846" s="46"/>
      <c r="F1846" s="46"/>
      <c r="G1846" s="45"/>
      <c r="H1846" s="45"/>
      <c r="I1846" s="46"/>
      <c r="J1846" s="46"/>
      <c r="K1846" s="46"/>
      <c r="L1846" s="46"/>
      <c r="M1846" s="46"/>
      <c r="N1846" s="46"/>
    </row>
    <row r="1847" spans="1:14">
      <c r="A1847" s="45"/>
      <c r="B1847" s="45"/>
      <c r="C1847" s="46"/>
      <c r="D1847" s="47"/>
      <c r="E1847" s="46"/>
      <c r="F1847" s="46"/>
      <c r="G1847" s="45"/>
      <c r="H1847" s="45"/>
      <c r="I1847" s="46"/>
      <c r="J1847" s="46"/>
      <c r="K1847" s="46"/>
      <c r="L1847" s="46"/>
      <c r="M1847" s="46"/>
      <c r="N1847" s="46"/>
    </row>
    <row r="1848" spans="1:14">
      <c r="A1848" s="45"/>
      <c r="B1848" s="45"/>
      <c r="C1848" s="46"/>
      <c r="D1848" s="47"/>
      <c r="E1848" s="46"/>
      <c r="F1848" s="46"/>
      <c r="G1848" s="45"/>
      <c r="H1848" s="45"/>
      <c r="I1848" s="46"/>
      <c r="J1848" s="46"/>
      <c r="K1848" s="46"/>
      <c r="L1848" s="46"/>
      <c r="M1848" s="46"/>
      <c r="N1848" s="46"/>
    </row>
    <row r="1849" spans="1:14">
      <c r="A1849" s="45"/>
      <c r="B1849" s="45"/>
      <c r="C1849" s="46"/>
      <c r="D1849" s="47"/>
      <c r="E1849" s="46"/>
      <c r="F1849" s="46"/>
      <c r="G1849" s="45"/>
      <c r="H1849" s="45"/>
      <c r="I1849" s="46"/>
      <c r="J1849" s="46"/>
      <c r="K1849" s="46"/>
      <c r="L1849" s="46"/>
      <c r="M1849" s="46"/>
      <c r="N1849" s="46"/>
    </row>
    <row r="1850" spans="1:14">
      <c r="A1850" s="45"/>
      <c r="B1850" s="45"/>
      <c r="C1850" s="46"/>
      <c r="D1850" s="47"/>
      <c r="E1850" s="46"/>
      <c r="F1850" s="46"/>
      <c r="G1850" s="45"/>
      <c r="H1850" s="45"/>
      <c r="I1850" s="46"/>
      <c r="J1850" s="46"/>
      <c r="K1850" s="46"/>
      <c r="L1850" s="46"/>
      <c r="M1850" s="46"/>
      <c r="N1850" s="46"/>
    </row>
    <row r="1851" spans="1:14">
      <c r="A1851" s="45"/>
      <c r="B1851" s="45"/>
      <c r="C1851" s="46"/>
      <c r="D1851" s="47"/>
      <c r="E1851" s="46"/>
      <c r="F1851" s="46"/>
      <c r="G1851" s="45"/>
      <c r="H1851" s="45"/>
      <c r="I1851" s="46"/>
      <c r="J1851" s="46"/>
      <c r="K1851" s="46"/>
      <c r="L1851" s="46"/>
      <c r="M1851" s="46"/>
      <c r="N1851" s="46"/>
    </row>
    <row r="1852" spans="1:14">
      <c r="A1852" s="45"/>
      <c r="B1852" s="45"/>
      <c r="C1852" s="46"/>
      <c r="D1852" s="47"/>
      <c r="E1852" s="46"/>
      <c r="F1852" s="46"/>
      <c r="G1852" s="45"/>
      <c r="H1852" s="45"/>
      <c r="I1852" s="46"/>
      <c r="J1852" s="46"/>
      <c r="K1852" s="46"/>
      <c r="L1852" s="46"/>
      <c r="M1852" s="46"/>
      <c r="N1852" s="46"/>
    </row>
    <row r="1853" spans="1:14">
      <c r="A1853" s="45"/>
      <c r="B1853" s="45"/>
      <c r="C1853" s="46"/>
      <c r="D1853" s="47"/>
      <c r="E1853" s="46"/>
      <c r="F1853" s="46"/>
      <c r="G1853" s="45"/>
      <c r="H1853" s="45"/>
      <c r="I1853" s="46"/>
      <c r="J1853" s="46"/>
      <c r="K1853" s="46"/>
      <c r="L1853" s="46"/>
      <c r="M1853" s="46"/>
      <c r="N1853" s="46"/>
    </row>
    <row r="1854" spans="1:14">
      <c r="A1854" s="45"/>
      <c r="B1854" s="45"/>
      <c r="C1854" s="46"/>
      <c r="D1854" s="47"/>
      <c r="E1854" s="46"/>
      <c r="F1854" s="46"/>
      <c r="G1854" s="45"/>
      <c r="H1854" s="45"/>
      <c r="I1854" s="46"/>
      <c r="J1854" s="46"/>
      <c r="K1854" s="46"/>
      <c r="L1854" s="46"/>
      <c r="M1854" s="46"/>
      <c r="N1854" s="46"/>
    </row>
    <row r="1855" spans="1:14">
      <c r="A1855" s="45"/>
      <c r="B1855" s="45"/>
      <c r="C1855" s="46"/>
      <c r="D1855" s="47"/>
      <c r="E1855" s="46"/>
      <c r="F1855" s="46"/>
      <c r="G1855" s="45"/>
      <c r="H1855" s="45"/>
      <c r="I1855" s="46"/>
      <c r="J1855" s="46"/>
      <c r="K1855" s="46"/>
      <c r="L1855" s="46"/>
      <c r="M1855" s="46"/>
      <c r="N1855" s="46"/>
    </row>
    <row r="1856" spans="1:14">
      <c r="A1856" s="45"/>
      <c r="B1856" s="45"/>
      <c r="C1856" s="46"/>
      <c r="D1856" s="47"/>
      <c r="E1856" s="46"/>
      <c r="F1856" s="46"/>
      <c r="G1856" s="45"/>
      <c r="H1856" s="45"/>
      <c r="I1856" s="46"/>
      <c r="J1856" s="46"/>
      <c r="K1856" s="46"/>
      <c r="L1856" s="46"/>
      <c r="M1856" s="46"/>
      <c r="N1856" s="46"/>
    </row>
    <row r="1857" spans="1:14">
      <c r="A1857" s="45"/>
      <c r="B1857" s="45"/>
      <c r="C1857" s="46"/>
      <c r="D1857" s="47"/>
      <c r="E1857" s="46"/>
      <c r="F1857" s="46"/>
      <c r="G1857" s="45"/>
      <c r="H1857" s="45"/>
      <c r="I1857" s="46"/>
      <c r="J1857" s="46"/>
      <c r="K1857" s="46"/>
      <c r="L1857" s="46"/>
      <c r="M1857" s="46"/>
      <c r="N1857" s="46"/>
    </row>
    <row r="1858" spans="1:14">
      <c r="A1858" s="45"/>
      <c r="B1858" s="45"/>
      <c r="C1858" s="46"/>
      <c r="D1858" s="47"/>
      <c r="E1858" s="46"/>
      <c r="F1858" s="46"/>
      <c r="G1858" s="45"/>
      <c r="H1858" s="45"/>
      <c r="I1858" s="46"/>
      <c r="J1858" s="46"/>
      <c r="K1858" s="46"/>
      <c r="L1858" s="46"/>
      <c r="M1858" s="46"/>
      <c r="N1858" s="46"/>
    </row>
    <row r="1859" spans="1:14">
      <c r="A1859" s="45"/>
      <c r="B1859" s="45"/>
      <c r="C1859" s="46"/>
      <c r="D1859" s="47"/>
      <c r="E1859" s="46"/>
      <c r="F1859" s="46"/>
      <c r="G1859" s="45"/>
      <c r="H1859" s="45"/>
      <c r="I1859" s="46"/>
      <c r="J1859" s="46"/>
      <c r="K1859" s="46"/>
      <c r="L1859" s="46"/>
      <c r="M1859" s="46"/>
      <c r="N1859" s="46"/>
    </row>
    <row r="1860" spans="1:14">
      <c r="A1860" s="45"/>
      <c r="B1860" s="45"/>
      <c r="C1860" s="46"/>
      <c r="D1860" s="47"/>
      <c r="E1860" s="46"/>
      <c r="F1860" s="46"/>
      <c r="G1860" s="45"/>
      <c r="H1860" s="45"/>
      <c r="I1860" s="46"/>
      <c r="J1860" s="46"/>
      <c r="K1860" s="46"/>
      <c r="L1860" s="46"/>
      <c r="M1860" s="46"/>
      <c r="N1860" s="46"/>
    </row>
    <row r="1861" spans="1:14">
      <c r="A1861" s="45"/>
      <c r="B1861" s="45"/>
      <c r="C1861" s="46"/>
      <c r="D1861" s="47"/>
      <c r="E1861" s="46"/>
      <c r="F1861" s="46"/>
      <c r="G1861" s="45"/>
      <c r="H1861" s="45"/>
      <c r="I1861" s="46"/>
      <c r="J1861" s="46"/>
      <c r="K1861" s="46"/>
      <c r="L1861" s="46"/>
      <c r="M1861" s="46"/>
      <c r="N1861" s="46"/>
    </row>
    <row r="1862" spans="1:14">
      <c r="A1862" s="45"/>
      <c r="B1862" s="45"/>
      <c r="C1862" s="46"/>
      <c r="D1862" s="47"/>
      <c r="E1862" s="46"/>
      <c r="F1862" s="46"/>
      <c r="G1862" s="45"/>
      <c r="H1862" s="45"/>
      <c r="I1862" s="46"/>
      <c r="J1862" s="46"/>
      <c r="K1862" s="46"/>
      <c r="L1862" s="46"/>
      <c r="M1862" s="46"/>
      <c r="N1862" s="46"/>
    </row>
    <row r="1863" spans="1:14">
      <c r="A1863" s="45"/>
      <c r="B1863" s="45"/>
      <c r="C1863" s="46"/>
      <c r="D1863" s="47"/>
      <c r="E1863" s="46"/>
      <c r="F1863" s="46"/>
      <c r="G1863" s="45"/>
      <c r="H1863" s="45"/>
      <c r="I1863" s="46"/>
      <c r="J1863" s="46"/>
      <c r="K1863" s="46"/>
      <c r="L1863" s="46"/>
      <c r="M1863" s="46"/>
      <c r="N1863" s="46"/>
    </row>
    <row r="1864" spans="1:14">
      <c r="A1864" s="45"/>
      <c r="B1864" s="45"/>
      <c r="C1864" s="46"/>
      <c r="D1864" s="47"/>
      <c r="E1864" s="46"/>
      <c r="F1864" s="46"/>
      <c r="G1864" s="45"/>
      <c r="H1864" s="45"/>
      <c r="I1864" s="46"/>
      <c r="J1864" s="46"/>
      <c r="K1864" s="46"/>
      <c r="L1864" s="46"/>
      <c r="M1864" s="46"/>
      <c r="N1864" s="46"/>
    </row>
    <row r="1865" spans="1:14">
      <c r="A1865" s="45"/>
      <c r="B1865" s="45"/>
      <c r="C1865" s="46"/>
      <c r="D1865" s="47"/>
      <c r="E1865" s="46"/>
      <c r="F1865" s="46"/>
      <c r="G1865" s="45"/>
      <c r="H1865" s="45"/>
      <c r="I1865" s="46"/>
      <c r="J1865" s="46"/>
      <c r="K1865" s="46"/>
      <c r="L1865" s="46"/>
      <c r="M1865" s="46"/>
      <c r="N1865" s="46"/>
    </row>
    <row r="1866" spans="1:14">
      <c r="A1866" s="45"/>
      <c r="B1866" s="45"/>
      <c r="C1866" s="46"/>
      <c r="D1866" s="47"/>
      <c r="E1866" s="46"/>
      <c r="F1866" s="46"/>
      <c r="G1866" s="45"/>
      <c r="H1866" s="45"/>
      <c r="I1866" s="46"/>
      <c r="J1866" s="46"/>
      <c r="K1866" s="46"/>
      <c r="L1866" s="46"/>
      <c r="M1866" s="46"/>
      <c r="N1866" s="46"/>
    </row>
    <row r="1867" spans="1:14">
      <c r="A1867" s="45"/>
      <c r="B1867" s="45"/>
      <c r="C1867" s="46"/>
      <c r="D1867" s="47"/>
      <c r="E1867" s="46"/>
      <c r="F1867" s="46"/>
      <c r="G1867" s="45"/>
      <c r="H1867" s="45"/>
      <c r="I1867" s="46"/>
      <c r="J1867" s="46"/>
      <c r="K1867" s="46"/>
      <c r="L1867" s="46"/>
      <c r="M1867" s="46"/>
      <c r="N1867" s="46"/>
    </row>
    <row r="1868" spans="1:14">
      <c r="A1868" s="45"/>
      <c r="B1868" s="45"/>
      <c r="C1868" s="46"/>
      <c r="D1868" s="47"/>
      <c r="E1868" s="46"/>
      <c r="F1868" s="46"/>
      <c r="G1868" s="45"/>
      <c r="H1868" s="45"/>
      <c r="I1868" s="46"/>
      <c r="J1868" s="46"/>
      <c r="K1868" s="46"/>
      <c r="L1868" s="46"/>
      <c r="M1868" s="46"/>
      <c r="N1868" s="46"/>
    </row>
    <row r="1869" spans="1:14">
      <c r="A1869" s="45"/>
      <c r="B1869" s="45"/>
      <c r="C1869" s="46"/>
      <c r="D1869" s="47"/>
      <c r="E1869" s="46"/>
      <c r="F1869" s="46"/>
      <c r="G1869" s="45"/>
      <c r="H1869" s="45"/>
      <c r="I1869" s="46"/>
      <c r="J1869" s="46"/>
      <c r="K1869" s="46"/>
      <c r="L1869" s="46"/>
      <c r="M1869" s="46"/>
      <c r="N1869" s="46"/>
    </row>
    <row r="1870" spans="1:14">
      <c r="A1870" s="45"/>
      <c r="B1870" s="45"/>
      <c r="C1870" s="46"/>
      <c r="D1870" s="47"/>
      <c r="E1870" s="46"/>
      <c r="F1870" s="46"/>
      <c r="G1870" s="45"/>
      <c r="H1870" s="45"/>
      <c r="I1870" s="46"/>
      <c r="J1870" s="46"/>
      <c r="K1870" s="46"/>
      <c r="L1870" s="46"/>
      <c r="M1870" s="46"/>
      <c r="N1870" s="46"/>
    </row>
    <row r="1871" spans="1:14">
      <c r="A1871" s="45"/>
      <c r="B1871" s="45"/>
      <c r="C1871" s="46"/>
      <c r="D1871" s="47"/>
      <c r="E1871" s="46"/>
      <c r="F1871" s="46"/>
      <c r="G1871" s="45"/>
      <c r="H1871" s="45"/>
      <c r="I1871" s="46"/>
      <c r="J1871" s="46"/>
      <c r="K1871" s="46"/>
      <c r="L1871" s="46"/>
      <c r="M1871" s="46"/>
      <c r="N1871" s="46"/>
    </row>
    <row r="1872" spans="1:14">
      <c r="A1872" s="45"/>
      <c r="B1872" s="45"/>
      <c r="C1872" s="46"/>
      <c r="D1872" s="47"/>
      <c r="E1872" s="46"/>
      <c r="F1872" s="46"/>
      <c r="G1872" s="45"/>
      <c r="H1872" s="45"/>
      <c r="I1872" s="46"/>
      <c r="J1872" s="46"/>
      <c r="K1872" s="46"/>
      <c r="L1872" s="46"/>
      <c r="M1872" s="46"/>
      <c r="N1872" s="46"/>
    </row>
    <row r="1873" spans="1:14">
      <c r="A1873" s="45"/>
      <c r="B1873" s="45"/>
      <c r="C1873" s="46"/>
      <c r="D1873" s="47"/>
      <c r="E1873" s="46"/>
      <c r="F1873" s="46"/>
      <c r="G1873" s="45"/>
      <c r="H1873" s="45"/>
      <c r="I1873" s="46"/>
      <c r="J1873" s="46"/>
      <c r="K1873" s="46"/>
      <c r="L1873" s="46"/>
      <c r="M1873" s="46"/>
      <c r="N1873" s="46"/>
    </row>
    <row r="1874" spans="1:14">
      <c r="A1874" s="45"/>
      <c r="B1874" s="45"/>
      <c r="C1874" s="46"/>
      <c r="D1874" s="47"/>
      <c r="E1874" s="46"/>
      <c r="F1874" s="46"/>
      <c r="G1874" s="45"/>
      <c r="H1874" s="45"/>
      <c r="I1874" s="46"/>
      <c r="J1874" s="46"/>
      <c r="K1874" s="46"/>
      <c r="L1874" s="46"/>
      <c r="M1874" s="46"/>
      <c r="N1874" s="46"/>
    </row>
    <row r="1875" spans="1:14">
      <c r="A1875" s="45"/>
      <c r="B1875" s="45"/>
      <c r="C1875" s="46"/>
      <c r="D1875" s="47"/>
      <c r="E1875" s="46"/>
      <c r="F1875" s="46"/>
      <c r="G1875" s="45"/>
      <c r="H1875" s="45"/>
      <c r="I1875" s="46"/>
      <c r="J1875" s="46"/>
      <c r="K1875" s="46"/>
      <c r="L1875" s="46"/>
      <c r="M1875" s="46"/>
      <c r="N1875" s="46"/>
    </row>
    <row r="1876" spans="1:14">
      <c r="A1876" s="45"/>
      <c r="B1876" s="45"/>
      <c r="C1876" s="46"/>
      <c r="D1876" s="47"/>
      <c r="E1876" s="46"/>
      <c r="F1876" s="46"/>
      <c r="G1876" s="45"/>
      <c r="H1876" s="45"/>
      <c r="I1876" s="46"/>
      <c r="J1876" s="46"/>
      <c r="K1876" s="46"/>
      <c r="L1876" s="46"/>
      <c r="M1876" s="46"/>
      <c r="N1876" s="46"/>
    </row>
    <row r="1877" spans="1:14">
      <c r="A1877" s="45"/>
      <c r="B1877" s="45"/>
      <c r="C1877" s="46"/>
      <c r="D1877" s="47"/>
      <c r="E1877" s="46"/>
      <c r="F1877" s="46"/>
      <c r="G1877" s="45"/>
      <c r="H1877" s="45"/>
      <c r="I1877" s="46"/>
      <c r="J1877" s="46"/>
      <c r="K1877" s="46"/>
      <c r="L1877" s="46"/>
      <c r="M1877" s="46"/>
      <c r="N1877" s="46"/>
    </row>
    <row r="1878" spans="1:14">
      <c r="A1878" s="45"/>
      <c r="B1878" s="45"/>
      <c r="C1878" s="46"/>
      <c r="D1878" s="47"/>
      <c r="E1878" s="46"/>
      <c r="F1878" s="46"/>
      <c r="G1878" s="45"/>
      <c r="H1878" s="45"/>
      <c r="I1878" s="46"/>
      <c r="J1878" s="46"/>
      <c r="K1878" s="46"/>
      <c r="L1878" s="46"/>
      <c r="M1878" s="46"/>
      <c r="N1878" s="46"/>
    </row>
    <row r="1879" spans="1:14">
      <c r="A1879" s="45"/>
      <c r="B1879" s="45"/>
      <c r="C1879" s="46"/>
      <c r="D1879" s="47"/>
      <c r="E1879" s="46"/>
      <c r="F1879" s="46"/>
      <c r="G1879" s="45"/>
      <c r="H1879" s="45"/>
      <c r="I1879" s="46"/>
      <c r="J1879" s="46"/>
      <c r="K1879" s="46"/>
      <c r="L1879" s="46"/>
      <c r="M1879" s="46"/>
      <c r="N1879" s="46"/>
    </row>
    <row r="1880" spans="1:14">
      <c r="A1880" s="45"/>
      <c r="B1880" s="45"/>
      <c r="C1880" s="46"/>
      <c r="D1880" s="47"/>
      <c r="E1880" s="46"/>
      <c r="F1880" s="46"/>
      <c r="G1880" s="45"/>
      <c r="H1880" s="45"/>
      <c r="I1880" s="46"/>
      <c r="J1880" s="46"/>
      <c r="K1880" s="46"/>
      <c r="L1880" s="46"/>
      <c r="M1880" s="46"/>
      <c r="N1880" s="46"/>
    </row>
    <row r="1881" spans="1:14">
      <c r="A1881" s="45"/>
      <c r="B1881" s="45"/>
      <c r="C1881" s="46"/>
      <c r="D1881" s="47"/>
      <c r="E1881" s="46"/>
      <c r="F1881" s="46"/>
      <c r="G1881" s="45"/>
      <c r="H1881" s="45"/>
      <c r="I1881" s="46"/>
      <c r="J1881" s="46"/>
      <c r="K1881" s="46"/>
      <c r="L1881" s="46"/>
      <c r="M1881" s="46"/>
      <c r="N1881" s="46"/>
    </row>
    <row r="1882" spans="1:14">
      <c r="A1882" s="45"/>
      <c r="B1882" s="45"/>
      <c r="C1882" s="46"/>
      <c r="D1882" s="47"/>
      <c r="E1882" s="46"/>
      <c r="F1882" s="46"/>
      <c r="G1882" s="45"/>
      <c r="H1882" s="45"/>
      <c r="I1882" s="46"/>
      <c r="J1882" s="46"/>
      <c r="K1882" s="46"/>
      <c r="L1882" s="46"/>
      <c r="M1882" s="46"/>
      <c r="N1882" s="46"/>
    </row>
    <row r="1883" spans="1:14">
      <c r="A1883" s="45"/>
      <c r="B1883" s="45"/>
      <c r="C1883" s="46"/>
      <c r="D1883" s="47"/>
      <c r="E1883" s="46"/>
      <c r="F1883" s="46"/>
      <c r="G1883" s="45"/>
      <c r="H1883" s="45"/>
      <c r="I1883" s="46"/>
      <c r="J1883" s="46"/>
      <c r="K1883" s="46"/>
      <c r="L1883" s="46"/>
      <c r="M1883" s="46"/>
      <c r="N1883" s="46"/>
    </row>
    <row r="1884" spans="1:14">
      <c r="A1884" s="45"/>
      <c r="B1884" s="45"/>
      <c r="C1884" s="46"/>
      <c r="D1884" s="47"/>
      <c r="E1884" s="46"/>
      <c r="F1884" s="46"/>
      <c r="G1884" s="45"/>
      <c r="H1884" s="45"/>
      <c r="I1884" s="46"/>
      <c r="J1884" s="46"/>
      <c r="K1884" s="46"/>
      <c r="L1884" s="46"/>
      <c r="M1884" s="46"/>
      <c r="N1884" s="46"/>
    </row>
    <row r="1885" spans="1:14">
      <c r="A1885" s="45"/>
      <c r="B1885" s="45"/>
      <c r="C1885" s="46"/>
      <c r="D1885" s="47"/>
      <c r="E1885" s="46"/>
      <c r="F1885" s="46"/>
      <c r="G1885" s="45"/>
      <c r="H1885" s="45"/>
      <c r="I1885" s="46"/>
      <c r="J1885" s="46"/>
      <c r="K1885" s="46"/>
      <c r="L1885" s="46"/>
      <c r="M1885" s="46"/>
      <c r="N1885" s="46"/>
    </row>
    <row r="1886" spans="1:14">
      <c r="A1886" s="45"/>
      <c r="B1886" s="45"/>
      <c r="C1886" s="46"/>
      <c r="D1886" s="47"/>
      <c r="E1886" s="46"/>
      <c r="F1886" s="46"/>
      <c r="G1886" s="45"/>
      <c r="H1886" s="45"/>
      <c r="I1886" s="46"/>
      <c r="J1886" s="46"/>
      <c r="K1886" s="46"/>
      <c r="L1886" s="46"/>
      <c r="M1886" s="46"/>
      <c r="N1886" s="46"/>
    </row>
    <row r="1887" spans="1:14">
      <c r="A1887" s="45"/>
      <c r="B1887" s="45"/>
      <c r="C1887" s="46"/>
      <c r="D1887" s="47"/>
      <c r="E1887" s="46"/>
      <c r="F1887" s="46"/>
      <c r="G1887" s="45"/>
      <c r="H1887" s="45"/>
      <c r="I1887" s="46"/>
      <c r="J1887" s="46"/>
      <c r="K1887" s="46"/>
      <c r="L1887" s="46"/>
      <c r="M1887" s="46"/>
      <c r="N1887" s="46"/>
    </row>
    <row r="1888" spans="1:14">
      <c r="A1888" s="45"/>
      <c r="B1888" s="45"/>
      <c r="C1888" s="46"/>
      <c r="D1888" s="47"/>
      <c r="E1888" s="46"/>
      <c r="F1888" s="46"/>
      <c r="G1888" s="45"/>
      <c r="H1888" s="45"/>
      <c r="I1888" s="46"/>
      <c r="J1888" s="46"/>
      <c r="K1888" s="46"/>
      <c r="L1888" s="46"/>
      <c r="M1888" s="46"/>
      <c r="N1888" s="46"/>
    </row>
    <row r="1889" spans="1:14">
      <c r="A1889" s="45"/>
      <c r="B1889" s="45"/>
      <c r="C1889" s="46"/>
      <c r="D1889" s="47"/>
      <c r="E1889" s="46"/>
      <c r="F1889" s="46"/>
      <c r="G1889" s="45"/>
      <c r="H1889" s="45"/>
      <c r="I1889" s="46"/>
      <c r="J1889" s="46"/>
      <c r="K1889" s="46"/>
      <c r="L1889" s="46"/>
      <c r="M1889" s="46"/>
      <c r="N1889" s="46"/>
    </row>
    <row r="1890" spans="1:14">
      <c r="A1890" s="45"/>
      <c r="B1890" s="45"/>
      <c r="C1890" s="46"/>
      <c r="D1890" s="47"/>
      <c r="E1890" s="46"/>
      <c r="F1890" s="46"/>
      <c r="G1890" s="45"/>
      <c r="H1890" s="45"/>
      <c r="I1890" s="46"/>
      <c r="J1890" s="46"/>
      <c r="K1890" s="46"/>
      <c r="L1890" s="46"/>
      <c r="M1890" s="46"/>
      <c r="N1890" s="46"/>
    </row>
    <row r="1891" spans="1:14">
      <c r="A1891" s="45"/>
      <c r="B1891" s="45"/>
      <c r="C1891" s="46"/>
      <c r="D1891" s="47"/>
      <c r="E1891" s="46"/>
      <c r="F1891" s="46"/>
      <c r="G1891" s="45"/>
      <c r="H1891" s="45"/>
      <c r="I1891" s="46"/>
      <c r="J1891" s="46"/>
      <c r="K1891" s="46"/>
      <c r="L1891" s="46"/>
      <c r="M1891" s="46"/>
      <c r="N1891" s="46"/>
    </row>
    <row r="1892" spans="1:14">
      <c r="A1892" s="45"/>
      <c r="B1892" s="45"/>
      <c r="C1892" s="46"/>
      <c r="D1892" s="47"/>
      <c r="E1892" s="46"/>
      <c r="F1892" s="46"/>
      <c r="G1892" s="45"/>
      <c r="H1892" s="45"/>
      <c r="I1892" s="46"/>
      <c r="J1892" s="46"/>
      <c r="K1892" s="46"/>
      <c r="L1892" s="46"/>
      <c r="M1892" s="46"/>
      <c r="N1892" s="46"/>
    </row>
    <row r="1893" spans="1:14">
      <c r="A1893" s="45"/>
      <c r="B1893" s="45"/>
      <c r="C1893" s="46"/>
      <c r="D1893" s="47"/>
      <c r="E1893" s="46"/>
      <c r="F1893" s="46"/>
      <c r="G1893" s="45"/>
      <c r="H1893" s="45"/>
      <c r="I1893" s="46"/>
      <c r="J1893" s="46"/>
      <c r="K1893" s="46"/>
      <c r="L1893" s="46"/>
      <c r="M1893" s="46"/>
      <c r="N1893" s="46"/>
    </row>
    <row r="1894" spans="1:14">
      <c r="A1894" s="45"/>
      <c r="B1894" s="45"/>
      <c r="C1894" s="46"/>
      <c r="D1894" s="47"/>
      <c r="E1894" s="46"/>
      <c r="F1894" s="46"/>
      <c r="G1894" s="45"/>
      <c r="H1894" s="45"/>
      <c r="I1894" s="46"/>
      <c r="J1894" s="46"/>
      <c r="K1894" s="46"/>
      <c r="L1894" s="46"/>
      <c r="M1894" s="46"/>
      <c r="N1894" s="46"/>
    </row>
    <row r="1895" spans="1:14">
      <c r="A1895" s="45"/>
      <c r="B1895" s="45"/>
      <c r="C1895" s="46"/>
      <c r="D1895" s="47"/>
      <c r="E1895" s="46"/>
      <c r="F1895" s="46"/>
      <c r="G1895" s="45"/>
      <c r="H1895" s="45"/>
      <c r="I1895" s="46"/>
      <c r="J1895" s="46"/>
      <c r="K1895" s="46"/>
      <c r="L1895" s="46"/>
      <c r="M1895" s="46"/>
      <c r="N1895" s="46"/>
    </row>
    <row r="1896" spans="1:14">
      <c r="A1896" s="45"/>
      <c r="B1896" s="45"/>
      <c r="C1896" s="46"/>
      <c r="D1896" s="47"/>
      <c r="E1896" s="46"/>
      <c r="F1896" s="46"/>
      <c r="G1896" s="45"/>
      <c r="H1896" s="45"/>
      <c r="I1896" s="46"/>
      <c r="J1896" s="46"/>
      <c r="K1896" s="46"/>
      <c r="L1896" s="46"/>
      <c r="M1896" s="46"/>
      <c r="N1896" s="46"/>
    </row>
    <row r="1897" spans="1:14">
      <c r="A1897" s="45"/>
      <c r="B1897" s="45"/>
      <c r="C1897" s="46"/>
      <c r="D1897" s="47"/>
      <c r="E1897" s="46"/>
      <c r="F1897" s="46"/>
      <c r="G1897" s="45"/>
      <c r="H1897" s="45"/>
      <c r="I1897" s="46"/>
      <c r="J1897" s="46"/>
      <c r="K1897" s="46"/>
      <c r="L1897" s="46"/>
      <c r="M1897" s="46"/>
      <c r="N1897" s="46"/>
    </row>
    <row r="1898" spans="1:14">
      <c r="A1898" s="45"/>
      <c r="B1898" s="45"/>
      <c r="C1898" s="46"/>
      <c r="D1898" s="47"/>
      <c r="E1898" s="46"/>
      <c r="F1898" s="46"/>
      <c r="G1898" s="45"/>
      <c r="H1898" s="45"/>
      <c r="I1898" s="46"/>
      <c r="J1898" s="46"/>
      <c r="K1898" s="46"/>
      <c r="L1898" s="46"/>
      <c r="M1898" s="46"/>
      <c r="N1898" s="46"/>
    </row>
    <row r="1899" spans="1:14">
      <c r="A1899" s="45"/>
      <c r="B1899" s="45"/>
      <c r="C1899" s="46"/>
      <c r="D1899" s="47"/>
      <c r="E1899" s="46"/>
      <c r="F1899" s="46"/>
      <c r="G1899" s="45"/>
      <c r="H1899" s="45"/>
      <c r="I1899" s="46"/>
      <c r="J1899" s="46"/>
      <c r="K1899" s="46"/>
      <c r="L1899" s="46"/>
      <c r="M1899" s="46"/>
      <c r="N1899" s="46"/>
    </row>
    <row r="1900" spans="1:14">
      <c r="A1900" s="45"/>
      <c r="B1900" s="45"/>
      <c r="C1900" s="46"/>
      <c r="D1900" s="47"/>
      <c r="E1900" s="46"/>
      <c r="F1900" s="46"/>
      <c r="G1900" s="45"/>
      <c r="H1900" s="45"/>
      <c r="I1900" s="46"/>
      <c r="J1900" s="46"/>
      <c r="K1900" s="46"/>
      <c r="L1900" s="46"/>
      <c r="M1900" s="46"/>
      <c r="N1900" s="46"/>
    </row>
    <row r="1901" spans="1:14">
      <c r="A1901" s="45"/>
      <c r="B1901" s="45"/>
      <c r="C1901" s="46"/>
      <c r="D1901" s="47"/>
      <c r="E1901" s="46"/>
      <c r="F1901" s="46"/>
      <c r="G1901" s="45"/>
      <c r="H1901" s="45"/>
      <c r="I1901" s="46"/>
      <c r="J1901" s="46"/>
      <c r="K1901" s="46"/>
      <c r="L1901" s="46"/>
      <c r="M1901" s="46"/>
      <c r="N1901" s="46"/>
    </row>
    <row r="1902" spans="1:14">
      <c r="A1902" s="45"/>
      <c r="B1902" s="45"/>
      <c r="C1902" s="46"/>
      <c r="D1902" s="47"/>
      <c r="E1902" s="46"/>
      <c r="F1902" s="46"/>
      <c r="G1902" s="45"/>
      <c r="H1902" s="45"/>
      <c r="I1902" s="46"/>
      <c r="J1902" s="46"/>
      <c r="K1902" s="46"/>
      <c r="L1902" s="46"/>
      <c r="M1902" s="46"/>
      <c r="N1902" s="46"/>
    </row>
    <row r="1903" spans="1:14">
      <c r="A1903" s="45"/>
      <c r="B1903" s="45"/>
      <c r="C1903" s="46"/>
      <c r="D1903" s="47"/>
      <c r="E1903" s="46"/>
      <c r="F1903" s="46"/>
      <c r="G1903" s="45"/>
      <c r="H1903" s="45"/>
      <c r="I1903" s="46"/>
      <c r="J1903" s="46"/>
      <c r="K1903" s="46"/>
      <c r="L1903" s="46"/>
      <c r="M1903" s="46"/>
      <c r="N1903" s="46"/>
    </row>
    <row r="1904" spans="1:14">
      <c r="A1904" s="45"/>
      <c r="B1904" s="45"/>
      <c r="C1904" s="46"/>
      <c r="D1904" s="47"/>
      <c r="E1904" s="46"/>
      <c r="F1904" s="46"/>
      <c r="G1904" s="45"/>
      <c r="H1904" s="45"/>
      <c r="I1904" s="46"/>
      <c r="J1904" s="46"/>
      <c r="K1904" s="46"/>
      <c r="L1904" s="46"/>
      <c r="M1904" s="46"/>
      <c r="N1904" s="46"/>
    </row>
    <row r="1905" spans="1:14">
      <c r="A1905" s="45"/>
      <c r="B1905" s="45"/>
      <c r="C1905" s="46"/>
      <c r="D1905" s="47"/>
      <c r="E1905" s="46"/>
      <c r="F1905" s="46"/>
      <c r="G1905" s="45"/>
      <c r="H1905" s="45"/>
      <c r="I1905" s="46"/>
      <c r="J1905" s="46"/>
      <c r="K1905" s="46"/>
      <c r="L1905" s="46"/>
      <c r="M1905" s="46"/>
      <c r="N1905" s="46"/>
    </row>
    <row r="1906" spans="1:14">
      <c r="A1906" s="45"/>
      <c r="B1906" s="45"/>
      <c r="C1906" s="46"/>
      <c r="D1906" s="47"/>
      <c r="E1906" s="46"/>
      <c r="F1906" s="46"/>
      <c r="G1906" s="45"/>
      <c r="H1906" s="45"/>
      <c r="I1906" s="46"/>
      <c r="J1906" s="46"/>
      <c r="K1906" s="46"/>
      <c r="L1906" s="46"/>
      <c r="M1906" s="46"/>
      <c r="N1906" s="46"/>
    </row>
    <row r="1907" spans="1:14">
      <c r="A1907" s="45"/>
      <c r="B1907" s="45"/>
      <c r="C1907" s="46"/>
      <c r="D1907" s="47"/>
      <c r="E1907" s="46"/>
      <c r="F1907" s="46"/>
      <c r="G1907" s="45"/>
      <c r="H1907" s="45"/>
      <c r="I1907" s="46"/>
      <c r="J1907" s="46"/>
      <c r="K1907" s="46"/>
      <c r="L1907" s="46"/>
      <c r="M1907" s="46"/>
      <c r="N1907" s="46"/>
    </row>
    <row r="1908" spans="1:14">
      <c r="A1908" s="45"/>
      <c r="B1908" s="45"/>
      <c r="C1908" s="46"/>
      <c r="D1908" s="47"/>
      <c r="E1908" s="46"/>
      <c r="F1908" s="46"/>
      <c r="G1908" s="45"/>
      <c r="H1908" s="45"/>
      <c r="I1908" s="46"/>
      <c r="J1908" s="46"/>
      <c r="K1908" s="46"/>
      <c r="L1908" s="46"/>
      <c r="M1908" s="46"/>
      <c r="N1908" s="46"/>
    </row>
    <row r="1909" spans="1:14">
      <c r="A1909" s="45"/>
      <c r="B1909" s="45"/>
      <c r="C1909" s="46"/>
      <c r="D1909" s="47"/>
      <c r="E1909" s="46"/>
      <c r="F1909" s="46"/>
      <c r="G1909" s="45"/>
      <c r="H1909" s="45"/>
      <c r="I1909" s="46"/>
      <c r="J1909" s="46"/>
      <c r="K1909" s="46"/>
      <c r="L1909" s="46"/>
      <c r="M1909" s="46"/>
      <c r="N1909" s="46"/>
    </row>
    <row r="1910" spans="1:14">
      <c r="A1910" s="45"/>
      <c r="B1910" s="45"/>
      <c r="C1910" s="46"/>
      <c r="D1910" s="47"/>
      <c r="E1910" s="46"/>
      <c r="F1910" s="46"/>
      <c r="G1910" s="45"/>
      <c r="H1910" s="45"/>
      <c r="I1910" s="46"/>
      <c r="J1910" s="46"/>
      <c r="K1910" s="46"/>
      <c r="L1910" s="46"/>
      <c r="M1910" s="46"/>
      <c r="N1910" s="46"/>
    </row>
    <row r="1911" spans="1:14">
      <c r="A1911" s="45"/>
      <c r="B1911" s="45"/>
      <c r="C1911" s="46"/>
      <c r="D1911" s="47"/>
      <c r="E1911" s="46"/>
      <c r="F1911" s="46"/>
      <c r="G1911" s="45"/>
      <c r="H1911" s="45"/>
      <c r="I1911" s="46"/>
      <c r="J1911" s="46"/>
      <c r="K1911" s="46"/>
      <c r="L1911" s="46"/>
      <c r="M1911" s="46"/>
      <c r="N1911" s="46"/>
    </row>
    <row r="1912" spans="1:14">
      <c r="A1912" s="45"/>
      <c r="B1912" s="45"/>
      <c r="C1912" s="46"/>
      <c r="D1912" s="47"/>
      <c r="E1912" s="46"/>
      <c r="F1912" s="46"/>
      <c r="G1912" s="45"/>
      <c r="H1912" s="45"/>
      <c r="I1912" s="46"/>
      <c r="J1912" s="46"/>
      <c r="K1912" s="46"/>
      <c r="L1912" s="46"/>
      <c r="M1912" s="46"/>
      <c r="N1912" s="46"/>
    </row>
    <row r="1913" spans="1:14">
      <c r="A1913" s="45"/>
      <c r="B1913" s="45"/>
      <c r="C1913" s="46"/>
      <c r="D1913" s="47"/>
      <c r="E1913" s="46"/>
      <c r="F1913" s="46"/>
      <c r="G1913" s="45"/>
      <c r="H1913" s="45"/>
      <c r="I1913" s="46"/>
      <c r="J1913" s="46"/>
      <c r="K1913" s="46"/>
      <c r="L1913" s="46"/>
      <c r="M1913" s="46"/>
      <c r="N1913" s="46"/>
    </row>
    <row r="1914" spans="1:14">
      <c r="A1914" s="45"/>
      <c r="B1914" s="45"/>
      <c r="C1914" s="46"/>
      <c r="D1914" s="47"/>
      <c r="E1914" s="46"/>
      <c r="F1914" s="46"/>
      <c r="G1914" s="45"/>
      <c r="H1914" s="45"/>
      <c r="I1914" s="46"/>
      <c r="J1914" s="46"/>
      <c r="K1914" s="46"/>
      <c r="L1914" s="46"/>
      <c r="M1914" s="46"/>
      <c r="N1914" s="46"/>
    </row>
    <row r="1915" spans="1:14">
      <c r="A1915" s="45"/>
      <c r="B1915" s="45"/>
      <c r="C1915" s="46"/>
      <c r="D1915" s="47"/>
      <c r="E1915" s="46"/>
      <c r="F1915" s="46"/>
      <c r="G1915" s="45"/>
      <c r="H1915" s="45"/>
      <c r="I1915" s="46"/>
      <c r="J1915" s="46"/>
      <c r="K1915" s="46"/>
      <c r="L1915" s="46"/>
      <c r="M1915" s="46"/>
      <c r="N1915" s="46"/>
    </row>
    <row r="1916" spans="1:14">
      <c r="A1916" s="45"/>
      <c r="B1916" s="45"/>
      <c r="C1916" s="46"/>
      <c r="D1916" s="47"/>
      <c r="E1916" s="46"/>
      <c r="F1916" s="46"/>
      <c r="G1916" s="45"/>
      <c r="H1916" s="45"/>
      <c r="I1916" s="46"/>
      <c r="J1916" s="46"/>
      <c r="K1916" s="46"/>
      <c r="L1916" s="46"/>
      <c r="M1916" s="46"/>
      <c r="N1916" s="46"/>
    </row>
    <row r="1917" spans="1:14">
      <c r="A1917" s="45"/>
      <c r="B1917" s="45"/>
      <c r="C1917" s="46"/>
      <c r="D1917" s="47"/>
      <c r="E1917" s="46"/>
      <c r="F1917" s="46"/>
      <c r="G1917" s="45"/>
      <c r="H1917" s="45"/>
      <c r="I1917" s="46"/>
      <c r="J1917" s="46"/>
      <c r="K1917" s="46"/>
      <c r="L1917" s="46"/>
      <c r="M1917" s="46"/>
      <c r="N1917" s="46"/>
    </row>
    <row r="1918" spans="1:14">
      <c r="A1918" s="45"/>
      <c r="B1918" s="45"/>
      <c r="C1918" s="46"/>
      <c r="D1918" s="47"/>
      <c r="E1918" s="46"/>
      <c r="F1918" s="46"/>
      <c r="G1918" s="45"/>
      <c r="H1918" s="45"/>
      <c r="I1918" s="46"/>
      <c r="J1918" s="46"/>
      <c r="K1918" s="46"/>
      <c r="L1918" s="46"/>
      <c r="M1918" s="46"/>
      <c r="N1918" s="46"/>
    </row>
    <row r="1919" spans="1:14">
      <c r="A1919" s="45"/>
      <c r="B1919" s="45"/>
      <c r="C1919" s="46"/>
      <c r="D1919" s="47"/>
      <c r="E1919" s="46"/>
      <c r="F1919" s="46"/>
      <c r="G1919" s="45"/>
      <c r="H1919" s="45"/>
      <c r="I1919" s="46"/>
      <c r="J1919" s="46"/>
      <c r="K1919" s="46"/>
      <c r="L1919" s="46"/>
      <c r="M1919" s="46"/>
      <c r="N1919" s="46"/>
    </row>
    <row r="1920" spans="1:14">
      <c r="A1920" s="45"/>
      <c r="B1920" s="45"/>
      <c r="C1920" s="46"/>
      <c r="D1920" s="47"/>
      <c r="E1920" s="46"/>
      <c r="F1920" s="46"/>
      <c r="G1920" s="45"/>
      <c r="H1920" s="45"/>
      <c r="I1920" s="46"/>
      <c r="J1920" s="46"/>
      <c r="K1920" s="46"/>
      <c r="L1920" s="46"/>
      <c r="M1920" s="46"/>
      <c r="N1920" s="46"/>
    </row>
    <row r="1921" spans="1:14">
      <c r="A1921" s="45"/>
      <c r="B1921" s="45"/>
      <c r="C1921" s="46"/>
      <c r="D1921" s="47"/>
      <c r="E1921" s="46"/>
      <c r="F1921" s="46"/>
      <c r="G1921" s="45"/>
      <c r="H1921" s="45"/>
      <c r="I1921" s="46"/>
      <c r="J1921" s="46"/>
      <c r="K1921" s="46"/>
      <c r="L1921" s="46"/>
      <c r="M1921" s="46"/>
      <c r="N1921" s="46"/>
    </row>
    <row r="1922" spans="1:14">
      <c r="A1922" s="45"/>
      <c r="B1922" s="45"/>
      <c r="C1922" s="46"/>
      <c r="D1922" s="47"/>
      <c r="E1922" s="46"/>
      <c r="F1922" s="46"/>
      <c r="G1922" s="45"/>
      <c r="H1922" s="45"/>
      <c r="I1922" s="46"/>
      <c r="J1922" s="46"/>
      <c r="K1922" s="46"/>
      <c r="L1922" s="46"/>
      <c r="M1922" s="46"/>
      <c r="N1922" s="46"/>
    </row>
    <row r="1923" spans="1:14">
      <c r="A1923" s="45"/>
      <c r="B1923" s="45"/>
      <c r="C1923" s="46"/>
      <c r="D1923" s="47"/>
      <c r="E1923" s="46"/>
      <c r="F1923" s="46"/>
      <c r="G1923" s="45"/>
      <c r="H1923" s="45"/>
      <c r="I1923" s="46"/>
      <c r="J1923" s="46"/>
      <c r="K1923" s="46"/>
      <c r="L1923" s="46"/>
      <c r="M1923" s="46"/>
      <c r="N1923" s="46"/>
    </row>
    <row r="1924" spans="1:14">
      <c r="A1924" s="45"/>
      <c r="B1924" s="45"/>
      <c r="C1924" s="46"/>
      <c r="D1924" s="47"/>
      <c r="E1924" s="46"/>
      <c r="F1924" s="46"/>
      <c r="G1924" s="45"/>
      <c r="H1924" s="45"/>
      <c r="I1924" s="46"/>
      <c r="J1924" s="46"/>
      <c r="K1924" s="46"/>
      <c r="L1924" s="46"/>
      <c r="M1924" s="46"/>
      <c r="N1924" s="46"/>
    </row>
    <row r="1925" spans="1:14">
      <c r="A1925" s="45"/>
      <c r="B1925" s="45"/>
      <c r="C1925" s="46"/>
      <c r="D1925" s="47"/>
      <c r="E1925" s="46"/>
      <c r="F1925" s="46"/>
      <c r="G1925" s="45"/>
      <c r="H1925" s="45"/>
      <c r="I1925" s="46"/>
      <c r="J1925" s="46"/>
      <c r="K1925" s="46"/>
      <c r="L1925" s="46"/>
      <c r="M1925" s="46"/>
      <c r="N1925" s="46"/>
    </row>
    <row r="1926" spans="1:14">
      <c r="A1926" s="45"/>
      <c r="B1926" s="45"/>
      <c r="C1926" s="46"/>
      <c r="D1926" s="47"/>
      <c r="E1926" s="46"/>
      <c r="F1926" s="46"/>
      <c r="G1926" s="45"/>
      <c r="H1926" s="45"/>
      <c r="I1926" s="46"/>
      <c r="J1926" s="46"/>
      <c r="K1926" s="46"/>
      <c r="L1926" s="46"/>
      <c r="M1926" s="46"/>
      <c r="N1926" s="46"/>
    </row>
    <row r="1927" spans="1:14">
      <c r="A1927" s="45"/>
      <c r="B1927" s="45"/>
      <c r="C1927" s="46"/>
      <c r="D1927" s="47"/>
      <c r="E1927" s="46"/>
      <c r="F1927" s="46"/>
      <c r="G1927" s="45"/>
      <c r="H1927" s="45"/>
      <c r="I1927" s="46"/>
      <c r="J1927" s="46"/>
      <c r="K1927" s="46"/>
      <c r="L1927" s="46"/>
      <c r="M1927" s="46"/>
      <c r="N1927" s="46"/>
    </row>
    <row r="1928" spans="1:14">
      <c r="A1928" s="45"/>
      <c r="B1928" s="45"/>
      <c r="C1928" s="46"/>
      <c r="D1928" s="47"/>
      <c r="E1928" s="46"/>
      <c r="F1928" s="46"/>
      <c r="G1928" s="45"/>
      <c r="H1928" s="45"/>
      <c r="I1928" s="46"/>
      <c r="J1928" s="46"/>
      <c r="K1928" s="46"/>
      <c r="L1928" s="46"/>
      <c r="M1928" s="46"/>
      <c r="N1928" s="46"/>
    </row>
    <row r="1929" spans="1:14">
      <c r="A1929" s="45"/>
      <c r="B1929" s="45"/>
      <c r="C1929" s="46"/>
      <c r="D1929" s="47"/>
      <c r="E1929" s="46"/>
      <c r="F1929" s="46"/>
      <c r="G1929" s="45"/>
      <c r="H1929" s="45"/>
      <c r="I1929" s="46"/>
      <c r="J1929" s="46"/>
      <c r="K1929" s="46"/>
      <c r="L1929" s="46"/>
      <c r="M1929" s="46"/>
      <c r="N1929" s="46"/>
    </row>
    <row r="1930" spans="1:14">
      <c r="A1930" s="45"/>
      <c r="B1930" s="45"/>
      <c r="C1930" s="46"/>
      <c r="D1930" s="47"/>
      <c r="E1930" s="46"/>
      <c r="F1930" s="46"/>
      <c r="G1930" s="45"/>
      <c r="H1930" s="45"/>
      <c r="I1930" s="46"/>
      <c r="J1930" s="46"/>
      <c r="K1930" s="46"/>
      <c r="L1930" s="46"/>
      <c r="M1930" s="46"/>
      <c r="N1930" s="46"/>
    </row>
    <row r="1931" spans="1:14">
      <c r="A1931" s="45"/>
      <c r="B1931" s="45"/>
      <c r="C1931" s="46"/>
      <c r="D1931" s="47"/>
      <c r="E1931" s="46"/>
      <c r="F1931" s="46"/>
      <c r="G1931" s="45"/>
      <c r="H1931" s="45"/>
      <c r="I1931" s="46"/>
      <c r="J1931" s="46"/>
      <c r="K1931" s="46"/>
      <c r="L1931" s="46"/>
      <c r="M1931" s="46"/>
      <c r="N1931" s="46"/>
    </row>
    <row r="1932" spans="1:14">
      <c r="A1932" s="45"/>
      <c r="B1932" s="45"/>
      <c r="C1932" s="46"/>
      <c r="D1932" s="47"/>
      <c r="E1932" s="46"/>
      <c r="F1932" s="46"/>
      <c r="G1932" s="45"/>
      <c r="H1932" s="45"/>
      <c r="I1932" s="46"/>
      <c r="J1932" s="46"/>
      <c r="K1932" s="46"/>
      <c r="L1932" s="46"/>
      <c r="M1932" s="46"/>
      <c r="N1932" s="46"/>
    </row>
    <row r="1933" spans="1:14">
      <c r="A1933" s="45"/>
      <c r="B1933" s="45"/>
      <c r="C1933" s="46"/>
      <c r="D1933" s="47"/>
      <c r="E1933" s="46"/>
      <c r="F1933" s="46"/>
      <c r="G1933" s="45"/>
      <c r="H1933" s="45"/>
      <c r="I1933" s="46"/>
      <c r="J1933" s="46"/>
      <c r="K1933" s="46"/>
      <c r="L1933" s="46"/>
      <c r="M1933" s="46"/>
      <c r="N1933" s="46"/>
    </row>
    <row r="1934" spans="1:14">
      <c r="A1934" s="45"/>
      <c r="B1934" s="45"/>
      <c r="C1934" s="46"/>
      <c r="D1934" s="47"/>
      <c r="E1934" s="46"/>
      <c r="F1934" s="46"/>
      <c r="G1934" s="45"/>
      <c r="H1934" s="45"/>
      <c r="I1934" s="46"/>
      <c r="J1934" s="46"/>
      <c r="K1934" s="46"/>
      <c r="L1934" s="46"/>
      <c r="M1934" s="46"/>
      <c r="N1934" s="46"/>
    </row>
    <row r="1935" spans="1:14">
      <c r="A1935" s="45"/>
      <c r="B1935" s="45"/>
      <c r="C1935" s="46"/>
      <c r="D1935" s="47"/>
      <c r="E1935" s="46"/>
      <c r="F1935" s="46"/>
      <c r="G1935" s="45"/>
      <c r="H1935" s="45"/>
      <c r="I1935" s="46"/>
      <c r="J1935" s="46"/>
      <c r="K1935" s="46"/>
      <c r="L1935" s="46"/>
      <c r="M1935" s="46"/>
      <c r="N1935" s="46"/>
    </row>
    <row r="1936" spans="1:14">
      <c r="A1936" s="45"/>
      <c r="B1936" s="45"/>
      <c r="C1936" s="46"/>
      <c r="D1936" s="47"/>
      <c r="E1936" s="46"/>
      <c r="F1936" s="46"/>
      <c r="G1936" s="45"/>
      <c r="H1936" s="45"/>
      <c r="I1936" s="46"/>
      <c r="J1936" s="46"/>
      <c r="K1936" s="46"/>
      <c r="L1936" s="46"/>
      <c r="M1936" s="46"/>
      <c r="N1936" s="46"/>
    </row>
    <row r="1937" spans="1:14">
      <c r="A1937" s="45"/>
      <c r="B1937" s="45"/>
      <c r="C1937" s="46"/>
      <c r="D1937" s="47"/>
      <c r="E1937" s="46"/>
      <c r="F1937" s="46"/>
      <c r="G1937" s="45"/>
      <c r="H1937" s="45"/>
      <c r="I1937" s="46"/>
      <c r="J1937" s="46"/>
      <c r="K1937" s="46"/>
      <c r="L1937" s="46"/>
      <c r="M1937" s="46"/>
      <c r="N1937" s="46"/>
    </row>
    <row r="1938" spans="1:14">
      <c r="A1938" s="45"/>
      <c r="B1938" s="45"/>
      <c r="C1938" s="46"/>
      <c r="D1938" s="47"/>
      <c r="E1938" s="46"/>
      <c r="F1938" s="46"/>
      <c r="G1938" s="45"/>
      <c r="H1938" s="45"/>
      <c r="I1938" s="46"/>
      <c r="J1938" s="46"/>
      <c r="K1938" s="46"/>
      <c r="L1938" s="46"/>
      <c r="M1938" s="46"/>
      <c r="N1938" s="46"/>
    </row>
    <row r="1939" spans="1:14">
      <c r="A1939" s="45"/>
      <c r="B1939" s="45"/>
      <c r="C1939" s="46"/>
      <c r="D1939" s="47"/>
      <c r="E1939" s="46"/>
      <c r="F1939" s="46"/>
      <c r="G1939" s="45"/>
      <c r="H1939" s="45"/>
      <c r="I1939" s="46"/>
      <c r="J1939" s="46"/>
      <c r="K1939" s="46"/>
      <c r="L1939" s="46"/>
      <c r="M1939" s="46"/>
      <c r="N1939" s="46"/>
    </row>
    <row r="1940" spans="1:14">
      <c r="A1940" s="45"/>
      <c r="B1940" s="45"/>
      <c r="C1940" s="46"/>
      <c r="D1940" s="47"/>
      <c r="E1940" s="46"/>
      <c r="F1940" s="46"/>
      <c r="G1940" s="45"/>
      <c r="H1940" s="45"/>
      <c r="I1940" s="46"/>
      <c r="J1940" s="46"/>
      <c r="K1940" s="46"/>
      <c r="L1940" s="46"/>
      <c r="M1940" s="46"/>
      <c r="N1940" s="46"/>
    </row>
    <row r="1941" spans="1:14">
      <c r="A1941" s="45"/>
      <c r="B1941" s="45"/>
      <c r="C1941" s="46"/>
      <c r="D1941" s="47"/>
      <c r="E1941" s="46"/>
      <c r="F1941" s="46"/>
      <c r="G1941" s="45"/>
      <c r="H1941" s="45"/>
      <c r="I1941" s="46"/>
      <c r="J1941" s="46"/>
      <c r="K1941" s="46"/>
      <c r="L1941" s="46"/>
      <c r="M1941" s="46"/>
      <c r="N1941" s="46"/>
    </row>
    <row r="1942" spans="1:14">
      <c r="A1942" s="45"/>
      <c r="B1942" s="45"/>
      <c r="C1942" s="46"/>
      <c r="D1942" s="47"/>
      <c r="E1942" s="46"/>
      <c r="F1942" s="46"/>
      <c r="G1942" s="45"/>
      <c r="H1942" s="45"/>
      <c r="I1942" s="46"/>
      <c r="J1942" s="46"/>
      <c r="K1942" s="46"/>
      <c r="L1942" s="46"/>
      <c r="M1942" s="46"/>
      <c r="N1942" s="46"/>
    </row>
    <row r="1943" spans="1:14">
      <c r="A1943" s="45"/>
      <c r="B1943" s="45"/>
      <c r="C1943" s="46"/>
      <c r="D1943" s="47"/>
      <c r="E1943" s="46"/>
      <c r="F1943" s="46"/>
      <c r="G1943" s="45"/>
      <c r="H1943" s="45"/>
      <c r="I1943" s="46"/>
      <c r="J1943" s="46"/>
      <c r="K1943" s="46"/>
      <c r="L1943" s="46"/>
      <c r="M1943" s="46"/>
      <c r="N1943" s="46"/>
    </row>
    <row r="1944" spans="1:14">
      <c r="A1944" s="45"/>
      <c r="B1944" s="45"/>
      <c r="C1944" s="46"/>
      <c r="D1944" s="47"/>
      <c r="E1944" s="46"/>
      <c r="F1944" s="46"/>
      <c r="G1944" s="45"/>
      <c r="H1944" s="45"/>
      <c r="I1944" s="46"/>
      <c r="J1944" s="46"/>
      <c r="K1944" s="46"/>
      <c r="L1944" s="46"/>
      <c r="M1944" s="46"/>
      <c r="N1944" s="46"/>
    </row>
    <row r="1945" spans="1:14">
      <c r="A1945" s="45"/>
      <c r="B1945" s="45"/>
      <c r="C1945" s="46"/>
      <c r="D1945" s="47"/>
      <c r="E1945" s="46"/>
      <c r="F1945" s="46"/>
      <c r="G1945" s="45"/>
      <c r="H1945" s="45"/>
      <c r="I1945" s="46"/>
      <c r="J1945" s="46"/>
      <c r="K1945" s="46"/>
      <c r="L1945" s="46"/>
      <c r="M1945" s="46"/>
      <c r="N1945" s="46"/>
    </row>
    <row r="1946" spans="1:14">
      <c r="A1946" s="45"/>
      <c r="B1946" s="45"/>
      <c r="C1946" s="46"/>
      <c r="D1946" s="47"/>
      <c r="E1946" s="46"/>
      <c r="F1946" s="46"/>
      <c r="G1946" s="45"/>
      <c r="H1946" s="45"/>
      <c r="I1946" s="46"/>
      <c r="J1946" s="46"/>
      <c r="K1946" s="46"/>
      <c r="L1946" s="46"/>
      <c r="M1946" s="46"/>
      <c r="N1946" s="46"/>
    </row>
    <row r="1947" spans="1:14">
      <c r="A1947" s="45"/>
      <c r="B1947" s="45"/>
      <c r="C1947" s="46"/>
      <c r="D1947" s="47"/>
      <c r="E1947" s="46"/>
      <c r="F1947" s="46"/>
      <c r="G1947" s="45"/>
      <c r="H1947" s="45"/>
      <c r="I1947" s="46"/>
      <c r="J1947" s="46"/>
      <c r="K1947" s="46"/>
      <c r="L1947" s="46"/>
      <c r="M1947" s="46"/>
      <c r="N1947" s="46"/>
    </row>
    <row r="1948" spans="1:14">
      <c r="A1948" s="45"/>
      <c r="B1948" s="45"/>
      <c r="C1948" s="46"/>
      <c r="D1948" s="47"/>
      <c r="E1948" s="46"/>
      <c r="F1948" s="46"/>
      <c r="G1948" s="45"/>
      <c r="H1948" s="45"/>
      <c r="I1948" s="46"/>
      <c r="J1948" s="46"/>
      <c r="K1948" s="46"/>
      <c r="L1948" s="46"/>
      <c r="M1948" s="46"/>
      <c r="N1948" s="46"/>
    </row>
    <row r="1949" spans="1:14">
      <c r="A1949" s="45"/>
      <c r="B1949" s="45"/>
      <c r="C1949" s="46"/>
      <c r="D1949" s="47"/>
      <c r="E1949" s="46"/>
      <c r="F1949" s="46"/>
      <c r="G1949" s="45"/>
      <c r="H1949" s="45"/>
      <c r="I1949" s="46"/>
      <c r="J1949" s="46"/>
      <c r="K1949" s="46"/>
      <c r="L1949" s="46"/>
      <c r="M1949" s="46"/>
      <c r="N1949" s="46"/>
    </row>
    <row r="1950" spans="1:14">
      <c r="A1950" s="45"/>
      <c r="B1950" s="45"/>
      <c r="C1950" s="46"/>
      <c r="D1950" s="47"/>
      <c r="E1950" s="46"/>
      <c r="F1950" s="46"/>
      <c r="G1950" s="45"/>
      <c r="H1950" s="45"/>
      <c r="I1950" s="46"/>
      <c r="J1950" s="46"/>
      <c r="K1950" s="46"/>
      <c r="L1950" s="46"/>
      <c r="M1950" s="46"/>
      <c r="N1950" s="46"/>
    </row>
    <row r="1951" spans="1:14">
      <c r="A1951" s="45"/>
      <c r="B1951" s="45"/>
      <c r="C1951" s="46"/>
      <c r="D1951" s="47"/>
      <c r="E1951" s="46"/>
      <c r="F1951" s="46"/>
      <c r="G1951" s="45"/>
      <c r="H1951" s="45"/>
      <c r="I1951" s="46"/>
      <c r="J1951" s="46"/>
      <c r="K1951" s="46"/>
      <c r="L1951" s="46"/>
      <c r="M1951" s="46"/>
      <c r="N1951" s="46"/>
    </row>
    <row r="1952" spans="1:14">
      <c r="A1952" s="45"/>
      <c r="B1952" s="45"/>
      <c r="C1952" s="46"/>
      <c r="D1952" s="47"/>
      <c r="E1952" s="46"/>
      <c r="F1952" s="46"/>
      <c r="G1952" s="45"/>
      <c r="H1952" s="45"/>
      <c r="I1952" s="46"/>
      <c r="J1952" s="46"/>
      <c r="K1952" s="46"/>
      <c r="L1952" s="46"/>
      <c r="M1952" s="46"/>
      <c r="N1952" s="46"/>
    </row>
    <row r="1953" spans="1:14">
      <c r="A1953" s="45"/>
      <c r="B1953" s="45"/>
      <c r="C1953" s="46"/>
      <c r="D1953" s="47"/>
      <c r="E1953" s="46"/>
      <c r="F1953" s="46"/>
      <c r="G1953" s="45"/>
      <c r="H1953" s="45"/>
      <c r="I1953" s="46"/>
      <c r="J1953" s="46"/>
      <c r="K1953" s="46"/>
      <c r="L1953" s="46"/>
      <c r="M1953" s="46"/>
      <c r="N1953" s="46"/>
    </row>
    <row r="1954" spans="1:14">
      <c r="A1954" s="45"/>
      <c r="B1954" s="45"/>
      <c r="C1954" s="46"/>
      <c r="D1954" s="47"/>
      <c r="E1954" s="46"/>
      <c r="F1954" s="46"/>
      <c r="G1954" s="45"/>
      <c r="H1954" s="45"/>
      <c r="I1954" s="46"/>
      <c r="J1954" s="46"/>
      <c r="K1954" s="46"/>
      <c r="L1954" s="46"/>
      <c r="M1954" s="46"/>
      <c r="N1954" s="46"/>
    </row>
    <row r="1955" spans="1:14">
      <c r="A1955" s="45"/>
      <c r="B1955" s="45"/>
      <c r="C1955" s="46"/>
      <c r="D1955" s="47"/>
      <c r="E1955" s="46"/>
      <c r="F1955" s="46"/>
      <c r="G1955" s="45"/>
      <c r="H1955" s="45"/>
      <c r="I1955" s="46"/>
      <c r="J1955" s="46"/>
      <c r="K1955" s="46"/>
      <c r="L1955" s="46"/>
      <c r="M1955" s="46"/>
      <c r="N1955" s="46"/>
    </row>
    <row r="1956" spans="1:14">
      <c r="A1956" s="45"/>
      <c r="B1956" s="45"/>
      <c r="C1956" s="46"/>
      <c r="D1956" s="47"/>
      <c r="E1956" s="46"/>
      <c r="F1956" s="46"/>
      <c r="G1956" s="45"/>
      <c r="H1956" s="45"/>
      <c r="I1956" s="46"/>
      <c r="J1956" s="46"/>
      <c r="K1956" s="46"/>
      <c r="L1956" s="46"/>
      <c r="M1956" s="46"/>
      <c r="N1956" s="46"/>
    </row>
    <row r="1957" spans="1:14">
      <c r="A1957" s="45"/>
      <c r="B1957" s="45"/>
      <c r="C1957" s="46"/>
      <c r="D1957" s="47"/>
      <c r="E1957" s="46"/>
      <c r="F1957" s="46"/>
      <c r="G1957" s="45"/>
      <c r="H1957" s="45"/>
      <c r="I1957" s="46"/>
      <c r="J1957" s="46"/>
      <c r="K1957" s="46"/>
      <c r="L1957" s="46"/>
      <c r="M1957" s="46"/>
      <c r="N1957" s="46"/>
    </row>
    <row r="1958" spans="1:14">
      <c r="A1958" s="45"/>
      <c r="B1958" s="45"/>
      <c r="C1958" s="46"/>
      <c r="D1958" s="47"/>
      <c r="E1958" s="46"/>
      <c r="F1958" s="46"/>
      <c r="G1958" s="45"/>
      <c r="H1958" s="45"/>
      <c r="I1958" s="46"/>
      <c r="J1958" s="46"/>
      <c r="K1958" s="46"/>
      <c r="L1958" s="46"/>
      <c r="M1958" s="46"/>
      <c r="N1958" s="46"/>
    </row>
    <row r="1959" spans="1:14">
      <c r="A1959" s="45"/>
      <c r="B1959" s="45"/>
      <c r="C1959" s="46"/>
      <c r="D1959" s="47"/>
      <c r="E1959" s="46"/>
      <c r="F1959" s="46"/>
      <c r="G1959" s="45"/>
      <c r="H1959" s="45"/>
      <c r="I1959" s="46"/>
      <c r="J1959" s="46"/>
      <c r="K1959" s="46"/>
      <c r="L1959" s="46"/>
      <c r="M1959" s="46"/>
      <c r="N1959" s="46"/>
    </row>
    <row r="1960" spans="1:14">
      <c r="A1960" s="45"/>
      <c r="B1960" s="45"/>
      <c r="C1960" s="46"/>
      <c r="D1960" s="47"/>
      <c r="E1960" s="46"/>
      <c r="F1960" s="46"/>
      <c r="G1960" s="45"/>
      <c r="H1960" s="45"/>
      <c r="I1960" s="46"/>
      <c r="J1960" s="46"/>
      <c r="K1960" s="46"/>
      <c r="L1960" s="46"/>
      <c r="M1960" s="46"/>
      <c r="N1960" s="46"/>
    </row>
    <row r="1961" spans="1:14">
      <c r="A1961" s="45"/>
      <c r="B1961" s="45"/>
      <c r="C1961" s="46"/>
      <c r="D1961" s="47"/>
      <c r="E1961" s="46"/>
      <c r="F1961" s="46"/>
      <c r="G1961" s="45"/>
      <c r="H1961" s="45"/>
      <c r="I1961" s="46"/>
      <c r="J1961" s="46"/>
      <c r="K1961" s="46"/>
      <c r="L1961" s="46"/>
      <c r="M1961" s="46"/>
      <c r="N1961" s="46"/>
    </row>
    <row r="1962" spans="1:14">
      <c r="A1962" s="45"/>
      <c r="B1962" s="45"/>
      <c r="C1962" s="46"/>
      <c r="D1962" s="47"/>
      <c r="E1962" s="46"/>
      <c r="F1962" s="46"/>
      <c r="G1962" s="45"/>
      <c r="H1962" s="45"/>
      <c r="I1962" s="46"/>
      <c r="J1962" s="46"/>
      <c r="K1962" s="46"/>
      <c r="L1962" s="46"/>
      <c r="M1962" s="46"/>
      <c r="N1962" s="46"/>
    </row>
    <row r="1963" spans="1:14">
      <c r="A1963" s="45"/>
      <c r="B1963" s="45"/>
      <c r="C1963" s="46"/>
      <c r="D1963" s="47"/>
      <c r="E1963" s="46"/>
      <c r="F1963" s="46"/>
      <c r="G1963" s="45"/>
      <c r="H1963" s="45"/>
      <c r="I1963" s="46"/>
      <c r="J1963" s="46"/>
      <c r="K1963" s="46"/>
      <c r="L1963" s="46"/>
      <c r="M1963" s="46"/>
      <c r="N1963" s="46"/>
    </row>
    <row r="1964" spans="1:14">
      <c r="A1964" s="45"/>
      <c r="B1964" s="45"/>
      <c r="C1964" s="46"/>
      <c r="D1964" s="47"/>
      <c r="E1964" s="46"/>
      <c r="F1964" s="46"/>
      <c r="G1964" s="45"/>
      <c r="H1964" s="45"/>
      <c r="I1964" s="46"/>
      <c r="J1964" s="46"/>
      <c r="K1964" s="46"/>
      <c r="L1964" s="46"/>
      <c r="M1964" s="46"/>
      <c r="N1964" s="46"/>
    </row>
    <row r="1965" spans="1:14">
      <c r="A1965" s="45"/>
      <c r="B1965" s="45"/>
      <c r="C1965" s="46"/>
      <c r="D1965" s="47"/>
      <c r="E1965" s="46"/>
      <c r="F1965" s="46"/>
      <c r="G1965" s="45"/>
      <c r="H1965" s="45"/>
      <c r="I1965" s="46"/>
      <c r="J1965" s="46"/>
      <c r="K1965" s="46"/>
      <c r="L1965" s="46"/>
      <c r="M1965" s="46"/>
      <c r="N1965" s="46"/>
    </row>
    <row r="1966" spans="1:14">
      <c r="A1966" s="45"/>
      <c r="B1966" s="45"/>
      <c r="C1966" s="46"/>
      <c r="D1966" s="47"/>
      <c r="E1966" s="46"/>
      <c r="F1966" s="46"/>
      <c r="G1966" s="45"/>
      <c r="H1966" s="45"/>
      <c r="I1966" s="46"/>
      <c r="J1966" s="46"/>
      <c r="K1966" s="46"/>
      <c r="L1966" s="46"/>
      <c r="M1966" s="46"/>
      <c r="N1966" s="46"/>
    </row>
    <row r="1967" spans="1:14">
      <c r="A1967" s="45"/>
      <c r="B1967" s="45"/>
      <c r="C1967" s="46"/>
      <c r="D1967" s="47"/>
      <c r="E1967" s="46"/>
      <c r="F1967" s="46"/>
      <c r="G1967" s="45"/>
      <c r="H1967" s="45"/>
      <c r="I1967" s="46"/>
      <c r="J1967" s="46"/>
      <c r="K1967" s="46"/>
      <c r="L1967" s="46"/>
      <c r="M1967" s="46"/>
      <c r="N1967" s="46"/>
    </row>
    <row r="1968" spans="1:14">
      <c r="A1968" s="45"/>
      <c r="B1968" s="45"/>
      <c r="C1968" s="46"/>
      <c r="D1968" s="47"/>
      <c r="E1968" s="46"/>
      <c r="F1968" s="46"/>
      <c r="G1968" s="45"/>
      <c r="H1968" s="45"/>
      <c r="I1968" s="46"/>
      <c r="J1968" s="46"/>
      <c r="K1968" s="46"/>
      <c r="L1968" s="46"/>
      <c r="M1968" s="46"/>
      <c r="N1968" s="46"/>
    </row>
    <row r="1969" spans="1:14">
      <c r="A1969" s="45"/>
      <c r="B1969" s="45"/>
      <c r="C1969" s="46"/>
      <c r="D1969" s="47"/>
      <c r="E1969" s="46"/>
      <c r="F1969" s="46"/>
      <c r="G1969" s="45"/>
      <c r="H1969" s="45"/>
      <c r="I1969" s="46"/>
      <c r="J1969" s="46"/>
      <c r="K1969" s="46"/>
      <c r="L1969" s="46"/>
      <c r="M1969" s="46"/>
      <c r="N1969" s="46"/>
    </row>
    <row r="1970" spans="1:14">
      <c r="A1970" s="45"/>
      <c r="B1970" s="45"/>
      <c r="C1970" s="46"/>
      <c r="D1970" s="47"/>
      <c r="E1970" s="46"/>
      <c r="F1970" s="46"/>
      <c r="G1970" s="45"/>
      <c r="H1970" s="45"/>
      <c r="I1970" s="46"/>
      <c r="J1970" s="46"/>
      <c r="K1970" s="46"/>
      <c r="L1970" s="46"/>
      <c r="M1970" s="46"/>
      <c r="N1970" s="46"/>
    </row>
    <row r="1971" spans="1:14">
      <c r="A1971" s="45"/>
      <c r="B1971" s="45"/>
      <c r="C1971" s="46"/>
      <c r="D1971" s="47"/>
      <c r="E1971" s="46"/>
      <c r="F1971" s="46"/>
      <c r="G1971" s="45"/>
      <c r="H1971" s="45"/>
      <c r="I1971" s="46"/>
      <c r="J1971" s="46"/>
      <c r="K1971" s="46"/>
      <c r="L1971" s="46"/>
      <c r="M1971" s="46"/>
      <c r="N1971" s="46"/>
    </row>
    <row r="1972" spans="1:14">
      <c r="A1972" s="45"/>
      <c r="B1972" s="45"/>
      <c r="C1972" s="46"/>
      <c r="D1972" s="47"/>
      <c r="E1972" s="46"/>
      <c r="F1972" s="46"/>
      <c r="G1972" s="45"/>
      <c r="H1972" s="45"/>
      <c r="I1972" s="46"/>
      <c r="J1972" s="46"/>
      <c r="K1972" s="46"/>
      <c r="L1972" s="46"/>
      <c r="M1972" s="46"/>
      <c r="N1972" s="46"/>
    </row>
    <row r="1973" spans="1:14">
      <c r="A1973" s="45"/>
      <c r="B1973" s="45"/>
      <c r="C1973" s="46"/>
      <c r="D1973" s="47"/>
      <c r="E1973" s="46"/>
      <c r="F1973" s="46"/>
      <c r="G1973" s="45"/>
      <c r="H1973" s="45"/>
      <c r="I1973" s="46"/>
      <c r="J1973" s="46"/>
      <c r="K1973" s="46"/>
      <c r="L1973" s="46"/>
      <c r="M1973" s="46"/>
      <c r="N1973" s="46"/>
    </row>
    <row r="1974" spans="1:14">
      <c r="A1974" s="45"/>
      <c r="B1974" s="45"/>
      <c r="C1974" s="46"/>
      <c r="D1974" s="47"/>
      <c r="E1974" s="46"/>
      <c r="F1974" s="46"/>
      <c r="G1974" s="45"/>
      <c r="H1974" s="45"/>
      <c r="I1974" s="46"/>
      <c r="J1974" s="46"/>
      <c r="K1974" s="46"/>
      <c r="L1974" s="46"/>
      <c r="M1974" s="46"/>
      <c r="N1974" s="46"/>
    </row>
    <row r="1975" spans="1:14">
      <c r="A1975" s="45"/>
      <c r="B1975" s="45"/>
      <c r="C1975" s="46"/>
      <c r="D1975" s="47"/>
      <c r="E1975" s="46"/>
      <c r="F1975" s="46"/>
      <c r="G1975" s="45"/>
      <c r="H1975" s="45"/>
      <c r="I1975" s="46"/>
      <c r="J1975" s="46"/>
      <c r="K1975" s="46"/>
      <c r="L1975" s="46"/>
      <c r="M1975" s="46"/>
      <c r="N1975" s="46"/>
    </row>
    <row r="1976" spans="1:14">
      <c r="A1976" s="45"/>
      <c r="B1976" s="45"/>
      <c r="C1976" s="46"/>
      <c r="D1976" s="47"/>
      <c r="E1976" s="46"/>
      <c r="F1976" s="46"/>
      <c r="G1976" s="45"/>
      <c r="H1976" s="45"/>
      <c r="I1976" s="46"/>
      <c r="J1976" s="46"/>
      <c r="K1976" s="46"/>
      <c r="L1976" s="46"/>
      <c r="M1976" s="46"/>
      <c r="N1976" s="46"/>
    </row>
    <row r="1977" spans="1:14">
      <c r="A1977" s="45"/>
      <c r="B1977" s="45"/>
      <c r="C1977" s="46"/>
      <c r="D1977" s="47"/>
      <c r="E1977" s="46"/>
      <c r="F1977" s="46"/>
      <c r="G1977" s="45"/>
      <c r="H1977" s="45"/>
      <c r="I1977" s="46"/>
      <c r="J1977" s="46"/>
      <c r="K1977" s="46"/>
      <c r="L1977" s="46"/>
      <c r="M1977" s="46"/>
      <c r="N1977" s="46"/>
    </row>
    <row r="1978" spans="1:14">
      <c r="A1978" s="45"/>
      <c r="B1978" s="45"/>
      <c r="C1978" s="46"/>
      <c r="D1978" s="47"/>
      <c r="E1978" s="46"/>
      <c r="F1978" s="46"/>
      <c r="G1978" s="45"/>
      <c r="H1978" s="45"/>
      <c r="I1978" s="46"/>
      <c r="J1978" s="46"/>
      <c r="K1978" s="46"/>
      <c r="L1978" s="46"/>
      <c r="M1978" s="46"/>
      <c r="N1978" s="46"/>
    </row>
    <row r="1979" spans="1:14">
      <c r="A1979" s="45"/>
      <c r="B1979" s="45"/>
      <c r="C1979" s="46"/>
      <c r="D1979" s="47"/>
      <c r="E1979" s="46"/>
      <c r="F1979" s="46"/>
      <c r="G1979" s="45"/>
      <c r="H1979" s="45"/>
      <c r="I1979" s="46"/>
      <c r="J1979" s="46"/>
      <c r="K1979" s="46"/>
      <c r="L1979" s="46"/>
      <c r="M1979" s="46"/>
      <c r="N1979" s="46"/>
    </row>
    <row r="1980" spans="1:14">
      <c r="A1980" s="45"/>
      <c r="B1980" s="45"/>
      <c r="C1980" s="46"/>
      <c r="D1980" s="47"/>
      <c r="E1980" s="46"/>
      <c r="F1980" s="46"/>
      <c r="G1980" s="45"/>
      <c r="H1980" s="45"/>
      <c r="I1980" s="46"/>
      <c r="J1980" s="46"/>
      <c r="K1980" s="46"/>
      <c r="L1980" s="46"/>
      <c r="M1980" s="46"/>
      <c r="N1980" s="46"/>
    </row>
    <row r="1981" spans="1:14">
      <c r="A1981" s="45"/>
      <c r="B1981" s="45"/>
      <c r="C1981" s="46"/>
      <c r="D1981" s="47"/>
      <c r="E1981" s="46"/>
      <c r="F1981" s="46"/>
      <c r="G1981" s="45"/>
      <c r="H1981" s="45"/>
      <c r="I1981" s="46"/>
      <c r="J1981" s="46"/>
      <c r="K1981" s="46"/>
      <c r="L1981" s="46"/>
      <c r="M1981" s="46"/>
      <c r="N1981" s="46"/>
    </row>
    <row r="1982" spans="1:14">
      <c r="A1982" s="45"/>
      <c r="B1982" s="45"/>
      <c r="C1982" s="46"/>
      <c r="D1982" s="47"/>
      <c r="E1982" s="46"/>
      <c r="F1982" s="46"/>
      <c r="G1982" s="45"/>
      <c r="H1982" s="45"/>
      <c r="I1982" s="46"/>
      <c r="J1982" s="46"/>
      <c r="K1982" s="46"/>
      <c r="L1982" s="46"/>
      <c r="M1982" s="46"/>
      <c r="N1982" s="46"/>
    </row>
    <row r="1983" spans="1:14">
      <c r="A1983" s="45"/>
      <c r="B1983" s="45"/>
      <c r="C1983" s="46"/>
      <c r="D1983" s="47"/>
      <c r="E1983" s="46"/>
      <c r="F1983" s="46"/>
      <c r="G1983" s="45"/>
      <c r="H1983" s="45"/>
      <c r="I1983" s="46"/>
      <c r="J1983" s="46"/>
      <c r="K1983" s="46"/>
      <c r="L1983" s="46"/>
      <c r="M1983" s="46"/>
      <c r="N1983" s="46"/>
    </row>
    <row r="1984" spans="1:14">
      <c r="A1984" s="45"/>
      <c r="B1984" s="45"/>
      <c r="C1984" s="46"/>
      <c r="D1984" s="47"/>
      <c r="E1984" s="46"/>
      <c r="F1984" s="46"/>
      <c r="G1984" s="45"/>
      <c r="H1984" s="45"/>
      <c r="I1984" s="46"/>
      <c r="J1984" s="46"/>
      <c r="K1984" s="46"/>
      <c r="L1984" s="46"/>
      <c r="M1984" s="46"/>
      <c r="N1984" s="46"/>
    </row>
    <row r="1985" spans="1:14">
      <c r="A1985" s="45"/>
      <c r="B1985" s="45"/>
      <c r="C1985" s="46"/>
      <c r="D1985" s="47"/>
      <c r="E1985" s="46"/>
      <c r="F1985" s="46"/>
      <c r="G1985" s="45"/>
      <c r="H1985" s="45"/>
      <c r="I1985" s="46"/>
      <c r="J1985" s="46"/>
      <c r="K1985" s="46"/>
      <c r="L1985" s="46"/>
      <c r="M1985" s="46"/>
      <c r="N1985" s="46"/>
    </row>
    <row r="1986" spans="1:14">
      <c r="A1986" s="45"/>
      <c r="B1986" s="45"/>
      <c r="C1986" s="46"/>
      <c r="D1986" s="47"/>
      <c r="E1986" s="46"/>
      <c r="F1986" s="46"/>
      <c r="G1986" s="45"/>
      <c r="H1986" s="45"/>
      <c r="I1986" s="46"/>
      <c r="J1986" s="46"/>
      <c r="K1986" s="46"/>
      <c r="L1986" s="46"/>
      <c r="M1986" s="46"/>
      <c r="N1986" s="46"/>
    </row>
    <row r="1987" spans="1:14">
      <c r="A1987" s="45"/>
      <c r="B1987" s="45"/>
      <c r="C1987" s="46"/>
      <c r="D1987" s="47"/>
      <c r="E1987" s="46"/>
      <c r="F1987" s="46"/>
      <c r="G1987" s="45"/>
      <c r="H1987" s="45"/>
      <c r="I1987" s="46"/>
      <c r="J1987" s="46"/>
      <c r="K1987" s="46"/>
      <c r="L1987" s="46"/>
      <c r="M1987" s="46"/>
      <c r="N1987" s="46"/>
    </row>
    <row r="1988" spans="1:14">
      <c r="A1988" s="45"/>
      <c r="B1988" s="45"/>
      <c r="C1988" s="46"/>
      <c r="D1988" s="47"/>
      <c r="E1988" s="46"/>
      <c r="F1988" s="46"/>
      <c r="G1988" s="45"/>
      <c r="H1988" s="45"/>
      <c r="I1988" s="46"/>
      <c r="J1988" s="46"/>
      <c r="K1988" s="46"/>
      <c r="L1988" s="46"/>
      <c r="M1988" s="46"/>
      <c r="N1988" s="46"/>
    </row>
    <row r="1989" spans="1:14">
      <c r="A1989" s="45"/>
      <c r="B1989" s="45"/>
      <c r="C1989" s="46"/>
      <c r="D1989" s="47"/>
      <c r="E1989" s="46"/>
      <c r="F1989" s="46"/>
      <c r="G1989" s="45"/>
      <c r="H1989" s="45"/>
      <c r="I1989" s="46"/>
      <c r="J1989" s="46"/>
      <c r="K1989" s="46"/>
      <c r="L1989" s="46"/>
      <c r="M1989" s="46"/>
      <c r="N1989" s="46"/>
    </row>
    <row r="1990" spans="1:14">
      <c r="A1990" s="45"/>
      <c r="B1990" s="45"/>
      <c r="C1990" s="46"/>
      <c r="D1990" s="47"/>
      <c r="E1990" s="46"/>
      <c r="F1990" s="46"/>
      <c r="G1990" s="45"/>
      <c r="H1990" s="45"/>
      <c r="I1990" s="46"/>
      <c r="J1990" s="46"/>
      <c r="K1990" s="46"/>
      <c r="L1990" s="46"/>
      <c r="M1990" s="46"/>
      <c r="N1990" s="46"/>
    </row>
    <row r="1991" spans="1:14">
      <c r="A1991" s="45"/>
      <c r="B1991" s="45"/>
      <c r="C1991" s="46"/>
      <c r="D1991" s="47"/>
      <c r="E1991" s="46"/>
      <c r="F1991" s="46"/>
      <c r="G1991" s="45"/>
      <c r="H1991" s="45"/>
      <c r="I1991" s="46"/>
      <c r="J1991" s="46"/>
      <c r="K1991" s="46"/>
      <c r="L1991" s="46"/>
      <c r="M1991" s="46"/>
      <c r="N1991" s="46"/>
    </row>
    <row r="1992" spans="1:14">
      <c r="A1992" s="45"/>
      <c r="B1992" s="45"/>
      <c r="C1992" s="46"/>
      <c r="D1992" s="47"/>
      <c r="E1992" s="46"/>
      <c r="F1992" s="46"/>
      <c r="G1992" s="45"/>
      <c r="H1992" s="45"/>
      <c r="I1992" s="46"/>
      <c r="J1992" s="46"/>
      <c r="K1992" s="46"/>
      <c r="L1992" s="46"/>
      <c r="M1992" s="46"/>
      <c r="N1992" s="46"/>
    </row>
    <row r="1993" spans="1:14">
      <c r="A1993" s="45"/>
      <c r="B1993" s="45"/>
      <c r="C1993" s="46"/>
      <c r="D1993" s="47"/>
      <c r="E1993" s="46"/>
      <c r="F1993" s="46"/>
      <c r="G1993" s="45"/>
      <c r="H1993" s="45"/>
      <c r="I1993" s="46"/>
      <c r="J1993" s="46"/>
      <c r="K1993" s="46"/>
      <c r="L1993" s="46"/>
      <c r="M1993" s="46"/>
      <c r="N1993" s="46"/>
    </row>
    <row r="1994" spans="1:14">
      <c r="A1994" s="45"/>
      <c r="B1994" s="45"/>
      <c r="C1994" s="46"/>
      <c r="D1994" s="47"/>
      <c r="E1994" s="46"/>
      <c r="F1994" s="46"/>
      <c r="G1994" s="45"/>
      <c r="H1994" s="45"/>
      <c r="I1994" s="46"/>
      <c r="J1994" s="46"/>
      <c r="K1994" s="46"/>
      <c r="L1994" s="46"/>
      <c r="M1994" s="46"/>
      <c r="N1994" s="46"/>
    </row>
    <row r="1995" spans="1:14">
      <c r="A1995" s="45"/>
      <c r="B1995" s="45"/>
      <c r="C1995" s="46"/>
      <c r="D1995" s="47"/>
      <c r="E1995" s="46"/>
      <c r="F1995" s="46"/>
      <c r="G1995" s="45"/>
      <c r="H1995" s="45"/>
      <c r="I1995" s="46"/>
      <c r="J1995" s="46"/>
      <c r="K1995" s="46"/>
      <c r="L1995" s="46"/>
      <c r="M1995" s="46"/>
      <c r="N1995" s="46"/>
    </row>
    <row r="1996" spans="1:14">
      <c r="A1996" s="45"/>
      <c r="B1996" s="45"/>
      <c r="C1996" s="46"/>
      <c r="D1996" s="47"/>
      <c r="E1996" s="46"/>
      <c r="F1996" s="46"/>
      <c r="G1996" s="45"/>
      <c r="H1996" s="45"/>
      <c r="I1996" s="46"/>
      <c r="J1996" s="46"/>
      <c r="K1996" s="46"/>
      <c r="L1996" s="46"/>
      <c r="M1996" s="46"/>
      <c r="N1996" s="46"/>
    </row>
    <row r="1997" spans="1:14">
      <c r="A1997" s="45"/>
      <c r="B1997" s="45"/>
      <c r="C1997" s="46"/>
      <c r="D1997" s="47"/>
      <c r="E1997" s="46"/>
      <c r="F1997" s="46"/>
      <c r="G1997" s="45"/>
      <c r="H1997" s="45"/>
      <c r="I1997" s="46"/>
      <c r="J1997" s="46"/>
      <c r="K1997" s="46"/>
      <c r="L1997" s="46"/>
      <c r="M1997" s="46"/>
      <c r="N1997" s="46"/>
    </row>
    <row r="1998" spans="1:14">
      <c r="A1998" s="45"/>
      <c r="B1998" s="45"/>
      <c r="C1998" s="46"/>
      <c r="D1998" s="47"/>
      <c r="E1998" s="46"/>
      <c r="F1998" s="46"/>
      <c r="G1998" s="45"/>
      <c r="H1998" s="45"/>
      <c r="I1998" s="46"/>
      <c r="J1998" s="46"/>
      <c r="K1998" s="46"/>
      <c r="L1998" s="46"/>
      <c r="M1998" s="46"/>
      <c r="N1998" s="46"/>
    </row>
    <row r="1999" spans="1:14">
      <c r="A1999" s="45"/>
      <c r="B1999" s="45"/>
      <c r="C1999" s="46"/>
      <c r="D1999" s="47"/>
      <c r="E1999" s="46"/>
      <c r="F1999" s="46"/>
      <c r="G1999" s="45"/>
      <c r="H1999" s="45"/>
      <c r="I1999" s="46"/>
      <c r="J1999" s="46"/>
      <c r="K1999" s="46"/>
      <c r="L1999" s="46"/>
      <c r="M1999" s="46"/>
      <c r="N1999" s="46"/>
    </row>
    <row r="2000" spans="1:14">
      <c r="A2000" s="45"/>
      <c r="B2000" s="45"/>
      <c r="C2000" s="46"/>
      <c r="D2000" s="47"/>
      <c r="E2000" s="46"/>
      <c r="F2000" s="46"/>
      <c r="G2000" s="45"/>
      <c r="H2000" s="45"/>
      <c r="I2000" s="46"/>
      <c r="J2000" s="46"/>
      <c r="K2000" s="46"/>
      <c r="L2000" s="46"/>
      <c r="M2000" s="46"/>
      <c r="N2000" s="46"/>
    </row>
    <row r="2001" spans="1:14">
      <c r="A2001" s="45"/>
      <c r="B2001" s="45"/>
      <c r="C2001" s="46"/>
      <c r="D2001" s="47"/>
      <c r="E2001" s="46"/>
      <c r="F2001" s="46"/>
      <c r="G2001" s="45"/>
      <c r="H2001" s="45"/>
      <c r="I2001" s="46"/>
      <c r="J2001" s="46"/>
      <c r="K2001" s="46"/>
      <c r="L2001" s="46"/>
      <c r="M2001" s="46"/>
      <c r="N2001" s="46"/>
    </row>
    <row r="2002" spans="1:14">
      <c r="A2002" s="45"/>
      <c r="B2002" s="45"/>
      <c r="C2002" s="46"/>
      <c r="D2002" s="47"/>
      <c r="E2002" s="46"/>
      <c r="F2002" s="46"/>
      <c r="G2002" s="45"/>
      <c r="H2002" s="45"/>
      <c r="I2002" s="46"/>
      <c r="J2002" s="46"/>
      <c r="K2002" s="46"/>
      <c r="L2002" s="46"/>
      <c r="M2002" s="46"/>
      <c r="N2002" s="46"/>
    </row>
    <row r="2003" spans="1:14">
      <c r="A2003" s="45"/>
      <c r="B2003" s="45"/>
      <c r="C2003" s="46"/>
      <c r="D2003" s="47"/>
      <c r="E2003" s="46"/>
      <c r="F2003" s="46"/>
      <c r="G2003" s="45"/>
      <c r="H2003" s="45"/>
      <c r="I2003" s="46"/>
      <c r="J2003" s="46"/>
      <c r="K2003" s="46"/>
      <c r="L2003" s="46"/>
      <c r="M2003" s="46"/>
      <c r="N2003" s="46"/>
    </row>
    <row r="2004" spans="1:14">
      <c r="A2004" s="45"/>
      <c r="B2004" s="45"/>
      <c r="C2004" s="46"/>
      <c r="D2004" s="47"/>
      <c r="E2004" s="46"/>
      <c r="F2004" s="46"/>
      <c r="G2004" s="45"/>
      <c r="H2004" s="45"/>
      <c r="I2004" s="46"/>
      <c r="J2004" s="46"/>
      <c r="K2004" s="46"/>
      <c r="L2004" s="46"/>
      <c r="M2004" s="46"/>
      <c r="N2004" s="46"/>
    </row>
    <row r="2005" spans="1:14">
      <c r="A2005" s="45"/>
      <c r="B2005" s="45"/>
      <c r="C2005" s="46"/>
      <c r="D2005" s="47"/>
      <c r="E2005" s="46"/>
      <c r="F2005" s="46"/>
      <c r="G2005" s="45"/>
      <c r="H2005" s="45"/>
      <c r="I2005" s="46"/>
      <c r="J2005" s="46"/>
      <c r="K2005" s="46"/>
      <c r="L2005" s="46"/>
      <c r="M2005" s="46"/>
      <c r="N2005" s="46"/>
    </row>
    <row r="2006" spans="1:14">
      <c r="A2006" s="45"/>
      <c r="B2006" s="45"/>
      <c r="C2006" s="46"/>
      <c r="D2006" s="47"/>
      <c r="E2006" s="46"/>
      <c r="F2006" s="46"/>
      <c r="G2006" s="45"/>
      <c r="H2006" s="45"/>
      <c r="I2006" s="46"/>
      <c r="J2006" s="46"/>
      <c r="K2006" s="46"/>
      <c r="L2006" s="46"/>
      <c r="M2006" s="46"/>
      <c r="N2006" s="46"/>
    </row>
    <row r="2007" spans="1:14">
      <c r="A2007" s="45"/>
      <c r="B2007" s="45"/>
      <c r="C2007" s="46"/>
      <c r="D2007" s="47"/>
      <c r="E2007" s="46"/>
      <c r="F2007" s="46"/>
      <c r="G2007" s="45"/>
      <c r="H2007" s="45"/>
      <c r="I2007" s="46"/>
      <c r="J2007" s="46"/>
      <c r="K2007" s="46"/>
      <c r="L2007" s="46"/>
      <c r="M2007" s="46"/>
      <c r="N2007" s="46"/>
    </row>
    <row r="2008" spans="1:14">
      <c r="A2008" s="45"/>
      <c r="B2008" s="45"/>
      <c r="C2008" s="46"/>
      <c r="D2008" s="47"/>
      <c r="E2008" s="46"/>
      <c r="F2008" s="46"/>
      <c r="G2008" s="45"/>
      <c r="H2008" s="45"/>
      <c r="I2008" s="46"/>
      <c r="J2008" s="46"/>
      <c r="K2008" s="46"/>
      <c r="L2008" s="46"/>
      <c r="M2008" s="46"/>
      <c r="N2008" s="46"/>
    </row>
    <row r="2009" spans="1:14">
      <c r="A2009" s="45"/>
      <c r="B2009" s="45"/>
      <c r="C2009" s="46"/>
      <c r="D2009" s="47"/>
      <c r="E2009" s="46"/>
      <c r="F2009" s="46"/>
      <c r="G2009" s="45"/>
      <c r="H2009" s="45"/>
      <c r="I2009" s="46"/>
      <c r="J2009" s="46"/>
      <c r="K2009" s="46"/>
      <c r="L2009" s="46"/>
      <c r="M2009" s="46"/>
      <c r="N2009" s="46"/>
    </row>
    <row r="2010" spans="1:14">
      <c r="A2010" s="45"/>
      <c r="B2010" s="45"/>
      <c r="C2010" s="46"/>
      <c r="D2010" s="47"/>
      <c r="E2010" s="46"/>
      <c r="F2010" s="46"/>
      <c r="G2010" s="45"/>
      <c r="H2010" s="45"/>
      <c r="I2010" s="46"/>
      <c r="J2010" s="46"/>
      <c r="K2010" s="46"/>
      <c r="L2010" s="46"/>
      <c r="M2010" s="46"/>
      <c r="N2010" s="46"/>
    </row>
    <row r="2011" spans="1:14">
      <c r="A2011" s="45"/>
      <c r="B2011" s="45"/>
      <c r="C2011" s="46"/>
      <c r="D2011" s="47"/>
      <c r="E2011" s="46"/>
      <c r="F2011" s="46"/>
      <c r="G2011" s="45"/>
      <c r="H2011" s="45"/>
      <c r="I2011" s="46"/>
      <c r="J2011" s="46"/>
      <c r="K2011" s="46"/>
      <c r="L2011" s="46"/>
      <c r="M2011" s="46"/>
      <c r="N2011" s="46"/>
    </row>
    <row r="2012" spans="1:14">
      <c r="A2012" s="45"/>
      <c r="B2012" s="45"/>
      <c r="C2012" s="46"/>
      <c r="D2012" s="47"/>
      <c r="E2012" s="46"/>
      <c r="F2012" s="46"/>
      <c r="G2012" s="45"/>
      <c r="H2012" s="45"/>
      <c r="I2012" s="46"/>
      <c r="J2012" s="46"/>
      <c r="K2012" s="46"/>
      <c r="L2012" s="46"/>
      <c r="M2012" s="46"/>
      <c r="N2012" s="46"/>
    </row>
    <row r="2013" spans="1:14">
      <c r="A2013" s="45"/>
      <c r="B2013" s="45"/>
      <c r="C2013" s="46"/>
      <c r="D2013" s="47"/>
      <c r="E2013" s="46"/>
      <c r="F2013" s="46"/>
      <c r="G2013" s="45"/>
      <c r="H2013" s="45"/>
      <c r="I2013" s="46"/>
      <c r="J2013" s="46"/>
      <c r="K2013" s="46"/>
      <c r="L2013" s="46"/>
      <c r="M2013" s="46"/>
      <c r="N2013" s="46"/>
    </row>
    <row r="2014" spans="1:14">
      <c r="A2014" s="45"/>
      <c r="B2014" s="45"/>
      <c r="C2014" s="46"/>
      <c r="D2014" s="47"/>
      <c r="E2014" s="46"/>
      <c r="F2014" s="46"/>
      <c r="G2014" s="45"/>
      <c r="H2014" s="45"/>
      <c r="I2014" s="46"/>
      <c r="J2014" s="46"/>
      <c r="K2014" s="46"/>
      <c r="L2014" s="46"/>
      <c r="M2014" s="46"/>
      <c r="N2014" s="46"/>
    </row>
    <row r="2015" spans="1:14">
      <c r="A2015" s="45"/>
      <c r="B2015" s="45"/>
      <c r="C2015" s="46"/>
      <c r="D2015" s="47"/>
      <c r="E2015" s="46"/>
      <c r="F2015" s="46"/>
      <c r="G2015" s="45"/>
      <c r="H2015" s="45"/>
      <c r="I2015" s="46"/>
      <c r="J2015" s="46"/>
      <c r="K2015" s="46"/>
      <c r="L2015" s="46"/>
      <c r="M2015" s="46"/>
      <c r="N2015" s="46"/>
    </row>
    <row r="2016" spans="1:14">
      <c r="A2016" s="45"/>
      <c r="B2016" s="45"/>
      <c r="C2016" s="46"/>
      <c r="D2016" s="47"/>
      <c r="E2016" s="46"/>
      <c r="F2016" s="46"/>
      <c r="G2016" s="45"/>
      <c r="H2016" s="45"/>
      <c r="I2016" s="46"/>
      <c r="J2016" s="46"/>
      <c r="K2016" s="46"/>
      <c r="L2016" s="46"/>
      <c r="M2016" s="46"/>
      <c r="N2016" s="46"/>
    </row>
    <row r="2017" spans="1:14">
      <c r="A2017" s="45"/>
      <c r="B2017" s="45"/>
      <c r="C2017" s="46"/>
      <c r="D2017" s="47"/>
      <c r="E2017" s="46"/>
      <c r="F2017" s="46"/>
      <c r="G2017" s="45"/>
      <c r="H2017" s="45"/>
      <c r="I2017" s="46"/>
      <c r="J2017" s="46"/>
      <c r="K2017" s="46"/>
      <c r="L2017" s="46"/>
      <c r="M2017" s="46"/>
      <c r="N2017" s="46"/>
    </row>
    <row r="2018" spans="1:14">
      <c r="A2018" s="45"/>
      <c r="B2018" s="45"/>
      <c r="C2018" s="46"/>
      <c r="D2018" s="47"/>
      <c r="E2018" s="46"/>
      <c r="F2018" s="46"/>
      <c r="G2018" s="45"/>
      <c r="H2018" s="45"/>
      <c r="I2018" s="46"/>
      <c r="J2018" s="46"/>
      <c r="K2018" s="46"/>
      <c r="L2018" s="46"/>
      <c r="M2018" s="46"/>
      <c r="N2018" s="46"/>
    </row>
    <row r="2019" spans="1:14">
      <c r="A2019" s="45"/>
      <c r="B2019" s="45"/>
      <c r="C2019" s="46"/>
      <c r="D2019" s="47"/>
      <c r="E2019" s="46"/>
      <c r="F2019" s="46"/>
      <c r="G2019" s="45"/>
      <c r="H2019" s="45"/>
      <c r="I2019" s="46"/>
      <c r="J2019" s="46"/>
      <c r="K2019" s="46"/>
      <c r="L2019" s="46"/>
      <c r="M2019" s="46"/>
      <c r="N2019" s="46"/>
    </row>
    <row r="2020" spans="1:14">
      <c r="A2020" s="45"/>
      <c r="B2020" s="45"/>
      <c r="C2020" s="46"/>
      <c r="D2020" s="47"/>
      <c r="E2020" s="46"/>
      <c r="F2020" s="46"/>
      <c r="G2020" s="45"/>
      <c r="H2020" s="45"/>
      <c r="I2020" s="46"/>
      <c r="J2020" s="46"/>
      <c r="K2020" s="46"/>
      <c r="L2020" s="46"/>
      <c r="M2020" s="46"/>
      <c r="N2020" s="46"/>
    </row>
    <row r="2021" spans="1:14">
      <c r="A2021" s="45"/>
      <c r="B2021" s="45"/>
      <c r="C2021" s="46"/>
      <c r="D2021" s="47"/>
      <c r="E2021" s="46"/>
      <c r="F2021" s="46"/>
      <c r="G2021" s="45"/>
      <c r="H2021" s="45"/>
      <c r="I2021" s="46"/>
      <c r="J2021" s="46"/>
      <c r="K2021" s="46"/>
      <c r="L2021" s="46"/>
      <c r="M2021" s="46"/>
      <c r="N2021" s="46"/>
    </row>
    <row r="2022" spans="1:14">
      <c r="A2022" s="45"/>
      <c r="B2022" s="45"/>
      <c r="C2022" s="46"/>
      <c r="D2022" s="47"/>
      <c r="E2022" s="46"/>
      <c r="F2022" s="46"/>
      <c r="G2022" s="45"/>
      <c r="H2022" s="45"/>
      <c r="I2022" s="46"/>
      <c r="J2022" s="46"/>
      <c r="K2022" s="46"/>
      <c r="L2022" s="46"/>
      <c r="M2022" s="46"/>
      <c r="N2022" s="46"/>
    </row>
    <row r="2023" spans="1:14">
      <c r="A2023" s="45"/>
      <c r="B2023" s="45"/>
      <c r="C2023" s="46"/>
      <c r="D2023" s="47"/>
      <c r="E2023" s="46"/>
      <c r="F2023" s="46"/>
      <c r="G2023" s="45"/>
      <c r="H2023" s="45"/>
      <c r="I2023" s="46"/>
      <c r="J2023" s="46"/>
      <c r="K2023" s="46"/>
      <c r="L2023" s="46"/>
      <c r="M2023" s="46"/>
      <c r="N2023" s="46"/>
    </row>
    <row r="2024" spans="1:14">
      <c r="A2024" s="45"/>
      <c r="B2024" s="45"/>
      <c r="C2024" s="46"/>
      <c r="D2024" s="47"/>
      <c r="E2024" s="46"/>
      <c r="F2024" s="46"/>
      <c r="G2024" s="45"/>
      <c r="H2024" s="45"/>
      <c r="I2024" s="46"/>
      <c r="J2024" s="46"/>
      <c r="K2024" s="46"/>
      <c r="L2024" s="46"/>
      <c r="M2024" s="46"/>
      <c r="N2024" s="46"/>
    </row>
    <row r="2025" spans="1:14">
      <c r="A2025" s="45"/>
      <c r="B2025" s="45"/>
      <c r="C2025" s="46"/>
      <c r="D2025" s="47"/>
      <c r="E2025" s="46"/>
      <c r="F2025" s="46"/>
      <c r="G2025" s="45"/>
      <c r="H2025" s="45"/>
      <c r="I2025" s="46"/>
      <c r="J2025" s="46"/>
      <c r="K2025" s="46"/>
      <c r="L2025" s="46"/>
      <c r="M2025" s="46"/>
      <c r="N2025" s="46"/>
    </row>
    <row r="2026" spans="1:14">
      <c r="A2026" s="45"/>
      <c r="B2026" s="45"/>
      <c r="C2026" s="46"/>
      <c r="D2026" s="47"/>
      <c r="E2026" s="46"/>
      <c r="F2026" s="46"/>
      <c r="G2026" s="45"/>
      <c r="H2026" s="45"/>
      <c r="I2026" s="46"/>
      <c r="J2026" s="46"/>
      <c r="K2026" s="46"/>
      <c r="L2026" s="46"/>
      <c r="M2026" s="46"/>
      <c r="N2026" s="46"/>
    </row>
    <row r="2027" spans="1:14">
      <c r="A2027" s="45"/>
      <c r="B2027" s="45"/>
      <c r="C2027" s="46"/>
      <c r="D2027" s="47"/>
      <c r="E2027" s="46"/>
      <c r="F2027" s="46"/>
      <c r="G2027" s="45"/>
      <c r="H2027" s="45"/>
      <c r="I2027" s="46"/>
      <c r="J2027" s="46"/>
      <c r="K2027" s="46"/>
      <c r="L2027" s="46"/>
      <c r="M2027" s="46"/>
      <c r="N2027" s="46"/>
    </row>
    <row r="2028" spans="1:14">
      <c r="A2028" s="45"/>
      <c r="B2028" s="45"/>
      <c r="C2028" s="46"/>
      <c r="D2028" s="47"/>
      <c r="E2028" s="46"/>
      <c r="F2028" s="46"/>
      <c r="G2028" s="45"/>
      <c r="H2028" s="45"/>
      <c r="I2028" s="46"/>
      <c r="J2028" s="46"/>
      <c r="K2028" s="46"/>
      <c r="L2028" s="46"/>
      <c r="M2028" s="46"/>
      <c r="N2028" s="46"/>
    </row>
    <row r="2029" spans="1:14">
      <c r="A2029" s="45"/>
      <c r="B2029" s="45"/>
      <c r="C2029" s="46"/>
      <c r="D2029" s="47"/>
      <c r="E2029" s="46"/>
      <c r="F2029" s="46"/>
      <c r="G2029" s="45"/>
      <c r="H2029" s="45"/>
      <c r="I2029" s="46"/>
      <c r="J2029" s="46"/>
      <c r="K2029" s="46"/>
      <c r="L2029" s="46"/>
      <c r="M2029" s="46"/>
      <c r="N2029" s="46"/>
    </row>
    <row r="2030" spans="1:14">
      <c r="A2030" s="45"/>
      <c r="B2030" s="45"/>
      <c r="C2030" s="46"/>
      <c r="D2030" s="47"/>
      <c r="E2030" s="46"/>
      <c r="F2030" s="46"/>
      <c r="G2030" s="45"/>
      <c r="H2030" s="45"/>
      <c r="I2030" s="46"/>
      <c r="J2030" s="46"/>
      <c r="K2030" s="46"/>
      <c r="L2030" s="46"/>
      <c r="M2030" s="46"/>
      <c r="N2030" s="46"/>
    </row>
    <row r="2031" spans="1:14">
      <c r="A2031" s="45"/>
      <c r="B2031" s="45"/>
      <c r="C2031" s="46"/>
      <c r="D2031" s="47"/>
      <c r="E2031" s="46"/>
      <c r="F2031" s="46"/>
      <c r="G2031" s="45"/>
      <c r="H2031" s="45"/>
      <c r="I2031" s="46"/>
      <c r="J2031" s="46"/>
      <c r="K2031" s="46"/>
      <c r="L2031" s="46"/>
      <c r="M2031" s="46"/>
      <c r="N2031" s="46"/>
    </row>
    <row r="2032" spans="1:14">
      <c r="A2032" s="45"/>
      <c r="B2032" s="45"/>
      <c r="C2032" s="46"/>
      <c r="D2032" s="47"/>
      <c r="E2032" s="46"/>
      <c r="F2032" s="46"/>
      <c r="G2032" s="45"/>
      <c r="H2032" s="45"/>
      <c r="I2032" s="46"/>
      <c r="J2032" s="46"/>
      <c r="K2032" s="46"/>
      <c r="L2032" s="46"/>
      <c r="M2032" s="46"/>
      <c r="N2032" s="46"/>
    </row>
    <row r="2033" spans="1:14">
      <c r="A2033" s="45"/>
      <c r="B2033" s="45"/>
      <c r="C2033" s="46"/>
      <c r="D2033" s="47"/>
      <c r="E2033" s="46"/>
      <c r="F2033" s="46"/>
      <c r="G2033" s="45"/>
      <c r="H2033" s="45"/>
      <c r="I2033" s="46"/>
      <c r="J2033" s="46"/>
      <c r="K2033" s="46"/>
      <c r="L2033" s="46"/>
      <c r="M2033" s="46"/>
      <c r="N2033" s="46"/>
    </row>
    <row r="2034" spans="1:14">
      <c r="A2034" s="45"/>
      <c r="B2034" s="45"/>
      <c r="C2034" s="46"/>
      <c r="D2034" s="47"/>
      <c r="E2034" s="46"/>
      <c r="F2034" s="46"/>
      <c r="G2034" s="45"/>
      <c r="H2034" s="45"/>
      <c r="I2034" s="46"/>
      <c r="J2034" s="46"/>
      <c r="K2034" s="46"/>
      <c r="L2034" s="46"/>
      <c r="M2034" s="46"/>
      <c r="N2034" s="46"/>
    </row>
    <row r="2035" spans="1:14">
      <c r="A2035" s="45"/>
      <c r="B2035" s="45"/>
      <c r="C2035" s="46"/>
      <c r="D2035" s="47"/>
      <c r="E2035" s="46"/>
      <c r="F2035" s="46"/>
      <c r="G2035" s="45"/>
      <c r="H2035" s="45"/>
      <c r="I2035" s="46"/>
      <c r="J2035" s="46"/>
      <c r="K2035" s="46"/>
      <c r="L2035" s="46"/>
      <c r="M2035" s="46"/>
      <c r="N2035" s="46"/>
    </row>
    <row r="2036" spans="1:14">
      <c r="A2036" s="45"/>
      <c r="B2036" s="45"/>
      <c r="C2036" s="46"/>
      <c r="D2036" s="47"/>
      <c r="E2036" s="46"/>
      <c r="F2036" s="46"/>
      <c r="G2036" s="45"/>
      <c r="H2036" s="45"/>
      <c r="I2036" s="46"/>
      <c r="J2036" s="46"/>
      <c r="K2036" s="46"/>
      <c r="L2036" s="46"/>
      <c r="M2036" s="46"/>
      <c r="N2036" s="46"/>
    </row>
    <row r="2037" spans="1:14">
      <c r="A2037" s="45"/>
      <c r="B2037" s="45"/>
      <c r="C2037" s="46"/>
      <c r="D2037" s="47"/>
      <c r="E2037" s="46"/>
      <c r="F2037" s="46"/>
      <c r="G2037" s="45"/>
      <c r="H2037" s="45"/>
      <c r="I2037" s="46"/>
      <c r="J2037" s="46"/>
      <c r="K2037" s="46"/>
      <c r="L2037" s="46"/>
      <c r="M2037" s="46"/>
      <c r="N2037" s="46"/>
    </row>
    <row r="2038" spans="1:14">
      <c r="A2038" s="45"/>
      <c r="B2038" s="45"/>
      <c r="C2038" s="46"/>
      <c r="D2038" s="47"/>
      <c r="E2038" s="46"/>
      <c r="F2038" s="46"/>
      <c r="G2038" s="45"/>
      <c r="H2038" s="45"/>
      <c r="I2038" s="46"/>
      <c r="J2038" s="46"/>
      <c r="K2038" s="46"/>
      <c r="L2038" s="46"/>
      <c r="M2038" s="46"/>
      <c r="N2038" s="46"/>
    </row>
    <row r="2039" spans="1:14">
      <c r="A2039" s="45"/>
      <c r="B2039" s="45"/>
      <c r="C2039" s="46"/>
      <c r="D2039" s="47"/>
      <c r="E2039" s="46"/>
      <c r="F2039" s="46"/>
      <c r="G2039" s="45"/>
      <c r="H2039" s="45"/>
      <c r="I2039" s="46"/>
      <c r="J2039" s="46"/>
      <c r="K2039" s="46"/>
      <c r="L2039" s="46"/>
      <c r="M2039" s="46"/>
      <c r="N2039" s="46"/>
    </row>
    <row r="2040" spans="1:14">
      <c r="A2040" s="45"/>
      <c r="B2040" s="45"/>
      <c r="C2040" s="46"/>
      <c r="D2040" s="47"/>
      <c r="E2040" s="46"/>
      <c r="F2040" s="46"/>
      <c r="G2040" s="45"/>
      <c r="H2040" s="45"/>
      <c r="I2040" s="46"/>
      <c r="J2040" s="46"/>
      <c r="K2040" s="46"/>
      <c r="L2040" s="46"/>
      <c r="M2040" s="46"/>
      <c r="N2040" s="46"/>
    </row>
    <row r="2041" spans="1:14">
      <c r="A2041" s="45"/>
      <c r="B2041" s="45"/>
      <c r="C2041" s="46"/>
      <c r="D2041" s="47"/>
      <c r="E2041" s="46"/>
      <c r="F2041" s="46"/>
      <c r="G2041" s="45"/>
      <c r="H2041" s="45"/>
      <c r="I2041" s="46"/>
      <c r="J2041" s="46"/>
      <c r="K2041" s="46"/>
      <c r="L2041" s="46"/>
      <c r="M2041" s="46"/>
      <c r="N2041" s="46"/>
    </row>
    <row r="2042" spans="1:14">
      <c r="A2042" s="45"/>
      <c r="B2042" s="45"/>
      <c r="C2042" s="46"/>
      <c r="D2042" s="47"/>
      <c r="E2042" s="46"/>
      <c r="F2042" s="46"/>
      <c r="G2042" s="45"/>
      <c r="H2042" s="45"/>
      <c r="I2042" s="46"/>
      <c r="J2042" s="46"/>
      <c r="K2042" s="46"/>
      <c r="L2042" s="46"/>
      <c r="M2042" s="46"/>
      <c r="N2042" s="46"/>
    </row>
    <row r="2043" spans="1:14">
      <c r="A2043" s="45"/>
      <c r="B2043" s="45"/>
      <c r="C2043" s="46"/>
      <c r="D2043" s="47"/>
      <c r="E2043" s="46"/>
      <c r="F2043" s="46"/>
      <c r="G2043" s="45"/>
      <c r="H2043" s="45"/>
      <c r="I2043" s="46"/>
      <c r="J2043" s="46"/>
      <c r="K2043" s="46"/>
      <c r="L2043" s="46"/>
      <c r="M2043" s="46"/>
      <c r="N2043" s="46"/>
    </row>
    <row r="2044" spans="1:14">
      <c r="A2044" s="45"/>
      <c r="B2044" s="45"/>
      <c r="C2044" s="46"/>
      <c r="D2044" s="47"/>
      <c r="E2044" s="46"/>
      <c r="F2044" s="46"/>
      <c r="G2044" s="45"/>
      <c r="H2044" s="45"/>
      <c r="I2044" s="46"/>
      <c r="J2044" s="46"/>
      <c r="K2044" s="46"/>
      <c r="L2044" s="46"/>
      <c r="M2044" s="46"/>
      <c r="N2044" s="46"/>
    </row>
    <row r="2045" spans="1:14">
      <c r="A2045" s="45"/>
      <c r="B2045" s="45"/>
      <c r="C2045" s="46"/>
      <c r="D2045" s="47"/>
      <c r="E2045" s="46"/>
      <c r="F2045" s="46"/>
      <c r="G2045" s="45"/>
      <c r="H2045" s="45"/>
      <c r="I2045" s="46"/>
      <c r="J2045" s="46"/>
      <c r="K2045" s="46"/>
      <c r="L2045" s="46"/>
      <c r="M2045" s="46"/>
      <c r="N2045" s="46"/>
    </row>
    <row r="2046" spans="1:14">
      <c r="A2046" s="45"/>
      <c r="B2046" s="45"/>
      <c r="C2046" s="46"/>
      <c r="D2046" s="47"/>
      <c r="E2046" s="46"/>
      <c r="F2046" s="46"/>
      <c r="G2046" s="45"/>
      <c r="H2046" s="45"/>
      <c r="I2046" s="46"/>
      <c r="J2046" s="46"/>
      <c r="K2046" s="46"/>
      <c r="L2046" s="46"/>
      <c r="M2046" s="46"/>
      <c r="N2046" s="46"/>
    </row>
    <row r="2047" spans="1:14">
      <c r="A2047" s="45"/>
      <c r="B2047" s="45"/>
      <c r="C2047" s="46"/>
      <c r="D2047" s="47"/>
      <c r="E2047" s="46"/>
      <c r="F2047" s="46"/>
      <c r="G2047" s="45"/>
      <c r="H2047" s="45"/>
      <c r="I2047" s="46"/>
      <c r="J2047" s="46"/>
      <c r="K2047" s="46"/>
      <c r="L2047" s="46"/>
      <c r="M2047" s="46"/>
      <c r="N2047" s="46"/>
    </row>
    <row r="2048" spans="1:14">
      <c r="A2048" s="45"/>
      <c r="B2048" s="45"/>
      <c r="C2048" s="46"/>
      <c r="D2048" s="47"/>
      <c r="E2048" s="46"/>
      <c r="F2048" s="46"/>
      <c r="G2048" s="45"/>
      <c r="H2048" s="45"/>
      <c r="I2048" s="46"/>
      <c r="J2048" s="46"/>
      <c r="K2048" s="46"/>
      <c r="L2048" s="46"/>
      <c r="M2048" s="46"/>
      <c r="N2048" s="46"/>
    </row>
    <row r="2049" spans="1:14">
      <c r="A2049" s="45"/>
      <c r="B2049" s="45"/>
      <c r="C2049" s="46"/>
      <c r="D2049" s="47"/>
      <c r="E2049" s="46"/>
      <c r="F2049" s="46"/>
      <c r="G2049" s="45"/>
      <c r="H2049" s="45"/>
      <c r="I2049" s="46"/>
      <c r="J2049" s="46"/>
      <c r="K2049" s="46"/>
      <c r="L2049" s="46"/>
      <c r="M2049" s="46"/>
      <c r="N2049" s="46"/>
    </row>
    <row r="2050" spans="1:14">
      <c r="A2050" s="45"/>
      <c r="B2050" s="45"/>
      <c r="C2050" s="46"/>
      <c r="D2050" s="47"/>
      <c r="E2050" s="46"/>
      <c r="F2050" s="46"/>
      <c r="G2050" s="45"/>
      <c r="H2050" s="45"/>
      <c r="I2050" s="46"/>
      <c r="J2050" s="46"/>
      <c r="K2050" s="46"/>
      <c r="L2050" s="46"/>
      <c r="M2050" s="46"/>
      <c r="N2050" s="46"/>
    </row>
    <row r="2051" spans="1:14">
      <c r="A2051" s="45"/>
      <c r="B2051" s="45"/>
      <c r="C2051" s="46"/>
      <c r="D2051" s="47"/>
      <c r="E2051" s="46"/>
      <c r="F2051" s="46"/>
      <c r="G2051" s="45"/>
      <c r="H2051" s="45"/>
      <c r="I2051" s="46"/>
      <c r="J2051" s="46"/>
      <c r="K2051" s="46"/>
      <c r="L2051" s="46"/>
      <c r="M2051" s="46"/>
      <c r="N2051" s="46"/>
    </row>
    <row r="2052" spans="1:14">
      <c r="A2052" s="45"/>
      <c r="B2052" s="45"/>
      <c r="C2052" s="46"/>
      <c r="D2052" s="47"/>
      <c r="E2052" s="46"/>
      <c r="F2052" s="46"/>
      <c r="G2052" s="45"/>
      <c r="H2052" s="45"/>
      <c r="I2052" s="46"/>
      <c r="J2052" s="46"/>
      <c r="K2052" s="46"/>
      <c r="L2052" s="46"/>
      <c r="M2052" s="46"/>
      <c r="N2052" s="46"/>
    </row>
    <row r="2053" spans="1:14">
      <c r="A2053" s="45"/>
      <c r="B2053" s="45"/>
      <c r="C2053" s="46"/>
      <c r="D2053" s="47"/>
      <c r="E2053" s="46"/>
      <c r="F2053" s="46"/>
      <c r="G2053" s="45"/>
      <c r="H2053" s="45"/>
      <c r="I2053" s="46"/>
      <c r="J2053" s="46"/>
      <c r="K2053" s="46"/>
      <c r="L2053" s="46"/>
      <c r="M2053" s="46"/>
      <c r="N2053" s="46"/>
    </row>
    <row r="2054" spans="1:14">
      <c r="A2054" s="45"/>
      <c r="B2054" s="45"/>
      <c r="C2054" s="46"/>
      <c r="D2054" s="47"/>
      <c r="E2054" s="46"/>
      <c r="F2054" s="46"/>
      <c r="G2054" s="45"/>
      <c r="H2054" s="45"/>
      <c r="I2054" s="46"/>
      <c r="J2054" s="46"/>
      <c r="K2054" s="46"/>
      <c r="L2054" s="46"/>
      <c r="M2054" s="46"/>
      <c r="N2054" s="46"/>
    </row>
    <row r="2055" spans="1:14">
      <c r="A2055" s="45"/>
      <c r="B2055" s="45"/>
      <c r="C2055" s="46"/>
      <c r="D2055" s="47"/>
      <c r="E2055" s="46"/>
      <c r="F2055" s="46"/>
      <c r="G2055" s="45"/>
      <c r="H2055" s="45"/>
      <c r="I2055" s="46"/>
      <c r="J2055" s="46"/>
      <c r="K2055" s="46"/>
      <c r="L2055" s="46"/>
      <c r="M2055" s="46"/>
      <c r="N2055" s="46"/>
    </row>
    <row r="2056" spans="1:14">
      <c r="A2056" s="45"/>
      <c r="B2056" s="45"/>
      <c r="C2056" s="46"/>
      <c r="D2056" s="47"/>
      <c r="E2056" s="46"/>
      <c r="F2056" s="46"/>
      <c r="G2056" s="45"/>
      <c r="H2056" s="45"/>
      <c r="I2056" s="46"/>
      <c r="J2056" s="46"/>
      <c r="K2056" s="46"/>
      <c r="L2056" s="46"/>
      <c r="M2056" s="46"/>
      <c r="N2056" s="46"/>
    </row>
    <row r="2057" spans="1:14">
      <c r="A2057" s="45"/>
      <c r="B2057" s="45"/>
      <c r="C2057" s="46"/>
      <c r="D2057" s="47"/>
      <c r="E2057" s="46"/>
      <c r="F2057" s="46"/>
      <c r="G2057" s="45"/>
      <c r="H2057" s="45"/>
      <c r="I2057" s="46"/>
      <c r="J2057" s="46"/>
      <c r="K2057" s="46"/>
      <c r="L2057" s="46"/>
      <c r="M2057" s="46"/>
      <c r="N2057" s="46"/>
    </row>
    <row r="2058" spans="1:14">
      <c r="A2058" s="45"/>
      <c r="B2058" s="45"/>
      <c r="C2058" s="46"/>
      <c r="D2058" s="47"/>
      <c r="E2058" s="46"/>
      <c r="F2058" s="46"/>
      <c r="G2058" s="45"/>
      <c r="H2058" s="45"/>
      <c r="I2058" s="46"/>
      <c r="J2058" s="46"/>
      <c r="K2058" s="46"/>
      <c r="L2058" s="46"/>
      <c r="M2058" s="46"/>
      <c r="N2058" s="46"/>
    </row>
    <row r="2059" spans="1:14">
      <c r="A2059" s="45"/>
      <c r="B2059" s="45"/>
      <c r="C2059" s="46"/>
      <c r="D2059" s="47"/>
      <c r="E2059" s="46"/>
      <c r="F2059" s="46"/>
      <c r="G2059" s="45"/>
      <c r="H2059" s="45"/>
      <c r="I2059" s="46"/>
      <c r="J2059" s="46"/>
      <c r="K2059" s="46"/>
      <c r="L2059" s="46"/>
      <c r="M2059" s="46"/>
      <c r="N2059" s="46"/>
    </row>
    <row r="2060" spans="1:14">
      <c r="A2060" s="45"/>
      <c r="B2060" s="45"/>
      <c r="C2060" s="46"/>
      <c r="D2060" s="47"/>
      <c r="E2060" s="46"/>
      <c r="F2060" s="46"/>
      <c r="G2060" s="45"/>
      <c r="H2060" s="45"/>
      <c r="I2060" s="46"/>
      <c r="J2060" s="46"/>
      <c r="K2060" s="46"/>
      <c r="L2060" s="46"/>
      <c r="M2060" s="46"/>
      <c r="N2060" s="46"/>
    </row>
    <row r="2061" spans="1:14">
      <c r="A2061" s="45"/>
      <c r="B2061" s="45"/>
      <c r="C2061" s="46"/>
      <c r="D2061" s="47"/>
      <c r="E2061" s="46"/>
      <c r="F2061" s="46"/>
      <c r="G2061" s="45"/>
      <c r="H2061" s="45"/>
      <c r="I2061" s="46"/>
      <c r="J2061" s="46"/>
      <c r="K2061" s="46"/>
      <c r="L2061" s="46"/>
      <c r="M2061" s="46"/>
      <c r="N2061" s="46"/>
    </row>
    <row r="2062" spans="1:14">
      <c r="A2062" s="45"/>
      <c r="B2062" s="45"/>
      <c r="C2062" s="46"/>
      <c r="D2062" s="47"/>
      <c r="E2062" s="46"/>
      <c r="F2062" s="46"/>
      <c r="G2062" s="45"/>
      <c r="H2062" s="45"/>
      <c r="I2062" s="46"/>
      <c r="J2062" s="46"/>
      <c r="K2062" s="46"/>
      <c r="L2062" s="46"/>
      <c r="M2062" s="46"/>
      <c r="N2062" s="46"/>
    </row>
    <row r="2063" spans="1:14">
      <c r="A2063" s="45"/>
      <c r="B2063" s="45"/>
      <c r="C2063" s="46"/>
      <c r="D2063" s="47"/>
      <c r="E2063" s="46"/>
      <c r="F2063" s="46"/>
      <c r="G2063" s="45"/>
      <c r="H2063" s="45"/>
      <c r="I2063" s="46"/>
      <c r="J2063" s="46"/>
      <c r="K2063" s="46"/>
      <c r="L2063" s="46"/>
      <c r="M2063" s="46"/>
      <c r="N2063" s="46"/>
    </row>
    <row r="2064" spans="1:14">
      <c r="A2064" s="45"/>
      <c r="B2064" s="45"/>
      <c r="C2064" s="46"/>
      <c r="D2064" s="47"/>
      <c r="E2064" s="46"/>
      <c r="F2064" s="46"/>
      <c r="G2064" s="45"/>
      <c r="H2064" s="45"/>
      <c r="I2064" s="46"/>
      <c r="J2064" s="46"/>
      <c r="K2064" s="46"/>
      <c r="L2064" s="46"/>
      <c r="M2064" s="46"/>
      <c r="N2064" s="46"/>
    </row>
    <row r="2065" spans="1:14">
      <c r="A2065" s="45"/>
      <c r="B2065" s="45"/>
      <c r="C2065" s="46"/>
      <c r="D2065" s="47"/>
      <c r="E2065" s="46"/>
      <c r="F2065" s="46"/>
      <c r="G2065" s="45"/>
      <c r="H2065" s="45"/>
      <c r="I2065" s="46"/>
      <c r="J2065" s="46"/>
      <c r="K2065" s="46"/>
      <c r="L2065" s="46"/>
      <c r="M2065" s="46"/>
      <c r="N2065" s="46"/>
    </row>
    <row r="2066" spans="1:14">
      <c r="A2066" s="45"/>
      <c r="B2066" s="45"/>
      <c r="C2066" s="46"/>
      <c r="D2066" s="47"/>
      <c r="E2066" s="46"/>
      <c r="F2066" s="46"/>
      <c r="G2066" s="45"/>
      <c r="H2066" s="45"/>
      <c r="I2066" s="46"/>
      <c r="J2066" s="46"/>
      <c r="K2066" s="46"/>
      <c r="L2066" s="46"/>
      <c r="M2066" s="46"/>
      <c r="N2066" s="46"/>
    </row>
    <row r="2067" spans="1:14">
      <c r="A2067" s="45"/>
      <c r="B2067" s="45"/>
      <c r="C2067" s="46"/>
      <c r="D2067" s="47"/>
      <c r="E2067" s="46"/>
      <c r="F2067" s="46"/>
      <c r="G2067" s="45"/>
      <c r="H2067" s="45"/>
      <c r="I2067" s="46"/>
      <c r="J2067" s="46"/>
      <c r="K2067" s="46"/>
      <c r="L2067" s="46"/>
      <c r="M2067" s="46"/>
      <c r="N2067" s="46"/>
    </row>
    <row r="2068" spans="1:14">
      <c r="A2068" s="45"/>
      <c r="B2068" s="45"/>
      <c r="C2068" s="46"/>
      <c r="D2068" s="47"/>
      <c r="E2068" s="46"/>
      <c r="F2068" s="46"/>
      <c r="G2068" s="45"/>
      <c r="H2068" s="45"/>
      <c r="I2068" s="46"/>
      <c r="J2068" s="46"/>
      <c r="K2068" s="46"/>
      <c r="L2068" s="46"/>
      <c r="M2068" s="46"/>
      <c r="N2068" s="46"/>
    </row>
    <row r="2069" spans="1:14">
      <c r="A2069" s="45"/>
      <c r="B2069" s="45"/>
      <c r="C2069" s="46"/>
      <c r="D2069" s="47"/>
      <c r="E2069" s="46"/>
      <c r="F2069" s="46"/>
      <c r="G2069" s="45"/>
      <c r="H2069" s="45"/>
      <c r="I2069" s="46"/>
      <c r="J2069" s="46"/>
      <c r="K2069" s="46"/>
      <c r="L2069" s="46"/>
      <c r="M2069" s="46"/>
      <c r="N2069" s="46"/>
    </row>
    <row r="2070" spans="1:14">
      <c r="A2070" s="45"/>
      <c r="B2070" s="45"/>
      <c r="C2070" s="46"/>
      <c r="D2070" s="47"/>
      <c r="E2070" s="46"/>
      <c r="F2070" s="46"/>
      <c r="G2070" s="45"/>
      <c r="H2070" s="45"/>
      <c r="I2070" s="46"/>
      <c r="J2070" s="46"/>
      <c r="K2070" s="46"/>
      <c r="L2070" s="46"/>
      <c r="M2070" s="46"/>
      <c r="N2070" s="46"/>
    </row>
    <row r="2071" spans="1:14">
      <c r="A2071" s="45"/>
      <c r="B2071" s="45"/>
      <c r="C2071" s="46"/>
      <c r="D2071" s="47"/>
      <c r="E2071" s="46"/>
      <c r="F2071" s="46"/>
      <c r="G2071" s="45"/>
      <c r="H2071" s="45"/>
      <c r="I2071" s="46"/>
      <c r="J2071" s="46"/>
      <c r="K2071" s="46"/>
      <c r="L2071" s="46"/>
      <c r="M2071" s="46"/>
      <c r="N2071" s="46"/>
    </row>
    <row r="2072" spans="1:14">
      <c r="A2072" s="45"/>
      <c r="B2072" s="45"/>
      <c r="C2072" s="46"/>
      <c r="D2072" s="47"/>
      <c r="E2072" s="46"/>
      <c r="F2072" s="46"/>
      <c r="G2072" s="45"/>
      <c r="H2072" s="45"/>
      <c r="I2072" s="46"/>
      <c r="J2072" s="46"/>
      <c r="K2072" s="46"/>
      <c r="L2072" s="46"/>
      <c r="M2072" s="46"/>
      <c r="N2072" s="46"/>
    </row>
    <row r="2073" spans="1:14">
      <c r="A2073" s="45"/>
      <c r="B2073" s="45"/>
      <c r="C2073" s="46"/>
      <c r="D2073" s="47"/>
      <c r="E2073" s="46"/>
      <c r="F2073" s="46"/>
      <c r="G2073" s="45"/>
      <c r="H2073" s="45"/>
      <c r="I2073" s="46"/>
      <c r="J2073" s="46"/>
      <c r="K2073" s="46"/>
      <c r="L2073" s="46"/>
      <c r="M2073" s="46"/>
      <c r="N2073" s="46"/>
    </row>
    <row r="2074" spans="1:14">
      <c r="A2074" s="45"/>
      <c r="B2074" s="45"/>
      <c r="H2074" s="45"/>
    </row>
    <row r="2075" spans="1:14">
      <c r="A2075" s="45"/>
      <c r="B2075" s="45"/>
      <c r="H2075" s="45"/>
    </row>
    <row r="2076" spans="1:14">
      <c r="A2076" s="45"/>
      <c r="B2076" s="45"/>
      <c r="H2076" s="45"/>
    </row>
    <row r="2077" spans="1:14">
      <c r="A2077" s="45"/>
      <c r="B2077" s="45"/>
      <c r="H2077" s="45"/>
    </row>
    <row r="2078" spans="1:14">
      <c r="A2078" s="45"/>
      <c r="B2078" s="45"/>
      <c r="H2078" s="45"/>
    </row>
    <row r="2079" spans="1:14">
      <c r="A2079" s="45"/>
      <c r="B2079" s="45"/>
      <c r="H2079" s="45"/>
    </row>
    <row r="2080" spans="1:14">
      <c r="A2080" s="45"/>
      <c r="B2080" s="45"/>
      <c r="H2080" s="45"/>
    </row>
    <row r="2081" spans="1:8">
      <c r="A2081" s="45"/>
      <c r="B2081" s="45"/>
      <c r="H2081" s="45"/>
    </row>
    <row r="2082" spans="1:8">
      <c r="A2082" s="45"/>
      <c r="B2082" s="45"/>
      <c r="H2082" s="45"/>
    </row>
    <row r="2083" spans="1:8">
      <c r="A2083" s="45"/>
      <c r="B2083" s="45"/>
      <c r="H2083" s="45"/>
    </row>
    <row r="2084" spans="1:8">
      <c r="A2084" s="45"/>
      <c r="B2084" s="45"/>
      <c r="H2084" s="45"/>
    </row>
    <row r="2085" spans="1:8">
      <c r="A2085" s="45"/>
      <c r="B2085" s="45"/>
      <c r="H2085" s="45"/>
    </row>
    <row r="2086" spans="1:8">
      <c r="A2086" s="45"/>
      <c r="B2086" s="45"/>
      <c r="H2086" s="45"/>
    </row>
    <row r="2087" spans="1:8">
      <c r="A2087" s="45"/>
      <c r="B2087" s="45"/>
      <c r="H2087" s="45"/>
    </row>
    <row r="2088" spans="1:8">
      <c r="A2088" s="45"/>
      <c r="B2088" s="45"/>
      <c r="H2088" s="45"/>
    </row>
    <row r="2089" spans="1:8">
      <c r="A2089" s="45"/>
      <c r="B2089" s="45"/>
      <c r="H2089" s="45"/>
    </row>
    <row r="2090" spans="1:8">
      <c r="A2090" s="45"/>
      <c r="B2090" s="45"/>
      <c r="H2090" s="45"/>
    </row>
    <row r="2091" spans="1:8">
      <c r="A2091" s="45"/>
      <c r="B2091" s="45"/>
      <c r="H2091" s="45"/>
    </row>
    <row r="2092" spans="1:8">
      <c r="A2092" s="45"/>
      <c r="B2092" s="45"/>
      <c r="H2092" s="45"/>
    </row>
    <row r="2093" spans="1:8">
      <c r="A2093" s="45"/>
      <c r="B2093" s="45"/>
      <c r="H2093" s="45"/>
    </row>
    <row r="2094" spans="1:8">
      <c r="A2094" s="45"/>
      <c r="B2094" s="45"/>
      <c r="H2094" s="45"/>
    </row>
    <row r="2095" spans="1:8">
      <c r="A2095" s="45"/>
      <c r="B2095" s="45"/>
      <c r="H2095" s="45"/>
    </row>
    <row r="2096" spans="1:8">
      <c r="A2096" s="45"/>
      <c r="B2096" s="45"/>
      <c r="H2096" s="45"/>
    </row>
    <row r="2097" spans="1:8">
      <c r="A2097" s="45"/>
      <c r="B2097" s="45"/>
      <c r="H2097" s="45"/>
    </row>
    <row r="2098" spans="1:8">
      <c r="A2098" s="45"/>
      <c r="B2098" s="45"/>
      <c r="H2098" s="45"/>
    </row>
    <row r="2099" spans="1:8">
      <c r="A2099" s="45"/>
      <c r="B2099" s="45"/>
      <c r="H2099" s="45"/>
    </row>
    <row r="2100" spans="1:8">
      <c r="A2100" s="45"/>
      <c r="B2100" s="45"/>
      <c r="H2100" s="45"/>
    </row>
    <row r="2101" spans="1:8">
      <c r="A2101" s="45"/>
      <c r="B2101" s="45"/>
      <c r="H2101" s="45"/>
    </row>
    <row r="2102" spans="1:8">
      <c r="A2102" s="45"/>
      <c r="B2102" s="45"/>
      <c r="H2102" s="45"/>
    </row>
    <row r="2103" spans="1:8">
      <c r="A2103" s="45"/>
      <c r="B2103" s="45"/>
      <c r="H2103" s="45"/>
    </row>
    <row r="2104" spans="1:8">
      <c r="A2104" s="45"/>
      <c r="B2104" s="45"/>
      <c r="H2104" s="45"/>
    </row>
    <row r="2105" spans="1:8">
      <c r="A2105" s="45"/>
      <c r="B2105" s="45"/>
      <c r="H2105" s="45"/>
    </row>
    <row r="2106" spans="1:8">
      <c r="A2106" s="45"/>
      <c r="B2106" s="45"/>
      <c r="H2106" s="45"/>
    </row>
    <row r="2107" spans="1:8">
      <c r="A2107" s="45"/>
      <c r="B2107" s="45"/>
      <c r="H2107" s="45"/>
    </row>
    <row r="2108" spans="1:8">
      <c r="A2108" s="45"/>
      <c r="B2108" s="45"/>
      <c r="H2108" s="45"/>
    </row>
    <row r="2109" spans="1:8">
      <c r="A2109" s="45"/>
      <c r="B2109" s="45"/>
      <c r="H2109" s="45"/>
    </row>
    <row r="2110" spans="1:8">
      <c r="A2110" s="45"/>
      <c r="B2110" s="45"/>
      <c r="H2110" s="45"/>
    </row>
    <row r="2111" spans="1:8">
      <c r="A2111" s="45"/>
      <c r="B2111" s="45"/>
      <c r="H2111" s="45"/>
    </row>
    <row r="2112" spans="1:8">
      <c r="A2112" s="45"/>
      <c r="B2112" s="45"/>
      <c r="H2112" s="45"/>
    </row>
    <row r="2113" spans="1:8">
      <c r="A2113" s="45"/>
      <c r="B2113" s="45"/>
      <c r="H2113" s="45"/>
    </row>
    <row r="2114" spans="1:8">
      <c r="A2114" s="45"/>
      <c r="B2114" s="45"/>
      <c r="H2114" s="45"/>
    </row>
    <row r="2115" spans="1:8">
      <c r="A2115" s="45"/>
      <c r="B2115" s="45"/>
      <c r="H2115" s="45"/>
    </row>
    <row r="2116" spans="1:8">
      <c r="A2116" s="45"/>
      <c r="B2116" s="45"/>
      <c r="H2116" s="45"/>
    </row>
    <row r="2117" spans="1:8">
      <c r="A2117" s="45"/>
      <c r="B2117" s="45"/>
      <c r="H2117" s="45"/>
    </row>
    <row r="2118" spans="1:8">
      <c r="A2118" s="45"/>
      <c r="B2118" s="45"/>
      <c r="H2118" s="45"/>
    </row>
    <row r="2119" spans="1:8">
      <c r="A2119" s="45"/>
      <c r="B2119" s="45"/>
      <c r="H2119" s="45"/>
    </row>
    <row r="2120" spans="1:8">
      <c r="A2120" s="45"/>
      <c r="B2120" s="45"/>
      <c r="H2120" s="45"/>
    </row>
    <row r="2121" spans="1:8">
      <c r="A2121" s="45"/>
      <c r="B2121" s="45"/>
      <c r="H2121" s="45"/>
    </row>
    <row r="2122" spans="1:8">
      <c r="A2122" s="45"/>
      <c r="B2122" s="45"/>
      <c r="H2122" s="45"/>
    </row>
    <row r="2123" spans="1:8">
      <c r="A2123" s="45"/>
      <c r="B2123" s="45"/>
      <c r="H2123" s="45"/>
    </row>
    <row r="2124" spans="1:8">
      <c r="A2124" s="45"/>
      <c r="B2124" s="45"/>
      <c r="H2124" s="45"/>
    </row>
    <row r="2125" spans="1:8">
      <c r="A2125" s="45"/>
      <c r="B2125" s="45"/>
      <c r="H2125" s="45"/>
    </row>
    <row r="2126" spans="1:8">
      <c r="A2126" s="45"/>
      <c r="B2126" s="45"/>
      <c r="H2126" s="45"/>
    </row>
    <row r="2127" spans="1:8">
      <c r="A2127" s="45"/>
      <c r="B2127" s="45"/>
      <c r="H2127" s="45"/>
    </row>
    <row r="2128" spans="1:8">
      <c r="A2128" s="45"/>
      <c r="B2128" s="45"/>
      <c r="H2128" s="45"/>
    </row>
    <row r="2129" spans="1:8">
      <c r="A2129" s="45"/>
      <c r="B2129" s="45"/>
      <c r="H2129" s="45"/>
    </row>
    <row r="2130" spans="1:8">
      <c r="A2130" s="45"/>
      <c r="B2130" s="45"/>
      <c r="H2130" s="45"/>
    </row>
    <row r="2131" spans="1:8">
      <c r="A2131" s="45"/>
      <c r="B2131" s="45"/>
      <c r="H2131" s="45"/>
    </row>
    <row r="2132" spans="1:8">
      <c r="A2132" s="45"/>
      <c r="B2132" s="45"/>
      <c r="H2132" s="45"/>
    </row>
    <row r="2133" spans="1:8">
      <c r="A2133" s="45"/>
      <c r="B2133" s="45"/>
      <c r="H2133" s="45"/>
    </row>
    <row r="2134" spans="1:8">
      <c r="A2134" s="45"/>
      <c r="B2134" s="45"/>
      <c r="H2134" s="45"/>
    </row>
    <row r="2135" spans="1:8">
      <c r="A2135" s="45"/>
      <c r="B2135" s="45"/>
      <c r="H2135" s="45"/>
    </row>
    <row r="2136" spans="1:8">
      <c r="A2136" s="45"/>
      <c r="B2136" s="45"/>
      <c r="H2136" s="45"/>
    </row>
    <row r="2137" spans="1:8">
      <c r="A2137" s="45"/>
      <c r="B2137" s="45"/>
      <c r="H2137" s="45"/>
    </row>
    <row r="2138" spans="1:8">
      <c r="A2138" s="45"/>
      <c r="B2138" s="45"/>
      <c r="H2138" s="45"/>
    </row>
    <row r="2139" spans="1:8">
      <c r="A2139" s="45"/>
      <c r="B2139" s="45"/>
      <c r="H2139" s="45"/>
    </row>
    <row r="2140" spans="1:8">
      <c r="A2140" s="45"/>
      <c r="B2140" s="45"/>
      <c r="H2140" s="45"/>
    </row>
    <row r="2141" spans="1:8">
      <c r="A2141" s="45"/>
      <c r="B2141" s="45"/>
      <c r="H2141" s="45"/>
    </row>
    <row r="2142" spans="1:8">
      <c r="A2142" s="45"/>
      <c r="B2142" s="45"/>
      <c r="H2142" s="45"/>
    </row>
    <row r="2143" spans="1:8">
      <c r="A2143" s="45"/>
      <c r="B2143" s="45"/>
      <c r="H2143" s="45"/>
    </row>
    <row r="2144" spans="1:8">
      <c r="A2144" s="45"/>
      <c r="B2144" s="45"/>
      <c r="H2144" s="45"/>
    </row>
    <row r="2145" spans="1:8">
      <c r="A2145" s="45"/>
      <c r="B2145" s="45"/>
      <c r="H2145" s="45"/>
    </row>
    <row r="2146" spans="1:8">
      <c r="A2146" s="45"/>
      <c r="B2146" s="45"/>
      <c r="H2146" s="45"/>
    </row>
    <row r="2147" spans="1:8">
      <c r="A2147" s="45"/>
      <c r="B2147" s="45"/>
      <c r="H2147" s="45"/>
    </row>
    <row r="2148" spans="1:8">
      <c r="A2148" s="45"/>
      <c r="B2148" s="45"/>
      <c r="H2148" s="45"/>
    </row>
    <row r="2149" spans="1:8">
      <c r="A2149" s="45"/>
      <c r="B2149" s="45"/>
      <c r="H2149" s="45"/>
    </row>
    <row r="2150" spans="1:8">
      <c r="A2150" s="45"/>
      <c r="B2150" s="45"/>
      <c r="H2150" s="45"/>
    </row>
    <row r="2151" spans="1:8">
      <c r="A2151" s="45"/>
      <c r="B2151" s="45"/>
      <c r="H2151" s="45"/>
    </row>
    <row r="2152" spans="1:8">
      <c r="A2152" s="45"/>
      <c r="B2152" s="45"/>
      <c r="H2152" s="45"/>
    </row>
    <row r="2153" spans="1:8">
      <c r="A2153" s="45"/>
      <c r="B2153" s="45"/>
      <c r="H2153" s="45"/>
    </row>
    <row r="2154" spans="1:8">
      <c r="A2154" s="45"/>
      <c r="B2154" s="45"/>
      <c r="H2154" s="45"/>
    </row>
    <row r="2155" spans="1:8">
      <c r="A2155" s="45"/>
      <c r="B2155" s="45"/>
      <c r="H2155" s="45"/>
    </row>
    <row r="2156" spans="1:8">
      <c r="A2156" s="45"/>
      <c r="B2156" s="45"/>
      <c r="H2156" s="45"/>
    </row>
    <row r="2157" spans="1:8">
      <c r="A2157" s="45"/>
      <c r="B2157" s="45"/>
      <c r="H2157" s="45"/>
    </row>
    <row r="2158" spans="1:8">
      <c r="A2158" s="45"/>
      <c r="B2158" s="45"/>
      <c r="H2158" s="45"/>
    </row>
    <row r="2159" spans="1:8">
      <c r="A2159" s="45"/>
      <c r="B2159" s="45"/>
      <c r="H2159" s="45"/>
    </row>
    <row r="2160" spans="1:8">
      <c r="A2160" s="45"/>
      <c r="B2160" s="45"/>
      <c r="H2160" s="45"/>
    </row>
    <row r="2161" spans="1:8">
      <c r="A2161" s="45"/>
      <c r="B2161" s="45"/>
      <c r="H2161" s="45"/>
    </row>
    <row r="2162" spans="1:8">
      <c r="A2162" s="45"/>
      <c r="B2162" s="45"/>
      <c r="H2162" s="45"/>
    </row>
    <row r="2163" spans="1:8">
      <c r="A2163" s="45"/>
      <c r="B2163" s="45"/>
      <c r="H2163" s="45"/>
    </row>
    <row r="2164" spans="1:8">
      <c r="A2164" s="45"/>
      <c r="B2164" s="45"/>
      <c r="H2164" s="45"/>
    </row>
    <row r="2165" spans="1:8">
      <c r="A2165" s="45"/>
      <c r="B2165" s="45"/>
      <c r="H2165" s="45"/>
    </row>
    <row r="2166" spans="1:8">
      <c r="A2166" s="45"/>
      <c r="B2166" s="45"/>
      <c r="H2166" s="45"/>
    </row>
    <row r="2167" spans="1:8">
      <c r="A2167" s="45"/>
      <c r="B2167" s="45"/>
      <c r="H2167" s="45"/>
    </row>
    <row r="2168" spans="1:8">
      <c r="A2168" s="45"/>
      <c r="B2168" s="45"/>
      <c r="H2168" s="45"/>
    </row>
    <row r="2169" spans="1:8">
      <c r="A2169" s="45"/>
      <c r="B2169" s="45"/>
      <c r="H2169" s="45"/>
    </row>
    <row r="2170" spans="1:8">
      <c r="A2170" s="45"/>
      <c r="B2170" s="45"/>
      <c r="H2170" s="45"/>
    </row>
    <row r="2171" spans="1:8">
      <c r="A2171" s="45"/>
      <c r="B2171" s="45"/>
      <c r="H2171" s="45"/>
    </row>
    <row r="2172" spans="1:8">
      <c r="A2172" s="45"/>
      <c r="B2172" s="45"/>
      <c r="H2172" s="45"/>
    </row>
    <row r="2173" spans="1:8">
      <c r="A2173" s="45"/>
      <c r="B2173" s="45"/>
      <c r="H2173" s="45"/>
    </row>
    <row r="2174" spans="1:8">
      <c r="A2174" s="45"/>
      <c r="B2174" s="45"/>
      <c r="H2174" s="45"/>
    </row>
    <row r="2175" spans="1:8">
      <c r="A2175" s="45"/>
      <c r="B2175" s="45"/>
      <c r="H2175" s="45"/>
    </row>
    <row r="2176" spans="1:8">
      <c r="A2176" s="45"/>
      <c r="B2176" s="45"/>
      <c r="H2176" s="45"/>
    </row>
    <row r="2177" spans="1:8">
      <c r="A2177" s="45"/>
      <c r="B2177" s="45"/>
      <c r="H2177" s="45"/>
    </row>
    <row r="2178" spans="1:8">
      <c r="A2178" s="45"/>
      <c r="B2178" s="45"/>
      <c r="H2178" s="45"/>
    </row>
    <row r="2179" spans="1:8">
      <c r="A2179" s="45"/>
      <c r="B2179" s="45"/>
      <c r="H2179" s="45"/>
    </row>
    <row r="2180" spans="1:8">
      <c r="A2180" s="45"/>
      <c r="B2180" s="45"/>
      <c r="H2180" s="45"/>
    </row>
    <row r="2181" spans="1:8">
      <c r="A2181" s="45"/>
      <c r="B2181" s="45"/>
      <c r="H2181" s="45"/>
    </row>
    <row r="2182" spans="1:8">
      <c r="A2182" s="45"/>
      <c r="B2182" s="45"/>
      <c r="H2182" s="45"/>
    </row>
    <row r="2183" spans="1:8">
      <c r="A2183" s="45"/>
      <c r="B2183" s="45"/>
      <c r="H2183" s="45"/>
    </row>
    <row r="2184" spans="1:8">
      <c r="A2184" s="45"/>
      <c r="B2184" s="45"/>
      <c r="H2184" s="45"/>
    </row>
    <row r="2185" spans="1:8">
      <c r="A2185" s="45"/>
      <c r="B2185" s="45"/>
      <c r="H2185" s="45"/>
    </row>
    <row r="2186" spans="1:8">
      <c r="A2186" s="45"/>
      <c r="B2186" s="45"/>
      <c r="H2186" s="45"/>
    </row>
    <row r="2187" spans="1:8">
      <c r="A2187" s="45"/>
      <c r="B2187" s="45"/>
      <c r="H2187" s="45"/>
    </row>
    <row r="2188" spans="1:8">
      <c r="A2188" s="45"/>
      <c r="B2188" s="45"/>
      <c r="H2188" s="45"/>
    </row>
    <row r="2189" spans="1:8">
      <c r="A2189" s="45"/>
      <c r="B2189" s="45"/>
      <c r="H2189" s="45"/>
    </row>
    <row r="2190" spans="1:8">
      <c r="A2190" s="45"/>
      <c r="B2190" s="45"/>
      <c r="H2190" s="45"/>
    </row>
    <row r="2191" spans="1:8">
      <c r="A2191" s="45"/>
      <c r="B2191" s="45"/>
      <c r="H2191" s="45"/>
    </row>
    <row r="2192" spans="1:8">
      <c r="A2192" s="45"/>
      <c r="B2192" s="45"/>
      <c r="H2192" s="45"/>
    </row>
    <row r="2193" spans="1:8">
      <c r="A2193" s="45"/>
      <c r="B2193" s="45"/>
      <c r="H2193" s="45"/>
    </row>
    <row r="2194" spans="1:8">
      <c r="A2194" s="45"/>
      <c r="B2194" s="45"/>
      <c r="H2194" s="45"/>
    </row>
    <row r="2195" spans="1:8">
      <c r="A2195" s="45"/>
      <c r="B2195" s="45"/>
      <c r="H2195" s="45"/>
    </row>
    <row r="2196" spans="1:8">
      <c r="A2196" s="45"/>
      <c r="B2196" s="45"/>
      <c r="H2196" s="45"/>
    </row>
    <row r="2197" spans="1:8">
      <c r="A2197" s="45"/>
      <c r="B2197" s="45"/>
      <c r="H2197" s="45"/>
    </row>
    <row r="2198" spans="1:8">
      <c r="A2198" s="45"/>
      <c r="B2198" s="45"/>
      <c r="H2198" s="45"/>
    </row>
    <row r="2199" spans="1:8">
      <c r="A2199" s="45"/>
      <c r="B2199" s="45"/>
      <c r="H2199" s="45"/>
    </row>
    <row r="2200" spans="1:8">
      <c r="A2200" s="45"/>
      <c r="B2200" s="45"/>
      <c r="H2200" s="45"/>
    </row>
    <row r="2201" spans="1:8">
      <c r="A2201" s="45"/>
      <c r="B2201" s="45"/>
      <c r="H2201" s="45"/>
    </row>
    <row r="2202" spans="1:8">
      <c r="A2202" s="45"/>
      <c r="B2202" s="45"/>
      <c r="H2202" s="45"/>
    </row>
    <row r="2203" spans="1:8">
      <c r="A2203" s="45"/>
      <c r="B2203" s="45"/>
      <c r="H2203" s="45"/>
    </row>
    <row r="2204" spans="1:8">
      <c r="A2204" s="45"/>
      <c r="B2204" s="45"/>
      <c r="H2204" s="45"/>
    </row>
    <row r="2205" spans="1:8">
      <c r="A2205" s="45"/>
      <c r="B2205" s="45"/>
      <c r="H2205" s="45"/>
    </row>
    <row r="2206" spans="1:8">
      <c r="A2206" s="45"/>
      <c r="B2206" s="45"/>
      <c r="H2206" s="45"/>
    </row>
    <row r="2207" spans="1:8">
      <c r="A2207" s="45"/>
      <c r="B2207" s="45"/>
      <c r="H2207" s="45"/>
    </row>
    <row r="2208" spans="1:8">
      <c r="A2208" s="45"/>
      <c r="B2208" s="45"/>
      <c r="H2208" s="45"/>
    </row>
    <row r="2209" spans="1:8">
      <c r="A2209" s="45"/>
      <c r="B2209" s="45"/>
      <c r="H2209" s="45"/>
    </row>
    <row r="2210" spans="1:8">
      <c r="A2210" s="45"/>
      <c r="B2210" s="45"/>
      <c r="H2210" s="45"/>
    </row>
    <row r="2211" spans="1:8">
      <c r="A2211" s="45"/>
      <c r="B2211" s="45"/>
      <c r="H2211" s="45"/>
    </row>
    <row r="2212" spans="1:8">
      <c r="A2212" s="45"/>
      <c r="B2212" s="45"/>
      <c r="H2212" s="45"/>
    </row>
    <row r="2213" spans="1:8">
      <c r="A2213" s="45"/>
      <c r="B2213" s="45"/>
      <c r="H2213" s="45"/>
    </row>
    <row r="2214" spans="1:8">
      <c r="A2214" s="45"/>
      <c r="B2214" s="45"/>
      <c r="H2214" s="45"/>
    </row>
    <row r="2215" spans="1:8">
      <c r="A2215" s="45"/>
      <c r="B2215" s="45"/>
      <c r="H2215" s="45"/>
    </row>
    <row r="2216" spans="1:8">
      <c r="A2216" s="45"/>
      <c r="B2216" s="45"/>
      <c r="H2216" s="45"/>
    </row>
    <row r="2217" spans="1:8">
      <c r="A2217" s="45"/>
      <c r="B2217" s="45"/>
      <c r="H2217" s="45"/>
    </row>
    <row r="2218" spans="1:8">
      <c r="A2218" s="45"/>
      <c r="B2218" s="45"/>
      <c r="H2218" s="45"/>
    </row>
    <row r="2219" spans="1:8">
      <c r="A2219" s="45"/>
      <c r="B2219" s="45"/>
      <c r="H2219" s="45"/>
    </row>
    <row r="2220" spans="1:8">
      <c r="A2220" s="45"/>
      <c r="B2220" s="45"/>
      <c r="H2220" s="45"/>
    </row>
    <row r="2221" spans="1:8">
      <c r="A2221" s="45"/>
      <c r="B2221" s="45"/>
      <c r="H2221" s="45"/>
    </row>
    <row r="2222" spans="1:8">
      <c r="A2222" s="45"/>
      <c r="B2222" s="45"/>
      <c r="H2222" s="45"/>
    </row>
    <row r="2223" spans="1:8">
      <c r="A2223" s="45"/>
      <c r="B2223" s="45"/>
      <c r="H2223" s="45"/>
    </row>
    <row r="2224" spans="1:8">
      <c r="A2224" s="45"/>
      <c r="B2224" s="45"/>
      <c r="H2224" s="45"/>
    </row>
    <row r="2225" spans="1:8">
      <c r="A2225" s="45"/>
      <c r="B2225" s="45"/>
      <c r="H2225" s="45"/>
    </row>
    <row r="2226" spans="1:8">
      <c r="A2226" s="45"/>
      <c r="B2226" s="45"/>
      <c r="H2226" s="45"/>
    </row>
    <row r="2227" spans="1:8">
      <c r="A2227" s="45"/>
      <c r="B2227" s="45"/>
      <c r="H2227" s="45"/>
    </row>
    <row r="2228" spans="1:8">
      <c r="A2228" s="45"/>
      <c r="B2228" s="45"/>
      <c r="H2228" s="45"/>
    </row>
    <row r="2229" spans="1:8">
      <c r="A2229" s="45"/>
      <c r="B2229" s="45"/>
      <c r="H2229" s="45"/>
    </row>
    <row r="2230" spans="1:8">
      <c r="A2230" s="45"/>
      <c r="B2230" s="45"/>
      <c r="H2230" s="45"/>
    </row>
    <row r="2231" spans="1:8">
      <c r="A2231" s="45"/>
      <c r="B2231" s="45"/>
      <c r="H2231" s="45"/>
    </row>
    <row r="2232" spans="1:8">
      <c r="A2232" s="45"/>
      <c r="B2232" s="45"/>
      <c r="H2232" s="45"/>
    </row>
    <row r="2233" spans="1:8">
      <c r="A2233" s="45"/>
      <c r="B2233" s="45"/>
      <c r="H2233" s="45"/>
    </row>
    <row r="2234" spans="1:8">
      <c r="A2234" s="45"/>
      <c r="B2234" s="45"/>
      <c r="H2234" s="45"/>
    </row>
    <row r="2235" spans="1:8">
      <c r="A2235" s="45"/>
      <c r="B2235" s="45"/>
      <c r="H2235" s="45"/>
    </row>
    <row r="2236" spans="1:8">
      <c r="A2236" s="45"/>
      <c r="B2236" s="45"/>
      <c r="H2236" s="45"/>
    </row>
    <row r="2237" spans="1:8">
      <c r="A2237" s="45"/>
      <c r="B2237" s="45"/>
      <c r="H2237" s="45"/>
    </row>
    <row r="2238" spans="1:8">
      <c r="A2238" s="45"/>
      <c r="B2238" s="45"/>
      <c r="H2238" s="45"/>
    </row>
    <row r="2239" spans="1:8">
      <c r="A2239" s="45"/>
      <c r="B2239" s="45"/>
      <c r="H2239" s="45"/>
    </row>
    <row r="2240" spans="1:8">
      <c r="A2240" s="45"/>
      <c r="B2240" s="45"/>
      <c r="H2240" s="45"/>
    </row>
    <row r="2241" spans="1:8">
      <c r="A2241" s="45"/>
      <c r="B2241" s="45"/>
      <c r="H2241" s="45"/>
    </row>
    <row r="2242" spans="1:8">
      <c r="A2242" s="45"/>
      <c r="B2242" s="45"/>
      <c r="H2242" s="45"/>
    </row>
    <row r="2243" spans="1:8">
      <c r="A2243" s="45"/>
      <c r="B2243" s="45"/>
      <c r="H2243" s="45"/>
    </row>
    <row r="2244" spans="1:8">
      <c r="A2244" s="45"/>
      <c r="B2244" s="45"/>
      <c r="H2244" s="45"/>
    </row>
    <row r="2245" spans="1:8">
      <c r="A2245" s="45"/>
      <c r="B2245" s="45"/>
      <c r="H2245" s="45"/>
    </row>
    <row r="2246" spans="1:8">
      <c r="A2246" s="45"/>
      <c r="B2246" s="45"/>
      <c r="H2246" s="45"/>
    </row>
    <row r="2247" spans="1:8">
      <c r="A2247" s="45"/>
      <c r="B2247" s="45"/>
      <c r="H2247" s="45"/>
    </row>
    <row r="2248" spans="1:8">
      <c r="A2248" s="45"/>
      <c r="B2248" s="45"/>
      <c r="H2248" s="45"/>
    </row>
    <row r="2249" spans="1:8">
      <c r="A2249" s="45"/>
      <c r="B2249" s="45"/>
      <c r="H2249" s="45"/>
    </row>
    <row r="2250" spans="1:8">
      <c r="A2250" s="45"/>
      <c r="B2250" s="45"/>
      <c r="H2250" s="45"/>
    </row>
    <row r="2251" spans="1:8">
      <c r="A2251" s="45"/>
      <c r="B2251" s="45"/>
      <c r="H2251" s="45"/>
    </row>
    <row r="2252" spans="1:8">
      <c r="A2252" s="45"/>
      <c r="B2252" s="45"/>
      <c r="H2252" s="45"/>
    </row>
    <row r="2253" spans="1:8">
      <c r="A2253" s="45"/>
      <c r="B2253" s="45"/>
      <c r="H2253" s="45"/>
    </row>
    <row r="2254" spans="1:8">
      <c r="A2254" s="45"/>
      <c r="B2254" s="45"/>
      <c r="H2254" s="45"/>
    </row>
    <row r="2255" spans="1:8">
      <c r="A2255" s="45"/>
      <c r="B2255" s="45"/>
      <c r="H2255" s="45"/>
    </row>
    <row r="2256" spans="1:8">
      <c r="A2256" s="45"/>
      <c r="B2256" s="45"/>
      <c r="H2256" s="45"/>
    </row>
    <row r="2257" spans="1:8">
      <c r="A2257" s="45"/>
      <c r="B2257" s="45"/>
      <c r="H2257" s="45"/>
    </row>
    <row r="2258" spans="1:8">
      <c r="A2258" s="45"/>
      <c r="B2258" s="45"/>
      <c r="H2258" s="45"/>
    </row>
    <row r="2259" spans="1:8">
      <c r="A2259" s="45"/>
      <c r="B2259" s="45"/>
      <c r="H2259" s="45"/>
    </row>
    <row r="2260" spans="1:8">
      <c r="A2260" s="45"/>
      <c r="B2260" s="45"/>
      <c r="H2260" s="45"/>
    </row>
    <row r="2261" spans="1:8">
      <c r="A2261" s="45"/>
      <c r="B2261" s="45"/>
      <c r="H2261" s="45"/>
    </row>
    <row r="2262" spans="1:8">
      <c r="A2262" s="45"/>
      <c r="B2262" s="45"/>
      <c r="H2262" s="45"/>
    </row>
    <row r="2263" spans="1:8">
      <c r="A2263" s="45"/>
      <c r="B2263" s="45"/>
      <c r="H2263" s="45"/>
    </row>
    <row r="2264" spans="1:8">
      <c r="A2264" s="45"/>
      <c r="B2264" s="45"/>
      <c r="H2264" s="45"/>
    </row>
    <row r="2265" spans="1:8">
      <c r="A2265" s="45"/>
      <c r="B2265" s="45"/>
      <c r="H2265" s="45"/>
    </row>
    <row r="2266" spans="1:8">
      <c r="A2266" s="45"/>
      <c r="B2266" s="45"/>
      <c r="H2266" s="45"/>
    </row>
    <row r="2267" spans="1:8">
      <c r="A2267" s="45"/>
      <c r="B2267" s="45"/>
      <c r="H2267" s="45"/>
    </row>
    <row r="2268" spans="1:8">
      <c r="A2268" s="45"/>
      <c r="B2268" s="45"/>
      <c r="H2268" s="45"/>
    </row>
    <row r="2269" spans="1:8">
      <c r="A2269" s="45"/>
      <c r="B2269" s="45"/>
      <c r="H2269" s="45"/>
    </row>
    <row r="2270" spans="1:8">
      <c r="A2270" s="45"/>
      <c r="B2270" s="45"/>
      <c r="H2270" s="45"/>
    </row>
    <row r="2271" spans="1:8">
      <c r="A2271" s="45"/>
      <c r="B2271" s="45"/>
      <c r="H2271" s="45"/>
    </row>
    <row r="2272" spans="1:8">
      <c r="A2272" s="45"/>
      <c r="B2272" s="45"/>
      <c r="H2272" s="45"/>
    </row>
    <row r="2273" spans="1:8">
      <c r="A2273" s="45"/>
      <c r="B2273" s="45"/>
      <c r="H2273" s="45"/>
    </row>
    <row r="2274" spans="1:8">
      <c r="A2274" s="45"/>
      <c r="B2274" s="45"/>
      <c r="H2274" s="45"/>
    </row>
    <row r="2275" spans="1:8">
      <c r="A2275" s="45"/>
      <c r="B2275" s="45"/>
      <c r="H2275" s="45"/>
    </row>
    <row r="2276" spans="1:8">
      <c r="A2276" s="45"/>
      <c r="B2276" s="45"/>
      <c r="H2276" s="45"/>
    </row>
    <row r="2277" spans="1:8">
      <c r="A2277" s="45"/>
      <c r="B2277" s="45"/>
      <c r="H2277" s="45"/>
    </row>
    <row r="2278" spans="1:8">
      <c r="A2278" s="45"/>
      <c r="B2278" s="45"/>
      <c r="H2278" s="45"/>
    </row>
    <row r="2279" spans="1:8">
      <c r="A2279" s="45"/>
      <c r="B2279" s="45"/>
      <c r="H2279" s="45"/>
    </row>
    <row r="2280" spans="1:8">
      <c r="A2280" s="45"/>
      <c r="B2280" s="45"/>
      <c r="H2280" s="45"/>
    </row>
    <row r="2281" spans="1:8">
      <c r="A2281" s="45"/>
      <c r="B2281" s="45"/>
      <c r="H2281" s="45"/>
    </row>
    <row r="2282" spans="1:8">
      <c r="A2282" s="45"/>
      <c r="B2282" s="45"/>
      <c r="H2282" s="45"/>
    </row>
    <row r="2283" spans="1:8">
      <c r="A2283" s="45"/>
      <c r="B2283" s="45"/>
      <c r="H2283" s="45"/>
    </row>
    <row r="2284" spans="1:8">
      <c r="A2284" s="45"/>
      <c r="B2284" s="45"/>
      <c r="H2284" s="45"/>
    </row>
    <row r="2285" spans="1:8">
      <c r="A2285" s="45"/>
      <c r="B2285" s="45"/>
      <c r="H2285" s="45"/>
    </row>
    <row r="2286" spans="1:8">
      <c r="A2286" s="45"/>
      <c r="B2286" s="45"/>
      <c r="H2286" s="45"/>
    </row>
    <row r="2287" spans="1:8">
      <c r="A2287" s="45"/>
      <c r="B2287" s="45"/>
      <c r="H2287" s="45"/>
    </row>
    <row r="2288" spans="1:8">
      <c r="A2288" s="45"/>
      <c r="B2288" s="45"/>
      <c r="H2288" s="45"/>
    </row>
    <row r="2289" spans="1:8">
      <c r="A2289" s="45"/>
      <c r="B2289" s="45"/>
      <c r="H2289" s="45"/>
    </row>
    <row r="2290" spans="1:8">
      <c r="A2290" s="45"/>
      <c r="B2290" s="45"/>
      <c r="H2290" s="45"/>
    </row>
    <row r="2291" spans="1:8">
      <c r="A2291" s="45"/>
      <c r="B2291" s="45"/>
      <c r="H2291" s="45"/>
    </row>
    <row r="2292" spans="1:8">
      <c r="A2292" s="45"/>
      <c r="B2292" s="45"/>
      <c r="H2292" s="45"/>
    </row>
    <row r="2293" spans="1:8">
      <c r="A2293" s="45"/>
      <c r="B2293" s="45"/>
      <c r="H2293" s="45"/>
    </row>
    <row r="2294" spans="1:8">
      <c r="A2294" s="45"/>
      <c r="B2294" s="45"/>
      <c r="H2294" s="45"/>
    </row>
    <row r="2295" spans="1:8">
      <c r="A2295" s="45"/>
      <c r="B2295" s="45"/>
      <c r="H2295" s="45"/>
    </row>
    <row r="2296" spans="1:8">
      <c r="A2296" s="45"/>
      <c r="B2296" s="45"/>
      <c r="H2296" s="45"/>
    </row>
    <row r="2297" spans="1:8">
      <c r="A2297" s="45"/>
      <c r="B2297" s="45"/>
      <c r="H2297" s="45"/>
    </row>
    <row r="2298" spans="1:8">
      <c r="A2298" s="45"/>
      <c r="B2298" s="45"/>
      <c r="H2298" s="45"/>
    </row>
    <row r="2299" spans="1:8">
      <c r="A2299" s="45"/>
      <c r="B2299" s="45"/>
      <c r="H2299" s="45"/>
    </row>
    <row r="2300" spans="1:8">
      <c r="A2300" s="45"/>
      <c r="B2300" s="45"/>
      <c r="H2300" s="45"/>
    </row>
    <row r="2301" spans="1:8">
      <c r="A2301" s="45"/>
      <c r="B2301" s="45"/>
      <c r="H2301" s="45"/>
    </row>
    <row r="2302" spans="1:8">
      <c r="A2302" s="45"/>
      <c r="B2302" s="45"/>
      <c r="H2302" s="45"/>
    </row>
    <row r="2303" spans="1:8">
      <c r="A2303" s="45"/>
      <c r="B2303" s="45"/>
      <c r="H2303" s="45"/>
    </row>
    <row r="2304" spans="1:8">
      <c r="A2304" s="45"/>
      <c r="B2304" s="45"/>
      <c r="H2304" s="45"/>
    </row>
    <row r="2305" spans="1:8">
      <c r="A2305" s="45"/>
      <c r="B2305" s="45"/>
      <c r="H2305" s="45"/>
    </row>
    <row r="2306" spans="1:8">
      <c r="A2306" s="45"/>
      <c r="B2306" s="45"/>
      <c r="H2306" s="45"/>
    </row>
    <row r="2307" spans="1:8">
      <c r="A2307" s="45"/>
      <c r="B2307" s="45"/>
      <c r="H2307" s="45"/>
    </row>
    <row r="2308" spans="1:8">
      <c r="A2308" s="45"/>
      <c r="B2308" s="45"/>
      <c r="H2308" s="45"/>
    </row>
    <row r="2309" spans="1:8">
      <c r="A2309" s="45"/>
      <c r="B2309" s="45"/>
      <c r="H2309" s="45"/>
    </row>
    <row r="2310" spans="1:8">
      <c r="A2310" s="45"/>
      <c r="B2310" s="45"/>
      <c r="H2310" s="45"/>
    </row>
    <row r="2311" spans="1:8">
      <c r="A2311" s="45"/>
      <c r="B2311" s="45"/>
      <c r="H2311" s="45"/>
    </row>
    <row r="2312" spans="1:8">
      <c r="A2312" s="45"/>
      <c r="B2312" s="45"/>
      <c r="H2312" s="45"/>
    </row>
    <row r="2313" spans="1:8">
      <c r="A2313" s="45"/>
      <c r="B2313" s="45"/>
      <c r="H2313" s="45"/>
    </row>
    <row r="2314" spans="1:8">
      <c r="A2314" s="45"/>
      <c r="B2314" s="45"/>
      <c r="H2314" s="45"/>
    </row>
    <row r="2315" spans="1:8">
      <c r="A2315" s="45"/>
      <c r="B2315" s="45"/>
      <c r="H2315" s="45"/>
    </row>
    <row r="2316" spans="1:8">
      <c r="A2316" s="45"/>
      <c r="B2316" s="45"/>
      <c r="H2316" s="45"/>
    </row>
    <row r="2317" spans="1:8">
      <c r="A2317" s="45"/>
      <c r="B2317" s="45"/>
      <c r="H2317" s="45"/>
    </row>
    <row r="2318" spans="1:8">
      <c r="A2318" s="45"/>
      <c r="B2318" s="45"/>
      <c r="H2318" s="45"/>
    </row>
    <row r="2319" spans="1:8">
      <c r="A2319" s="45"/>
      <c r="B2319" s="45"/>
      <c r="H2319" s="45"/>
    </row>
    <row r="2320" spans="1:8">
      <c r="A2320" s="45"/>
      <c r="B2320" s="45"/>
      <c r="H2320" s="45"/>
    </row>
    <row r="2321" spans="1:8">
      <c r="A2321" s="45"/>
      <c r="B2321" s="45"/>
      <c r="H2321" s="45"/>
    </row>
    <row r="2322" spans="1:8">
      <c r="A2322" s="45"/>
      <c r="B2322" s="45"/>
      <c r="H2322" s="45"/>
    </row>
    <row r="2323" spans="1:8">
      <c r="A2323" s="45"/>
      <c r="B2323" s="45"/>
      <c r="H2323" s="45"/>
    </row>
    <row r="2324" spans="1:8">
      <c r="A2324" s="45"/>
      <c r="B2324" s="45"/>
      <c r="H2324" s="45"/>
    </row>
    <row r="2325" spans="1:8">
      <c r="A2325" s="45"/>
      <c r="B2325" s="45"/>
      <c r="H2325" s="45"/>
    </row>
    <row r="2326" spans="1:8">
      <c r="A2326" s="45"/>
      <c r="B2326" s="45"/>
      <c r="H2326" s="45"/>
    </row>
    <row r="2327" spans="1:8">
      <c r="A2327" s="45"/>
      <c r="B2327" s="45"/>
      <c r="H2327" s="45"/>
    </row>
    <row r="2328" spans="1:8">
      <c r="A2328" s="45"/>
      <c r="B2328" s="45"/>
      <c r="H2328" s="45"/>
    </row>
    <row r="2329" spans="1:8">
      <c r="A2329" s="45"/>
      <c r="B2329" s="45"/>
      <c r="H2329" s="45"/>
    </row>
    <row r="2330" spans="1:8">
      <c r="A2330" s="45"/>
      <c r="B2330" s="45"/>
      <c r="H2330" s="45"/>
    </row>
    <row r="2331" spans="1:8">
      <c r="A2331" s="45"/>
      <c r="B2331" s="45"/>
      <c r="H2331" s="45"/>
    </row>
    <row r="2332" spans="1:8">
      <c r="A2332" s="45"/>
      <c r="B2332" s="45"/>
      <c r="H2332" s="45"/>
    </row>
    <row r="2333" spans="1:8">
      <c r="A2333" s="45"/>
      <c r="B2333" s="45"/>
      <c r="H2333" s="45"/>
    </row>
    <row r="2334" spans="1:8">
      <c r="A2334" s="45"/>
      <c r="B2334" s="45"/>
      <c r="H2334" s="45"/>
    </row>
    <row r="2335" spans="1:8">
      <c r="A2335" s="45"/>
      <c r="B2335" s="45"/>
      <c r="H2335" s="45"/>
    </row>
    <row r="2336" spans="1:8">
      <c r="A2336" s="45"/>
      <c r="B2336" s="45"/>
      <c r="H2336" s="45"/>
    </row>
    <row r="2337" spans="1:8">
      <c r="A2337" s="45"/>
      <c r="B2337" s="45"/>
      <c r="H2337" s="45"/>
    </row>
    <row r="2338" spans="1:8">
      <c r="A2338" s="45"/>
      <c r="B2338" s="45"/>
      <c r="H2338" s="45"/>
    </row>
    <row r="2339" spans="1:8">
      <c r="A2339" s="45"/>
      <c r="B2339" s="45"/>
      <c r="H2339" s="45"/>
    </row>
    <row r="2340" spans="1:8">
      <c r="A2340" s="45"/>
      <c r="B2340" s="45"/>
      <c r="H2340" s="45"/>
    </row>
    <row r="2341" spans="1:8">
      <c r="A2341" s="45"/>
      <c r="B2341" s="45"/>
      <c r="H2341" s="45"/>
    </row>
    <row r="2342" spans="1:8">
      <c r="A2342" s="45"/>
      <c r="B2342" s="45"/>
      <c r="H2342" s="45"/>
    </row>
    <row r="2343" spans="1:8">
      <c r="A2343" s="45"/>
      <c r="B2343" s="45"/>
      <c r="H2343" s="45"/>
    </row>
    <row r="2344" spans="1:8">
      <c r="A2344" s="45"/>
      <c r="B2344" s="45"/>
      <c r="H2344" s="45"/>
    </row>
    <row r="2345" spans="1:8">
      <c r="A2345" s="45"/>
      <c r="B2345" s="45"/>
      <c r="H2345" s="45"/>
    </row>
    <row r="2346" spans="1:8">
      <c r="A2346" s="45"/>
      <c r="B2346" s="45"/>
      <c r="H2346" s="45"/>
    </row>
    <row r="2347" spans="1:8">
      <c r="A2347" s="45"/>
      <c r="B2347" s="45"/>
      <c r="H2347" s="45"/>
    </row>
    <row r="2348" spans="1:8">
      <c r="A2348" s="45"/>
      <c r="B2348" s="45"/>
      <c r="H2348" s="45"/>
    </row>
    <row r="2349" spans="1:8">
      <c r="A2349" s="45"/>
      <c r="B2349" s="45"/>
      <c r="H2349" s="45"/>
    </row>
    <row r="2350" spans="1:8">
      <c r="A2350" s="45"/>
      <c r="B2350" s="45"/>
      <c r="H2350" s="45"/>
    </row>
    <row r="2351" spans="1:8">
      <c r="A2351" s="45"/>
      <c r="B2351" s="45"/>
      <c r="H2351" s="45"/>
    </row>
    <row r="2352" spans="1:8">
      <c r="A2352" s="45"/>
      <c r="B2352" s="45"/>
      <c r="H2352" s="45"/>
    </row>
    <row r="2353" spans="1:8">
      <c r="A2353" s="45"/>
      <c r="B2353" s="45"/>
      <c r="H2353" s="45"/>
    </row>
    <row r="2354" spans="1:8">
      <c r="A2354" s="45"/>
      <c r="B2354" s="45"/>
      <c r="H2354" s="45"/>
    </row>
    <row r="2355" spans="1:8">
      <c r="A2355" s="45"/>
      <c r="B2355" s="45"/>
      <c r="H2355" s="45"/>
    </row>
    <row r="2356" spans="1:8">
      <c r="A2356" s="45"/>
      <c r="B2356" s="45"/>
      <c r="H2356" s="45"/>
    </row>
    <row r="2357" spans="1:8">
      <c r="A2357" s="45"/>
      <c r="B2357" s="45"/>
      <c r="H2357" s="45"/>
    </row>
    <row r="2358" spans="1:8">
      <c r="A2358" s="45"/>
      <c r="B2358" s="45"/>
      <c r="H2358" s="45"/>
    </row>
    <row r="2359" spans="1:8">
      <c r="A2359" s="45"/>
      <c r="B2359" s="45"/>
      <c r="H2359" s="45"/>
    </row>
    <row r="2360" spans="1:8">
      <c r="A2360" s="45"/>
      <c r="B2360" s="45"/>
      <c r="H2360" s="45"/>
    </row>
    <row r="2361" spans="1:8">
      <c r="A2361" s="45"/>
      <c r="B2361" s="45"/>
      <c r="H2361" s="45"/>
    </row>
    <row r="2362" spans="1:8">
      <c r="A2362" s="45"/>
      <c r="B2362" s="45"/>
      <c r="H2362" s="45"/>
    </row>
    <row r="2363" spans="1:8">
      <c r="A2363" s="45"/>
      <c r="B2363" s="45"/>
      <c r="H2363" s="45"/>
    </row>
    <row r="2364" spans="1:8">
      <c r="A2364" s="45"/>
      <c r="B2364" s="45"/>
      <c r="H2364" s="45"/>
    </row>
    <row r="2365" spans="1:8">
      <c r="A2365" s="45"/>
      <c r="B2365" s="45"/>
      <c r="H2365" s="45"/>
    </row>
    <row r="2366" spans="1:8">
      <c r="A2366" s="45"/>
      <c r="B2366" s="45"/>
      <c r="H2366" s="45"/>
    </row>
    <row r="2367" spans="1:8">
      <c r="A2367" s="45"/>
      <c r="B2367" s="45"/>
      <c r="H2367" s="45"/>
    </row>
    <row r="2368" spans="1:8">
      <c r="A2368" s="45"/>
      <c r="B2368" s="45"/>
      <c r="H2368" s="45"/>
    </row>
    <row r="2369" spans="1:8">
      <c r="A2369" s="45"/>
      <c r="B2369" s="45"/>
      <c r="H2369" s="45"/>
    </row>
    <row r="2370" spans="1:8">
      <c r="A2370" s="45"/>
      <c r="B2370" s="45"/>
      <c r="H2370" s="45"/>
    </row>
    <row r="2371" spans="1:8">
      <c r="A2371" s="45"/>
      <c r="B2371" s="45"/>
      <c r="H2371" s="45"/>
    </row>
    <row r="2372" spans="1:8">
      <c r="A2372" s="45"/>
      <c r="B2372" s="45"/>
      <c r="H2372" s="45"/>
    </row>
    <row r="2373" spans="1:8">
      <c r="A2373" s="45"/>
      <c r="B2373" s="45"/>
      <c r="H2373" s="45"/>
    </row>
    <row r="2374" spans="1:8">
      <c r="A2374" s="45"/>
      <c r="B2374" s="45"/>
      <c r="H2374" s="45"/>
    </row>
    <row r="2375" spans="1:8">
      <c r="A2375" s="45"/>
      <c r="B2375" s="45"/>
      <c r="H2375" s="45"/>
    </row>
    <row r="2376" spans="1:8">
      <c r="A2376" s="45"/>
      <c r="B2376" s="45"/>
      <c r="H2376" s="45"/>
    </row>
    <row r="2377" spans="1:8">
      <c r="A2377" s="45"/>
      <c r="B2377" s="45"/>
      <c r="H2377" s="45"/>
    </row>
    <row r="2378" spans="1:8">
      <c r="A2378" s="45"/>
      <c r="B2378" s="45"/>
      <c r="H2378" s="45"/>
    </row>
    <row r="2379" spans="1:8">
      <c r="A2379" s="45"/>
      <c r="B2379" s="45"/>
      <c r="H2379" s="45"/>
    </row>
    <row r="2380" spans="1:8">
      <c r="A2380" s="45"/>
      <c r="B2380" s="45"/>
      <c r="H2380" s="45"/>
    </row>
    <row r="2381" spans="1:8">
      <c r="A2381" s="45"/>
      <c r="B2381" s="45"/>
      <c r="H2381" s="45"/>
    </row>
    <row r="2382" spans="1:8">
      <c r="A2382" s="45"/>
      <c r="B2382" s="45"/>
      <c r="H2382" s="45"/>
    </row>
    <row r="2383" spans="1:8">
      <c r="A2383" s="45"/>
      <c r="B2383" s="45"/>
      <c r="H2383" s="45"/>
    </row>
    <row r="2384" spans="1:8">
      <c r="A2384" s="45"/>
      <c r="B2384" s="45"/>
      <c r="H2384" s="45"/>
    </row>
    <row r="2385" spans="1:8">
      <c r="A2385" s="45"/>
      <c r="B2385" s="45"/>
      <c r="H2385" s="45"/>
    </row>
    <row r="2386" spans="1:8">
      <c r="A2386" s="45"/>
      <c r="B2386" s="45"/>
      <c r="H2386" s="45"/>
    </row>
    <row r="2387" spans="1:8">
      <c r="A2387" s="45"/>
      <c r="B2387" s="45"/>
      <c r="H2387" s="45"/>
    </row>
    <row r="2388" spans="1:8">
      <c r="A2388" s="45"/>
      <c r="B2388" s="45"/>
      <c r="H2388" s="45"/>
    </row>
    <row r="2389" spans="1:8">
      <c r="A2389" s="45"/>
      <c r="B2389" s="45"/>
      <c r="H2389" s="45"/>
    </row>
    <row r="2390" spans="1:8">
      <c r="A2390" s="45"/>
      <c r="B2390" s="45"/>
      <c r="H2390" s="45"/>
    </row>
    <row r="2391" spans="1:8">
      <c r="A2391" s="45"/>
      <c r="B2391" s="45"/>
      <c r="H2391" s="45"/>
    </row>
    <row r="2392" spans="1:8">
      <c r="A2392" s="45"/>
      <c r="B2392" s="45"/>
      <c r="H2392" s="45"/>
    </row>
    <row r="2393" spans="1:8">
      <c r="A2393" s="45"/>
      <c r="B2393" s="45"/>
      <c r="H2393" s="45"/>
    </row>
    <row r="2394" spans="1:8">
      <c r="A2394" s="45"/>
      <c r="B2394" s="45"/>
      <c r="H2394" s="45"/>
    </row>
    <row r="2395" spans="1:8">
      <c r="A2395" s="45"/>
      <c r="B2395" s="45"/>
      <c r="H2395" s="45"/>
    </row>
    <row r="2396" spans="1:8">
      <c r="A2396" s="45"/>
      <c r="B2396" s="45"/>
      <c r="H2396" s="45"/>
    </row>
    <row r="2397" spans="1:8">
      <c r="A2397" s="45"/>
      <c r="B2397" s="45"/>
      <c r="H2397" s="45"/>
    </row>
    <row r="2398" spans="1:8">
      <c r="A2398" s="45"/>
      <c r="B2398" s="45"/>
      <c r="H2398" s="45"/>
    </row>
    <row r="2399" spans="1:8">
      <c r="A2399" s="45"/>
      <c r="B2399" s="45"/>
      <c r="H2399" s="45"/>
    </row>
    <row r="2400" spans="1:8">
      <c r="A2400" s="45"/>
      <c r="B2400" s="45"/>
      <c r="H2400" s="45"/>
    </row>
    <row r="2401" spans="1:8">
      <c r="A2401" s="45"/>
      <c r="B2401" s="45"/>
      <c r="H2401" s="45"/>
    </row>
    <row r="2402" spans="1:8">
      <c r="A2402" s="45"/>
      <c r="B2402" s="45"/>
      <c r="H2402" s="45"/>
    </row>
    <row r="2403" spans="1:8">
      <c r="A2403" s="45"/>
      <c r="B2403" s="45"/>
      <c r="H2403" s="45"/>
    </row>
    <row r="2404" spans="1:8">
      <c r="A2404" s="45"/>
      <c r="B2404" s="45"/>
      <c r="H2404" s="45"/>
    </row>
    <row r="2405" spans="1:8">
      <c r="A2405" s="45"/>
      <c r="B2405" s="45"/>
      <c r="H2405" s="45"/>
    </row>
    <row r="2406" spans="1:8">
      <c r="A2406" s="45"/>
      <c r="B2406" s="45"/>
      <c r="H2406" s="45"/>
    </row>
    <row r="2407" spans="1:8">
      <c r="A2407" s="45"/>
      <c r="B2407" s="45"/>
      <c r="H2407" s="45"/>
    </row>
    <row r="2408" spans="1:8">
      <c r="A2408" s="45"/>
      <c r="B2408" s="45"/>
      <c r="H2408" s="45"/>
    </row>
    <row r="2409" spans="1:8">
      <c r="A2409" s="45"/>
      <c r="B2409" s="45"/>
      <c r="H2409" s="45"/>
    </row>
    <row r="2410" spans="1:8">
      <c r="A2410" s="45"/>
      <c r="B2410" s="45"/>
      <c r="H2410" s="45"/>
    </row>
    <row r="2411" spans="1:8">
      <c r="A2411" s="45"/>
      <c r="B2411" s="45"/>
      <c r="H2411" s="45"/>
    </row>
    <row r="2412" spans="1:8">
      <c r="A2412" s="45"/>
      <c r="B2412" s="45"/>
      <c r="H2412" s="45"/>
    </row>
    <row r="2413" spans="1:8">
      <c r="A2413" s="45"/>
      <c r="B2413" s="45"/>
      <c r="H2413" s="45"/>
    </row>
    <row r="2414" spans="1:8">
      <c r="A2414" s="45"/>
      <c r="B2414" s="45"/>
      <c r="H2414" s="45"/>
    </row>
    <row r="2415" spans="1:8">
      <c r="A2415" s="45"/>
      <c r="B2415" s="45"/>
      <c r="H2415" s="45"/>
    </row>
    <row r="2416" spans="1:8">
      <c r="A2416" s="45"/>
      <c r="B2416" s="45"/>
      <c r="H2416" s="45"/>
    </row>
    <row r="2417" spans="1:8">
      <c r="A2417" s="45"/>
      <c r="B2417" s="45"/>
      <c r="H2417" s="45"/>
    </row>
    <row r="2418" spans="1:8">
      <c r="A2418" s="45"/>
      <c r="B2418" s="45"/>
      <c r="H2418" s="45"/>
    </row>
    <row r="2419" spans="1:8">
      <c r="A2419" s="45"/>
      <c r="B2419" s="45"/>
      <c r="H2419" s="45"/>
    </row>
    <row r="2420" spans="1:8">
      <c r="A2420" s="45"/>
      <c r="B2420" s="45"/>
      <c r="H2420" s="45"/>
    </row>
    <row r="2421" spans="1:8">
      <c r="A2421" s="45"/>
      <c r="B2421" s="45"/>
      <c r="H2421" s="45"/>
    </row>
    <row r="2422" spans="1:8">
      <c r="A2422" s="45"/>
      <c r="B2422" s="45"/>
      <c r="H2422" s="45"/>
    </row>
    <row r="2423" spans="1:8">
      <c r="A2423" s="45"/>
      <c r="B2423" s="45"/>
      <c r="H2423" s="45"/>
    </row>
    <row r="2424" spans="1:8">
      <c r="A2424" s="45"/>
      <c r="B2424" s="45"/>
      <c r="H2424" s="45"/>
    </row>
    <row r="2425" spans="1:8">
      <c r="A2425" s="45"/>
      <c r="B2425" s="45"/>
      <c r="H2425" s="45"/>
    </row>
    <row r="2426" spans="1:8">
      <c r="A2426" s="45"/>
      <c r="B2426" s="45"/>
      <c r="H2426" s="45"/>
    </row>
    <row r="2427" spans="1:8">
      <c r="A2427" s="45"/>
      <c r="B2427" s="45"/>
      <c r="H2427" s="45"/>
    </row>
    <row r="2428" spans="1:8">
      <c r="A2428" s="45"/>
      <c r="B2428" s="45"/>
      <c r="H2428" s="45"/>
    </row>
    <row r="2429" spans="1:8">
      <c r="A2429" s="45"/>
      <c r="B2429" s="45"/>
      <c r="H2429" s="45"/>
    </row>
    <row r="2430" spans="1:8">
      <c r="A2430" s="45"/>
      <c r="B2430" s="45"/>
      <c r="H2430" s="45"/>
    </row>
    <row r="2431" spans="1:8">
      <c r="A2431" s="45"/>
      <c r="B2431" s="45"/>
      <c r="H2431" s="45"/>
    </row>
    <row r="2432" spans="1:8">
      <c r="A2432" s="45"/>
      <c r="B2432" s="45"/>
      <c r="H2432" s="45"/>
    </row>
    <row r="2433" spans="1:8">
      <c r="A2433" s="45"/>
      <c r="B2433" s="45"/>
      <c r="H2433" s="45"/>
    </row>
    <row r="2434" spans="1:8">
      <c r="A2434" s="45"/>
      <c r="B2434" s="45"/>
      <c r="H2434" s="45"/>
    </row>
    <row r="2435" spans="1:8">
      <c r="A2435" s="45"/>
      <c r="B2435" s="45"/>
      <c r="H2435" s="45"/>
    </row>
    <row r="2436" spans="1:8">
      <c r="A2436" s="45"/>
      <c r="B2436" s="45"/>
      <c r="H2436" s="45"/>
    </row>
    <row r="2437" spans="1:8">
      <c r="A2437" s="45"/>
      <c r="B2437" s="45"/>
      <c r="H2437" s="45"/>
    </row>
    <row r="2438" spans="1:8">
      <c r="A2438" s="45"/>
      <c r="B2438" s="45"/>
      <c r="H2438" s="45"/>
    </row>
    <row r="2439" spans="1:8">
      <c r="A2439" s="45"/>
      <c r="B2439" s="45"/>
      <c r="H2439" s="45"/>
    </row>
    <row r="2440" spans="1:8">
      <c r="A2440" s="45"/>
      <c r="B2440" s="45"/>
      <c r="H2440" s="45"/>
    </row>
    <row r="2441" spans="1:8">
      <c r="A2441" s="45"/>
      <c r="B2441" s="45"/>
      <c r="H2441" s="45"/>
    </row>
    <row r="2442" spans="1:8">
      <c r="A2442" s="45"/>
      <c r="B2442" s="45"/>
      <c r="H2442" s="45"/>
    </row>
    <row r="2443" spans="1:8">
      <c r="A2443" s="45"/>
      <c r="B2443" s="45"/>
      <c r="H2443" s="45"/>
    </row>
    <row r="2444" spans="1:8">
      <c r="A2444" s="45"/>
      <c r="B2444" s="45"/>
      <c r="H2444" s="45"/>
    </row>
    <row r="2445" spans="1:8">
      <c r="A2445" s="45"/>
      <c r="B2445" s="45"/>
      <c r="H2445" s="45"/>
    </row>
    <row r="2446" spans="1:8">
      <c r="A2446" s="45"/>
      <c r="B2446" s="45"/>
      <c r="H2446" s="45"/>
    </row>
    <row r="2447" spans="1:8">
      <c r="A2447" s="45"/>
      <c r="B2447" s="45"/>
      <c r="H2447" s="45"/>
    </row>
    <row r="2448" spans="1:8">
      <c r="A2448" s="45"/>
      <c r="B2448" s="45"/>
      <c r="H2448" s="45"/>
    </row>
    <row r="2449" spans="1:8">
      <c r="A2449" s="45"/>
      <c r="B2449" s="45"/>
      <c r="H2449" s="45"/>
    </row>
    <row r="2450" spans="1:8">
      <c r="A2450" s="45"/>
      <c r="B2450" s="45"/>
      <c r="H2450" s="45"/>
    </row>
    <row r="2451" spans="1:8">
      <c r="A2451" s="45"/>
      <c r="B2451" s="45"/>
      <c r="H2451" s="45"/>
    </row>
    <row r="2452" spans="1:8">
      <c r="A2452" s="45"/>
      <c r="B2452" s="45"/>
      <c r="H2452" s="45"/>
    </row>
    <row r="2453" spans="1:8">
      <c r="A2453" s="45"/>
      <c r="B2453" s="45"/>
      <c r="H2453" s="45"/>
    </row>
    <row r="2454" spans="1:8">
      <c r="A2454" s="45"/>
      <c r="B2454" s="45"/>
      <c r="H2454" s="45"/>
    </row>
    <row r="2455" spans="1:8">
      <c r="A2455" s="45"/>
      <c r="B2455" s="45"/>
      <c r="H2455" s="45"/>
    </row>
    <row r="2456" spans="1:8">
      <c r="A2456" s="45"/>
      <c r="B2456" s="45"/>
      <c r="H2456" s="45"/>
    </row>
    <row r="2457" spans="1:8">
      <c r="A2457" s="45"/>
      <c r="B2457" s="45"/>
      <c r="H2457" s="45"/>
    </row>
    <row r="2458" spans="1:8">
      <c r="A2458" s="45"/>
      <c r="B2458" s="45"/>
      <c r="H2458" s="45"/>
    </row>
    <row r="2459" spans="1:8">
      <c r="A2459" s="45"/>
      <c r="B2459" s="45"/>
      <c r="H2459" s="45"/>
    </row>
    <row r="2460" spans="1:8">
      <c r="A2460" s="45"/>
      <c r="B2460" s="45"/>
      <c r="H2460" s="45"/>
    </row>
    <row r="2461" spans="1:8">
      <c r="A2461" s="45"/>
      <c r="B2461" s="45"/>
      <c r="H2461" s="45"/>
    </row>
    <row r="2462" spans="1:8">
      <c r="A2462" s="45"/>
      <c r="B2462" s="45"/>
      <c r="H2462" s="45"/>
    </row>
    <row r="2463" spans="1:8">
      <c r="A2463" s="45"/>
      <c r="B2463" s="45"/>
      <c r="H2463" s="45"/>
    </row>
    <row r="2464" spans="1:8">
      <c r="A2464" s="45"/>
      <c r="B2464" s="45"/>
      <c r="H2464" s="45"/>
    </row>
    <row r="2465" spans="1:8">
      <c r="A2465" s="45"/>
      <c r="B2465" s="45"/>
      <c r="H2465" s="45"/>
    </row>
    <row r="2466" spans="1:8">
      <c r="A2466" s="45"/>
      <c r="B2466" s="45"/>
      <c r="H2466" s="45"/>
    </row>
    <row r="2467" spans="1:8">
      <c r="A2467" s="45"/>
      <c r="B2467" s="45"/>
      <c r="H2467" s="45"/>
    </row>
    <row r="2468" spans="1:8">
      <c r="A2468" s="45"/>
      <c r="B2468" s="45"/>
      <c r="H2468" s="45"/>
    </row>
    <row r="2469" spans="1:8">
      <c r="A2469" s="45"/>
      <c r="B2469" s="45"/>
      <c r="H2469" s="45"/>
    </row>
    <row r="2470" spans="1:8">
      <c r="A2470" s="45"/>
      <c r="B2470" s="45"/>
      <c r="H2470" s="45"/>
    </row>
    <row r="2471" spans="1:8">
      <c r="A2471" s="45"/>
      <c r="B2471" s="45"/>
      <c r="H2471" s="45"/>
    </row>
    <row r="2472" spans="1:8">
      <c r="A2472" s="45"/>
      <c r="B2472" s="45"/>
      <c r="H2472" s="45"/>
    </row>
    <row r="2473" spans="1:8">
      <c r="A2473" s="45"/>
      <c r="B2473" s="45"/>
      <c r="H2473" s="45"/>
    </row>
    <row r="2474" spans="1:8">
      <c r="A2474" s="45"/>
      <c r="B2474" s="45"/>
      <c r="H2474" s="45"/>
    </row>
    <row r="2475" spans="1:8">
      <c r="A2475" s="45"/>
      <c r="B2475" s="45"/>
      <c r="H2475" s="45"/>
    </row>
    <row r="2476" spans="1:8">
      <c r="A2476" s="45"/>
      <c r="B2476" s="45"/>
      <c r="H2476" s="45"/>
    </row>
    <row r="2477" spans="1:8">
      <c r="A2477" s="45"/>
      <c r="B2477" s="45"/>
      <c r="H2477" s="45"/>
    </row>
    <row r="2478" spans="1:8">
      <c r="A2478" s="45"/>
      <c r="B2478" s="45"/>
      <c r="H2478" s="45"/>
    </row>
    <row r="2479" spans="1:8">
      <c r="A2479" s="45"/>
      <c r="B2479" s="45"/>
      <c r="H2479" s="45"/>
    </row>
    <row r="2480" spans="1:8">
      <c r="A2480" s="45"/>
      <c r="B2480" s="45"/>
      <c r="H2480" s="45"/>
    </row>
    <row r="2481" spans="1:8">
      <c r="A2481" s="45"/>
      <c r="B2481" s="45"/>
      <c r="H2481" s="45"/>
    </row>
    <row r="2482" spans="1:8">
      <c r="A2482" s="45"/>
      <c r="B2482" s="45"/>
      <c r="H2482" s="45"/>
    </row>
    <row r="2483" spans="1:8">
      <c r="A2483" s="45"/>
      <c r="B2483" s="45"/>
      <c r="H2483" s="45"/>
    </row>
    <row r="2484" spans="1:8">
      <c r="A2484" s="45"/>
      <c r="B2484" s="45"/>
      <c r="H2484" s="45"/>
    </row>
    <row r="2485" spans="1:8">
      <c r="A2485" s="45"/>
      <c r="B2485" s="45"/>
      <c r="H2485" s="45"/>
    </row>
    <row r="2486" spans="1:8">
      <c r="A2486" s="45"/>
      <c r="B2486" s="45"/>
      <c r="H2486" s="45"/>
    </row>
    <row r="2487" spans="1:8">
      <c r="A2487" s="45"/>
      <c r="B2487" s="45"/>
      <c r="H2487" s="45"/>
    </row>
    <row r="2488" spans="1:8">
      <c r="A2488" s="45"/>
      <c r="B2488" s="45"/>
      <c r="H2488" s="45"/>
    </row>
    <row r="2489" spans="1:8">
      <c r="A2489" s="45"/>
      <c r="B2489" s="45"/>
      <c r="H2489" s="45"/>
    </row>
    <row r="2490" spans="1:8">
      <c r="A2490" s="45"/>
      <c r="B2490" s="45"/>
      <c r="H2490" s="45"/>
    </row>
    <row r="2491" spans="1:8">
      <c r="A2491" s="45"/>
      <c r="B2491" s="45"/>
      <c r="H2491" s="45"/>
    </row>
    <row r="2492" spans="1:8">
      <c r="A2492" s="45"/>
      <c r="B2492" s="45"/>
      <c r="H2492" s="45"/>
    </row>
    <row r="2493" spans="1:8">
      <c r="A2493" s="45"/>
      <c r="B2493" s="45"/>
      <c r="H2493" s="45"/>
    </row>
    <row r="2494" spans="1:8">
      <c r="A2494" s="45"/>
      <c r="B2494" s="45"/>
      <c r="H2494" s="45"/>
    </row>
    <row r="2495" spans="1:8">
      <c r="A2495" s="45"/>
      <c r="B2495" s="45"/>
      <c r="H2495" s="45"/>
    </row>
    <row r="2496" spans="1:8">
      <c r="A2496" s="45"/>
      <c r="B2496" s="45"/>
      <c r="H2496" s="45"/>
    </row>
    <row r="2497" spans="1:8">
      <c r="A2497" s="45"/>
      <c r="B2497" s="45"/>
      <c r="H2497" s="45"/>
    </row>
    <row r="2498" spans="1:8">
      <c r="A2498" s="45"/>
      <c r="B2498" s="45"/>
      <c r="H2498" s="45"/>
    </row>
    <row r="2499" spans="1:8">
      <c r="A2499" s="45"/>
      <c r="B2499" s="45"/>
      <c r="H2499" s="45"/>
    </row>
    <row r="2500" spans="1:8">
      <c r="A2500" s="45"/>
      <c r="B2500" s="45"/>
      <c r="H2500" s="45"/>
    </row>
    <row r="2501" spans="1:8">
      <c r="A2501" s="45"/>
      <c r="B2501" s="45"/>
      <c r="H2501" s="45"/>
    </row>
    <row r="2502" spans="1:8">
      <c r="A2502" s="45"/>
      <c r="B2502" s="45"/>
      <c r="H2502" s="45"/>
    </row>
    <row r="2503" spans="1:8">
      <c r="A2503" s="45"/>
      <c r="B2503" s="45"/>
      <c r="H2503" s="45"/>
    </row>
    <row r="2504" spans="1:8">
      <c r="A2504" s="45"/>
      <c r="B2504" s="45"/>
      <c r="H2504" s="45"/>
    </row>
    <row r="2505" spans="1:8">
      <c r="A2505" s="45"/>
      <c r="B2505" s="45"/>
      <c r="H2505" s="45"/>
    </row>
    <row r="2506" spans="1:8">
      <c r="A2506" s="45"/>
      <c r="B2506" s="45"/>
      <c r="H2506" s="45"/>
    </row>
    <row r="2507" spans="1:8">
      <c r="A2507" s="45"/>
      <c r="B2507" s="45"/>
      <c r="H2507" s="45"/>
    </row>
    <row r="2508" spans="1:8">
      <c r="A2508" s="45"/>
      <c r="B2508" s="45"/>
      <c r="H2508" s="45"/>
    </row>
    <row r="2509" spans="1:8">
      <c r="A2509" s="45"/>
      <c r="B2509" s="45"/>
      <c r="H2509" s="45"/>
    </row>
    <row r="2510" spans="1:8">
      <c r="A2510" s="45"/>
      <c r="B2510" s="45"/>
      <c r="H2510" s="45"/>
    </row>
    <row r="2511" spans="1:8">
      <c r="A2511" s="45"/>
      <c r="B2511" s="45"/>
      <c r="H2511" s="45"/>
    </row>
    <row r="2512" spans="1:8">
      <c r="A2512" s="45"/>
      <c r="B2512" s="45"/>
      <c r="H2512" s="45"/>
    </row>
    <row r="2513" spans="1:8">
      <c r="A2513" s="45"/>
      <c r="B2513" s="45"/>
      <c r="H2513" s="45"/>
    </row>
    <row r="2514" spans="1:8">
      <c r="A2514" s="45"/>
      <c r="B2514" s="45"/>
      <c r="H2514" s="45"/>
    </row>
    <row r="2515" spans="1:8">
      <c r="A2515" s="45"/>
      <c r="B2515" s="45"/>
      <c r="H2515" s="45"/>
    </row>
    <row r="2516" spans="1:8">
      <c r="A2516" s="45"/>
      <c r="B2516" s="45"/>
      <c r="H2516" s="45"/>
    </row>
    <row r="2517" spans="1:8">
      <c r="A2517" s="45"/>
      <c r="B2517" s="45"/>
      <c r="H2517" s="45"/>
    </row>
    <row r="2518" spans="1:8">
      <c r="A2518" s="45"/>
      <c r="B2518" s="45"/>
      <c r="H2518" s="45"/>
    </row>
    <row r="2519" spans="1:8">
      <c r="A2519" s="45"/>
      <c r="B2519" s="45"/>
      <c r="H2519" s="45"/>
    </row>
    <row r="2520" spans="1:8">
      <c r="A2520" s="45"/>
      <c r="B2520" s="45"/>
      <c r="H2520" s="45"/>
    </row>
    <row r="2521" spans="1:8">
      <c r="A2521" s="45"/>
      <c r="B2521" s="45"/>
      <c r="H2521" s="45"/>
    </row>
    <row r="2522" spans="1:8">
      <c r="A2522" s="45"/>
      <c r="B2522" s="45"/>
      <c r="H2522" s="45"/>
    </row>
    <row r="2523" spans="1:8">
      <c r="A2523" s="45"/>
      <c r="B2523" s="45"/>
      <c r="H2523" s="45"/>
    </row>
    <row r="2524" spans="1:8">
      <c r="A2524" s="45"/>
      <c r="B2524" s="45"/>
      <c r="H2524" s="45"/>
    </row>
    <row r="2525" spans="1:8">
      <c r="A2525" s="45"/>
      <c r="B2525" s="45"/>
      <c r="H2525" s="45"/>
    </row>
    <row r="2526" spans="1:8">
      <c r="A2526" s="45"/>
      <c r="B2526" s="45"/>
      <c r="H2526" s="45"/>
    </row>
    <row r="2527" spans="1:8">
      <c r="A2527" s="45"/>
      <c r="B2527" s="45"/>
      <c r="H2527" s="45"/>
    </row>
    <row r="2528" spans="1:8">
      <c r="A2528" s="45"/>
      <c r="B2528" s="45"/>
      <c r="H2528" s="45"/>
    </row>
    <row r="2529" spans="1:8">
      <c r="A2529" s="45"/>
      <c r="B2529" s="45"/>
      <c r="H2529" s="45"/>
    </row>
    <row r="2530" spans="1:8">
      <c r="A2530" s="45"/>
      <c r="B2530" s="45"/>
      <c r="H2530" s="45"/>
    </row>
    <row r="2531" spans="1:8">
      <c r="A2531" s="45"/>
      <c r="B2531" s="45"/>
      <c r="H2531" s="45"/>
    </row>
    <row r="2532" spans="1:8">
      <c r="A2532" s="45"/>
      <c r="B2532" s="45"/>
      <c r="H2532" s="45"/>
    </row>
    <row r="2533" spans="1:8">
      <c r="A2533" s="45"/>
      <c r="B2533" s="45"/>
      <c r="H2533" s="45"/>
    </row>
    <row r="2534" spans="1:8">
      <c r="A2534" s="45"/>
      <c r="B2534" s="45"/>
      <c r="H2534" s="45"/>
    </row>
    <row r="2535" spans="1:8">
      <c r="A2535" s="45"/>
      <c r="B2535" s="45"/>
      <c r="H2535" s="45"/>
    </row>
    <row r="2536" spans="1:8">
      <c r="A2536" s="45"/>
      <c r="B2536" s="45"/>
      <c r="H2536" s="45"/>
    </row>
    <row r="2537" spans="1:8">
      <c r="A2537" s="45"/>
      <c r="B2537" s="45"/>
      <c r="H2537" s="45"/>
    </row>
    <row r="2538" spans="1:8">
      <c r="A2538" s="45"/>
      <c r="B2538" s="45"/>
      <c r="H2538" s="45"/>
    </row>
    <row r="2539" spans="1:8">
      <c r="A2539" s="45"/>
      <c r="B2539" s="45"/>
      <c r="H2539" s="45"/>
    </row>
    <row r="2540" spans="1:8">
      <c r="A2540" s="45"/>
      <c r="B2540" s="45"/>
      <c r="H2540" s="45"/>
    </row>
    <row r="2541" spans="1:8">
      <c r="A2541" s="45"/>
      <c r="B2541" s="45"/>
      <c r="H2541" s="45"/>
    </row>
    <row r="2542" spans="1:8">
      <c r="A2542" s="45"/>
      <c r="B2542" s="45"/>
      <c r="H2542" s="45"/>
    </row>
    <row r="2543" spans="1:8">
      <c r="A2543" s="45"/>
      <c r="B2543" s="45"/>
      <c r="H2543" s="45"/>
    </row>
    <row r="2544" spans="1:8">
      <c r="A2544" s="45"/>
      <c r="B2544" s="45"/>
      <c r="H2544" s="45"/>
    </row>
    <row r="2545" spans="1:8">
      <c r="A2545" s="45"/>
      <c r="B2545" s="45"/>
      <c r="H2545" s="45"/>
    </row>
    <row r="2546" spans="1:8">
      <c r="A2546" s="45"/>
      <c r="B2546" s="45"/>
      <c r="H2546" s="45"/>
    </row>
    <row r="2547" spans="1:8">
      <c r="A2547" s="45"/>
      <c r="B2547" s="45"/>
      <c r="H2547" s="45"/>
    </row>
    <row r="2548" spans="1:8">
      <c r="A2548" s="45"/>
      <c r="B2548" s="45"/>
      <c r="H2548" s="45"/>
    </row>
    <row r="2549" spans="1:8">
      <c r="A2549" s="45"/>
      <c r="B2549" s="45"/>
      <c r="H2549" s="45"/>
    </row>
    <row r="2550" spans="1:8">
      <c r="A2550" s="45"/>
      <c r="B2550" s="45"/>
      <c r="H2550" s="45"/>
    </row>
    <row r="2551" spans="1:8">
      <c r="A2551" s="45"/>
      <c r="B2551" s="45"/>
      <c r="H2551" s="45"/>
    </row>
    <row r="2552" spans="1:8">
      <c r="A2552" s="45"/>
      <c r="B2552" s="45"/>
      <c r="H2552" s="45"/>
    </row>
    <row r="2553" spans="1:8">
      <c r="A2553" s="45"/>
      <c r="B2553" s="45"/>
      <c r="H2553" s="45"/>
    </row>
    <row r="2554" spans="1:8">
      <c r="A2554" s="45"/>
      <c r="B2554" s="45"/>
      <c r="H2554" s="45"/>
    </row>
    <row r="2555" spans="1:8">
      <c r="A2555" s="45"/>
      <c r="B2555" s="45"/>
      <c r="H2555" s="45"/>
    </row>
    <row r="2556" spans="1:8">
      <c r="A2556" s="45"/>
      <c r="B2556" s="45"/>
      <c r="H2556" s="45"/>
    </row>
    <row r="2557" spans="1:8">
      <c r="A2557" s="45"/>
      <c r="B2557" s="45"/>
      <c r="H2557" s="45"/>
    </row>
    <row r="2558" spans="1:8">
      <c r="A2558" s="45"/>
      <c r="B2558" s="45"/>
      <c r="H2558" s="45"/>
    </row>
    <row r="2559" spans="1:8">
      <c r="A2559" s="45"/>
      <c r="B2559" s="45"/>
      <c r="H2559" s="45"/>
    </row>
    <row r="2560" spans="1:8">
      <c r="A2560" s="45"/>
      <c r="B2560" s="45"/>
      <c r="H2560" s="45"/>
    </row>
    <row r="2561" spans="1:8">
      <c r="A2561" s="45"/>
      <c r="B2561" s="45"/>
      <c r="H2561" s="45"/>
    </row>
    <row r="2562" spans="1:8">
      <c r="A2562" s="45"/>
      <c r="B2562" s="45"/>
      <c r="H2562" s="45"/>
    </row>
    <row r="2563" spans="1:8">
      <c r="A2563" s="45"/>
      <c r="B2563" s="45"/>
      <c r="H2563" s="45"/>
    </row>
    <row r="2564" spans="1:8">
      <c r="A2564" s="45"/>
      <c r="B2564" s="45"/>
      <c r="H2564" s="45"/>
    </row>
    <row r="2565" spans="1:8">
      <c r="A2565" s="45"/>
      <c r="B2565" s="45"/>
      <c r="H2565" s="45"/>
    </row>
    <row r="2566" spans="1:8">
      <c r="A2566" s="45"/>
      <c r="B2566" s="45"/>
      <c r="H2566" s="45"/>
    </row>
    <row r="2567" spans="1:8">
      <c r="A2567" s="45"/>
      <c r="B2567" s="45"/>
      <c r="H2567" s="45"/>
    </row>
    <row r="2568" spans="1:8">
      <c r="A2568" s="45"/>
      <c r="B2568" s="45"/>
      <c r="H2568" s="45"/>
    </row>
    <row r="2569" spans="1:8">
      <c r="A2569" s="45"/>
      <c r="B2569" s="45"/>
      <c r="H2569" s="45"/>
    </row>
    <row r="2570" spans="1:8">
      <c r="A2570" s="45"/>
      <c r="B2570" s="45"/>
      <c r="H2570" s="45"/>
    </row>
    <row r="2571" spans="1:8">
      <c r="A2571" s="45"/>
      <c r="B2571" s="45"/>
      <c r="H2571" s="45"/>
    </row>
    <row r="2572" spans="1:8">
      <c r="A2572" s="45"/>
      <c r="B2572" s="45"/>
      <c r="H2572" s="45"/>
    </row>
    <row r="2573" spans="1:8">
      <c r="A2573" s="45"/>
      <c r="B2573" s="45"/>
      <c r="H2573" s="45"/>
    </row>
    <row r="2574" spans="1:8">
      <c r="A2574" s="45"/>
      <c r="B2574" s="45"/>
      <c r="H2574" s="45"/>
    </row>
    <row r="2575" spans="1:8">
      <c r="A2575" s="45"/>
      <c r="B2575" s="45"/>
      <c r="H2575" s="45"/>
    </row>
    <row r="2576" spans="1:8">
      <c r="A2576" s="45"/>
      <c r="B2576" s="45"/>
      <c r="H2576" s="45"/>
    </row>
    <row r="2577" spans="1:8">
      <c r="A2577" s="45"/>
      <c r="B2577" s="45"/>
      <c r="H2577" s="45"/>
    </row>
    <row r="2578" spans="1:8">
      <c r="A2578" s="45"/>
      <c r="B2578" s="45"/>
      <c r="H2578" s="45"/>
    </row>
    <row r="2579" spans="1:8">
      <c r="A2579" s="45"/>
      <c r="B2579" s="45"/>
      <c r="H2579" s="45"/>
    </row>
    <row r="2580" spans="1:8">
      <c r="A2580" s="45"/>
      <c r="B2580" s="45"/>
      <c r="H2580" s="45"/>
    </row>
    <row r="2581" spans="1:8">
      <c r="A2581" s="45"/>
      <c r="B2581" s="45"/>
      <c r="H2581" s="45"/>
    </row>
    <row r="2582" spans="1:8">
      <c r="A2582" s="45"/>
      <c r="B2582" s="45"/>
      <c r="H2582" s="45"/>
    </row>
    <row r="2583" spans="1:8">
      <c r="A2583" s="45"/>
      <c r="B2583" s="45"/>
      <c r="H2583" s="45"/>
    </row>
    <row r="2584" spans="1:8">
      <c r="A2584" s="45"/>
      <c r="B2584" s="45"/>
      <c r="H2584" s="45"/>
    </row>
    <row r="2585" spans="1:8">
      <c r="A2585" s="45"/>
      <c r="B2585" s="45"/>
      <c r="H2585" s="45"/>
    </row>
    <row r="2586" spans="1:8">
      <c r="A2586" s="45"/>
      <c r="B2586" s="45"/>
      <c r="H2586" s="45"/>
    </row>
    <row r="2587" spans="1:8">
      <c r="A2587" s="45"/>
      <c r="B2587" s="45"/>
      <c r="H2587" s="45"/>
    </row>
    <row r="2588" spans="1:8">
      <c r="A2588" s="45"/>
      <c r="B2588" s="45"/>
      <c r="H2588" s="45"/>
    </row>
    <row r="2589" spans="1:8">
      <c r="A2589" s="45"/>
      <c r="B2589" s="45"/>
      <c r="H2589" s="45"/>
    </row>
    <row r="2590" spans="1:8">
      <c r="A2590" s="45"/>
      <c r="B2590" s="45"/>
      <c r="H2590" s="45"/>
    </row>
    <row r="2591" spans="1:8">
      <c r="A2591" s="45"/>
      <c r="B2591" s="45"/>
      <c r="H2591" s="45"/>
    </row>
    <row r="2592" spans="1:8">
      <c r="A2592" s="45"/>
      <c r="B2592" s="45"/>
      <c r="H2592" s="45"/>
    </row>
    <row r="2593" spans="1:8">
      <c r="A2593" s="45"/>
      <c r="B2593" s="45"/>
      <c r="H2593" s="45"/>
    </row>
    <row r="2594" spans="1:8">
      <c r="A2594" s="45"/>
      <c r="B2594" s="45"/>
      <c r="H2594" s="45"/>
    </row>
    <row r="2595" spans="1:8">
      <c r="A2595" s="45"/>
      <c r="B2595" s="45"/>
      <c r="H2595" s="45"/>
    </row>
    <row r="2596" spans="1:8">
      <c r="A2596" s="45"/>
      <c r="B2596" s="45"/>
      <c r="H2596" s="45"/>
    </row>
    <row r="2597" spans="1:8">
      <c r="A2597" s="45"/>
      <c r="B2597" s="45"/>
      <c r="H2597" s="45"/>
    </row>
    <row r="2598" spans="1:8">
      <c r="A2598" s="45"/>
      <c r="B2598" s="45"/>
      <c r="H2598" s="45"/>
    </row>
    <row r="2599" spans="1:8">
      <c r="A2599" s="45"/>
      <c r="B2599" s="45"/>
      <c r="H2599" s="45"/>
    </row>
    <row r="2600" spans="1:8">
      <c r="A2600" s="45"/>
      <c r="B2600" s="45"/>
      <c r="H2600" s="45"/>
    </row>
    <row r="2601" spans="1:8">
      <c r="A2601" s="45"/>
      <c r="B2601" s="45"/>
      <c r="H2601" s="45"/>
    </row>
    <row r="2602" spans="1:8">
      <c r="A2602" s="45"/>
      <c r="B2602" s="45"/>
      <c r="H2602" s="45"/>
    </row>
    <row r="2603" spans="1:8">
      <c r="A2603" s="45"/>
      <c r="B2603" s="45"/>
      <c r="H2603" s="45"/>
    </row>
    <row r="2604" spans="1:8">
      <c r="A2604" s="45"/>
      <c r="B2604" s="45"/>
      <c r="H2604" s="45"/>
    </row>
  </sheetData>
  <autoFilter ref="A1:Z11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</vt:lpstr>
      <vt:lpstr>LK CÔNG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2026-06-18T01:39:05Z</dcterms:created>
  <dcterms:modified xsi:type="dcterms:W3CDTF">2026-06-20T02:54:00Z</dcterms:modified>
</cp:coreProperties>
</file>